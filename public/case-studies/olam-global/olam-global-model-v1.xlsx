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4893331cb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5f2ee6ea45ed4c57"/>
    <x:sheet xmlns:r="http://schemas.openxmlformats.org/officeDocument/2006/relationships" name="Sources" sheetId="2" r:id="R188755b96ce749b0"/>
    <x:sheet xmlns:r="http://schemas.openxmlformats.org/officeDocument/2006/relationships" name="Claims" sheetId="3" r:id="R9de17fc0fead46d2"/>
    <x:sheet xmlns:r="http://schemas.openxmlformats.org/officeDocument/2006/relationships" name="Countries" sheetId="4" r:id="Ra525306393714ceb"/>
    <x:sheet xmlns:r="http://schemas.openxmlformats.org/officeDocument/2006/relationships" name="Country_Selector" sheetId="5" r:id="Rc6278fc1cef749e4"/>
    <x:sheet xmlns:r="http://schemas.openxmlformats.org/officeDocument/2006/relationships" name="Products_HS" sheetId="6" r:id="R1b4f80699b18471c"/>
    <x:sheet xmlns:r="http://schemas.openxmlformats.org/officeDocument/2006/relationships" name="Raw_Data_Index" sheetId="7" r:id="R64652e6f50f74232"/>
    <x:sheet xmlns:r="http://schemas.openxmlformats.org/officeDocument/2006/relationships" name="Transformations" sheetId="8" r:id="R4a7a98bbd99c4cc5"/>
    <x:sheet xmlns:r="http://schemas.openxmlformats.org/officeDocument/2006/relationships" name="Coverage" sheetId="9" r:id="Rb86fcae2cff14e24"/>
    <x:sheet xmlns:r="http://schemas.openxmlformats.org/officeDocument/2006/relationships" name="Company_Baseline" sheetId="10" r:id="R9787365f5a5443b2"/>
    <x:sheet xmlns:r="http://schemas.openxmlformats.org/officeDocument/2006/relationships" name="Demand_Model" sheetId="11" r:id="R8c0abe20b9f54729"/>
    <x:sheet xmlns:r="http://schemas.openxmlformats.org/officeDocument/2006/relationships" name="Trade_Model" sheetId="12" r:id="R9bbbf34a4b3f47fd"/>
    <x:sheet xmlns:r="http://schemas.openxmlformats.org/officeDocument/2006/relationships" name="Climate_Exposure" sheetId="13" r:id="R3806dbe19c524b23"/>
    <x:sheet xmlns:r="http://schemas.openxmlformats.org/officeDocument/2006/relationships" name="Scenario_Inputs" sheetId="14" r:id="R8b07e564ef7c4bec"/>
    <x:sheet xmlns:r="http://schemas.openxmlformats.org/officeDocument/2006/relationships" name="Assumptions" sheetId="15" r:id="R010728d584f74497"/>
    <x:sheet xmlns:r="http://schemas.openxmlformats.org/officeDocument/2006/relationships" name="Unit_Economics" sheetId="16" r:id="R2f5ef58c69f9441e"/>
    <x:sheet xmlns:r="http://schemas.openxmlformats.org/officeDocument/2006/relationships" name="Working_Capital" sheetId="17" r:id="R5e51c355c26343a6"/>
    <x:sheet xmlns:r="http://schemas.openxmlformats.org/officeDocument/2006/relationships" name="Financing_FX" sheetId="18" r:id="Ra236f05bc3764dfb"/>
    <x:sheet xmlns:r="http://schemas.openxmlformats.org/officeDocument/2006/relationships" name="Country_Financials" sheetId="19" r:id="Rf1088d3c495e405a"/>
    <x:sheet xmlns:r="http://schemas.openxmlformats.org/officeDocument/2006/relationships" name="Sensitivity" sheetId="20" r:id="Rc5c8cb983cf74680"/>
    <x:sheet xmlns:r="http://schemas.openxmlformats.org/officeDocument/2006/relationships" name="Simulation" sheetId="21" r:id="Rca3850a8de4b428b"/>
    <x:sheet xmlns:r="http://schemas.openxmlformats.org/officeDocument/2006/relationships" name="Portfolio" sheetId="22" r:id="Rf7c48a9894a94428"/>
    <x:sheet xmlns:r="http://schemas.openxmlformats.org/officeDocument/2006/relationships" name="Marketing_Pilots" sheetId="23" r:id="R4f55951a437b4cec"/>
    <x:sheet xmlns:r="http://schemas.openxmlformats.org/officeDocument/2006/relationships" name="Information_Value" sheetId="24" r:id="R2653c249c661440d"/>
    <x:sheet xmlns:r="http://schemas.openxmlformats.org/officeDocument/2006/relationships" name="Decision_Triggers" sheetId="25" r:id="R11e6d50232604e3c"/>
    <x:sheet xmlns:r="http://schemas.openxmlformats.org/officeDocument/2006/relationships" name="Chart_Data" sheetId="26" r:id="R9285ed14a671473f"/>
    <x:sheet xmlns:r="http://schemas.openxmlformats.org/officeDocument/2006/relationships" name="Calculation_Audit" sheetId="27" r:id="R8b3de407855c4881"/>
    <x:sheet xmlns:r="http://schemas.openxmlformats.org/officeDocument/2006/relationships" name="Limitations" sheetId="28" r:id="Rde8139c71e0d44bc"/>
  </x:sheets>
  <x:definedNames>
    <x:definedName name="ActiveScenario">Assumptions!$B$5</x:definedName>
    <x:definedName name="ActiveMode">Assumptions!$B$4</x:definedName>
    <x:definedName name="ProjectNPV">Country_Financials!$B$31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.00;[Red](#,##0.00);&quot;—&quot;"/>
  </x:numFmts>
  <x:fonts count="6">
    <x:font>
      <x:sz val="11"/>
      <x:name val="Carlito"/>
    </x:font>
    <x:font>
      <x:sz val="10"/>
      <x:color rgb="FF183B2A"/>
      <x:name val="DejaVu Sans"/>
    </x:font>
    <x:font>
      <x:b/>
      <x:sz val="10"/>
      <x:color rgb="FFFFFFFF"/>
      <x:name val="DejaVu Sans"/>
    </x:font>
    <x:font>
      <x:b/>
      <x:sz val="16"/>
      <x:color rgb="FF183B2A"/>
      <x:name val="DejaVu Sans"/>
    </x:font>
    <x:font>
      <x:sz val="10"/>
      <x:color rgb="FF0000FF"/>
      <x:name val="DejaVu Sans"/>
    </x:font>
    <x:font>
      <x:sz val="10"/>
      <x:color rgb="FF008000"/>
      <x:name val="DejaVu Sans"/>
    </x:font>
  </x:fonts>
  <x:fills count="3">
    <x:fill>
      <x:patternFill patternType="none"/>
    </x:fill>
    <x:fill>
      <x:patternFill patternType="gray125"/>
    </x:fill>
    <x:fill>
      <x:patternFill patternType="solid">
        <x:fgColor rgb="FF173C2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5a46949364657" /><Relationship Type="http://schemas.openxmlformats.org/officeDocument/2006/relationships/theme" Target="/xl/theme/theme1.xml" Id="R7d97553ccb334789" /><Relationship Type="http://schemas.openxmlformats.org/officeDocument/2006/relationships/sharedStrings" Target="/xl/sharedStrings.xml" Id="R4fc33ad674d045b2" /><Relationship Type="http://schemas.openxmlformats.org/officeDocument/2006/relationships/worksheet" Target="/xl/worksheets/sheet1.xml" Id="R5f2ee6ea45ed4c57" /><Relationship Type="http://schemas.openxmlformats.org/officeDocument/2006/relationships/worksheet" Target="/xl/worksheets/sheet2.xml" Id="R188755b96ce749b0" /><Relationship Type="http://schemas.openxmlformats.org/officeDocument/2006/relationships/worksheet" Target="/xl/worksheets/sheet3.xml" Id="R9de17fc0fead46d2" /><Relationship Type="http://schemas.openxmlformats.org/officeDocument/2006/relationships/worksheet" Target="/xl/worksheets/sheet4.xml" Id="Ra525306393714ceb" /><Relationship Type="http://schemas.openxmlformats.org/officeDocument/2006/relationships/worksheet" Target="/xl/worksheets/sheet5.xml" Id="Rc6278fc1cef749e4" /><Relationship Type="http://schemas.openxmlformats.org/officeDocument/2006/relationships/worksheet" Target="/xl/worksheets/sheet6.xml" Id="R1b4f80699b18471c" /><Relationship Type="http://schemas.openxmlformats.org/officeDocument/2006/relationships/worksheet" Target="/xl/worksheets/sheet7.xml" Id="R64652e6f50f74232" /><Relationship Type="http://schemas.openxmlformats.org/officeDocument/2006/relationships/worksheet" Target="/xl/worksheets/sheet8.xml" Id="R4a7a98bbd99c4cc5" /><Relationship Type="http://schemas.openxmlformats.org/officeDocument/2006/relationships/worksheet" Target="/xl/worksheets/sheet9.xml" Id="Rb86fcae2cff14e24" /><Relationship Type="http://schemas.openxmlformats.org/officeDocument/2006/relationships/worksheet" Target="/xl/worksheets/sheet10.xml" Id="R9787365f5a5443b2" /><Relationship Type="http://schemas.openxmlformats.org/officeDocument/2006/relationships/worksheet" Target="/xl/worksheets/sheet11.xml" Id="R8c0abe20b9f54729" /><Relationship Type="http://schemas.openxmlformats.org/officeDocument/2006/relationships/worksheet" Target="/xl/worksheets/sheet12.xml" Id="R9bbbf34a4b3f47fd" /><Relationship Type="http://schemas.openxmlformats.org/officeDocument/2006/relationships/worksheet" Target="/xl/worksheets/sheet13.xml" Id="R3806dbe19c524b23" /><Relationship Type="http://schemas.openxmlformats.org/officeDocument/2006/relationships/worksheet" Target="/xl/worksheets/sheet14.xml" Id="R8b07e564ef7c4bec" /><Relationship Type="http://schemas.openxmlformats.org/officeDocument/2006/relationships/worksheet" Target="/xl/worksheets/sheet15.xml" Id="R010728d584f74497" /><Relationship Type="http://schemas.openxmlformats.org/officeDocument/2006/relationships/worksheet" Target="/xl/worksheets/sheet16.xml" Id="R2f5ef58c69f9441e" /><Relationship Type="http://schemas.openxmlformats.org/officeDocument/2006/relationships/worksheet" Target="/xl/worksheets/sheet17.xml" Id="R5e51c355c26343a6" /><Relationship Type="http://schemas.openxmlformats.org/officeDocument/2006/relationships/worksheet" Target="/xl/worksheets/sheet18.xml" Id="Ra236f05bc3764dfb" /><Relationship Type="http://schemas.openxmlformats.org/officeDocument/2006/relationships/worksheet" Target="/xl/worksheets/sheet19.xml" Id="Rf1088d3c495e405a" /><Relationship Type="http://schemas.openxmlformats.org/officeDocument/2006/relationships/worksheet" Target="/xl/worksheets/sheet20.xml" Id="Rc5c8cb983cf74680" /><Relationship Type="http://schemas.openxmlformats.org/officeDocument/2006/relationships/worksheet" Target="/xl/worksheets/sheet21.xml" Id="Rca3850a8de4b428b" /><Relationship Type="http://schemas.openxmlformats.org/officeDocument/2006/relationships/worksheet" Target="/xl/worksheets/sheet22.xml" Id="Rf7c48a9894a94428" /><Relationship Type="http://schemas.openxmlformats.org/officeDocument/2006/relationships/worksheet" Target="/xl/worksheets/sheet23.xml" Id="R4f55951a437b4cec" /><Relationship Type="http://schemas.openxmlformats.org/officeDocument/2006/relationships/worksheet" Target="/xl/worksheets/sheet24.xml" Id="R2653c249c661440d" /><Relationship Type="http://schemas.openxmlformats.org/officeDocument/2006/relationships/worksheet" Target="/xl/worksheets/sheet25.xml" Id="R11e6d50232604e3c" /><Relationship Type="http://schemas.openxmlformats.org/officeDocument/2006/relationships/worksheet" Target="/xl/worksheets/sheet26.xml" Id="R9285ed14a671473f" /><Relationship Type="http://schemas.openxmlformats.org/officeDocument/2006/relationships/worksheet" Target="/xl/worksheets/sheet27.xml" Id="R8b3de407855c4881" /><Relationship Type="http://schemas.openxmlformats.org/officeDocument/2006/relationships/worksheet" Target="/xl/worksheets/sheet28.xml" Id="Rde8139c71e0d44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fe423002424c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DejaVu Sans"/>
                <a:ea typeface="DejaVu Sans"/>
                <a:cs typeface="DejaVu Sans"/>
              </a:rPr>
              <a:t>Active template EBITDA and FCFF, real USDm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DejaVu Sans"/>
              <a:ea typeface="DejaVu Sans"/>
              <a:cs typeface="DejaVu San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EBITDA</c:v>
          </c:tx>
          <c:marker>
            <c:symbol val="none"/>
          </c:marker>
          <c:cat>
            <c:strRef>
              <c:f>'Country_Financials'!$B$4:$B$28</c:f>
              <c:strCache>
                <c:ptCount val="0"/>
              </c:strCache>
            </c:strRef>
          </c:cat>
          <c:val>
            <c:numRef>
              <c:f>'Country_Financials'!$I$4:$I$28</c:f>
              <c:numCache>
                <c:formatCode>#,##0.00;[Red](#,##0.00);"—"</c:formatCode>
                <c:ptCount val="0"/>
              </c:numCache>
            </c:numRef>
          </c:val>
          <c:smooth val="0"/>
        </c:ser>
        <c:ser>
          <c:idx val="1"/>
          <c:order val="1"/>
          <c:tx>
            <c:v>FCFF</c:v>
          </c:tx>
          <c:marker>
            <c:symbol val="none"/>
          </c:marker>
          <c:cat>
            <c:strRef>
              <c:f>'Country_Financials'!$B$4:$B$28</c:f>
              <c:strCache>
                <c:ptCount val="0"/>
              </c:strCache>
            </c:strRef>
          </c:cat>
          <c:val>
            <c:numRef>
              <c:f>'Country_Financials'!$X$4:$X$28</c:f>
              <c:numCache>
                <c:formatCode>#,##0.00;[Red](#,##0.00);"—"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DejaVu Sans"/>
                <a:ea typeface="DejaVu Sans"/>
                <a:cs typeface="DejaVu San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DejaVu Sans"/>
                <a:ea typeface="DejaVu Sans"/>
                <a:cs typeface="DejaVu Sans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DejaVu Sans"/>
              <a:ea typeface="DejaVu Sans"/>
              <a:cs typeface="DejaVu San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28</xdr:col>
      <xdr:colOff>0</xdr:colOff>
      <xdr:row>3</xdr:row>
      <xdr:rowOff>0</xdr:rowOff>
    </xdr:from>
    <xdr:to>
      <xdr:col>44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fe423002424cb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.xml" Id="R61ac5e21d066441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100" hidden="0" customWidth="1"/>
  </x:cols>
  <x:sheetData>
    <x:row r="1" ht="42" customHeight="1">
      <x:c r="A1" s="5" t="str">
        <x:v>Read Me / v1.0.0</x:v>
      </x:c>
      <x:c r="B1" s="2"/>
    </x:row>
    <x:row r="2" ht="42" customHeight="1">
      <x:c r="A2" s="2" t="str">
        <x:v>Public evidence + chosen examples; no Olam internal investment valuation</x:v>
      </x:c>
      <x:c r="B2" s="2"/>
    </x:row>
    <x:row r="3" ht="40" customHeight="1">
      <x:c r="A3" s="4" t="str">
        <x:v>Module</x:v>
      </x:c>
      <x:c r="B3" s="4" t="str">
        <x:v>Purpose</x:v>
      </x:c>
    </x:row>
    <x:row r="4" ht="40" customHeight="1">
      <x:c r="A4" s="2" t="str">
        <x:v>Scope</x:v>
      </x:c>
      <x:c r="B4" s="2" t="str">
        <x:v>195 countries; 193 members + 2 observers; 195 threshold-only cases. Territories separate.</x:v>
      </x:c>
    </x:row>
    <x:row r="5" ht="40" customHeight="1">
      <x:c r="A5" s="2" t="str">
        <x:v>Selectors</x:v>
      </x:c>
      <x:c r="B5" s="2" t="str">
        <x:v>Country_Selector B4(1–195); Assumptions B4 mode(1–3), B5 world(1–6). Live model only Country_Financials.</x:v>
      </x:c>
    </x:row>
    <x:row r="6" ht="40" customHeight="1">
      <x:c r="A6" s="2" t="str">
        <x:v>Units</x:v>
      </x:c>
      <x:c r="B6" s="2" t="str">
        <x:v>Constant 2026 USD million except unit prices USD/t, volume tonnes; legacy NGN billion separate.</x:v>
      </x:c>
    </x:row>
    <x:row r="7" ht="40" customHeight="1">
      <x:c r="A7" s="2" t="str">
        <x:v>Cash timing</x:v>
      </x:c>
      <x:c r="B7" s="2" t="str">
        <x:v>Year 0 = 2026; 25 operating years, 2027–2051; capex 60/40; annual cash omits intra-year seasonal peaks.</x:v>
      </x:c>
    </x:row>
    <x:row r="8" ht="40" customHeight="1">
      <x:c r="A8" s="2" t="str">
        <x:v>Inputs</x:v>
      </x:c>
      <x:c r="B8" s="2" t="str">
        <x:v>Blue choseninputs, green cross-sheet links, black formulas. Tax 25% simplified, not jurisdiction law.</x:v>
      </x:c>
    </x:row>
    <x:row r="9" ht="40" customHeight="1">
      <x:c r="A9" s="2" t="str">
        <x:v>Cached outputs</x:v>
      </x:c>
      <x:c r="B9" s="2" t="str">
        <x:v>Sensitivity, Simulation and Demand_Model are code snapshots run 2026-10-07T20:19:48.823839+00:00</x:v>
      </x:c>
    </x:row>
    <x:row r="10" ht="40" customHeight="1">
      <x:c r="A10" s="2" t="str">
        <x:v>Reproduce</x:v>
      </x:c>
      <x:c r="B10" s="2" t="str">
        <x:v>scripts/olam-retrieve.py → olam-analyse.py → olam-package.py; primaryruntime artifact authoring.</x:v>
      </x:c>
    </x:row>
    <x:row r="11" ht="40" customHeight="1">
      <x:c r="A11" s="2" t="str">
        <x:v>Full matrix</x:v>
      </x:c>
      <x:c r="B11" s="2" t="str">
        <x:v>country-scenario-matrix.csv:8,190 rows; country finance unknowns blank; template boundary separate.</x:v>
      </x:c>
    </x:row>
    <x:row r="12" ht="40" customHeight="1">
      <x:c r="A12" s="2" t="str">
        <x:v>Limitation</x:v>
      </x:c>
      <x:c r="B12" s="2" t="str">
        <x:v>No calibrated probability, company WACC, investment approval or fitted product demand.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40" hidden="0" customWidth="1"/>
    <x:col min="3" max="3" width="65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42" customHeight="1">
      <x:c r="A1" s="5" t="str">
        <x:v>Sources / v1.0.0</x:v>
      </x:c>
      <x:c r="B1" s="2"/>
      <x:c r="C1" s="2"/>
      <x:c r="D1" s="2"/>
      <x:c r="E1" s="2"/>
      <x:c r="F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  <x:c r="F2" s="2"/>
    </x:row>
    <x:row r="3" ht="28" customHeight="1">
      <x:c r="A3" s="4" t="str">
        <x:v>ID</x:v>
      </x:c>
      <x:c r="B3" s="4" t="str">
        <x:v>Title</x:v>
      </x:c>
      <x:c r="C3" s="4" t="str">
        <x:v>URL</x:v>
      </x:c>
      <x:c r="D3" s="4" t="str">
        <x:v>Pinpoint</x:v>
      </x:c>
      <x:c r="E3" s="4" t="str">
        <x:v>Access</x:v>
      </x:c>
      <x:c r="F3" s="4" t="str">
        <x:v>Limit</x:v>
      </x:c>
    </x:row>
    <x:row r="4" ht="65" customHeight="1">
      <x:c r="A4" s="2" t="str">
        <x:v>CO_AR</x:v>
      </x:c>
      <x:c r="B4" s="2" t="str">
        <x:v>Olam Agri Annual Report 2025</x:v>
      </x:c>
      <x:c r="C4" s="2" t="str">
        <x:v>https://www.olamagri.com/content/dam/olam-agri/assets/webp/au/ar/annual-report-pdf/2025/annual-report-2025.pdf</x:v>
      </x:c>
      <x:c r="D4" s="2" t="str">
        <x:v>Printed pp. 3, 10–11; CFO overview and performance charts</x:v>
      </x:c>
      <x:c r="E4" s="2" t="str">
        <x:v>2026-10-07</x:v>
      </x:c>
      <x:c r="F4" s="2" t="str">
        <x:v>USD Agri figures. Handled and sales tonnage have different definitions.</x:v>
      </x:c>
    </x:row>
    <x:row r="5" ht="65" customHeight="1">
      <x:c r="A5" s="2" t="str">
        <x:v>CO_FACT</x:v>
      </x:c>
      <x:c r="B5" s="2" t="str">
        <x:v>Olam Agri factsheet, June 2026</x:v>
      </x:c>
      <x:c r="C5" s="2" t="str">
        <x:v>https://www.olamagri.com/content/dam/olam-agri/assets/webp/au/au-pdfs/factsheet/olamagri-corporate-factsheet-2026.pdf</x:v>
      </x:c>
      <x:c r="D5" s="2" t="str">
        <x:v>pp. 1–2; footprint, products, ownership</x:v>
      </x:c>
      <x:c r="E5" s="2" t="str">
        <x:v>2026-10-07</x:v>
      </x:c>
      <x:c r="F5" s="2" t="str">
        <x:v>2025 operating facts; country locations do not prove assets or complete trade presence.</x:v>
      </x:c>
    </x:row>
    <x:row r="6" ht="65" customHeight="1">
      <x:c r="A6" s="2" t="str">
        <x:v>CO_OWN</x:v>
      </x:c>
      <x:c r="B6" s="2" t="str">
        <x:v>Olam Group reorganisation / Olam Agri</x:v>
      </x:c>
      <x:c r="C6" s="2" t="str">
        <x:v>https://www.olamgroup.com/investors/our-re-organisation.html</x:v>
      </x:c>
      <x:c r="D6" s="2" t="str">
        <x:v>Olam Agri section: 27 April 2026 sale and 30 June CFG share issuance</x:v>
      </x:c>
      <x:c r="E6" s="2" t="str">
        <x:v>2026-10-07</x:v>
      </x:c>
      <x:c r="F6" s="2" t="str">
        <x:v>About page lower text still says 81.11%; resolved to dated transaction 81.81%.</x:v>
      </x:c>
    </x:row>
    <x:row r="7" ht="65" customHeight="1">
      <x:c r="A7" s="2" t="str">
        <x:v>CO_ABOUT</x:v>
      </x:c>
      <x:c r="B7" s="2" t="str">
        <x:v>Olam Agri About Us</x:v>
      </x:c>
      <x:c r="C7" s="2" t="str">
        <x:v>https://www.olamagri.com/about-us</x:v>
      </x:c>
      <x:c r="D7" s="2" t="str">
        <x:v>At a glance, products and ownership blocks</x:v>
      </x:c>
      <x:c r="E7" s="2" t="str">
        <x:v>2026-10-07</x:v>
      </x:c>
      <x:c r="F7" s="2" t="str">
        <x:v>Conflicting lower ownership text retained as a source conflict.</x:v>
      </x:c>
    </x:row>
    <x:row r="8" ht="65" customHeight="1">
      <x:c r="A8" s="2" t="str">
        <x:v>OECD</x:v>
      </x:c>
      <x:c r="B8" s="2" t="str">
        <x:v>OECD–FAO Agricultural Outlook 2026–2035</x:v>
      </x:c>
      <x:c r="C8" s="2" t="str">
        <x:v>https://www.oecd.org/en/publications/oecd-fao-agricultural-outlook-2026-2035_47874669-en.html</x:v>
      </x:c>
      <x:c r="D8" s="2" t="str">
        <x:v>Publication 29 June 2026; executive summary, methodology; DOI 10.1787/47874669-en</x:v>
      </x:c>
      <x:c r="E8" s="2" t="str">
        <x:v>2026-10-07</x:v>
      </x:c>
      <x:c r="F8" s="2" t="str">
        <x:v>Official horizon ends 2035; no Olam capture forecast.</x:v>
      </x:c>
    </x:row>
    <x:row r="9" ht="65" customHeight="1">
      <x:c r="A9" s="2" t="str">
        <x:v>OECD_METHOD</x:v>
      </x:c>
      <x:c r="B9" s="2" t="str">
        <x:v>Aglink-Cosimo methodology</x:v>
      </x:c>
      <x:c r="C9" s="2" t="str">
        <x:v>https://www.oecd.org/en/publications/oecd-fao-agricultural-outlook-2026-2035_47874669-en/full-report/methodology_4c323de7.html</x:v>
      </x:c>
      <x:c r="D9" s="2" t="str">
        <x:v>Model overview and projection assumptions</x:v>
      </x:c>
      <x:c r="E9" s="2" t="str">
        <x:v>2026-10-07</x:v>
      </x:c>
      <x:c r="F9" s="2" t="str">
        <x:v>Recursive dynamic partial-equilibrium benchmark; not estimated here.</x:v>
      </x:c>
    </x:row>
    <x:row r="10" ht="65" customHeight="1">
      <x:c r="A10" s="2" t="str">
        <x:v>UN_M49</x:v>
      </x:c>
      <x:c r="B10" s="2" t="str">
        <x:v>UN Statistics Division M49</x:v>
      </x:c>
      <x:c r="C10" s="2" t="str">
        <x:v>https://unstats.un.org/unsd/methodology/m49/overview/</x:v>
      </x:c>
      <x:c r="D10" s="2" t="str">
        <x:v>Country/area codes and region/subregion table</x:v>
      </x:c>
      <x:c r="E10" s="2" t="str">
        <x:v>2026-10-07</x:v>
      </x:c>
      <x:c r="F10" s="2" t="str">
        <x:v>Membership independently cross-checked to UN library current-member and observer guides; territories separate. Region classification follows UN M49.</x:v>
      </x:c>
    </x:row>
    <x:row r="11" ht="65" customHeight="1">
      <x:c r="A11" s="2" t="str">
        <x:v>UN_MEMBERS</x:v>
      </x:c>
      <x:c r="B11" s="2" t="str">
        <x:v>UN Dag Hammarskjöld Library: current member states</x:v>
      </x:c>
      <x:c r="C11" s="2" t="str">
        <x:v>https://research.un.org/en/unmembers/currentmembers</x:v>
      </x:c>
      <x:c r="D11" s="2" t="str">
        <x:v>All 193 country sections, crosswalked to UN M49 ISO3</x:v>
      </x:c>
      <x:c r="E11" s="2" t="str">
        <x:v>2026-10-07</x:v>
      </x:c>
      <x:c r="F11" s="2" t="str">
        <x:v>All 193 names matched; four presentational aliases recorded in membership-verification.csv.</x:v>
      </x:c>
    </x:row>
    <x:row r="12" ht="65" customHeight="1">
      <x:c r="A12" s="2" t="str">
        <x:v>UN_OBSERVERS</x:v>
      </x:c>
      <x:c r="B12" s="2" t="str">
        <x:v>UN Dag Hammarskjöld Library: non-member observers</x:v>
      </x:c>
      <x:c r="C12" s="2" t="str">
        <x:v>https://research.un.org/en/unmembers/observers</x:v>
      </x:c>
      <x:c r="D12" s="2" t="str">
        <x:v>Holy See and State of Palestine sections</x:v>
      </x:c>
      <x:c r="E12" s="2" t="str">
        <x:v>2026-10-07</x:v>
      </x:c>
      <x:c r="F12" s="2" t="str">
        <x:v>VAT and PSE are the two observer states; territories remain separate.</x:v>
      </x:c>
    </x:row>
    <x:row r="13" ht="65" customHeight="1">
      <x:c r="A13" s="2" t="str">
        <x:v>UN_WPP</x:v>
      </x:c>
      <x:c r="B13" s="2" t="str">
        <x:v>UN World Population Prospects 2024</x:v>
      </x:c>
      <x:c r="C13" s="2" t="str">
        <x:v>https://population.un.org/wpp/assets/Excel%20Files/1_Indicator%20(Standard)/EXCEL_FILES/1_General/WPP2024_GEN_F01_DEMOGRAPHIC_INDICATORS_COMPACT.xlsx</x:v>
      </x:c>
      <x:c r="D13" s="2" t="str">
        <x:v>Medium variant sheet; country rows at 2026, 2030, 2035, 2040, 2045, 2050, 2051</x:v>
      </x:c>
      <x:c r="E13" s="2" t="str">
        <x:v>2026-10-07</x:v>
      </x:c>
      <x:c r="F13" s="2" t="str">
        <x:v>Population in thousands converted to persons. Medium variant is not a sales forecast.</x:v>
      </x:c>
    </x:row>
    <x:row r="14" ht="65" customHeight="1">
      <x:c r="A14" s="2" t="str">
        <x:v>WB_population</x:v>
      </x:c>
      <x:c r="B14" s="2" t="str">
        <x:v>World Bank WDI: SP.POP.TOTL</x:v>
      </x:c>
      <x:c r="C14" s="2" t="str">
        <x:v>https://api.worldbank.org/v2/country/all/indicator/SP.POP.TOTL?date=2000:2025&amp;format=json&amp;per_page=20000</x:v>
      </x:c>
      <x:c r="D14" s="2" t="str">
        <x:v>Source 2; series and country/year records, update 2026-07-13</x:v>
      </x:c>
      <x:c r="E14" s="2" t="str">
        <x:v>2026-10-07</x:v>
      </x:c>
      <x:c r="F14" s="2" t="str">
        <x:v>Latest available year differs by country/series. No missing value imputed.</x:v>
      </x:c>
    </x:row>
    <x:row r="15" ht="65" customHeight="1">
      <x:c r="A15" s="2" t="str">
        <x:v>WB_income_ppp</x:v>
      </x:c>
      <x:c r="B15" s="2" t="str">
        <x:v>World Bank WDI: NY.GDP.PCAP.PP.KD</x:v>
      </x:c>
      <x:c r="C15" s="2" t="str">
        <x:v>https://api.worldbank.org/v2/country/all/indicator/NY.GDP.PCAP.PP.KD?date=2000:2025&amp;format=json&amp;per_page=20000</x:v>
      </x:c>
      <x:c r="D15" s="2" t="str">
        <x:v>Source 2; series and country/year records, update 2026-07-13</x:v>
      </x:c>
      <x:c r="E15" s="2" t="str">
        <x:v>2026-10-07</x:v>
      </x:c>
      <x:c r="F15" s="2" t="str">
        <x:v>Latest available year differs by country/series. No missing value imputed.</x:v>
      </x:c>
    </x:row>
    <x:row r="16" ht="65" customHeight="1">
      <x:c r="A16" s="2" t="str">
        <x:v>WB_urban</x:v>
      </x:c>
      <x:c r="B16" s="2" t="str">
        <x:v>World Bank WDI: SP.URB.TOTL.IN.ZS</x:v>
      </x:c>
      <x:c r="C16" s="2" t="str">
        <x:v>https://api.worldbank.org/v2/country/all/indicator/SP.URB.TOTL.IN.ZS?date=2000:2025&amp;format=json&amp;per_page=20000</x:v>
      </x:c>
      <x:c r="D16" s="2" t="str">
        <x:v>Source 2; series and country/year records, update 2026-07-13</x:v>
      </x:c>
      <x:c r="E16" s="2" t="str">
        <x:v>2026-10-07</x:v>
      </x:c>
      <x:c r="F16" s="2" t="str">
        <x:v>Latest available year differs by country/series. No missing value imputed.</x:v>
      </x:c>
    </x:row>
    <x:row r="17" ht="65" customHeight="1">
      <x:c r="A17" s="2" t="str">
        <x:v>WB_inflation</x:v>
      </x:c>
      <x:c r="B17" s="2" t="str">
        <x:v>World Bank WDI: FP.CPI.TOTL.ZG</x:v>
      </x:c>
      <x:c r="C17" s="2" t="str">
        <x:v>https://api.worldbank.org/v2/country/all/indicator/FP.CPI.TOTL.ZG?date=2000:2025&amp;format=json&amp;per_page=20000</x:v>
      </x:c>
      <x:c r="D17" s="2" t="str">
        <x:v>Source 2; series and country/year records, update 2026-07-13</x:v>
      </x:c>
      <x:c r="E17" s="2" t="str">
        <x:v>2026-10-07</x:v>
      </x:c>
      <x:c r="F17" s="2" t="str">
        <x:v>Latest available year differs by country/series. No missing value imputed.</x:v>
      </x:c>
    </x:row>
    <x:row r="18" ht="65" customHeight="1">
      <x:c r="A18" s="2" t="str">
        <x:v>WB_food_index</x:v>
      </x:c>
      <x:c r="B18" s="2" t="str">
        <x:v>World Bank WDI: AG.PRD.FOOD.XD</x:v>
      </x:c>
      <x:c r="C18" s="2" t="str">
        <x:v>https://api.worldbank.org/v2/country/all/indicator/AG.PRD.FOOD.XD?date=2000:2025&amp;format=json&amp;per_page=20000</x:v>
      </x:c>
      <x:c r="D18" s="2" t="str">
        <x:v>Source 2; series and country/year records, update 2026-07-13</x:v>
      </x:c>
      <x:c r="E18" s="2" t="str">
        <x:v>2026-10-07</x:v>
      </x:c>
      <x:c r="F18" s="2" t="str">
        <x:v>Latest available year differs by country/series. No missing value imputed.</x:v>
      </x:c>
    </x:row>
    <x:row r="19" ht="65" customHeight="1">
      <x:c r="A19" s="2" t="str">
        <x:v>WB_food_import_share</x:v>
      </x:c>
      <x:c r="B19" s="2" t="str">
        <x:v>World Bank WDI: TM.VAL.FOOD.ZS.UN</x:v>
      </x:c>
      <x:c r="C19" s="2" t="str">
        <x:v>https://api.worldbank.org/v2/country/all/indicator/TM.VAL.FOOD.ZS.UN?date=2000:2025&amp;format=json&amp;per_page=20000</x:v>
      </x:c>
      <x:c r="D19" s="2" t="str">
        <x:v>Source 2; series and country/year records, update 2026-07-13</x:v>
      </x:c>
      <x:c r="E19" s="2" t="str">
        <x:v>2026-10-07</x:v>
      </x:c>
      <x:c r="F19" s="2" t="str">
        <x:v>Latest available year differs by country/series. No missing value imputed.</x:v>
      </x:c>
    </x:row>
    <x:row r="20" ht="65" customHeight="1">
      <x:c r="A20" s="2" t="str">
        <x:v>WB_food_export_share</x:v>
      </x:c>
      <x:c r="B20" s="2" t="str">
        <x:v>World Bank WDI: TX.VAL.FOOD.ZS.UN</x:v>
      </x:c>
      <x:c r="C20" s="2" t="str">
        <x:v>https://api.worldbank.org/v2/country/all/indicator/TX.VAL.FOOD.ZS.UN?date=2000:2025&amp;format=json&amp;per_page=20000</x:v>
      </x:c>
      <x:c r="D20" s="2" t="str">
        <x:v>Source 2; series and country/year records, update 2026-07-13</x:v>
      </x:c>
      <x:c r="E20" s="2" t="str">
        <x:v>2026-10-07</x:v>
      </x:c>
      <x:c r="F20" s="2" t="str">
        <x:v>Latest available year differs by country/series. No missing value imputed.</x:v>
      </x:c>
    </x:row>
    <x:row r="21" ht="65" customHeight="1">
      <x:c r="A21" s="2" t="str">
        <x:v>WB_imports_usd</x:v>
      </x:c>
      <x:c r="B21" s="2" t="str">
        <x:v>World Bank WDI: TM.VAL.MRCH.CD.WT</x:v>
      </x:c>
      <x:c r="C21" s="2" t="str">
        <x:v>https://api.worldbank.org/v2/country/all/indicator/TM.VAL.MRCH.CD.WT?date=2000:2025&amp;format=json&amp;per_page=20000</x:v>
      </x:c>
      <x:c r="D21" s="2" t="str">
        <x:v>Source 2; series and country/year records, update 2026-07-13</x:v>
      </x:c>
      <x:c r="E21" s="2" t="str">
        <x:v>2026-10-07</x:v>
      </x:c>
      <x:c r="F21" s="2" t="str">
        <x:v>Latest available year differs by country/series. No missing value imputed.</x:v>
      </x:c>
    </x:row>
    <x:row r="22" ht="65" customHeight="1">
      <x:c r="A22" s="2" t="str">
        <x:v>WB_exports_usd</x:v>
      </x:c>
      <x:c r="B22" s="2" t="str">
        <x:v>World Bank WDI: TX.VAL.MRCH.CD.WT</x:v>
      </x:c>
      <x:c r="C22" s="2" t="str">
        <x:v>https://api.worldbank.org/v2/country/all/indicator/TX.VAL.MRCH.CD.WT?date=2000:2025&amp;format=json&amp;per_page=20000</x:v>
      </x:c>
      <x:c r="D22" s="2" t="str">
        <x:v>Source 2; series and country/year records, update 2026-07-13</x:v>
      </x:c>
      <x:c r="E22" s="2" t="str">
        <x:v>2026-10-07</x:v>
      </x:c>
      <x:c r="F22" s="2" t="str">
        <x:v>Latest available year differs by country/series. No missing value imputed.</x:v>
      </x:c>
    </x:row>
    <x:row r="23" ht="65" customHeight="1">
      <x:c r="A23" s="2" t="str">
        <x:v>WB_cereal_yield</x:v>
      </x:c>
      <x:c r="B23" s="2" t="str">
        <x:v>World Bank WDI: AG.YLD.CREL.KG</x:v>
      </x:c>
      <x:c r="C23" s="2" t="str">
        <x:v>https://api.worldbank.org/v2/country/all/indicator/AG.YLD.CREL.KG?date=2000:2025&amp;format=json&amp;per_page=20000</x:v>
      </x:c>
      <x:c r="D23" s="2" t="str">
        <x:v>Source 2; series and country/year records, update 2026-07-13</x:v>
      </x:c>
      <x:c r="E23" s="2" t="str">
        <x:v>2026-10-07</x:v>
      </x:c>
      <x:c r="F23" s="2" t="str">
        <x:v>Latest available year differs by country/series. No missing value imputed.</x:v>
      </x:c>
    </x:row>
    <x:row r="24" ht="65" customHeight="1">
      <x:c r="A24" s="2" t="str">
        <x:v>WB_water_stress</x:v>
      </x:c>
      <x:c r="B24" s="2" t="str">
        <x:v>World Bank WDI: ER.H2O.FWST.ZS</x:v>
      </x:c>
      <x:c r="C24" s="2" t="str">
        <x:v>https://api.worldbank.org/v2/country/all/indicator/ER.H2O.FWST.ZS?date=2000:2025&amp;format=json&amp;per_page=20000</x:v>
      </x:c>
      <x:c r="D24" s="2" t="str">
        <x:v>Source 2; series and country/year records, update 2026-07-13</x:v>
      </x:c>
      <x:c r="E24" s="2" t="str">
        <x:v>2026-10-07</x:v>
      </x:c>
      <x:c r="F24" s="2" t="str">
        <x:v>Latest available year differs by country/series. No missing value imputed.</x:v>
      </x:c>
    </x:row>
    <x:row r="25" ht="65" customHeight="1">
      <x:c r="A25" s="2" t="str">
        <x:v>CO_NGA</x:v>
      </x:c>
      <x:c r="B25" s="2" t="str">
        <x:v>Olam Agri Nigeria</x:v>
      </x:c>
      <x:c r="C25" s="2" t="str">
        <x:v>https://www.olamagri.com/locations/nigeria</x:v>
      </x:c>
      <x:c r="D25" s="2" t="str">
        <x:v>Country capability/product sections</x:v>
      </x:c>
      <x:c r="E25" s="2" t="str">
        <x:v>2026-10-07</x:v>
      </x:c>
      <x:c r="F25" s="2" t="str">
        <x:v>Capability evidence does not disclose incremental project returns.</x:v>
      </x:c>
    </x:row>
    <x:row r="26" ht="65" customHeight="1">
      <x:c r="A26" s="2" t="str">
        <x:v>CO_GHA</x:v>
      </x:c>
      <x:c r="B26" s="2" t="str">
        <x:v>Olam Agri Ghana</x:v>
      </x:c>
      <x:c r="C26" s="2" t="str">
        <x:v>https://www.olamagri.com/locations/ghana</x:v>
      </x:c>
      <x:c r="D26" s="2" t="str">
        <x:v>Country capability/product sections</x:v>
      </x:c>
      <x:c r="E26" s="2" t="str">
        <x:v>2026-10-07</x:v>
      </x:c>
      <x:c r="F26" s="2" t="str">
        <x:v>Capability evidence does not disclose incremental project returns.</x:v>
      </x:c>
    </x:row>
    <x:row r="27" ht="65" customHeight="1">
      <x:c r="A27" s="2" t="str">
        <x:v>CO_SEN</x:v>
      </x:c>
      <x:c r="B27" s="2" t="str">
        <x:v>Olam Agri Senegal</x:v>
      </x:c>
      <x:c r="C27" s="2" t="str">
        <x:v>https://www.olamagri.com/locations/senegal</x:v>
      </x:c>
      <x:c r="D27" s="2" t="str">
        <x:v>Country capability/product sections</x:v>
      </x:c>
      <x:c r="E27" s="2" t="str">
        <x:v>2026-10-07</x:v>
      </x:c>
      <x:c r="F27" s="2" t="str">
        <x:v>Capability evidence does not disclose incremental project returns.</x:v>
      </x:c>
    </x:row>
    <x:row r="28" ht="65" customHeight="1">
      <x:c r="A28" s="2" t="str">
        <x:v>CO_CMR</x:v>
      </x:c>
      <x:c r="B28" s="2" t="str">
        <x:v>Olam Agri Cameroon</x:v>
      </x:c>
      <x:c r="C28" s="2" t="str">
        <x:v>https://www.olamagri.com/locations/cameroon</x:v>
      </x:c>
      <x:c r="D28" s="2" t="str">
        <x:v>Country capability/product sections</x:v>
      </x:c>
      <x:c r="E28" s="2" t="str">
        <x:v>2026-10-07</x:v>
      </x:c>
      <x:c r="F28" s="2" t="str">
        <x:v>Capability evidence does not disclose incremental project returns.</x:v>
      </x:c>
    </x:row>
    <x:row r="29" ht="65" customHeight="1">
      <x:c r="A29" s="2" t="str">
        <x:v>CO_MOZ</x:v>
      </x:c>
      <x:c r="B29" s="2" t="str">
        <x:v>Olam Agri Mozambique</x:v>
      </x:c>
      <x:c r="C29" s="2" t="str">
        <x:v>https://www.olamagri.com/locations/mozambique</x:v>
      </x:c>
      <x:c r="D29" s="2" t="str">
        <x:v>Country capability/product sections</x:v>
      </x:c>
      <x:c r="E29" s="2" t="str">
        <x:v>2026-10-07</x:v>
      </x:c>
      <x:c r="F29" s="2" t="str">
        <x:v>Capability evidence does not disclose incremental project returns.</x:v>
      </x:c>
    </x:row>
    <x:row r="30" ht="65" customHeight="1">
      <x:c r="A30" s="2" t="str">
        <x:v>CO_ZAF</x:v>
      </x:c>
      <x:c r="B30" s="2" t="str">
        <x:v>Olam Agri South-Africa</x:v>
      </x:c>
      <x:c r="C30" s="2" t="str">
        <x:v>https://www.olamagri.com/locations/south-africa</x:v>
      </x:c>
      <x:c r="D30" s="2" t="str">
        <x:v>Country capability/product sections</x:v>
      </x:c>
      <x:c r="E30" s="2" t="str">
        <x:v>2026-10-07</x:v>
      </x:c>
      <x:c r="F30" s="2" t="str">
        <x:v>Capability evidence does not disclose incremental project returns.</x:v>
      </x:c>
    </x:row>
    <x:row r="31" ht="65" customHeight="1">
      <x:c r="A31" s="2" t="str">
        <x:v>CO_IND</x:v>
      </x:c>
      <x:c r="B31" s="2" t="str">
        <x:v>Olam Agri India</x:v>
      </x:c>
      <x:c r="C31" s="2" t="str">
        <x:v>https://www.olamagri.com/locations/india</x:v>
      </x:c>
      <x:c r="D31" s="2" t="str">
        <x:v>Country capability/product sections</x:v>
      </x:c>
      <x:c r="E31" s="2" t="str">
        <x:v>2026-10-07</x:v>
      </x:c>
      <x:c r="F31" s="2" t="str">
        <x:v>Capability evidence does not disclose incremental project returns.</x:v>
      </x:c>
    </x:row>
    <x:row r="32" ht="65" customHeight="1">
      <x:c r="A32" s="2" t="str">
        <x:v>CO_VNM</x:v>
      </x:c>
      <x:c r="B32" s="2" t="str">
        <x:v>Olam Agri Vietnam</x:v>
      </x:c>
      <x:c r="C32" s="2" t="str">
        <x:v>https://www.olamagri.com/locations/vietnam</x:v>
      </x:c>
      <x:c r="D32" s="2" t="str">
        <x:v>Country capability/product sections</x:v>
      </x:c>
      <x:c r="E32" s="2" t="str">
        <x:v>2026-10-07</x:v>
      </x:c>
      <x:c r="F32" s="2" t="str">
        <x:v>Capability evidence does not disclose incremental project returns.</x:v>
      </x:c>
    </x:row>
    <x:row r="33" ht="65" customHeight="1">
      <x:c r="A33" s="2" t="str">
        <x:v>CO_BRA</x:v>
      </x:c>
      <x:c r="B33" s="2" t="str">
        <x:v>Olam Agri Brazil</x:v>
      </x:c>
      <x:c r="C33" s="2" t="str">
        <x:v>https://www.olamagri.com/locations/brazil</x:v>
      </x:c>
      <x:c r="D33" s="2" t="str">
        <x:v>Country capability/product sections</x:v>
      </x:c>
      <x:c r="E33" s="2" t="str">
        <x:v>2026-10-07</x:v>
      </x:c>
      <x:c r="F33" s="2" t="str">
        <x:v>Capability evidence does not disclose incremental project returns.</x:v>
      </x:c>
    </x:row>
    <x:row r="34" ht="65" customHeight="1">
      <x:c r="A34" s="2" t="str">
        <x:v>IPCC</x:v>
      </x:c>
      <x:c r="B34" s="2" t="str">
        <x:v>IPCC AR6 WGII Chapter 5: Food</x:v>
      </x:c>
      <x:c r="C34" s="2" t="str">
        <x:v>https://www.ipcc.ch/report/ar6/wg2/chapter/chapter-5/</x:v>
      </x:c>
      <x:c r="D34" s="2" t="str">
        <x:v>Chapter 5; food system risks, adaptation and regional limits</x:v>
      </x:c>
      <x:c r="E34" s="2" t="str">
        <x:v>2026-10-07</x:v>
      </x:c>
      <x:c r="F34" s="2" t="str">
        <x:v>No country/crop coefficient transplanted to Olam assets.</x:v>
      </x:c>
    </x:row>
    <x:row r="35" ht="65" customHeight="1">
      <x:c r="A35" s="2" t="str">
        <x:v>WMO</x:v>
      </x:c>
      <x:c r="B35" s="2" t="str">
        <x:v>WMO State of the Global Climate 2025</x:v>
      </x:c>
      <x:c r="C35" s="2" t="str">
        <x:v>https://wmo.int/publication-series/state-of-global-climate/state-of-global-climate-2025</x:v>
      </x:c>
      <x:c r="D35" s="2" t="str">
        <x:v>23 March 2026 release; global temperature and climate indicators</x:v>
      </x:c>
      <x:c r="E35" s="2" t="str">
        <x:v>2026-10-07</x:v>
      </x:c>
      <x:c r="F35" s="2" t="str">
        <x:v>Global annual anomaly is not local crop damage.</x:v>
      </x:c>
    </x:row>
    <x:row r="36" ht="65" customHeight="1">
      <x:c r="A36" s="2" t="str">
        <x:v>EUDR</x:v>
      </x:c>
      <x:c r="B36" s="2" t="str">
        <x:v>EU Regulation 2023/1115</x:v>
      </x:c>
      <x:c r="C36" s="2" t="str">
        <x:v>https://eur-lex.europa.eu/eli/reg/2023/1115/oj/eng</x:v>
      </x:c>
      <x:c r="D36" s="2" t="str">
        <x:v>Articles 3–4 and commodity/product annex</x:v>
      </x:c>
      <x:c r="E36" s="2" t="str">
        <x:v>2026-10-07</x:v>
      </x:c>
      <x:c r="F36" s="2" t="str">
        <x:v>Product, amendments, implementation dates and jurisdiction require current counsel review; no legal clearance.</x:v>
      </x:c>
    </x:row>
    <x:row r="37" ht="65" customHeight="1">
      <x:c r="A37" s="2" t="str">
        <x:v>USDA_NGA</x:v>
      </x:c>
      <x:c r="B37" s="2" t="str">
        <x:v>USDA Nigeria Grain and Feed Annual 2026</x:v>
      </x:c>
      <x:c r="C37" s="2" t="str">
        <x:v>https://apps.fas.usda.gov/newgainapi/api/Report/DownloadReportByFileName?fileName=Grain+and+Feed+Annual_Lagos_Nigeria_NI2026-0003.pdf</x:v>
      </x:c>
      <x:c r="D37" s="2" t="str">
        <x:v>Wheat supply/trade and flour-demand narrative</x:v>
      </x:c>
      <x:c r="E37" s="2" t="str">
        <x:v>2026-10-07</x:v>
      </x:c>
      <x:c r="F37" s="2" t="str">
        <x:v>Marketing-year trade estimates are not Olam orders.</x:v>
      </x:c>
    </x:row>
    <x:row r="38" ht="65" customHeight="1">
      <x:c r="A38" s="2" t="str">
        <x:v>USDA_OIL</x:v>
      </x:c>
      <x:c r="B38" s="2" t="str">
        <x:v>USDA Nigeria fiscal and trade policy changes 2026</x:v>
      </x:c>
      <x:c r="C38" s="2" t="str">
        <x:v>https://apps.fas.usda.gov/newgainapi/api/Report/DownloadReportByFileName?fileName=Nigeria+Announces+2026+Fiscal+and+Trade+Policy+Changes_Lagos_Nigeria_NI2026-0010.pdf</x:v>
      </x:c>
      <x:c r="D38" s="2" t="str">
        <x:v>Oilseeds/products and crude/refined policy discussion</x:v>
      </x:c>
      <x:c r="E38" s="2" t="str">
        <x:v>2026-10-07</x:v>
      </x:c>
      <x:c r="F38" s="2" t="str">
        <x:v>Verify current HS subheading and Nigeria Customs rules before contracting.</x:v>
      </x:c>
    </x:row>
    <x:row r="39" ht="65" customHeight="1">
      <x:c r="A39" s="2" t="str">
        <x:v>COMTRADE</x:v>
      </x:c>
      <x:c r="B39" s="2" t="str">
        <x:v>UN Comtrade Nigeria wheat import preview</x:v>
      </x:c>
      <x:c r="C39" s="2" t="str">
        <x:v>https://comtradeapi.un.org/public/v1/preview/C/A/HS?period=2024&amp;reporterCode=566&amp;cmdCode=1001&amp;flowCode=M&amp;partnerCode=0&amp;partner2Code=0&amp;customsCode=C00&amp;motCode=0&amp;maxRecords=500</x:v>
      </x:c>
      <x:c r="D39" s="2" t="str">
        <x:v>2024, reporter 566, HS 1001, flow M, partner 0</x:v>
      </x:c>
      <x:c r="E39" s="2" t="str">
        <x:v>2026-10-07</x:v>
      </x:c>
      <x:c r="F39" s="2" t="str">
        <x:v>CIF USD1.0475bn; net weight null, reported flag false. Never interpret quantity 0 with unit -1 as zero imports.</x:v>
      </x:c>
    </x:row>
    <x:row r="40" ht="65" customHeight="1">
      <x:c r="A40" s="2" t="str">
        <x:v>CVAR</x:v>
      </x:c>
      <x:c r="B40" s="2" t="str">
        <x:v>Rockafellar &amp; Uryasev: Optimization of CVaR</x:v>
      </x:c>
      <x:c r="C40" s="2" t="str">
        <x:v>https://sites.math.washington.edu/~rtr/papers/rtr179-CVaR1.pdf</x:v>
      </x:c>
      <x:c r="D40" s="2" t="str">
        <x:v>Loss definition and CVaR optimisation formulation</x:v>
      </x:c>
      <x:c r="E40" s="2" t="str">
        <x:v>2026-10-07</x:v>
      </x:c>
      <x:c r="F40" s="2" t="str">
        <x:v>Implemented loss-tail example and stress summaries, not proprietary theorem.</x:v>
      </x:c>
    </x:row>
    <x:row r="41" ht="65" customHeight="1">
      <x:c r="A41" s="2" t="str">
        <x:v>DID</x:v>
      </x:c>
      <x:c r="B41" s="2" t="str">
        <x:v>Callaway &amp; Sant’Anna: Difference-in-differences</x:v>
      </x:c>
      <x:c r="C41" s="2" t="str">
        <x:v>https://arxiv.org/abs/1803.09015</x:v>
      </x:c>
      <x:c r="D41" s="2" t="str">
        <x:v>arXiv 1803.09015; identification with multiple time periods</x:v>
      </x:c>
      <x:c r="E41" s="2" t="str">
        <x:v>2026-10-07</x:v>
      </x:c>
      <x:c r="F41" s="2" t="str">
        <x:v>No Olam treatment effect estimated; pilot design only.</x:v>
      </x:c>
    </x:row>
    <x:row r="42" ht="65" customHeight="1">
      <x:c r="A42" s="2" t="str">
        <x:v>NOBEL_2003</x:v>
      </x:c>
      <x:c r="B42" s="2" t="str">
        <x:v>Economic Sciences prize 2003</x:v>
      </x:c>
      <x:c r="C42" s="2" t="str">
        <x:v>https://www.nobelprize.org/prizes/economic-sciences/2003/summary/</x:v>
      </x:c>
      <x:c r="D42" s="2" t="str">
        <x:v>Prize motivation and research contribution</x:v>
      </x:c>
      <x:c r="E42" s="2" t="str">
        <x:v>2026-10-07</x:v>
      </x:c>
      <x:c r="F42" s="2" t="str">
        <x:v>Engle/Granger (time series), Romer/Nordhaus (growth/climate), Card/Angrist/Imbens (causality) guide module choice, not parameter imports.</x:v>
      </x:c>
    </x:row>
    <x:row r="43" ht="65" customHeight="1">
      <x:c r="A43" s="2" t="str">
        <x:v>NOBEL_2018</x:v>
      </x:c>
      <x:c r="B43" s="2" t="str">
        <x:v>Economic Sciences prize 2018</x:v>
      </x:c>
      <x:c r="C43" s="2" t="str">
        <x:v>https://www.nobelprize.org/prizes/economic-sciences/2018/summary/</x:v>
      </x:c>
      <x:c r="D43" s="2" t="str">
        <x:v>Prize motivation and research contribution</x:v>
      </x:c>
      <x:c r="E43" s="2" t="str">
        <x:v>2026-10-07</x:v>
      </x:c>
      <x:c r="F43" s="2" t="str">
        <x:v>Engle/Granger (time series), Romer/Nordhaus (growth/climate), Card/Angrist/Imbens (causality) guide module choice, not parameter imports.</x:v>
      </x:c>
    </x:row>
    <x:row r="44" ht="65" customHeight="1">
      <x:c r="A44" s="2" t="str">
        <x:v>NOBEL_2021</x:v>
      </x:c>
      <x:c r="B44" s="2" t="str">
        <x:v>Economic Sciences prize 2021</x:v>
      </x:c>
      <x:c r="C44" s="2" t="str">
        <x:v>https://www.nobelprize.org/prizes/economic-sciences/2021/summary/</x:v>
      </x:c>
      <x:c r="D44" s="2" t="str">
        <x:v>Prize motivation and research contribution</x:v>
      </x:c>
      <x:c r="E44" s="2" t="str">
        <x:v>2026-10-07</x:v>
      </x:c>
      <x:c r="F44" s="2" t="str">
        <x:v>Engle/Granger (time series), Romer/Nordhaus (growth/climate), Card/Angrist/Imbens (causality) guide module choice, not parameter imports.</x:v>
      </x:c>
    </x:row>
    <x:row r="45" ht="65" customHeight="1">
      <x:c r="A45" s="2" t="str">
        <x:v>BASELINE</x:v>
      </x:c>
      <x:c r="B45" s="2" t="str">
        <x:v>Portfolio baseline and résumé</x:v>
      </x:c>
      <x:c r="C45" s="2" t="str">
        <x:v>https://github.com/ManashProtimDeori/Manash-Protim-Deori/tree/13f7393a1c69350c3cfa89bea1baa49cf08d042c</x:v>
      </x:c>
      <x:c r="D45" s="2" t="str">
        <x:v>src/data/olamAfricaStrategy.ts; src/lib/olamNigeriaDecisionModel.ts; src/data/resume.ts</x:v>
      </x:c>
      <x:c r="E45" s="2" t="str">
        <x:v>2026-10-07</x:v>
      </x:c>
      <x:c r="F45" s="2" t="str">
        <x:v>Self-described candidate achievements are not audited Olam outcomes.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60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42" customHeight="1">
      <x:c r="A1" s="5" t="str">
        <x:v>Claims / v1.0.0</x:v>
      </x:c>
      <x:c r="B1" s="2"/>
      <x:c r="C1" s="2"/>
      <x:c r="D1" s="2"/>
      <x:c r="E1" s="2"/>
      <x:c r="F1" s="2"/>
      <x:c r="G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  <x:c r="F2" s="2"/>
      <x:c r="G2" s="2"/>
    </x:row>
    <x:row r="3" ht="55" customHeight="1">
      <x:c r="A3" s="4" t="str">
        <x:v>ID</x:v>
      </x:c>
      <x:c r="B3" s="4" t="str">
        <x:v>Slide</x:v>
      </x:c>
      <x:c r="C3" s="4" t="str">
        <x:v>Claim</x:v>
      </x:c>
      <x:c r="D3" s="4" t="str">
        <x:v>Class</x:v>
      </x:c>
      <x:c r="E3" s="4" t="str">
        <x:v>Sources</x:v>
      </x:c>
      <x:c r="F3" s="4" t="str">
        <x:v>Assumptions</x:v>
      </x:c>
      <x:c r="G3" s="4" t="str">
        <x:v>Calculation</x:v>
      </x:c>
    </x:row>
    <x:row r="4" ht="55" customHeight="1">
      <x:c r="A4" s="2" t="str">
        <x:v>CL-global-cover</x:v>
      </x:c>
      <x:c r="B4" s="2" t="n">
        <x:v>1</x:v>
      </x:c>
      <x:c r="C4" s="2" t="str">
        <x:v>Commit first to customer proof, route cash and adaptable capacity.</x:v>
      </x:c>
      <x:c r="D4" s="2" t="str">
        <x:v>Reported /derived with caveats</x:v>
      </x:c>
      <x:c r="E4" s="2" t="str">
        <x:v>CO_FACT;BASELINE</x:v>
      </x:c>
      <x:c r="F4" s="2" t="str"/>
      <x:c r="G4" s="2" t="str"/>
    </x:row>
    <x:row r="5" ht="55" customHeight="1">
      <x:c r="A5" s="2" t="str">
        <x:v>CL-decision</x:v>
      </x:c>
      <x:c r="B5" s="2" t="n">
        <x:v>2</x:v>
      </x:c>
      <x:c r="C5" s="2" t="str">
        <x:v>Authorize a scoped 90-day proof programme; defer an unconditional asset cheque.</x:v>
      </x:c>
      <x:c r="D5" s="2" t="str">
        <x:v>Conditional proposal /illustration</x:v>
      </x:c>
      <x:c r="E5" s="2" t="str"/>
      <x:c r="F5" s="2" t="str">
        <x:v>A_PILOT</x:v>
      </x:c>
      <x:c r="G5" s="2" t="str"/>
    </x:row>
    <x:row r="6" ht="55" customHeight="1">
      <x:c r="A6" s="2" t="str">
        <x:v>CL-change</x:v>
      </x:c>
      <x:c r="B6" s="2" t="n">
        <x:v>3</x:v>
      </x:c>
      <x:c r="C6" s="2" t="str">
        <x:v>The negative legacy case remains visible; additional detail cannot manufacture approval.</x:v>
      </x:c>
      <x:c r="D6" s="2" t="str">
        <x:v>Reported /derived with caveats</x:v>
      </x:c>
      <x:c r="E6" s="2" t="str">
        <x:v>BASELINE</x:v>
      </x:c>
      <x:c r="F6" s="2" t="str"/>
      <x:c r="G6" s="2" t="str">
        <x:v>C-LEGACY</x:v>
      </x:c>
    </x:row>
    <x:row r="7" ht="55" customHeight="1">
      <x:c r="A7" s="2" t="str">
        <x:v>CL-company</x:v>
      </x:c>
      <x:c r="B7" s="2" t="n">
        <x:v>4</x:v>
      </x:c>
      <x:c r="C7" s="2" t="str">
        <x:v>FY2025 Olam Agri: revenue +15.4%, sales volume +19.1%, EBIT −8.0%.</x:v>
      </x:c>
      <x:c r="D7" s="2" t="str">
        <x:v>Reported /derived with caveats</x:v>
      </x:c>
      <x:c r="E7" s="2" t="str">
        <x:v>CO_AR</x:v>
      </x:c>
      <x:c r="F7" s="2" t="str"/>
      <x:c r="G7" s="2" t="str">
        <x:v>C-E01</x:v>
      </x:c>
    </x:row>
    <x:row r="8" ht="55" customHeight="1">
      <x:c r="A8" s="2" t="str">
        <x:v>CL-system</x:v>
      </x:c>
      <x:c r="B8" s="2" t="n">
        <x:v>5</x:v>
      </x:c>
      <x:c r="C8" s="2" t="str">
        <x:v>Population creates context; sold tonnes require accessible demand, capture and delivery.</x:v>
      </x:c>
      <x:c r="D8" s="2" t="str">
        <x:v>Conditional proposal /illustration</x:v>
      </x:c>
      <x:c r="E8" s="2" t="str"/>
      <x:c r="F8" s="2" t="str">
        <x:v>A_TEMPLATE</x:v>
      </x:c>
      <x:c r="G8" s="2" t="str"/>
    </x:row>
    <x:row r="9" ht="55" customHeight="1">
      <x:c r="A9" s="2" t="str">
        <x:v>CL-horizon</x:v>
      </x:c>
      <x:c r="B9" s="2" t="n">
        <x:v>6</x:v>
      </x:c>
      <x:c r="C9" s="2" t="str">
        <x:v>Separate the official 2035 outlook from our conditional 2036–2051 extension.</x:v>
      </x:c>
      <x:c r="D9" s="2" t="str">
        <x:v>Conditional proposal /illustration</x:v>
      </x:c>
      <x:c r="E9" s="2" t="str">
        <x:v>OECD;UN_WPP</x:v>
      </x:c>
      <x:c r="F9" s="2" t="str">
        <x:v>A_OUTER;A_CAPEX</x:v>
      </x:c>
      <x:c r="G9" s="2" t="str"/>
    </x:row>
    <x:row r="10" ht="55" customHeight="1">
      <x:c r="A10" s="2" t="str">
        <x:v>CL-demography</x:v>
      </x:c>
      <x:c r="B10" s="2" t="n">
        <x:v>7</x:v>
      </x:c>
      <x:c r="C10" s="2" t="str">
        <x:v>UN medium population projections do not imply equal per-person purchases.</x:v>
      </x:c>
      <x:c r="D10" s="2" t="str">
        <x:v>Reported /derived with caveats</x:v>
      </x:c>
      <x:c r="E10" s="2" t="str">
        <x:v>UN_WPP;WB_income_ppp;WB_urban</x:v>
      </x:c>
      <x:c r="F10" s="2" t="str"/>
      <x:c r="G10" s="2" t="str">
        <x:v>C-POP-NGA;C-POP-IND;C-POP-CHN;C-POP-JPN</x:v>
      </x:c>
    </x:row>
    <x:row r="11" ht="55" customHeight="1">
      <x:c r="A11" s="2" t="str">
        <x:v>CL-diet</x:v>
      </x:c>
      <x:c r="B11" s="2" t="n">
        <x:v>8</x:v>
      </x:c>
      <x:c r="C11" s="2" t="str">
        <x:v>Health and convenience are hypotheses until customers sustain paid repeat.</x:v>
      </x:c>
      <x:c r="D11" s="2" t="str">
        <x:v>Conditional proposal /illustration</x:v>
      </x:c>
      <x:c r="E11" s="2" t="str"/>
      <x:c r="F11" s="2" t="str">
        <x:v>A_PILOT;A_EXAMPLE</x:v>
      </x:c>
      <x:c r="G11" s="2" t="str">
        <x:v>C-E05;C-E06</x:v>
      </x:c>
    </x:row>
    <x:row r="12" ht="55" customHeight="1">
      <x:c r="A12" s="2" t="str">
        <x:v>CL-climate</x:v>
      </x:c>
      <x:c r="B12" s="2" t="n">
        <x:v>9</x:v>
      </x:c>
      <x:c r="C12" s="2" t="str">
        <x:v>Map crop, basin, route and facility hazards before estimating damage or adaptation returns.</x:v>
      </x:c>
      <x:c r="D12" s="2" t="str">
        <x:v>Conditional proposal /illustration</x:v>
      </x:c>
      <x:c r="E12" s="2" t="str">
        <x:v>IPCC;WMO;WB_water_stress</x:v>
      </x:c>
      <x:c r="F12" s="2" t="str">
        <x:v>A_SCENARIO</x:v>
      </x:c>
      <x:c r="G12" s="2" t="str"/>
    </x:row>
    <x:row r="13" ht="55" customHeight="1">
      <x:c r="A13" s="2" t="str">
        <x:v>CL-trade</x:v>
      </x:c>
      <x:c r="B13" s="2" t="n">
        <x:v>10</x:v>
      </x:c>
      <x:c r="C13" s="2" t="str">
        <x:v>Routes require product-level permissions, quality, landed spreads and counterparties.</x:v>
      </x:c>
      <x:c r="D13" s="2" t="str">
        <x:v>Reported /derived with caveats</x:v>
      </x:c>
      <x:c r="E13" s="2" t="str">
        <x:v>COMTRADE;EUDR;USDA_NGA;USDA_OIL</x:v>
      </x:c>
      <x:c r="F13" s="2" t="str"/>
      <x:c r="G13" s="2" t="str">
        <x:v>C-TRADE-NGA</x:v>
      </x:c>
    </x:row>
    <x:row r="14" ht="55" customHeight="1">
      <x:c r="A14" s="2" t="str">
        <x:v>CL-products</x:v>
      </x:c>
      <x:c r="B14" s="2" t="n">
        <x:v>11</x:v>
      </x:c>
      <x:c r="C14" s="2" t="str">
        <x:v>June-2026 disclosed scope includes food, feed and non-food agricultural products.</x:v>
      </x:c>
      <x:c r="D14" s="2" t="str">
        <x:v>Reported /derived with caveats</x:v>
      </x:c>
      <x:c r="E14" s="2" t="str">
        <x:v>CO_FACT;CO_ABOUT</x:v>
      </x:c>
      <x:c r="F14" s="2" t="str"/>
      <x:c r="G14" s="2" t="str"/>
    </x:row>
    <x:row r="15" ht="55" customHeight="1">
      <x:c r="A15" s="2" t="str">
        <x:v>CL-coverage</x:v>
      </x:c>
      <x:c r="B15" s="2" t="n">
        <x:v>12</x:v>
      </x:c>
      <x:c r="C15" s="2" t="str">
        <x:v>162 countries have all 11 macro fields available at some date; this is not investment readiness.</x:v>
      </x:c>
      <x:c r="D15" s="2" t="str">
        <x:v>Reported /derived with caveats</x:v>
      </x:c>
      <x:c r="E15" s="2" t="str">
        <x:v>UN_M49;UN_WPP</x:v>
      </x:c>
      <x:c r="F15" s="2" t="str"/>
      <x:c r="G15" s="2" t="str">
        <x:v>C-COVERAGE</x:v>
      </x:c>
    </x:row>
    <x:row r="16" ht="55" customHeight="1">
      <x:c r="A16" s="2" t="str">
        <x:v>CL-priorities</x:v>
      </x:c>
      <x:c r="B16" s="2" t="n">
        <x:v>13</x:v>
      </x:c>
      <x:c r="C16" s="2" t="str">
        <x:v>These are evidence priorities, not a numerical attractiveness ranking.</x:v>
      </x:c>
      <x:c r="D16" s="2" t="str">
        <x:v>Conditional proposal /illustration</x:v>
      </x:c>
      <x:c r="E16" s="2" t="str">
        <x:v>CO_NGA;CO_GHA;CO_SEN;CO_CMR;CO_MOZ;CO_ZAF;CO_IND;CO_VNM;CO_BRA;CO_FACT</x:v>
      </x:c>
      <x:c r="F16" s="2" t="str">
        <x:v>A_TEMPLATE</x:v>
      </x:c>
      <x:c r="G16" s="2" t="str"/>
    </x:row>
    <x:row r="17" ht="55" customHeight="1">
      <x:c r="A17" s="2" t="str">
        <x:v>CL-central</x:v>
      </x:c>
      <x:c r="B17" s="2" t="n">
        <x:v>14</x:v>
      </x:c>
      <x:c r="C17" s="2" t="str">
        <x:v>Customer orders, capacity, stocks and taxes drive a finite real-USD example.</x:v>
      </x:c>
      <x:c r="D17" s="2" t="str">
        <x:v>Conditional proposal /illustration</x:v>
      </x:c>
      <x:c r="E17" s="2" t="str"/>
      <x:c r="F17" s="2" t="str">
        <x:v>A_TEMPLATE;A_RATE;A_TAX;A_OUTER;A_CAPEX</x:v>
      </x:c>
      <x:c r="G17" s="2" t="str">
        <x:v>C-DCF-plant-managed</x:v>
      </x:c>
    </x:row>
    <x:row r="18" ht="55" customHeight="1">
      <x:c r="A18" s="2" t="str">
        <x:v>CL-worlds</x:v>
      </x:c>
      <x:c r="B18" s="2" t="n">
        <x:v>15</x:v>
      </x:c>
      <x:c r="C18" s="2" t="str">
        <x:v>No calibrated probability is assigned to any complete 25-year path.</x:v>
      </x:c>
      <x:c r="D18" s="2" t="str">
        <x:v>Conditional proposal /illustration</x:v>
      </x:c>
      <x:c r="E18" s="2" t="str"/>
      <x:c r="F18" s="2" t="str">
        <x:v>A_SCENARIO;A_RATE</x:v>
      </x:c>
      <x:c r="G18" s="2" t="str">
        <x:v>C-SCENARIOS</x:v>
      </x:c>
    </x:row>
    <x:row r="19" ht="55" customHeight="1">
      <x:c r="A19" s="2" t="str">
        <x:v>CL-resilience</x:v>
      </x:c>
      <x:c r="B19" s="2" t="n">
        <x:v>16</x:v>
      </x:c>
      <x:c r="C19" s="2" t="str">
        <x:v>The financial model deliberately continues fixed commitments to expose failure.</x:v>
      </x:c>
      <x:c r="D19" s="2" t="str">
        <x:v>Conditional proposal /illustration</x:v>
      </x:c>
      <x:c r="E19" s="2" t="str"/>
      <x:c r="F19" s="2" t="str">
        <x:v>A_TEMPLATE;A_SCENARIO;A_RATE;A_CAPEX</x:v>
      </x:c>
      <x:c r="G19" s="2" t="str">
        <x:v>C-DCF</x:v>
      </x:c>
    </x:row>
    <x:row r="20" ht="55" customHeight="1">
      <x:c r="A20" s="2" t="str">
        <x:v>CL-timing</x:v>
      </x:c>
      <x:c r="B20" s="2" t="n">
        <x:v>17</x:v>
      </x:c>
      <x:c r="C20" s="2" t="str">
        <x:v>Test order thresholds and liquidity limits before expanding physical commitments.</x:v>
      </x:c>
      <x:c r="D20" s="2" t="str">
        <x:v>Conditional proposal /illustration</x:v>
      </x:c>
      <x:c r="E20" s="2" t="str"/>
      <x:c r="F20" s="2" t="str">
        <x:v>A_TEMPLATE;A_RATE</x:v>
      </x:c>
      <x:c r="G20" s="2" t="str">
        <x:v>C-THRESHOLD</x:v>
      </x:c>
    </x:row>
    <x:row r="21" ht="55" customHeight="1">
      <x:c r="A21" s="2" t="str">
        <x:v>CL-corridor</x:v>
      </x:c>
      <x:c r="B21" s="2" t="n">
        <x:v>18</x:v>
      </x:c>
      <x:c r="C21" s="2" t="str">
        <x:v>Company financing disclosure supports a corridor, not its incremental returns.</x:v>
      </x:c>
      <x:c r="D21" s="2" t="str">
        <x:v>Conditional proposal /illustration</x:v>
      </x:c>
      <x:c r="E21" s="2" t="str">
        <x:v>CO_AR;CO_IND;CO_VNM</x:v>
      </x:c>
      <x:c r="F21" s="2" t="str">
        <x:v>A_PILOT</x:v>
      </x:c>
      <x:c r="G21" s="2" t="str"/>
    </x:row>
    <x:row r="22" ht="55" customHeight="1">
      <x:c r="A22" s="2" t="str">
        <x:v>CL-contrast</x:v>
      </x:c>
      <x:c r="B22" s="2" t="n">
        <x:v>19</x:v>
      </x:c>
      <x:c r="C22" s="2" t="str">
        <x:v>SALIC control offers strategic alignment; it does not create guaranteed sales.</x:v>
      </x:c>
      <x:c r="D22" s="2" t="str">
        <x:v>Reported /derived with caveats</x:v>
      </x:c>
      <x:c r="E22" s="2" t="str">
        <x:v>CO_FACT;CO_OWN;CO_ABOUT;CO_BRA</x:v>
      </x:c>
      <x:c r="F22" s="2" t="str"/>
      <x:c r="G22" s="2" t="str"/>
    </x:row>
    <x:row r="23" ht="55" customHeight="1">
      <x:c r="A23" s="2" t="str">
        <x:v>CL-nigeria</x:v>
      </x:c>
      <x:c r="B23" s="2" t="n">
        <x:v>20</x:v>
      </x:c>
      <x:c r="C23" s="2" t="str">
        <x:v>NGN0.47bn annual uplift does not fund NGN4.2bn initial capital at the chosen hurdle.</x:v>
      </x:c>
      <x:c r="D23" s="2" t="str">
        <x:v>Conditional proposal /illustration</x:v>
      </x:c>
      <x:c r="E23" s="2" t="str">
        <x:v>BASELINE;CO_NGA;USDA_OIL</x:v>
      </x:c>
      <x:c r="F23" s="2" t="str">
        <x:v>A_LEGACY</x:v>
      </x:c>
      <x:c r="G23" s="2" t="str">
        <x:v>C-LEGACY;C-E10</x:v>
      </x:c>
    </x:row>
    <x:row r="24" ht="55" customHeight="1">
      <x:c r="A24" s="2" t="str">
        <x:v>CL-customer</x:v>
      </x:c>
      <x:c r="B24" s="2" t="n">
        <x:v>21</x:v>
      </x:c>
      <x:c r="C24" s="2" t="str">
        <x:v>A lower cost per usable output can justify price only if cash and trust permit adoption.</x:v>
      </x:c>
      <x:c r="D24" s="2" t="str">
        <x:v>Conditional proposal /illustration</x:v>
      </x:c>
      <x:c r="E24" s="2" t="str"/>
      <x:c r="F24" s="2" t="str">
        <x:v>A_EXAMPLE;A_PILOT</x:v>
      </x:c>
      <x:c r="G24" s="2" t="str">
        <x:v>C-E05</x:v>
      </x:c>
    </x:row>
    <x:row r="25" ht="55" customHeight="1">
      <x:c r="A25" s="2" t="str">
        <x:v>CL-commercial</x:v>
      </x:c>
      <x:c r="B25" s="2" t="n">
        <x:v>22</x:v>
      </x:c>
      <x:c r="C25" s="2" t="str">
        <x:v>Test price, usable yield, availability and channel economics as separate mechanisms.</x:v>
      </x:c>
      <x:c r="D25" s="2" t="str">
        <x:v>Conditional proposal /illustration</x:v>
      </x:c>
      <x:c r="E25" s="2" t="str"/>
      <x:c r="F25" s="2" t="str">
        <x:v>A_PILOT;A_EXAMPLE</x:v>
      </x:c>
      <x:c r="G25" s="2" t="str">
        <x:v>C-E06;C-E11</x:v>
      </x:c>
    </x:row>
    <x:row r="26" ht="55" customHeight="1">
      <x:c r="A26" s="2" t="str">
        <x:v>CL-capacity</x:v>
      </x:c>
      <x:c r="B26" s="2" t="n">
        <x:v>23</x:v>
      </x:c>
      <x:c r="C26" s="2" t="str">
        <x:v>The lowest physical or commercial constraint determines revenue.</x:v>
      </x:c>
      <x:c r="D26" s="2" t="str">
        <x:v>Conditional proposal /illustration</x:v>
      </x:c>
      <x:c r="E26" s="2" t="str"/>
      <x:c r="F26" s="2" t="str">
        <x:v>A_EXAMPLE</x:v>
      </x:c>
      <x:c r="G26" s="2" t="str">
        <x:v>C-E02</x:v>
      </x:c>
    </x:row>
    <x:row r="27" ht="55" customHeight="1">
      <x:c r="A27" s="2" t="str">
        <x:v>CL-cash</x:v>
      </x:c>
      <x:c r="B27" s="2" t="n">
        <x:v>24</x:v>
      </x:c>
      <x:c r="C27" s="2" t="str">
        <x:v>Inventory and purchases use cost; receivables use credit sales.</x:v>
      </x:c>
      <x:c r="D27" s="2" t="str">
        <x:v>Conditional proposal /illustration</x:v>
      </x:c>
      <x:c r="E27" s="2" t="str"/>
      <x:c r="F27" s="2" t="str">
        <x:v>A_EXAMPLE;A_NWC</x:v>
      </x:c>
      <x:c r="G27" s="2" t="str">
        <x:v>C-E09</x:v>
      </x:c>
    </x:row>
    <x:row r="28" ht="55" customHeight="1">
      <x:c r="A28" s="2" t="str">
        <x:v>CL-finance</x:v>
      </x:c>
      <x:c r="B28" s="2" t="n">
        <x:v>25</x:v>
      </x:c>
      <x:c r="C28" s="2" t="str">
        <x:v>Managed owned-processing template: NPV −USD1.80m; peak annual funding USD22.56m.</x:v>
      </x:c>
      <x:c r="D28" s="2" t="str">
        <x:v>Conditional proposal /illustration</x:v>
      </x:c>
      <x:c r="E28" s="2" t="str"/>
      <x:c r="F28" s="2" t="str">
        <x:v>A_TEMPLATE;A_TAX;A_RATE;A_CAPEX;A_NWC</x:v>
      </x:c>
      <x:c r="G28" s="2" t="str">
        <x:v>C-DCF-plant-managed</x:v>
      </x:c>
    </x:row>
    <x:row r="29" ht="55" customHeight="1">
      <x:c r="A29" s="2" t="str">
        <x:v>CL-downside</x:v>
      </x:c>
      <x:c r="B29" s="2" t="n">
        <x:v>26</x:v>
      </x:c>
      <x:c r="C29" s="2" t="str">
        <x:v>Chosen stress distribution illustrates failure; it does not estimate the probability of loss.</x:v>
      </x:c>
      <x:c r="D29" s="2" t="str">
        <x:v>Conditional proposal /illustration</x:v>
      </x:c>
      <x:c r="E29" s="2" t="str"/>
      <x:c r="F29" s="2" t="str">
        <x:v>A_STRESS;A_TEMPLATE</x:v>
      </x:c>
      <x:c r="G29" s="2" t="str">
        <x:v>C-STRESS;C-THRESHOLD</x:v>
      </x:c>
    </x:row>
    <x:row r="30" ht="55" customHeight="1">
      <x:c r="A30" s="2" t="str">
        <x:v>CL-portfolio</x:v>
      </x:c>
      <x:c r="B30" s="2" t="n">
        <x:v>27</x:v>
      </x:c>
      <x:c r="C30" s="2" t="str">
        <x:v>Allocate only among legally feasible, funded and physically deliverable choices.</x:v>
      </x:c>
      <x:c r="D30" s="2" t="str">
        <x:v>Conditional proposal /illustration</x:v>
      </x:c>
      <x:c r="E30" s="2" t="str"/>
      <x:c r="F30" s="2" t="str">
        <x:v>A_PRIOR;A_STRESS</x:v>
      </x:c>
      <x:c r="G30" s="2" t="str">
        <x:v>C-E17;C-REGRET</x:v>
      </x:c>
    </x:row>
    <x:row r="31" ht="55" customHeight="1">
      <x:c r="A31" s="2" t="str">
        <x:v>CL-adaptive</x:v>
      </x:c>
      <x:c r="B31" s="2" t="n">
        <x:v>28</x:v>
      </x:c>
      <x:c r="C31" s="2" t="str">
        <x:v>The proposed model combines established methods into an executable decision workflow.</x:v>
      </x:c>
      <x:c r="D31" s="2" t="str">
        <x:v>Conditional proposal /illustration</x:v>
      </x:c>
      <x:c r="E31" s="2" t="str"/>
      <x:c r="F31" s="2" t="str">
        <x:v>A_PRIOR</x:v>
      </x:c>
      <x:c r="G31" s="2" t="str">
        <x:v>C-REGRET;C-E20</x:v>
      </x:c>
    </x:row>
    <x:row r="32" ht="55" customHeight="1">
      <x:c r="A32" s="2" t="str">
        <x:v>CL-counterexample</x:v>
      </x:c>
      <x:c r="B32" s="2" t="n">
        <x:v>29</x:v>
      </x:c>
      <x:c r="C32" s="2" t="str">
        <x:v>A transparent teaching case changes the decision under the same USD20m maximum envelope.</x:v>
      </x:c>
      <x:c r="D32" s="2" t="str">
        <x:v>Conditional proposal /illustration</x:v>
      </x:c>
      <x:c r="E32" s="2" t="str"/>
      <x:c r="F32" s="2" t="str">
        <x:v>A_PRIOR;A_EXAMPLE</x:v>
      </x:c>
      <x:c r="G32" s="2" t="str">
        <x:v>C-REGRET</x:v>
      </x:c>
    </x:row>
    <x:row r="33" ht="55" customHeight="1">
      <x:c r="A33" s="2" t="str">
        <x:v>CL-validation</x:v>
      </x:c>
      <x:c r="B33" s="2" t="n">
        <x:v>30</x:v>
      </x:c>
      <x:c r="C33" s="2" t="str">
        <x:v>A small error gain does not turn aggregate food production into product demand.</x:v>
      </x:c>
      <x:c r="D33" s="2" t="str">
        <x:v>Reported /derived with caveats</x:v>
      </x:c>
      <x:c r="E33" s="2" t="str">
        <x:v>WB_food_index;WB_income_ppp;WB_urban;WB_cereal_yield</x:v>
      </x:c>
      <x:c r="F33" s="2" t="str"/>
      <x:c r="G33" s="2" t="str">
        <x:v>C-OLS</x:v>
      </x:c>
    </x:row>
    <x:row r="34" ht="55" customHeight="1">
      <x:c r="A34" s="2" t="str">
        <x:v>CL-causal</x:v>
      </x:c>
      <x:c r="B34" s="2" t="n">
        <x:v>31</x:v>
      </x:c>
      <x:c r="C34" s="2" t="str">
        <x:v>Use randomised route clusters when feasible; otherwise defend the counterfactual.</x:v>
      </x:c>
      <x:c r="D34" s="2" t="str">
        <x:v>Conditional proposal /illustration</x:v>
      </x:c>
      <x:c r="E34" s="2" t="str">
        <x:v>DID;NOBEL_2021</x:v>
      </x:c>
      <x:c r="F34" s="2" t="str">
        <x:v>A_PILOT</x:v>
      </x:c>
      <x:c r="G34" s="2" t="str">
        <x:v>C-E18;C-E19</x:v>
      </x:c>
    </x:row>
    <x:row r="35" ht="55" customHeight="1">
      <x:c r="A35" s="2" t="str">
        <x:v>CL-roadmap</x:v>
      </x:c>
      <x:c r="B35" s="2" t="n">
        <x:v>32</x:v>
      </x:c>
      <x:c r="C35" s="2" t="str">
        <x:v>Milestones through 2051 are review windows, not promises of expansion.</x:v>
      </x:c>
      <x:c r="D35" s="2" t="str">
        <x:v>Conditional proposal /illustration</x:v>
      </x:c>
      <x:c r="E35" s="2" t="str">
        <x:v>OECD;UN_WPP</x:v>
      </x:c>
      <x:c r="F35" s="2" t="str">
        <x:v>A_OUTER</x:v>
      </x:c>
      <x:c r="G35" s="2" t="str"/>
    </x:row>
    <x:row r="36" ht="55" customHeight="1">
      <x:c r="A36" s="2" t="str">
        <x:v>CL-gates</x:v>
      </x:c>
      <x:c r="B36" s="2" t="n">
        <x:v>33</x:v>
      </x:c>
      <x:c r="C36" s="2" t="str">
        <x:v>Legal and liquidity failures override an attractive demand story.</x:v>
      </x:c>
      <x:c r="D36" s="2" t="str">
        <x:v>Conditional proposal /illustration</x:v>
      </x:c>
      <x:c r="E36" s="2" t="str"/>
      <x:c r="F36" s="2" t="str">
        <x:v>A_PILOT</x:v>
      </x:c>
      <x:c r="G36" s="2" t="str"/>
    </x:row>
    <x:row r="37" ht="55" customHeight="1">
      <x:c r="A37" s="2" t="str">
        <x:v>CL-contribution</x:v>
      </x:c>
      <x:c r="B37" s="2" t="n">
        <x:v>34</x:v>
      </x:c>
      <x:c r="C37" s="2" t="str">
        <x:v>My offer is an operating measurement system with Finance-controlled economics.</x:v>
      </x:c>
      <x:c r="D37" s="2" t="str">
        <x:v>Reported /derived with caveats</x:v>
      </x:c>
      <x:c r="E37" s="2" t="str">
        <x:v>BASELINE</x:v>
      </x:c>
      <x:c r="F37" s="2" t="str"/>
      <x:c r="G37" s="2" t="str">
        <x:v>C-CPM</x:v>
      </x:c>
    </x:row>
    <x:row r="38" ht="55" customHeight="1">
      <x:c r="A38" s="2" t="str">
        <x:v>CL-pilot</x:v>
      </x:c>
      <x:c r="B38" s="2" t="n">
        <x:v>35</x:v>
      </x:c>
      <x:c r="C38" s="2" t="str">
        <x:v>Cost and size the pilot only after inspecting baseline variance and available routes.</x:v>
      </x:c>
      <x:c r="D38" s="2" t="str">
        <x:v>Conditional proposal /illustration</x:v>
      </x:c>
      <x:c r="E38" s="2" t="str"/>
      <x:c r="F38" s="2" t="str">
        <x:v>A_PILOT</x:v>
      </x:c>
      <x:c r="G38" s="2" t="str"/>
    </x:row>
    <x:row r="39" ht="55" customHeight="1">
      <x:c r="A39" s="2" t="str">
        <x:v>CL-final-ask</x:v>
      </x:c>
      <x:c r="B39" s="2" t="n">
        <x:v>36</x:v>
      </x:c>
      <x:c r="C39" s="2" t="str">
        <x:v>No country asset approval is supported by the present public-data package.</x:v>
      </x:c>
      <x:c r="D39" s="2" t="str">
        <x:v>Conditional proposal /illustration</x:v>
      </x:c>
      <x:c r="E39" s="2" t="str"/>
      <x:c r="F39" s="2" t="str">
        <x:v>A_PILOT</x:v>
      </x:c>
      <x:c r="G39" s="2" t="str"/>
    </x:row>
    <x:row r="40" ht="55" customHeight="1">
      <x:c r="A40" s="2" t="str">
        <x:v>CL-thank-you</x:v>
      </x:c>
      <x:c r="B40" s="2" t="n">
        <x:v>37</x:v>
      </x:c>
      <x:c r="C40" s="2" t="str">
        <x:v>Questions about the assumptions are the next evidence commitment.</x:v>
      </x:c>
      <x:c r="D40" s="2" t="str">
        <x:v>Conditional proposal /illustration</x:v>
      </x:c>
      <x:c r="E40" s="2" t="str"/>
      <x:c r="F40" s="2" t="str"/>
      <x:c r="G40" s="2" t="str"/>
    </x:row>
    <x:row r="41" ht="55" customHeight="1">
      <x:c r="A41" s="2" t="str">
        <x:v>CL-appendix-guide</x:v>
      </x:c>
      <x:c r="B41" s="2" t="n">
        <x:v>38</x:v>
      </x:c>
      <x:c r="C41" s="2" t="str">
        <x:v>Source IDs, assumption IDs and calculation IDs travel with every decision.</x:v>
      </x:c>
      <x:c r="D41" s="2" t="str">
        <x:v>Conditional proposal /illustration</x:v>
      </x:c>
      <x:c r="E41" s="2" t="str"/>
      <x:c r="F41" s="2" t="str"/>
      <x:c r="G41" s="2" t="str"/>
    </x:row>
    <x:row r="42" ht="55" customHeight="1">
      <x:c r="A42" s="2" t="str">
        <x:v>CL-example-01</x:v>
      </x:c>
      <x:c r="B42" s="2" t="n">
        <x:v>39</x:v>
      </x:c>
      <x:c r="C42" s="2" t="str">
        <x:v>2.45% derived EBIT margin</x:v>
      </x:c>
      <x:c r="D42" s="2" t="str">
        <x:v>Reported /derived with caveats</x:v>
      </x:c>
      <x:c r="E42" s="2" t="str">
        <x:v>CO_AR</x:v>
      </x:c>
      <x:c r="F42" s="2" t="str"/>
      <x:c r="G42" s="2" t="str">
        <x:v>C-E01</x:v>
      </x:c>
    </x:row>
    <x:row r="43" ht="55" customHeight="1">
      <x:c r="A43" s="2" t="str">
        <x:v>CL-example-02</x:v>
      </x:c>
      <x:c r="B43" s="2" t="n">
        <x:v>40</x:v>
      </x:c>
      <x:c r="C43" s="2" t="str">
        <x:v>7,000 delivered tonnes</x:v>
      </x:c>
      <x:c r="D43" s="2" t="str">
        <x:v>Conditional proposal /illustration</x:v>
      </x:c>
      <x:c r="E43" s="2" t="str"/>
      <x:c r="F43" s="2" t="str">
        <x:v>A_EXAMPLE</x:v>
      </x:c>
      <x:c r="G43" s="2" t="str">
        <x:v>C-E02</x:v>
      </x:c>
    </x:row>
    <x:row r="44" ht="55" customHeight="1">
      <x:c r="A44" s="2" t="str">
        <x:v>CL-example-03</x:v>
      </x:c>
      <x:c r="B44" s="2" t="n">
        <x:v>41</x:v>
      </x:c>
      <x:c r="C44" s="2" t="str">
        <x:v>USD4m EBITDA</x:v>
      </x:c>
      <x:c r="D44" s="2" t="str">
        <x:v>Conditional proposal /illustration</x:v>
      </x:c>
      <x:c r="E44" s="2" t="str"/>
      <x:c r="F44" s="2" t="str">
        <x:v>A_EXAMPLE</x:v>
      </x:c>
      <x:c r="G44" s="2" t="str">
        <x:v>C-E03</x:v>
      </x:c>
    </x:row>
    <x:row r="45" ht="55" customHeight="1">
      <x:c r="A45" s="2" t="str">
        <x:v>CL-example-04</x:v>
      </x:c>
      <x:c r="B45" s="2" t="n">
        <x:v>42</x:v>
      </x:c>
      <x:c r="C45" s="2" t="str">
        <x:v>111,111 tonnes of input</x:v>
      </x:c>
      <x:c r="D45" s="2" t="str">
        <x:v>Conditional proposal /illustration</x:v>
      </x:c>
      <x:c r="E45" s="2" t="str"/>
      <x:c r="F45" s="2" t="str">
        <x:v>A_EXAMPLE</x:v>
      </x:c>
      <x:c r="G45" s="2" t="str">
        <x:v>C-E04</x:v>
      </x:c>
    </x:row>
    <x:row r="46" ht="55" customHeight="1">
      <x:c r="A46" s="2" t="str">
        <x:v>CL-example-05</x:v>
      </x:c>
      <x:c r="B46" s="2" t="n">
        <x:v>43</x:v>
      </x:c>
      <x:c r="C46" s="2" t="str">
        <x:v>B costs 3.57% less per usable kg</x:v>
      </x:c>
      <x:c r="D46" s="2" t="str">
        <x:v>Conditional proposal /illustration</x:v>
      </x:c>
      <x:c r="E46" s="2" t="str"/>
      <x:c r="F46" s="2" t="str">
        <x:v>A_EXAMPLE</x:v>
      </x:c>
      <x:c r="G46" s="2" t="str">
        <x:v>C-E05</x:v>
      </x:c>
    </x:row>
    <x:row r="47" ht="55" customHeight="1">
      <x:c r="A47" s="2" t="str">
        <x:v>CL-example-06</x:v>
      </x:c>
      <x:c r="B47" s="2" t="n">
        <x:v>44</x:v>
      </x:c>
      <x:c r="C47" s="2" t="str">
        <x:v>Small cash ticket ₦600; large pack 14.29% cheaper per meal</x:v>
      </x:c>
      <x:c r="D47" s="2" t="str">
        <x:v>Conditional proposal /illustration</x:v>
      </x:c>
      <x:c r="E47" s="2" t="str"/>
      <x:c r="F47" s="2" t="str">
        <x:v>A_EXAMPLE</x:v>
      </x:c>
      <x:c r="G47" s="2" t="str">
        <x:v>C-E06</x:v>
      </x:c>
    </x:row>
    <x:row r="48" ht="55" customHeight="1">
      <x:c r="A48" s="2" t="str">
        <x:v>CL-example-07</x:v>
      </x:c>
      <x:c r="B48" s="2" t="n">
        <x:v>45</x:v>
      </x:c>
      <x:c r="C48" s="2" t="str">
        <x:v>2 percentage points; 25% relative increase</x:v>
      </x:c>
      <x:c r="D48" s="2" t="str">
        <x:v>Conditional proposal /illustration</x:v>
      </x:c>
      <x:c r="E48" s="2" t="str"/>
      <x:c r="F48" s="2" t="str">
        <x:v>A_EXAMPLE</x:v>
      </x:c>
      <x:c r="G48" s="2" t="str">
        <x:v>C-E07</x:v>
      </x:c>
    </x:row>
    <x:row r="49" ht="55" customHeight="1">
      <x:c r="A49" s="2" t="str">
        <x:v>CL-example-08</x:v>
      </x:c>
      <x:c r="B49" s="2" t="n">
        <x:v>46</x:v>
      </x:c>
      <x:c r="C49" s="2" t="str">
        <x:v>USD1.25m free cash flow</x:v>
      </x:c>
      <x:c r="D49" s="2" t="str">
        <x:v>Conditional proposal /illustration</x:v>
      </x:c>
      <x:c r="E49" s="2" t="str"/>
      <x:c r="F49" s="2" t="str">
        <x:v>A_EXAMPLE</x:v>
      </x:c>
      <x:c r="G49" s="2" t="str">
        <x:v>C-E08</x:v>
      </x:c>
    </x:row>
    <x:row r="50" ht="55" customHeight="1">
      <x:c r="A50" s="2" t="str">
        <x:v>CL-example-09</x:v>
      </x:c>
      <x:c r="B50" s="2" t="n">
        <x:v>47</x:v>
      </x:c>
      <x:c r="C50" s="2" t="str">
        <x:v>USD1.20m once-only cash release</x:v>
      </x:c>
      <x:c r="D50" s="2" t="str">
        <x:v>Conditional proposal /illustration</x:v>
      </x:c>
      <x:c r="E50" s="2" t="str"/>
      <x:c r="F50" s="2" t="str">
        <x:v>A_EXAMPLE</x:v>
      </x:c>
      <x:c r="G50" s="2" t="str">
        <x:v>C-E09</x:v>
      </x:c>
    </x:row>
    <x:row r="51" ht="55" customHeight="1">
      <x:c r="A51" s="2" t="str">
        <x:v>CL-example-10</x:v>
      </x:c>
      <x:c r="B51" s="2" t="n">
        <x:v>48</x:v>
      </x:c>
      <x:c r="C51" s="2" t="str">
        <x:v>NPV −NGN2.0645bn; zero-NPV uplift NGN1.9928bn/year</x:v>
      </x:c>
      <x:c r="D51" s="2" t="str">
        <x:v>Conditional proposal /illustration</x:v>
      </x:c>
      <x:c r="E51" s="2" t="str">
        <x:v>BASELINE</x:v>
      </x:c>
      <x:c r="F51" s="2" t="str">
        <x:v>A_EXAMPLE</x:v>
      </x:c>
      <x:c r="G51" s="2" t="str">
        <x:v>C-E10</x:v>
      </x:c>
    </x:row>
    <x:row r="52" ht="55" customHeight="1">
      <x:c r="A52" s="2" t="str">
        <x:v>CL-example-11</x:v>
      </x:c>
      <x:c r="B52" s="2" t="n">
        <x:v>49</x:v>
      </x:c>
      <x:c r="C52" s="2" t="str">
        <x:v>21% combined input-cost increase</x:v>
      </x:c>
      <x:c r="D52" s="2" t="str">
        <x:v>Conditional proposal /illustration</x:v>
      </x:c>
      <x:c r="E52" s="2" t="str"/>
      <x:c r="F52" s="2" t="str">
        <x:v>A_EXAMPLE</x:v>
      </x:c>
      <x:c r="G52" s="2" t="str">
        <x:v>C-E11</x:v>
      </x:c>
    </x:row>
    <x:row r="53" ht="55" customHeight="1">
      <x:c r="A53" s="2" t="str">
        <x:v>CL-example-12</x:v>
      </x:c>
      <x:c r="B53" s="2" t="n">
        <x:v>50</x:v>
      </x:c>
      <x:c r="C53" s="2" t="str">
        <x:v>NPV −USD0.0263m</x:v>
      </x:c>
      <x:c r="D53" s="2" t="str">
        <x:v>Conditional proposal /illustration</x:v>
      </x:c>
      <x:c r="E53" s="2" t="str"/>
      <x:c r="F53" s="2" t="str">
        <x:v>A_EXAMPLE</x:v>
      </x:c>
      <x:c r="G53" s="2" t="str">
        <x:v>C-E12</x:v>
      </x:c>
    </x:row>
    <x:row r="54" ht="55" customHeight="1">
      <x:c r="A54" s="2" t="str">
        <x:v>CL-example-13</x:v>
      </x:c>
      <x:c r="B54" s="2" t="n">
        <x:v>51</x:v>
      </x:c>
      <x:c r="C54" s="2" t="str">
        <x:v>Real and nominal three-year NPVs both −USD0.0263m</x:v>
      </x:c>
      <x:c r="D54" s="2" t="str">
        <x:v>Conditional proposal /illustration</x:v>
      </x:c>
      <x:c r="E54" s="2" t="str"/>
      <x:c r="F54" s="2" t="str">
        <x:v>A_EXAMPLE</x:v>
      </x:c>
      <x:c r="G54" s="2" t="str">
        <x:v>C-E13</x:v>
      </x:c>
    </x:row>
    <x:row r="55" ht="55" customHeight="1">
      <x:c r="A55" s="2" t="str">
        <x:v>CL-example-14</x:v>
      </x:c>
      <x:c r="B55" s="2" t="n">
        <x:v>52</x:v>
      </x:c>
      <x:c r="C55" s="2" t="str">
        <x:v>Operating 33,333t; investment boundary 104,862 initial order tonnes</x:v>
      </x:c>
      <x:c r="D55" s="2" t="str">
        <x:v>Conditional proposal /illustration</x:v>
      </x:c>
      <x:c r="E55" s="2" t="str"/>
      <x:c r="F55" s="2" t="str">
        <x:v>A_EXAMPLE</x:v>
      </x:c>
      <x:c r="G55" s="2" t="str">
        <x:v>C-E14</x:v>
      </x:c>
    </x:row>
    <x:row r="56" ht="55" customHeight="1">
      <x:c r="A56" s="2" t="str">
        <x:v>CL-example-15</x:v>
      </x:c>
      <x:c r="B56" s="2" t="n">
        <x:v>53</x:v>
      </x:c>
      <x:c r="C56" s="2" t="str">
        <x:v>USD3m judgement-weighted mean</x:v>
      </x:c>
      <x:c r="D56" s="2" t="str">
        <x:v>Conditional proposal /illustration</x:v>
      </x:c>
      <x:c r="E56" s="2" t="str"/>
      <x:c r="F56" s="2" t="str">
        <x:v>A_EXAMPLE</x:v>
      </x:c>
      <x:c r="G56" s="2" t="str">
        <x:v>C-E15</x:v>
      </x:c>
    </x:row>
    <x:row r="57" ht="55" customHeight="1">
      <x:c r="A57" s="2" t="str">
        <x:v>CL-example-16</x:v>
      </x:c>
      <x:c r="B57" s="2" t="n">
        <x:v>54</x:v>
      </x:c>
      <x:c r="C57" s="2" t="str">
        <x:v>Loss VaR80 USD4m; tail CVaR80 USD8m</x:v>
      </x:c>
      <x:c r="D57" s="2" t="str">
        <x:v>Conditional proposal /illustration</x:v>
      </x:c>
      <x:c r="E57" s="2" t="str">
        <x:v>CVAR</x:v>
      </x:c>
      <x:c r="F57" s="2" t="str">
        <x:v>A_EXAMPLE</x:v>
      </x:c>
      <x:c r="G57" s="2" t="str">
        <x:v>C-E16</x:v>
      </x:c>
    </x:row>
    <x:row r="58" ht="55" customHeight="1">
      <x:c r="A58" s="2" t="str">
        <x:v>CL-example-17</x:v>
      </x:c>
      <x:c r="B58" s="2" t="n">
        <x:v>55</x:v>
      </x:c>
      <x:c r="C58" s="2" t="str">
        <x:v>Expected total loss USD4m in both; joint tail differs</x:v>
      </x:c>
      <x:c r="D58" s="2" t="str">
        <x:v>Conditional proposal /illustration</x:v>
      </x:c>
      <x:c r="E58" s="2" t="str"/>
      <x:c r="F58" s="2" t="str">
        <x:v>A_EXAMPLE</x:v>
      </x:c>
      <x:c r="G58" s="2" t="str">
        <x:v>C-E17</x:v>
      </x:c>
    </x:row>
    <x:row r="59" ht="55" customHeight="1">
      <x:c r="A59" s="2" t="str">
        <x:v>CL-example-18</x:v>
      </x:c>
      <x:c r="B59" s="2" t="n">
        <x:v>56</x:v>
      </x:c>
      <x:c r="C59" s="2" t="str">
        <x:v>20 illustrative incremental eligible sales units</x:v>
      </x:c>
      <x:c r="D59" s="2" t="str">
        <x:v>Conditional proposal /illustration</x:v>
      </x:c>
      <x:c r="E59" s="2" t="str">
        <x:v>DID</x:v>
      </x:c>
      <x:c r="F59" s="2" t="str">
        <x:v>A_EXAMPLE</x:v>
      </x:c>
      <x:c r="G59" s="2" t="str">
        <x:v>C-E18</x:v>
      </x:c>
    </x:row>
    <x:row r="60" ht="55" customHeight="1">
      <x:c r="A60" s="2" t="str">
        <x:v>CL-example-19</x:v>
      </x:c>
      <x:c r="B60" s="2" t="n">
        <x:v>57</x:v>
      </x:c>
      <x:c r="C60" s="2" t="str">
        <x:v>100% net ROMI; contribution/spend is 2.0 times</x:v>
      </x:c>
      <x:c r="D60" s="2" t="str">
        <x:v>Conditional proposal /illustration</x:v>
      </x:c>
      <x:c r="E60" s="2" t="str"/>
      <x:c r="F60" s="2" t="str">
        <x:v>A_EXAMPLE</x:v>
      </x:c>
      <x:c r="G60" s="2" t="str">
        <x:v>C-E19</x:v>
      </x:c>
    </x:row>
    <x:row r="61" ht="55" customHeight="1">
      <x:c r="A61" s="2" t="str">
        <x:v>CL-example-20</x:v>
      </x:c>
      <x:c r="B61" s="2" t="n">
        <x:v>58</x:v>
      </x:c>
      <x:c r="C61" s="2" t="str">
        <x:v>USD2.5m net perfect-information ceiling</x:v>
      </x:c>
      <x:c r="D61" s="2" t="str">
        <x:v>Conditional proposal /illustration</x:v>
      </x:c>
      <x:c r="E61" s="2" t="str"/>
      <x:c r="F61" s="2" t="str">
        <x:v>A_EXAMPLE</x:v>
      </x:c>
      <x:c r="G61" s="2" t="str">
        <x:v>C-E20</x:v>
      </x:c>
    </x:row>
    <x:row r="62" ht="55" customHeight="1">
      <x:c r="A62" s="2" t="str">
        <x:v>CL-example-21</x:v>
      </x:c>
      <x:c r="B62" s="2" t="n">
        <x:v>59</x:v>
      </x:c>
      <x:c r="C62" s="2" t="str">
        <x:v>About 4.86% more initial orders needed</x:v>
      </x:c>
      <x:c r="D62" s="2" t="str">
        <x:v>Conditional proposal /illustration</x:v>
      </x:c>
      <x:c r="E62" s="2" t="str"/>
      <x:c r="F62" s="2" t="str">
        <x:v>A_EXAMPLE</x:v>
      </x:c>
      <x:c r="G62" s="2" t="str">
        <x:v>C-E21</x:v>
      </x:c>
    </x:row>
    <x:row r="63" ht="55" customHeight="1">
      <x:c r="A63" s="2" t="str">
        <x:v>CL-example-22</x:v>
      </x:c>
      <x:c r="B63" s="2" t="n">
        <x:v>60</x:v>
      </x:c>
      <x:c r="C63" s="2" t="str">
        <x:v>B has 3 times EBITDA despite half the category size</x:v>
      </x:c>
      <x:c r="D63" s="2" t="str">
        <x:v>Conditional proposal /illustration</x:v>
      </x:c>
      <x:c r="E63" s="2" t="str"/>
      <x:c r="F63" s="2" t="str">
        <x:v>A_EXAMPLE</x:v>
      </x:c>
      <x:c r="G63" s="2" t="str">
        <x:v>C-E22</x:v>
      </x:c>
    </x:row>
    <x:row r="64" ht="55" customHeight="1">
      <x:c r="A64" s="2" t="str">
        <x:v>CL-data-dictionary</x:v>
      </x:c>
      <x:c r="B64" s="2" t="n">
        <x:v>61</x:v>
      </x:c>
      <x:c r="C64" s="2" t="str">
        <x:v>Missing observations remain unknown; identifiers and vintages are retained.</x:v>
      </x:c>
      <x:c r="D64" s="2" t="str">
        <x:v>Reported /derived with caveats</x:v>
      </x:c>
      <x:c r="E64" s="2" t="str">
        <x:v>UN_M49;UN_WPP</x:v>
      </x:c>
      <x:c r="F64" s="2" t="str"/>
      <x:c r="G64" s="2" t="str"/>
    </x:row>
    <x:row r="65" ht="55" customHeight="1">
      <x:c r="A65" s="2" t="str">
        <x:v>CL-demand-trade-methods</x:v>
      </x:c>
      <x:c r="B65" s="2" t="n">
        <x:v>62</x:v>
      </x:c>
      <x:c r="C65" s="2" t="str">
        <x:v>Implemented descriptive supply benchmark; product demand and trade models await data.</x:v>
      </x:c>
      <x:c r="D65" s="2" t="str">
        <x:v>Reported /derived with caveats</x:v>
      </x:c>
      <x:c r="E65" s="2" t="str">
        <x:v>OECD_METHOD</x:v>
      </x:c>
      <x:c r="F65" s="2" t="str"/>
      <x:c r="G65" s="2" t="str"/>
    </x:row>
    <x:row r="66" ht="55" customHeight="1">
      <x:c r="A66" s="2" t="str">
        <x:v>CL-climate-methods</x:v>
      </x:c>
      <x:c r="B66" s="2" t="n">
        <x:v>63</x:v>
      </x:c>
      <x:c r="C66" s="2" t="str">
        <x:v>Do not turn a global warming number into a plant or crop loss coefficient.</x:v>
      </x:c>
      <x:c r="D66" s="2" t="str">
        <x:v>Reported /derived with caveats</x:v>
      </x:c>
      <x:c r="E66" s="2" t="str">
        <x:v>IPCC;WMO</x:v>
      </x:c>
      <x:c r="F66" s="2" t="str"/>
      <x:c r="G66" s="2" t="str"/>
    </x:row>
    <x:row r="67" ht="55" customHeight="1">
      <x:c r="A67" s="2" t="str">
        <x:v>CL-equations</x:v>
      </x:c>
      <x:c r="B67" s="2" t="n">
        <x:v>64</x:v>
      </x:c>
      <x:c r="C67" s="2" t="str">
        <x:v>Reconcile quantities and cash before computing returns.</x:v>
      </x:c>
      <x:c r="D67" s="2" t="str">
        <x:v>Conditional proposal /illustration</x:v>
      </x:c>
      <x:c r="E67" s="2" t="str"/>
      <x:c r="F67" s="2" t="str">
        <x:v>A_TEMPLATE</x:v>
      </x:c>
      <x:c r="G67" s="2" t="str"/>
    </x:row>
    <x:row r="68" ht="55" customHeight="1">
      <x:c r="A68" s="2" t="str">
        <x:v>CL-math-methods</x:v>
      </x:c>
      <x:c r="B68" s="2" t="n">
        <x:v>65</x:v>
      </x:c>
      <x:c r="C68" s="2" t="str">
        <x:v>Use the smallest method that answers the question and validates on relevant data.</x:v>
      </x:c>
      <x:c r="D68" s="2" t="str">
        <x:v>Reported /derived with caveats</x:v>
      </x:c>
      <x:c r="E68" s="2" t="str">
        <x:v>CVAR</x:v>
      </x:c>
      <x:c r="F68" s="2" t="str"/>
      <x:c r="G68" s="2" t="str"/>
    </x:row>
    <x:row r="69" ht="55" customHeight="1">
      <x:c r="A69" s="2" t="str">
        <x:v>CL-ols-estimates</x:v>
      </x:c>
      <x:c r="B69" s="2" t="n">
        <x:v>66</x:v>
      </x:c>
      <x:c r="C69" s="2" t="str">
        <x:v>No coefficient here is a country demand elasticity.</x:v>
      </x:c>
      <x:c r="D69" s="2" t="str">
        <x:v>Reported /derived with caveats</x:v>
      </x:c>
      <x:c r="E69" s="2" t="str">
        <x:v>WB_food_index;WB_income_ppp;WB_urban;WB_cereal_yield</x:v>
      </x:c>
      <x:c r="F69" s="2" t="str"/>
      <x:c r="G69" s="2" t="str">
        <x:v>C-OLS</x:v>
      </x:c>
    </x:row>
    <x:row r="70" ht="55" customHeight="1">
      <x:c r="A70" s="2" t="str">
        <x:v>CL-validation-transfer</x:v>
      </x:c>
      <x:c r="B70" s="2" t="n">
        <x:v>67</x:v>
      </x:c>
      <x:c r="C70" s="2" t="str">
        <x:v>Temporal improvement is small; geographic transfer is uneven.</x:v>
      </x:c>
      <x:c r="D70" s="2" t="str">
        <x:v>Reported /derived with caveats</x:v>
      </x:c>
      <x:c r="E70" s="2" t="str">
        <x:v>WB_food_index</x:v>
      </x:c>
      <x:c r="F70" s="2" t="str"/>
      <x:c r="G70" s="2" t="str">
        <x:v>C-OLS</x:v>
      </x:c>
    </x:row>
    <x:row r="71" ht="55" customHeight="1">
      <x:c r="A71" s="2" t="str">
        <x:v>CL-stress-spec</x:v>
      </x:c>
      <x:c r="B71" s="2" t="n">
        <x:v>68</x:v>
      </x:c>
      <x:c r="C71" s="2" t="str">
        <x:v>Simulation quantiles describe the chosen generator only.</x:v>
      </x:c>
      <x:c r="D71" s="2" t="str">
        <x:v>Conditional proposal /illustration</x:v>
      </x:c>
      <x:c r="E71" s="2" t="str"/>
      <x:c r="F71" s="2" t="str"/>
      <x:c r="G71" s="2" t="str"/>
    </x:row>
    <x:row r="72" ht="55" customHeight="1">
      <x:c r="A72" s="2" t="str">
        <x:v>CL-policy-prior-art</x:v>
      </x:c>
      <x:c r="B72" s="2" t="n">
        <x:v>69</x:v>
      </x:c>
      <x:c r="C72" s="2" t="str">
        <x:v>Integration is the proposal; mathematical novelty is not asserted.</x:v>
      </x:c>
      <x:c r="D72" s="2" t="str">
        <x:v>Reported /derived with caveats</x:v>
      </x:c>
      <x:c r="E72" s="2" t="str">
        <x:v>CVAR;DID;NOBEL_2003;NOBEL_2018;NOBEL_2021</x:v>
      </x:c>
      <x:c r="F72" s="2" t="str"/>
      <x:c r="G72" s="2" t="str"/>
    </x:row>
    <x:row r="73" ht="55" customHeight="1">
      <x:c r="A73" s="2" t="str">
        <x:v>CL-pilot-power</x:v>
      </x:c>
      <x:c r="B73" s="2" t="n">
        <x:v>70</x:v>
      </x:c>
      <x:c r="C73" s="2" t="str">
        <x:v>A convenient sample is not proof of an economically meaningful effect.</x:v>
      </x:c>
      <x:c r="D73" s="2" t="str">
        <x:v>Reported /derived with caveats</x:v>
      </x:c>
      <x:c r="E73" s="2" t="str">
        <x:v>DID</x:v>
      </x:c>
      <x:c r="F73" s="2" t="str"/>
      <x:c r="G73" s="2" t="str"/>
    </x:row>
    <x:row r="74" ht="55" customHeight="1">
      <x:c r="A74" s="2" t="str">
        <x:v>CL-atlas-navigation</x:v>
      </x:c>
      <x:c r="B74" s="2" t="n">
        <x:v>71</x:v>
      </x:c>
      <x:c r="C74" s="2" t="str">
        <x:v>8,190 matrix rows preserve unknown finance rather than fabricate forecasts.</x:v>
      </x:c>
      <x:c r="D74" s="2" t="str">
        <x:v>Reported /derived with caveats</x:v>
      </x:c>
      <x:c r="E74" s="2" t="str">
        <x:v>UN_M49;UN_WPP</x:v>
      </x:c>
      <x:c r="F74" s="2" t="str"/>
      <x:c r="G74" s="2" t="str"/>
    </x:row>
    <x:row r="75" ht="55" customHeight="1">
      <x:c r="A75" s="2" t="str">
        <x:v>CL-limitations</x:v>
      </x:c>
      <x:c r="B75" s="2" t="n">
        <x:v>72</x:v>
      </x:c>
      <x:c r="C75" s="2" t="str">
        <x:v>The package is a complete public-data decision scaffold; internal investment cases remain open.</x:v>
      </x:c>
      <x:c r="D75" s="2" t="str">
        <x:v>Conditional proposal /illustration</x:v>
      </x:c>
      <x:c r="E75" s="2" t="str"/>
      <x:c r="F75" s="2" t="str">
        <x:v>A_TEMPLATE</x:v>
      </x:c>
      <x:c r="G75" s="2" t="str"/>
    </x:row>
    <x:row r="76" ht="55" customHeight="1">
      <x:c r="A76" s="2" t="str">
        <x:v>CL-refresh</x:v>
      </x:c>
      <x:c r="B76" s="2" t="n">
        <x:v>73</x:v>
      </x:c>
      <x:c r="C76" s="2" t="str">
        <x:v>Keep a dated reproducible version; do not silently revise the investment case.</x:v>
      </x:c>
      <x:c r="D76" s="2" t="str">
        <x:v>Conditional proposal /illustration</x:v>
      </x:c>
      <x:c r="E76" s="2" t="str"/>
      <x:c r="F76" s="2" t="str"/>
      <x:c r="G76" s="2" t="str"/>
    </x:row>
    <x:row r="77" ht="55" customHeight="1">
      <x:c r="A77" s="2" t="str">
        <x:v>CL-audit</x:v>
      </x:c>
      <x:c r="B77" s="2" t="n">
        <x:v>74</x:v>
      </x:c>
      <x:c r="C77" s="2" t="str">
        <x:v>Detailed44-row audit retains arithmetic and replaces unsupported certainty.</x:v>
      </x:c>
      <x:c r="D77" s="2" t="str">
        <x:v>Reported /derived with caveats</x:v>
      </x:c>
      <x:c r="E77" s="2" t="str">
        <x:v>BASELINE</x:v>
      </x:c>
      <x:c r="F77" s="2" t="str"/>
      <x:c r="G77" s="2" t="str"/>
    </x:row>
    <x:row r="78" ht="55" customHeight="1">
      <x:c r="A78" s="2" t="str">
        <x:v>CL-sources-0</x:v>
      </x:c>
      <x:c r="B78" s="2" t="n">
        <x:v>75</x:v>
      </x:c>
      <x:c r="C78" s="2" t="str">
        <x:v>Exact URLs and limitations are in the linked source book.</x:v>
      </x:c>
      <x:c r="D78" s="2" t="str">
        <x:v>Reported /derived with caveats</x:v>
      </x:c>
      <x:c r="E78" s="2" t="str">
        <x:v>CO_AR;CO_FACT;CO_OWN;CO_ABOUT;OECD;OECD_METHOD</x:v>
      </x:c>
      <x:c r="F78" s="2" t="str"/>
      <x:c r="G78" s="2" t="str"/>
    </x:row>
    <x:row r="79" ht="55" customHeight="1">
      <x:c r="A79" s="2" t="str">
        <x:v>CL-sources-6</x:v>
      </x:c>
      <x:c r="B79" s="2" t="n">
        <x:v>76</x:v>
      </x:c>
      <x:c r="C79" s="2" t="str">
        <x:v>Exact URLs and limitations are in the linked source book.</x:v>
      </x:c>
      <x:c r="D79" s="2" t="str">
        <x:v>Reported /derived with caveats</x:v>
      </x:c>
      <x:c r="E79" s="2" t="str">
        <x:v>UN_M49;UN_MEMBERS;UN_OBSERVERS;UN_WPP;WB_population;WB_income_ppp</x:v>
      </x:c>
      <x:c r="F79" s="2" t="str"/>
      <x:c r="G79" s="2" t="str"/>
    </x:row>
    <x:row r="80" ht="55" customHeight="1">
      <x:c r="A80" s="2" t="str">
        <x:v>CL-sources-12</x:v>
      </x:c>
      <x:c r="B80" s="2" t="n">
        <x:v>77</x:v>
      </x:c>
      <x:c r="C80" s="2" t="str">
        <x:v>Exact URLs and limitations are in the linked source book.</x:v>
      </x:c>
      <x:c r="D80" s="2" t="str">
        <x:v>Reported /derived with caveats</x:v>
      </x:c>
      <x:c r="E80" s="2" t="str">
        <x:v>WB_urban;WB_inflation;WB_food_index;WB_food_import_share;WB_food_export_share;WB_imports_usd</x:v>
      </x:c>
      <x:c r="F80" s="2" t="str"/>
      <x:c r="G80" s="2" t="str"/>
    </x:row>
    <x:row r="81" ht="55" customHeight="1">
      <x:c r="A81" s="2" t="str">
        <x:v>CL-sources-18</x:v>
      </x:c>
      <x:c r="B81" s="2" t="n">
        <x:v>78</x:v>
      </x:c>
      <x:c r="C81" s="2" t="str">
        <x:v>Exact URLs and limitations are in the linked source book.</x:v>
      </x:c>
      <x:c r="D81" s="2" t="str">
        <x:v>Reported /derived with caveats</x:v>
      </x:c>
      <x:c r="E81" s="2" t="str">
        <x:v>WB_exports_usd;WB_cereal_yield;WB_water_stress;CO_NGA;CO_GHA;CO_SEN</x:v>
      </x:c>
      <x:c r="F81" s="2" t="str"/>
      <x:c r="G81" s="2" t="str"/>
    </x:row>
    <x:row r="82" ht="55" customHeight="1">
      <x:c r="A82" s="2" t="str">
        <x:v>CL-sources-24</x:v>
      </x:c>
      <x:c r="B82" s="2" t="n">
        <x:v>79</x:v>
      </x:c>
      <x:c r="C82" s="2" t="str">
        <x:v>Exact URLs and limitations are in the linked source book.</x:v>
      </x:c>
      <x:c r="D82" s="2" t="str">
        <x:v>Reported /derived with caveats</x:v>
      </x:c>
      <x:c r="E82" s="2" t="str">
        <x:v>CO_CMR;CO_MOZ;CO_ZAF;CO_IND;CO_VNM;CO_BRA</x:v>
      </x:c>
      <x:c r="F82" s="2" t="str"/>
      <x:c r="G82" s="2" t="str"/>
    </x:row>
    <x:row r="83" ht="55" customHeight="1">
      <x:c r="A83" s="2" t="str">
        <x:v>CL-sources-30</x:v>
      </x:c>
      <x:c r="B83" s="2" t="n">
        <x:v>80</x:v>
      </x:c>
      <x:c r="C83" s="2" t="str">
        <x:v>Exact URLs and limitations are in the linked source book.</x:v>
      </x:c>
      <x:c r="D83" s="2" t="str">
        <x:v>Reported /derived with caveats</x:v>
      </x:c>
      <x:c r="E83" s="2" t="str">
        <x:v>IPCC;WMO;EUDR;USDA_NGA;USDA_OIL;COMTRADE</x:v>
      </x:c>
      <x:c r="F83" s="2" t="str"/>
      <x:c r="G83" s="2" t="str"/>
    </x:row>
    <x:row r="84" ht="55" customHeight="1">
      <x:c r="A84" s="2" t="str">
        <x:v>CL-sources-36</x:v>
      </x:c>
      <x:c r="B84" s="2" t="n">
        <x:v>81</x:v>
      </x:c>
      <x:c r="C84" s="2" t="str">
        <x:v>Exact URLs and limitations are in the linked source book.</x:v>
      </x:c>
      <x:c r="D84" s="2" t="str">
        <x:v>Reported /derived with caveats</x:v>
      </x:c>
      <x:c r="E84" s="2" t="str">
        <x:v>CVAR;DID;NOBEL_2003;NOBEL_2018;NOBEL_2021;BASELINE</x:v>
      </x:c>
      <x:c r="F84" s="2" t="str"/>
      <x:c r="G84" s="2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45" hidden="0" customWidth="1"/>
    <x:col min="15" max="15" width="45" hidden="0" customWidth="1"/>
    <x:col min="16" max="16" width="45" hidden="0" customWidth="1"/>
    <x:col min="17" max="17" width="45" hidden="0" customWidth="1"/>
  </x:cols>
  <x:sheetData>
    <x:row r="1" ht="42" customHeight="1">
      <x:c r="A1" s="5" t="str">
        <x:v>Countries / v1.0.0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8" customHeight="1">
      <x:c r="A3" s="4" t="str">
        <x:v>ISO3</x:v>
      </x:c>
      <x:c r="B3" s="4" t="str">
        <x:v>Name</x:v>
      </x:c>
      <x:c r="C3" s="4" t="str">
        <x:v>Region</x:v>
      </x:c>
      <x:c r="D3" s="4" t="str">
        <x:v>M49</x:v>
      </x:c>
      <x:c r="E3" s="4" t="str">
        <x:v>UN status</x:v>
      </x:c>
      <x:c r="F3" s="4" t="str">
        <x:v>2026 persons</x:v>
      </x:c>
      <x:c r="G3" s="4" t="str">
        <x:v>2030</x:v>
      </x:c>
      <x:c r="H3" s="4" t="str">
        <x:v>2035</x:v>
      </x:c>
      <x:c r="I3" s="4" t="str">
        <x:v>2040</x:v>
      </x:c>
      <x:c r="J3" s="4" t="str">
        <x:v>2045</x:v>
      </x:c>
      <x:c r="K3" s="4" t="str">
        <x:v>2050</x:v>
      </x:c>
      <x:c r="L3" s="4" t="str">
        <x:v>2051</x:v>
      </x:c>
      <x:c r="M3" s="4" t="str">
        <x:v>Mode</x:v>
      </x:c>
      <x:c r="N3" s="4" t="str">
        <x:v>Disposition</x:v>
      </x:c>
      <x:c r="O3" s="4" t="str">
        <x:v>Presence</x:v>
      </x:c>
      <x:c r="P3" s="4" t="str">
        <x:v>Product</x:v>
      </x:c>
      <x:c r="Q3" s="4" t="str">
        <x:v>Gate</x:v>
      </x:c>
    </x:row>
    <x:row r="4" ht="60" customHeight="1">
      <x:c r="A4" s="2" t="str">
        <x:v>AFG</x:v>
      </x:c>
      <x:c r="B4" s="2" t="str">
        <x:v>Afghanistan</x:v>
      </x:c>
      <x:c r="C4" s="2" t="str">
        <x:v>Asia</x:v>
      </x:c>
      <x:c r="D4" s="2" t="str">
        <x:v>004</x:v>
      </x:c>
      <x:c r="E4" s="2" t="str">
        <x:v>Member state</x:v>
      </x:c>
      <x:c r="F4" s="2" t="n">
        <x:v>45047069</x:v>
      </x:c>
      <x:c r="G4" s="2" t="n">
        <x:v>50039402</x:v>
      </x:c>
      <x:c r="H4" s="2" t="n">
        <x:v>56647232</x:v>
      </x:c>
      <x:c r="I4" s="2" t="n">
        <x:v>63347870</x:v>
      </x:c>
      <x:c r="J4" s="2" t="n">
        <x:v>70021200</x:v>
      </x:c>
      <x:c r="K4" s="2" t="n">
        <x:v>76885135</x:v>
      </x:c>
      <x:c r="L4" s="2" t="n">
        <x:v>78155052</x:v>
      </x:c>
      <x:c r="M4" s="2" t="str">
        <x:v>trade</x:v>
      </x:c>
      <x:c r="N4" s="2" t="str">
        <x:v>Watch product/corridor opportunity</x:v>
      </x:c>
      <x:c r="O4" s="2" t="str">
        <x:v>Not verified, absence not inferred</x:v>
      </x:c>
      <x:c r="P4" s="2" t="str">
        <x:v>Staple trade, product selection pending</x:v>
      </x:c>
      <x:c r="Q4" s="2" t="str">
        <x:v>Confirm product demand, accessible HS line, counterparties, delivered spread, cash conversion and legal clearance.</x:v>
      </x:c>
    </x:row>
    <x:row r="5" ht="60" customHeight="1">
      <x:c r="A5" s="2" t="str">
        <x:v>ALB</x:v>
      </x:c>
      <x:c r="B5" s="2" t="str">
        <x:v>Albania</x:v>
      </x:c>
      <x:c r="C5" s="2" t="str">
        <x:v>Europe</x:v>
      </x:c>
      <x:c r="D5" s="2" t="str">
        <x:v>008</x:v>
      </x:c>
      <x:c r="E5" s="2" t="str">
        <x:v>Member state</x:v>
      </x:c>
      <x:c r="F5" s="2" t="n">
        <x:v>2751025</x:v>
      </x:c>
      <x:c r="G5" s="2" t="n">
        <x:v>2671885</x:v>
      </x:c>
      <x:c r="H5" s="2" t="n">
        <x:v>2570580</x:v>
      </x:c>
      <x:c r="I5" s="2" t="n">
        <x:v>2461866</x:v>
      </x:c>
      <x:c r="J5" s="2" t="n">
        <x:v>2351280</x:v>
      </x:c>
      <x:c r="K5" s="2" t="n">
        <x:v>2240166</x:v>
      </x:c>
      <x:c r="L5" s="2" t="n">
        <x:v>2218012</x:v>
      </x:c>
      <x:c r="M5" s="2" t="str">
        <x:v>trade</x:v>
      </x:c>
      <x:c r="N5" s="2" t="str">
        <x:v>Watch customer specialization</x:v>
      </x:c>
      <x:c r="O5" s="2" t="str">
        <x:v>Not verified, absence not inferred</x:v>
      </x:c>
      <x:c r="P5" s="2" t="str">
        <x:v>Staple trade, product selection pending</x:v>
      </x:c>
      <x:c r="Q5" s="2" t="str">
        <x:v>Confirm product demand, accessible HS line, counterparties, delivered spread, cash conversion and legal clearance.</x:v>
      </x:c>
    </x:row>
    <x:row r="6" ht="60" customHeight="1">
      <x:c r="A6" s="2" t="str">
        <x:v>DZA</x:v>
      </x:c>
      <x:c r="B6" s="2" t="str">
        <x:v>Algeria</x:v>
      </x:c>
      <x:c r="C6" s="2" t="str">
        <x:v>Africa</x:v>
      </x:c>
      <x:c r="D6" s="2" t="str">
        <x:v>012</x:v>
      </x:c>
      <x:c r="E6" s="2" t="str">
        <x:v>Member state</x:v>
      </x:c>
      <x:c r="F6" s="2" t="n">
        <x:v>48028334</x:v>
      </x:c>
      <x:c r="G6" s="2" t="n">
        <x:v>50154166</x:v>
      </x:c>
      <x:c r="H6" s="2" t="n">
        <x:v>52516789</x:v>
      </x:c>
      <x:c r="I6" s="2" t="n">
        <x:v>54873476</x:v>
      </x:c>
      <x:c r="J6" s="2" t="n">
        <x:v>57290156</x:v>
      </x:c>
      <x:c r="K6" s="2" t="n">
        <x:v>59565554</x:v>
      </x:c>
      <x:c r="L6" s="2" t="n">
        <x:v>59975606</x:v>
      </x:c>
      <x:c r="M6" s="2" t="str">
        <x:v>trade</x:v>
      </x:c>
      <x:c r="N6" s="2" t="str">
        <x:v>Watch product/corridor opportunity</x:v>
      </x:c>
      <x:c r="O6" s="2" t="str">
        <x:v>Not verified, absence not inferred</x:v>
      </x:c>
      <x:c r="P6" s="2" t="str">
        <x:v>Staple trade, product selection pending</x:v>
      </x:c>
      <x:c r="Q6" s="2" t="str">
        <x:v>Confirm product demand, accessible HS line, counterparties, delivered spread, cash conversion and legal clearance.</x:v>
      </x:c>
    </x:row>
    <x:row r="7" ht="60" customHeight="1">
      <x:c r="A7" s="2" t="str">
        <x:v>AND</x:v>
      </x:c>
      <x:c r="B7" s="2" t="str">
        <x:v>Andorra</x:v>
      </x:c>
      <x:c r="C7" s="2" t="str">
        <x:v>Europe</x:v>
      </x:c>
      <x:c r="D7" s="2" t="str">
        <x:v>020</x:v>
      </x:c>
      <x:c r="E7" s="2" t="str">
        <x:v>Member state</x:v>
      </x:c>
      <x:c r="F7" s="2" t="n">
        <x:v>83753</x:v>
      </x:c>
      <x:c r="G7" s="2" t="n">
        <x:v>85681</x:v>
      </x:c>
      <x:c r="H7" s="2" t="n">
        <x:v>86174</x:v>
      </x:c>
      <x:c r="I7" s="2" t="n">
        <x:v>85668</x:v>
      </x:c>
      <x:c r="J7" s="2" t="n">
        <x:v>84294</x:v>
      </x:c>
      <x:c r="K7" s="2" t="n">
        <x:v>82195</x:v>
      </x:c>
      <x:c r="L7" s="2" t="n">
        <x:v>81668</x:v>
      </x:c>
      <x:c r="M7" s="2" t="str">
        <x:v>trade</x:v>
      </x:c>
      <x:c r="N7" s="2" t="str">
        <x:v>Watch regional trade</x:v>
      </x:c>
      <x:c r="O7" s="2" t="str">
        <x:v>Not verified, absence not inferred</x:v>
      </x:c>
      <x:c r="P7" s="2" t="str">
        <x:v>Staple trade, product selection pending</x:v>
      </x:c>
      <x:c r="Q7" s="2" t="str">
        <x:v>Confirm product demand, accessible HS line, counterparties, delivered spread, cash conversion and legal clearance.</x:v>
      </x:c>
    </x:row>
    <x:row r="8" ht="60" customHeight="1">
      <x:c r="A8" s="2" t="str">
        <x:v>AGO</x:v>
      </x:c>
      <x:c r="B8" s="2" t="str">
        <x:v>Angola</x:v>
      </x:c>
      <x:c r="C8" s="2" t="str">
        <x:v>Africa</x:v>
      </x:c>
      <x:c r="D8" s="2" t="str">
        <x:v>024</x:v>
      </x:c>
      <x:c r="E8" s="2" t="str">
        <x:v>Member state</x:v>
      </x:c>
      <x:c r="F8" s="2" t="n">
        <x:v>40215179</x:v>
      </x:c>
      <x:c r="G8" s="2" t="n">
        <x:v>45160458</x:v>
      </x:c>
      <x:c r="H8" s="2" t="n">
        <x:v>51821718</x:v>
      </x:c>
      <x:c r="I8" s="2" t="n">
        <x:v>58965321</x:v>
      </x:c>
      <x:c r="J8" s="2" t="n">
        <x:v>66464329</x:v>
      </x:c>
      <x:c r="K8" s="2" t="n">
        <x:v>74295394</x:v>
      </x:c>
      <x:c r="L8" s="2" t="n">
        <x:v>75892826</x:v>
      </x:c>
      <x:c r="M8" s="2" t="str">
        <x:v>trade</x:v>
      </x:c>
      <x:c r="N8" s="2" t="str">
        <x:v>Watch product/corridor opportunity</x:v>
      </x:c>
      <x:c r="O8" s="2" t="str">
        <x:v>Not verified, absence not inferred</x:v>
      </x:c>
      <x:c r="P8" s="2" t="str">
        <x:v>Staple trade, product selection pending</x:v>
      </x:c>
      <x:c r="Q8" s="2" t="str">
        <x:v>Confirm product demand, accessible HS line, counterparties, delivered spread, cash conversion and legal clearance.</x:v>
      </x:c>
    </x:row>
    <x:row r="9" ht="60" customHeight="1">
      <x:c r="A9" s="2" t="str">
        <x:v>ATG</x:v>
      </x:c>
      <x:c r="B9" s="2" t="str">
        <x:v>Antigua and Barbuda</x:v>
      </x:c>
      <x:c r="C9" s="2" t="str">
        <x:v>Americas</x:v>
      </x:c>
      <x:c r="D9" s="2" t="str">
        <x:v>028</x:v>
      </x:c>
      <x:c r="E9" s="2" t="str">
        <x:v>Member state</x:v>
      </x:c>
      <x:c r="F9" s="2" t="n">
        <x:v>94626</x:v>
      </x:c>
      <x:c r="G9" s="2" t="n">
        <x:v>96000</x:v>
      </x:c>
      <x:c r="H9" s="2" t="n">
        <x:v>97007</x:v>
      </x:c>
      <x:c r="I9" s="2" t="n">
        <x:v>97133</x:v>
      </x:c>
      <x:c r="J9" s="2" t="n">
        <x:v>96419</x:v>
      </x:c>
      <x:c r="K9" s="2" t="n">
        <x:v>95055</x:v>
      </x:c>
      <x:c r="L9" s="2" t="n">
        <x:v>94710</x:v>
      </x:c>
      <x:c r="M9" s="2" t="str">
        <x:v>trade</x:v>
      </x:c>
      <x:c r="N9" s="2" t="str">
        <x:v>Watch regional trade</x:v>
      </x:c>
      <x:c r="O9" s="2" t="str">
        <x:v>Not verified, absence not inferred</x:v>
      </x:c>
      <x:c r="P9" s="2" t="str">
        <x:v>Staple trade, product selection pending</x:v>
      </x:c>
      <x:c r="Q9" s="2" t="str">
        <x:v>Confirm product demand, accessible HS line, counterparties, delivered spread, cash conversion and legal clearance.</x:v>
      </x:c>
    </x:row>
    <x:row r="10" ht="60" customHeight="1">
      <x:c r="A10" s="2" t="str">
        <x:v>ARG</x:v>
      </x:c>
      <x:c r="B10" s="2" t="str">
        <x:v>Argentina</x:v>
      </x:c>
      <x:c r="C10" s="2" t="str">
        <x:v>Americas</x:v>
      </x:c>
      <x:c r="D10" s="2" t="str">
        <x:v>032</x:v>
      </x:c>
      <x:c r="E10" s="2" t="str">
        <x:v>Member state</x:v>
      </x:c>
      <x:c r="F10" s="2" t="n">
        <x:v>46003734</x:v>
      </x:c>
      <x:c r="G10" s="2" t="n">
        <x:v>46585022</x:v>
      </x:c>
      <x:c r="H10" s="2" t="n">
        <x:v>47251994</x:v>
      </x:c>
      <x:c r="I10" s="2" t="n">
        <x:v>47817645</x:v>
      </x:c>
      <x:c r="J10" s="2" t="n">
        <x:v>48191841</x:v>
      </x:c>
      <x:c r="K10" s="2" t="n">
        <x:v>48308944</x:v>
      </x:c>
      <x:c r="L10" s="2" t="n">
        <x:v>48297098</x:v>
      </x:c>
      <x:c r="M10" s="2" t="str">
        <x:v>trade</x:v>
      </x:c>
      <x:c r="N10" s="2" t="str">
        <x:v>Watch product/corridor opportunity</x:v>
      </x:c>
      <x:c r="O10" s="2" t="str">
        <x:v>Not verified, absence not inferred</x:v>
      </x:c>
      <x:c r="P10" s="2" t="str">
        <x:v>Staple trade, product selection pending</x:v>
      </x:c>
      <x:c r="Q10" s="2" t="str">
        <x:v>Confirm product demand, accessible HS line, counterparties, delivered spread, cash conversion and legal clearance.</x:v>
      </x:c>
    </x:row>
    <x:row r="11" ht="60" customHeight="1">
      <x:c r="A11" s="2" t="str">
        <x:v>ARM</x:v>
      </x:c>
      <x:c r="B11" s="2" t="str">
        <x:v>Armenia</x:v>
      </x:c>
      <x:c r="C11" s="2" t="str">
        <x:v>Asia</x:v>
      </x:c>
      <x:c r="D11" s="2" t="str">
        <x:v>051</x:v>
      </x:c>
      <x:c r="E11" s="2" t="str">
        <x:v>Member state</x:v>
      </x:c>
      <x:c r="F11" s="2" t="n">
        <x:v>2930915</x:v>
      </x:c>
      <x:c r="G11" s="2" t="n">
        <x:v>2851291</x:v>
      </x:c>
      <x:c r="H11" s="2" t="n">
        <x:v>2756725</x:v>
      </x:c>
      <x:c r="I11" s="2" t="n">
        <x:v>2665523</x:v>
      </x:c>
      <x:c r="J11" s="2" t="n">
        <x:v>2579220</x:v>
      </x:c>
      <x:c r="K11" s="2" t="n">
        <x:v>2495207</x:v>
      </x:c>
      <x:c r="L11" s="2" t="n">
        <x:v>2478352</x:v>
      </x:c>
      <x:c r="M11" s="2" t="str">
        <x:v>trade</x:v>
      </x:c>
      <x:c r="N11" s="2" t="str">
        <x:v>Watch customer specialization</x:v>
      </x:c>
      <x:c r="O11" s="2" t="str">
        <x:v>Not verified, absence not inferred</x:v>
      </x:c>
      <x:c r="P11" s="2" t="str">
        <x:v>Staple trade, product selection pending</x:v>
      </x:c>
      <x:c r="Q11" s="2" t="str">
        <x:v>Confirm product demand, accessible HS line, counterparties, delivered spread, cash conversion and legal clearance.</x:v>
      </x:c>
    </x:row>
    <x:row r="12" ht="60" customHeight="1">
      <x:c r="A12" s="2" t="str">
        <x:v>AUS</x:v>
      </x:c>
      <x:c r="B12" s="2" t="str">
        <x:v>Australia</x:v>
      </x:c>
      <x:c r="C12" s="2" t="str">
        <x:v>Oceania</x:v>
      </x:c>
      <x:c r="D12" s="2" t="str">
        <x:v>036</x:v>
      </x:c>
      <x:c r="E12" s="2" t="str">
        <x:v>Member state</x:v>
      </x:c>
      <x:c r="F12" s="2" t="n">
        <x:v>27227096</x:v>
      </x:c>
      <x:c r="G12" s="2" t="n">
        <x:v>28188539</x:v>
      </x:c>
      <x:c r="H12" s="2" t="n">
        <x:v>29296168</x:v>
      </x:c>
      <x:c r="I12" s="2" t="n">
        <x:v>30357450</x:v>
      </x:c>
      <x:c r="J12" s="2" t="n">
        <x:v>31431123</x:v>
      </x:c>
      <x:c r="K12" s="2" t="n">
        <x:v>32506969</x:v>
      </x:c>
      <x:c r="L12" s="2" t="n">
        <x:v>32716087</x:v>
      </x:c>
      <x:c r="M12" s="2" t="str">
        <x:v>trade</x:v>
      </x:c>
      <x:c r="N12" s="2" t="str">
        <x:v>Review existing operation</x:v>
      </x:c>
      <x:c r="O12" s="2" t="str">
        <x:v>Disclosed location in June-2026 factsheet</x:v>
      </x:c>
      <x:c r="P12" s="2" t="str">
        <x:v>Staple trade, product selection pending</x:v>
      </x:c>
      <x:c r="Q12" s="2" t="str">
        <x:v>Confirm product demand, accessible HS line, counterparties, delivered spread, cash conversion and legal clearance.</x:v>
      </x:c>
    </x:row>
    <x:row r="13" ht="60" customHeight="1">
      <x:c r="A13" s="2" t="str">
        <x:v>AUT</x:v>
      </x:c>
      <x:c r="B13" s="2" t="str">
        <x:v>Austria</x:v>
      </x:c>
      <x:c r="C13" s="2" t="str">
        <x:v>Europe</x:v>
      </x:c>
      <x:c r="D13" s="2" t="str">
        <x:v>040</x:v>
      </x:c>
      <x:c r="E13" s="2" t="str">
        <x:v>Member state</x:v>
      </x:c>
      <x:c r="F13" s="2" t="n">
        <x:v>9107266</x:v>
      </x:c>
      <x:c r="G13" s="2" t="n">
        <x:v>9080346</x:v>
      </x:c>
      <x:c r="H13" s="2" t="n">
        <x:v>9014208</x:v>
      </x:c>
      <x:c r="I13" s="2" t="n">
        <x:v>8934061</x:v>
      </x:c>
      <x:c r="J13" s="2" t="n">
        <x:v>8844730</x:v>
      </x:c>
      <x:c r="K13" s="2" t="n">
        <x:v>8724332</x:v>
      </x:c>
      <x:c r="L13" s="2" t="n">
        <x:v>8696685</x:v>
      </x:c>
      <x:c r="M13" s="2" t="str">
        <x:v>trade</x:v>
      </x:c>
      <x:c r="N13" s="2" t="str">
        <x:v>Watch product/corridor opportunity</x:v>
      </x:c>
      <x:c r="O13" s="2" t="str">
        <x:v>Not verified, absence not inferred</x:v>
      </x:c>
      <x:c r="P13" s="2" t="str">
        <x:v>Staple trade, product selection pending</x:v>
      </x:c>
      <x:c r="Q13" s="2" t="str">
        <x:v>Confirm product demand, accessible HS line, counterparties, delivered spread, cash conversion and legal clearance.</x:v>
      </x:c>
    </x:row>
    <x:row r="14" ht="60" customHeight="1">
      <x:c r="A14" s="2" t="str">
        <x:v>AZE</x:v>
      </x:c>
      <x:c r="B14" s="2" t="str">
        <x:v>Azerbaijan</x:v>
      </x:c>
      <x:c r="C14" s="2" t="str">
        <x:v>Asia</x:v>
      </x:c>
      <x:c r="D14" s="2" t="str">
        <x:v>031</x:v>
      </x:c>
      <x:c r="E14" s="2" t="str">
        <x:v>Member state</x:v>
      </x:c>
      <x:c r="F14" s="2" t="n">
        <x:v>10454855</x:v>
      </x:c>
      <x:c r="G14" s="2" t="n">
        <x:v>10665380</x:v>
      </x:c>
      <x:c r="H14" s="2" t="n">
        <x:v>10898665</x:v>
      </x:c>
      <x:c r="I14" s="2" t="n">
        <x:v>11081335</x:v>
      </x:c>
      <x:c r="J14" s="2" t="n">
        <x:v>11188800</x:v>
      </x:c>
      <x:c r="K14" s="2" t="n">
        <x:v>11224923</x:v>
      </x:c>
      <x:c r="L14" s="2" t="n">
        <x:v>11224460</x:v>
      </x:c>
      <x:c r="M14" s="2" t="str">
        <x:v>trade</x:v>
      </x:c>
      <x:c r="N14" s="2" t="str">
        <x:v>Watch product/corridor opportunity</x:v>
      </x:c>
      <x:c r="O14" s="2" t="str">
        <x:v>Not verified, absence not inferred</x:v>
      </x:c>
      <x:c r="P14" s="2" t="str">
        <x:v>Staple trade, product selection pending</x:v>
      </x:c>
      <x:c r="Q14" s="2" t="str">
        <x:v>Confirm product demand, accessible HS line, counterparties, delivered spread, cash conversion and legal clearance.</x:v>
      </x:c>
    </x:row>
    <x:row r="15" ht="60" customHeight="1">
      <x:c r="A15" s="2" t="str">
        <x:v>BHS</x:v>
      </x:c>
      <x:c r="B15" s="2" t="str">
        <x:v>Bahamas</x:v>
      </x:c>
      <x:c r="C15" s="2" t="str">
        <x:v>Americas</x:v>
      </x:c>
      <x:c r="D15" s="2" t="str">
        <x:v>044</x:v>
      </x:c>
      <x:c r="E15" s="2" t="str">
        <x:v>Member state</x:v>
      </x:c>
      <x:c r="F15" s="2" t="n">
        <x:v>404628</x:v>
      </x:c>
      <x:c r="G15" s="2" t="n">
        <x:v>410267</x:v>
      </x:c>
      <x:c r="H15" s="2" t="n">
        <x:v>415978</x:v>
      </x:c>
      <x:c r="I15" s="2" t="n">
        <x:v>420346</x:v>
      </x:c>
      <x:c r="J15" s="2" t="n">
        <x:v>423262</x:v>
      </x:c>
      <x:c r="K15" s="2" t="n">
        <x:v>424265</x:v>
      </x:c>
      <x:c r="L15" s="2" t="n">
        <x:v>424211</x:v>
      </x:c>
      <x:c r="M15" s="2" t="str">
        <x:v>trade</x:v>
      </x:c>
      <x:c r="N15" s="2" t="str">
        <x:v>Watch regional trade</x:v>
      </x:c>
      <x:c r="O15" s="2" t="str">
        <x:v>Not verified, absence not inferred</x:v>
      </x:c>
      <x:c r="P15" s="2" t="str">
        <x:v>Staple trade, product selection pending</x:v>
      </x:c>
      <x:c r="Q15" s="2" t="str">
        <x:v>Confirm product demand, accessible HS line, counterparties, delivered spread, cash conversion and legal clearance.</x:v>
      </x:c>
    </x:row>
    <x:row r="16" ht="60" customHeight="1">
      <x:c r="A16" s="2" t="str">
        <x:v>BHR</x:v>
      </x:c>
      <x:c r="B16" s="2" t="str">
        <x:v>Bahrain</x:v>
      </x:c>
      <x:c r="C16" s="2" t="str">
        <x:v>Asia</x:v>
      </x:c>
      <x:c r="D16" s="2" t="str">
        <x:v>048</x:v>
      </x:c>
      <x:c r="E16" s="2" t="str">
        <x:v>Member state</x:v>
      </x:c>
      <x:c r="F16" s="2" t="n">
        <x:v>1675572</x:v>
      </x:c>
      <x:c r="G16" s="2" t="n">
        <x:v>1765209</x:v>
      </x:c>
      <x:c r="H16" s="2" t="n">
        <x:v>1856537</x:v>
      </x:c>
      <x:c r="I16" s="2" t="n">
        <x:v>1951233</x:v>
      </x:c>
      <x:c r="J16" s="2" t="n">
        <x:v>2046472</x:v>
      </x:c>
      <x:c r="K16" s="2" t="n">
        <x:v>2139465</x:v>
      </x:c>
      <x:c r="L16" s="2" t="n">
        <x:v>2157875</x:v>
      </x:c>
      <x:c r="M16" s="2" t="str">
        <x:v>trade</x:v>
      </x:c>
      <x:c r="N16" s="2" t="str">
        <x:v>Watch product/corridor opportunity</x:v>
      </x:c>
      <x:c r="O16" s="2" t="str">
        <x:v>Not verified, absence not inferred</x:v>
      </x:c>
      <x:c r="P16" s="2" t="str">
        <x:v>Staple trade, product selection pending</x:v>
      </x:c>
      <x:c r="Q16" s="2" t="str">
        <x:v>Confirm product demand, accessible HS line, counterparties, delivered spread, cash conversion and legal clearance.</x:v>
      </x:c>
    </x:row>
    <x:row r="17" ht="60" customHeight="1">
      <x:c r="A17" s="2" t="str">
        <x:v>BGD</x:v>
      </x:c>
      <x:c r="B17" s="2" t="str">
        <x:v>Bangladesh</x:v>
      </x:c>
      <x:c r="C17" s="2" t="str">
        <x:v>Asia</x:v>
      </x:c>
      <x:c r="D17" s="2" t="str">
        <x:v>050</x:v>
      </x:c>
      <x:c r="E17" s="2" t="str">
        <x:v>Member state</x:v>
      </x:c>
      <x:c r="F17" s="2" t="n">
        <x:v>177818044</x:v>
      </x:c>
      <x:c r="G17" s="2" t="n">
        <x:v>186072407</x:v>
      </x:c>
      <x:c r="H17" s="2" t="n">
        <x:v>195130372</x:v>
      </x:c>
      <x:c r="I17" s="2" t="n">
        <x:v>202589429</x:v>
      </x:c>
      <x:c r="J17" s="2" t="n">
        <x:v>209029594</x:v>
      </x:c>
      <x:c r="K17" s="2" t="n">
        <x:v>214709097</x:v>
      </x:c>
      <x:c r="L17" s="2" t="n">
        <x:v>215750555</x:v>
      </x:c>
      <x:c r="M17" s="2" t="str">
        <x:v>trade</x:v>
      </x:c>
      <x:c r="N17" s="2" t="str">
        <x:v>Review existing operation</x:v>
      </x:c>
      <x:c r="O17" s="2" t="str">
        <x:v>Disclosed location in June-2026 factsheet</x:v>
      </x:c>
      <x:c r="P17" s="2" t="str">
        <x:v>Staple trade, product selection pending</x:v>
      </x:c>
      <x:c r="Q17" s="2" t="str">
        <x:v>Confirm product demand, accessible HS line, counterparties, delivered spread, cash conversion and legal clearance.</x:v>
      </x:c>
    </x:row>
    <x:row r="18" ht="60" customHeight="1">
      <x:c r="A18" s="2" t="str">
        <x:v>BRB</x:v>
      </x:c>
      <x:c r="B18" s="2" t="str">
        <x:v>Barbados</x:v>
      </x:c>
      <x:c r="C18" s="2" t="str">
        <x:v>Americas</x:v>
      </x:c>
      <x:c r="D18" s="2" t="str">
        <x:v>052</x:v>
      </x:c>
      <x:c r="E18" s="2" t="str">
        <x:v>Member state</x:v>
      </x:c>
      <x:c r="F18" s="2" t="n">
        <x:v>282724</x:v>
      </x:c>
      <x:c r="G18" s="2" t="n">
        <x:v>282490</x:v>
      </x:c>
      <x:c r="H18" s="2" t="n">
        <x:v>280342</x:v>
      </x:c>
      <x:c r="I18" s="2" t="n">
        <x:v>276346</x:v>
      </x:c>
      <x:c r="J18" s="2" t="n">
        <x:v>270774</x:v>
      </x:c>
      <x:c r="K18" s="2" t="n">
        <x:v>264216</x:v>
      </x:c>
      <x:c r="L18" s="2" t="n">
        <x:v>262867</x:v>
      </x:c>
      <x:c r="M18" s="2" t="str">
        <x:v>trade</x:v>
      </x:c>
      <x:c r="N18" s="2" t="str">
        <x:v>Watch regional trade</x:v>
      </x:c>
      <x:c r="O18" s="2" t="str">
        <x:v>Not verified, absence not inferred</x:v>
      </x:c>
      <x:c r="P18" s="2" t="str">
        <x:v>Staple trade, product selection pending</x:v>
      </x:c>
      <x:c r="Q18" s="2" t="str">
        <x:v>Confirm product demand, accessible HS line, counterparties, delivered spread, cash conversion and legal clearance.</x:v>
      </x:c>
    </x:row>
    <x:row r="19" ht="60" customHeight="1">
      <x:c r="A19" s="2" t="str">
        <x:v>BLR</x:v>
      </x:c>
      <x:c r="B19" s="2" t="str">
        <x:v>Belarus</x:v>
      </x:c>
      <x:c r="C19" s="2" t="str">
        <x:v>Europe</x:v>
      </x:c>
      <x:c r="D19" s="2" t="str">
        <x:v>112</x:v>
      </x:c>
      <x:c r="E19" s="2" t="str">
        <x:v>Member state</x:v>
      </x:c>
      <x:c r="F19" s="2" t="n">
        <x:v>8937018</x:v>
      </x:c>
      <x:c r="G19" s="2" t="n">
        <x:v>8687632</x:v>
      </x:c>
      <x:c r="H19" s="2" t="n">
        <x:v>8372271.000000001</x:v>
      </x:c>
      <x:c r="I19" s="2" t="n">
        <x:v>8064466</x:v>
      </x:c>
      <x:c r="J19" s="2" t="n">
        <x:v>7763466</x:v>
      </x:c>
      <x:c r="K19" s="2" t="n">
        <x:v>7453546</x:v>
      </x:c>
      <x:c r="L19" s="2" t="n">
        <x:v>7388575</x:v>
      </x:c>
      <x:c r="M19" s="2" t="str">
        <x:v>trade</x:v>
      </x:c>
      <x:c r="N19" s="2" t="str">
        <x:v>Watch customer specialization</x:v>
      </x:c>
      <x:c r="O19" s="2" t="str">
        <x:v>Not verified, absence not inferred</x:v>
      </x:c>
      <x:c r="P19" s="2" t="str">
        <x:v>Staple trade, product selection pending</x:v>
      </x:c>
      <x:c r="Q19" s="2" t="str">
        <x:v>Confirm product demand, accessible HS line, counterparties, delivered spread, cash conversion and legal clearance.</x:v>
      </x:c>
    </x:row>
    <x:row r="20" ht="60" customHeight="1">
      <x:c r="A20" s="2" t="str">
        <x:v>BEL</x:v>
      </x:c>
      <x:c r="B20" s="2" t="str">
        <x:v>Belgium</x:v>
      </x:c>
      <x:c r="C20" s="2" t="str">
        <x:v>Europe</x:v>
      </x:c>
      <x:c r="D20" s="2" t="str">
        <x:v>056</x:v>
      </x:c>
      <x:c r="E20" s="2" t="str">
        <x:v>Member state</x:v>
      </x:c>
      <x:c r="F20" s="2" t="n">
        <x:v>11774642</x:v>
      </x:c>
      <x:c r="G20" s="2" t="n">
        <x:v>11824141</x:v>
      </x:c>
      <x:c r="H20" s="2" t="n">
        <x:v>11863585</x:v>
      </x:c>
      <x:c r="I20" s="2" t="n">
        <x:v>11892204</x:v>
      </x:c>
      <x:c r="J20" s="2" t="n">
        <x:v>11900984</x:v>
      </x:c>
      <x:c r="K20" s="2" t="n">
        <x:v>11870906</x:v>
      </x:c>
      <x:c r="L20" s="2" t="n">
        <x:v>11859003</x:v>
      </x:c>
      <x:c r="M20" s="2" t="str">
        <x:v>trade</x:v>
      </x:c>
      <x:c r="N20" s="2" t="str">
        <x:v>Watch product/corridor opportunity</x:v>
      </x:c>
      <x:c r="O20" s="2" t="str">
        <x:v>Not verified, absence not inferred</x:v>
      </x:c>
      <x:c r="P20" s="2" t="str">
        <x:v>Staple trade, product selection pending</x:v>
      </x:c>
      <x:c r="Q20" s="2" t="str">
        <x:v>Confirm product demand, accessible HS line, counterparties, delivered spread, cash conversion and legal clearance.</x:v>
      </x:c>
    </x:row>
    <x:row r="21" ht="60" customHeight="1">
      <x:c r="A21" s="2" t="str">
        <x:v>BLZ</x:v>
      </x:c>
      <x:c r="B21" s="2" t="str">
        <x:v>Belize</x:v>
      </x:c>
      <x:c r="C21" s="2" t="str">
        <x:v>Americas</x:v>
      </x:c>
      <x:c r="D21" s="2" t="str">
        <x:v>084</x:v>
      </x:c>
      <x:c r="E21" s="2" t="str">
        <x:v>Member state</x:v>
      </x:c>
      <x:c r="F21" s="2" t="n">
        <x:v>428644</x:v>
      </x:c>
      <x:c r="G21" s="2" t="n">
        <x:v>449839</x:v>
      </x:c>
      <x:c r="H21" s="2" t="n">
        <x:v>473132</x:v>
      </x:c>
      <x:c r="I21" s="2" t="n">
        <x:v>491595</x:v>
      </x:c>
      <x:c r="J21" s="2" t="n">
        <x:v>505700</x:v>
      </x:c>
      <x:c r="K21" s="2" t="n">
        <x:v>516626.99999999994</x:v>
      </x:c>
      <x:c r="L21" s="2" t="n">
        <x:v>518385.99999999994</x:v>
      </x:c>
      <x:c r="M21" s="2" t="str">
        <x:v>trade</x:v>
      </x:c>
      <x:c r="N21" s="2" t="str">
        <x:v>Watch regional trade</x:v>
      </x:c>
      <x:c r="O21" s="2" t="str">
        <x:v>Not verified, absence not inferred</x:v>
      </x:c>
      <x:c r="P21" s="2" t="str">
        <x:v>Staple trade, product selection pending</x:v>
      </x:c>
      <x:c r="Q21" s="2" t="str">
        <x:v>Confirm product demand, accessible HS line, counterparties, delivered spread, cash conversion and legal clearance.</x:v>
      </x:c>
    </x:row>
    <x:row r="22" ht="60" customHeight="1">
      <x:c r="A22" s="2" t="str">
        <x:v>BEN</x:v>
      </x:c>
      <x:c r="B22" s="2" t="str">
        <x:v>Benin</x:v>
      </x:c>
      <x:c r="C22" s="2" t="str">
        <x:v>Africa</x:v>
      </x:c>
      <x:c r="D22" s="2" t="str">
        <x:v>204</x:v>
      </x:c>
      <x:c r="E22" s="2" t="str">
        <x:v>Member state</x:v>
      </x:c>
      <x:c r="F22" s="2" t="n">
        <x:v>15170419</x:v>
      </x:c>
      <x:c r="G22" s="2" t="n">
        <x:v>16618822</x:v>
      </x:c>
      <x:c r="H22" s="2" t="n">
        <x:v>18492631</x:v>
      </x:c>
      <x:c r="I22" s="2" t="n">
        <x:v>20445760</x:v>
      </x:c>
      <x:c r="J22" s="2" t="n">
        <x:v>22443646</x:v>
      </x:c>
      <x:c r="K22" s="2" t="n">
        <x:v>24433809</x:v>
      </x:c>
      <x:c r="L22" s="2" t="n">
        <x:v>24827844</x:v>
      </x:c>
      <x:c r="M22" s="2" t="str">
        <x:v>trade</x:v>
      </x:c>
      <x:c r="N22" s="2" t="str">
        <x:v>Watch product/corridor opportunity</x:v>
      </x:c>
      <x:c r="O22" s="2" t="str">
        <x:v>Not verified, absence not inferred</x:v>
      </x:c>
      <x:c r="P22" s="2" t="str">
        <x:v>Staple trade, product selection pending</x:v>
      </x:c>
      <x:c r="Q22" s="2" t="str">
        <x:v>Confirm product demand, accessible HS line, counterparties, delivered spread, cash conversion and legal clearance.</x:v>
      </x:c>
    </x:row>
    <x:row r="23" ht="60" customHeight="1">
      <x:c r="A23" s="2" t="str">
        <x:v>BTN</x:v>
      </x:c>
      <x:c r="B23" s="2" t="str">
        <x:v>Bhutan</x:v>
      </x:c>
      <x:c r="C23" s="2" t="str">
        <x:v>Asia</x:v>
      </x:c>
      <x:c r="D23" s="2" t="str">
        <x:v>064</x:v>
      </x:c>
      <x:c r="E23" s="2" t="str">
        <x:v>Member state</x:v>
      </x:c>
      <x:c r="F23" s="2" t="n">
        <x:v>802214</x:v>
      </x:c>
      <x:c r="G23" s="2" t="n">
        <x:v>820694</x:v>
      </x:c>
      <x:c r="H23" s="2" t="n">
        <x:v>843202</x:v>
      </x:c>
      <x:c r="I23" s="2" t="n">
        <x:v>862129</x:v>
      </x:c>
      <x:c r="J23" s="2" t="n">
        <x:v>876173</x:v>
      </x:c>
      <x:c r="K23" s="2" t="n">
        <x:v>882340</x:v>
      </x:c>
      <x:c r="L23" s="2" t="n">
        <x:v>883389</x:v>
      </x:c>
      <x:c r="M23" s="2" t="str">
        <x:v>trade</x:v>
      </x:c>
      <x:c r="N23" s="2" t="str">
        <x:v>Watch regional trade</x:v>
      </x:c>
      <x:c r="O23" s="2" t="str">
        <x:v>Not verified, absence not inferred</x:v>
      </x:c>
      <x:c r="P23" s="2" t="str">
        <x:v>Staple trade, product selection pending</x:v>
      </x:c>
      <x:c r="Q23" s="2" t="str">
        <x:v>Confirm product demand, accessible HS line, counterparties, delivered spread, cash conversion and legal clearance.</x:v>
      </x:c>
    </x:row>
    <x:row r="24" ht="60" customHeight="1">
      <x:c r="A24" s="2" t="str">
        <x:v>BOL</x:v>
      </x:c>
      <x:c r="B24" s="2" t="str">
        <x:v>Bolivia (Plurinational State of)</x:v>
      </x:c>
      <x:c r="C24" s="2" t="str">
        <x:v>Americas</x:v>
      </x:c>
      <x:c r="D24" s="2" t="str">
        <x:v>068</x:v>
      </x:c>
      <x:c r="E24" s="2" t="str">
        <x:v>Member state</x:v>
      </x:c>
      <x:c r="F24" s="2" t="n">
        <x:v>12749291</x:v>
      </x:c>
      <x:c r="G24" s="2" t="n">
        <x:v>13405564</x:v>
      </x:c>
      <x:c r="H24" s="2" t="n">
        <x:v>14183823</x:v>
      </x:c>
      <x:c r="I24" s="2" t="n">
        <x:v>14899397</x:v>
      </x:c>
      <x:c r="J24" s="2" t="n">
        <x:v>15542791</x:v>
      </x:c>
      <x:c r="K24" s="2" t="n">
        <x:v>16110162</x:v>
      </x:c>
      <x:c r="L24" s="2" t="n">
        <x:v>16214293</x:v>
      </x:c>
      <x:c r="M24" s="2" t="str">
        <x:v>trade</x:v>
      </x:c>
      <x:c r="N24" s="2" t="str">
        <x:v>Watch product/corridor opportunity</x:v>
      </x:c>
      <x:c r="O24" s="2" t="str">
        <x:v>Not verified, absence not inferred</x:v>
      </x:c>
      <x:c r="P24" s="2" t="str">
        <x:v>Staple trade, product selection pending</x:v>
      </x:c>
      <x:c r="Q24" s="2" t="str">
        <x:v>Confirm product demand, accessible HS line, counterparties, delivered spread, cash conversion and legal clearance.</x:v>
      </x:c>
    </x:row>
    <x:row r="25" ht="60" customHeight="1">
      <x:c r="A25" s="2" t="str">
        <x:v>BIH</x:v>
      </x:c>
      <x:c r="B25" s="2" t="str">
        <x:v>Bosnia and Herzegovina</x:v>
      </x:c>
      <x:c r="C25" s="2" t="str">
        <x:v>Europe</x:v>
      </x:c>
      <x:c r="D25" s="2" t="str">
        <x:v>070</x:v>
      </x:c>
      <x:c r="E25" s="2" t="str">
        <x:v>Member state</x:v>
      </x:c>
      <x:c r="F25" s="2" t="n">
        <x:v>3114242</x:v>
      </x:c>
      <x:c r="G25" s="2" t="n">
        <x:v>3013974</x:v>
      </x:c>
      <x:c r="H25" s="2" t="n">
        <x:v>2881542</x:v>
      </x:c>
      <x:c r="I25" s="2" t="n">
        <x:v>2745010</x:v>
      </x:c>
      <x:c r="J25" s="2" t="n">
        <x:v>2599927</x:v>
      </x:c>
      <x:c r="K25" s="2" t="n">
        <x:v>2455167</x:v>
      </x:c>
      <x:c r="L25" s="2" t="n">
        <x:v>2426282</x:v>
      </x:c>
      <x:c r="M25" s="2" t="str">
        <x:v>trade</x:v>
      </x:c>
      <x:c r="N25" s="2" t="str">
        <x:v>Watch customer specialization</x:v>
      </x:c>
      <x:c r="O25" s="2" t="str">
        <x:v>Not verified, absence not inferred</x:v>
      </x:c>
      <x:c r="P25" s="2" t="str">
        <x:v>Staple trade, product selection pending</x:v>
      </x:c>
      <x:c r="Q25" s="2" t="str">
        <x:v>Confirm product demand, accessible HS line, counterparties, delivered spread, cash conversion and legal clearance.</x:v>
      </x:c>
    </x:row>
    <x:row r="26" ht="60" customHeight="1">
      <x:c r="A26" s="2" t="str">
        <x:v>BWA</x:v>
      </x:c>
      <x:c r="B26" s="2" t="str">
        <x:v>Botswana</x:v>
      </x:c>
      <x:c r="C26" s="2" t="str">
        <x:v>Africa</x:v>
      </x:c>
      <x:c r="D26" s="2" t="str">
        <x:v>072</x:v>
      </x:c>
      <x:c r="E26" s="2" t="str">
        <x:v>Member state</x:v>
      </x:c>
      <x:c r="F26" s="2" t="n">
        <x:v>2603388</x:v>
      </x:c>
      <x:c r="G26" s="2" t="n">
        <x:v>2765918</x:v>
      </x:c>
      <x:c r="H26" s="2" t="n">
        <x:v>2954414</x:v>
      </x:c>
      <x:c r="I26" s="2" t="n">
        <x:v>3126640</x:v>
      </x:c>
      <x:c r="J26" s="2" t="n">
        <x:v>3285301</x:v>
      </x:c>
      <x:c r="K26" s="2" t="n">
        <x:v>3437430</x:v>
      </x:c>
      <x:c r="L26" s="2" t="n">
        <x:v>3465409</x:v>
      </x:c>
      <x:c r="M26" s="2" t="str">
        <x:v>trade</x:v>
      </x:c>
      <x:c r="N26" s="2" t="str">
        <x:v>Watch product/corridor opportunity</x:v>
      </x:c>
      <x:c r="O26" s="2" t="str">
        <x:v>Not verified, absence not inferred</x:v>
      </x:c>
      <x:c r="P26" s="2" t="str">
        <x:v>Staple trade, product selection pending</x:v>
      </x:c>
      <x:c r="Q26" s="2" t="str">
        <x:v>Confirm product demand, accessible HS line, counterparties, delivered spread, cash conversion and legal clearance.</x:v>
      </x:c>
    </x:row>
    <x:row r="27" ht="60" customHeight="1">
      <x:c r="A27" s="2" t="str">
        <x:v>BRA</x:v>
      </x:c>
      <x:c r="B27" s="2" t="str">
        <x:v>Brazil</x:v>
      </x:c>
      <x:c r="C27" s="2" t="str">
        <x:v>Americas</x:v>
      </x:c>
      <x:c r="D27" s="2" t="str">
        <x:v>076</x:v>
      </x:c>
      <x:c r="E27" s="2" t="str">
        <x:v>Member state</x:v>
      </x:c>
      <x:c r="F27" s="2" t="n">
        <x:v>213562666</x:v>
      </x:c>
      <x:c r="G27" s="2" t="n">
        <x:v>216074411</x:v>
      </x:c>
      <x:c r="H27" s="2" t="n">
        <x:v>218199707</x:v>
      </x:c>
      <x:c r="I27" s="2" t="n">
        <x:v>219237084</x:v>
      </x:c>
      <x:c r="J27" s="2" t="n">
        <x:v>219026196</x:v>
      </x:c>
      <x:c r="K27" s="2" t="n">
        <x:v>217489299</x:v>
      </x:c>
      <x:c r="L27" s="2" t="n">
        <x:v>217040324</x:v>
      </x:c>
      <x:c r="M27" s="2" t="str">
        <x:v>trade</x:v>
      </x:c>
      <x:c r="N27" s="2" t="str">
        <x:v>Diligence priority</x:v>
      </x:c>
      <x:c r="O27" s="2" t="str">
        <x:v>Disclosed location in June-2026 factsheet</x:v>
      </x:c>
      <x:c r="P27" s="2" t="str">
        <x:v>Grains and oilseeds</x:v>
      </x:c>
      <x:c r="Q27" s="2" t="str">
        <x:v>Map common weather, port and financing exposure before claiming diversification.</x:v>
      </x:c>
    </x:row>
    <x:row r="28" ht="60" customHeight="1">
      <x:c r="A28" s="2" t="str">
        <x:v>BRN</x:v>
      </x:c>
      <x:c r="B28" s="2" t="str">
        <x:v>Brunei Darussalam</x:v>
      </x:c>
      <x:c r="C28" s="2" t="str">
        <x:v>Asia</x:v>
      </x:c>
      <x:c r="D28" s="2" t="str">
        <x:v>096</x:v>
      </x:c>
      <x:c r="E28" s="2" t="str">
        <x:v>Member state</x:v>
      </x:c>
      <x:c r="F28" s="2" t="n">
        <x:v>469775</x:v>
      </x:c>
      <x:c r="G28" s="2" t="n">
        <x:v>482447</x:v>
      </x:c>
      <x:c r="H28" s="2" t="n">
        <x:v>495290</x:v>
      </x:c>
      <x:c r="I28" s="2" t="n">
        <x:v>505976</x:v>
      </x:c>
      <x:c r="J28" s="2" t="n">
        <x:v>514052</x:v>
      </x:c>
      <x:c r="K28" s="2" t="n">
        <x:v>519551.00000000006</x:v>
      </x:c>
      <x:c r="L28" s="2" t="n">
        <x:v>520265.99999999994</x:v>
      </x:c>
      <x:c r="M28" s="2" t="str">
        <x:v>trade</x:v>
      </x:c>
      <x:c r="N28" s="2" t="str">
        <x:v>Watch regional trade</x:v>
      </x:c>
      <x:c r="O28" s="2" t="str">
        <x:v>Not verified, absence not inferred</x:v>
      </x:c>
      <x:c r="P28" s="2" t="str">
        <x:v>Staple trade, product selection pending</x:v>
      </x:c>
      <x:c r="Q28" s="2" t="str">
        <x:v>Confirm product demand, accessible HS line, counterparties, delivered spread, cash conversion and legal clearance.</x:v>
      </x:c>
    </x:row>
    <x:row r="29" ht="60" customHeight="1">
      <x:c r="A29" s="2" t="str">
        <x:v>BGR</x:v>
      </x:c>
      <x:c r="B29" s="2" t="str">
        <x:v>Bulgaria</x:v>
      </x:c>
      <x:c r="C29" s="2" t="str">
        <x:v>Europe</x:v>
      </x:c>
      <x:c r="D29" s="2" t="str">
        <x:v>100</x:v>
      </x:c>
      <x:c r="E29" s="2" t="str">
        <x:v>Member state</x:v>
      </x:c>
      <x:c r="F29" s="2" t="n">
        <x:v>6667659</x:v>
      </x:c>
      <x:c r="G29" s="2" t="n">
        <x:v>6458243</x:v>
      </x:c>
      <x:c r="H29" s="2" t="n">
        <x:v>6183114</x:v>
      </x:c>
      <x:c r="I29" s="2" t="n">
        <x:v>5907728</x:v>
      </x:c>
      <x:c r="J29" s="2" t="n">
        <x:v>5648256</x:v>
      </x:c>
      <x:c r="K29" s="2" t="n">
        <x:v>5402217</x:v>
      </x:c>
      <x:c r="L29" s="2" t="n">
        <x:v>5354139</x:v>
      </x:c>
      <x:c r="M29" s="2" t="str">
        <x:v>trade</x:v>
      </x:c>
      <x:c r="N29" s="2" t="str">
        <x:v>Watch customer specialization</x:v>
      </x:c>
      <x:c r="O29" s="2" t="str">
        <x:v>Not verified, absence not inferred</x:v>
      </x:c>
      <x:c r="P29" s="2" t="str">
        <x:v>Staple trade, product selection pending</x:v>
      </x:c>
      <x:c r="Q29" s="2" t="str">
        <x:v>Confirm product demand, accessible HS line, counterparties, delivered spread, cash conversion and legal clearance.</x:v>
      </x:c>
    </x:row>
    <x:row r="30" ht="60" customHeight="1">
      <x:c r="A30" s="2" t="str">
        <x:v>BFA</x:v>
      </x:c>
      <x:c r="B30" s="2" t="str">
        <x:v>Burkina Faso</x:v>
      </x:c>
      <x:c r="C30" s="2" t="str">
        <x:v>Africa</x:v>
      </x:c>
      <x:c r="D30" s="2" t="str">
        <x:v>854</x:v>
      </x:c>
      <x:c r="E30" s="2" t="str">
        <x:v>Member state</x:v>
      </x:c>
      <x:c r="F30" s="2" t="n">
        <x:v>24601700</x:v>
      </x:c>
      <x:c r="G30" s="2" t="n">
        <x:v>26730324</x:v>
      </x:c>
      <x:c r="H30" s="2" t="n">
        <x:v>29469746</x:v>
      </x:c>
      <x:c r="I30" s="2" t="n">
        <x:v>32193645</x:v>
      </x:c>
      <x:c r="J30" s="2" t="n">
        <x:v>34829690</x:v>
      </x:c>
      <x:c r="K30" s="2" t="n">
        <x:v>37304383</x:v>
      </x:c>
      <x:c r="L30" s="2" t="n">
        <x:v>37777225</x:v>
      </x:c>
      <x:c r="M30" s="2" t="str">
        <x:v>trade</x:v>
      </x:c>
      <x:c r="N30" s="2" t="str">
        <x:v>Watch product/corridor opportunity</x:v>
      </x:c>
      <x:c r="O30" s="2" t="str">
        <x:v>Not verified, absence not inferred</x:v>
      </x:c>
      <x:c r="P30" s="2" t="str">
        <x:v>Staple trade, product selection pending</x:v>
      </x:c>
      <x:c r="Q30" s="2" t="str">
        <x:v>Confirm product demand, accessible HS line, counterparties, delivered spread, cash conversion and legal clearance.</x:v>
      </x:c>
    </x:row>
    <x:row r="31" ht="60" customHeight="1">
      <x:c r="A31" s="2" t="str">
        <x:v>BDI</x:v>
      </x:c>
      <x:c r="B31" s="2" t="str">
        <x:v>Burundi</x:v>
      </x:c>
      <x:c r="C31" s="2" t="str">
        <x:v>Africa</x:v>
      </x:c>
      <x:c r="D31" s="2" t="str">
        <x:v>108</x:v>
      </x:c>
      <x:c r="E31" s="2" t="str">
        <x:v>Member state</x:v>
      </x:c>
      <x:c r="F31" s="2" t="n">
        <x:v>14729157</x:v>
      </x:c>
      <x:c r="G31" s="2" t="n">
        <x:v>16182016</x:v>
      </x:c>
      <x:c r="H31" s="2" t="n">
        <x:v>18085841</x:v>
      </x:c>
      <x:c r="I31" s="2" t="n">
        <x:v>20131318</x:v>
      </x:c>
      <x:c r="J31" s="2" t="n">
        <x:v>22197887</x:v>
      </x:c>
      <x:c r="K31" s="2" t="n">
        <x:v>24131720</x:v>
      </x:c>
      <x:c r="L31" s="2" t="n">
        <x:v>24498523</x:v>
      </x:c>
      <x:c r="M31" s="2" t="str">
        <x:v>trade</x:v>
      </x:c>
      <x:c r="N31" s="2" t="str">
        <x:v>Watch product/corridor opportunity</x:v>
      </x:c>
      <x:c r="O31" s="2" t="str">
        <x:v>Not verified, absence not inferred</x:v>
      </x:c>
      <x:c r="P31" s="2" t="str">
        <x:v>Staple trade, product selection pending</x:v>
      </x:c>
      <x:c r="Q31" s="2" t="str">
        <x:v>Confirm product demand, accessible HS line, counterparties, delivered spread, cash conversion and legal clearance.</x:v>
      </x:c>
    </x:row>
    <x:row r="32" ht="60" customHeight="1">
      <x:c r="A32" s="2" t="str">
        <x:v>CPV</x:v>
      </x:c>
      <x:c r="B32" s="2" t="str">
        <x:v>Cabo Verde</x:v>
      </x:c>
      <x:c r="C32" s="2" t="str">
        <x:v>Africa</x:v>
      </x:c>
      <x:c r="D32" s="2" t="str">
        <x:v>132</x:v>
      </x:c>
      <x:c r="E32" s="2" t="str">
        <x:v>Member state</x:v>
      </x:c>
      <x:c r="F32" s="2" t="n">
        <x:v>529630</x:v>
      </x:c>
      <x:c r="G32" s="2" t="n">
        <x:v>538614</x:v>
      </x:c>
      <x:c r="H32" s="2" t="n">
        <x:v>548591</x:v>
      </x:c>
      <x:c r="I32" s="2" t="n">
        <x:v>557374</x:v>
      </x:c>
      <x:c r="J32" s="2" t="n">
        <x:v>563476</x:v>
      </x:c>
      <x:c r="K32" s="2" t="n">
        <x:v>566134</x:v>
      </x:c>
      <x:c r="L32" s="2" t="n">
        <x:v>566201</x:v>
      </x:c>
      <x:c r="M32" s="2" t="str">
        <x:v>trade</x:v>
      </x:c>
      <x:c r="N32" s="2" t="str">
        <x:v>Watch regional trade</x:v>
      </x:c>
      <x:c r="O32" s="2" t="str">
        <x:v>Not verified, absence not inferred</x:v>
      </x:c>
      <x:c r="P32" s="2" t="str">
        <x:v>Staple trade, product selection pending</x:v>
      </x:c>
      <x:c r="Q32" s="2" t="str">
        <x:v>Confirm product demand, accessible HS line, counterparties, delivered spread, cash conversion and legal clearance.</x:v>
      </x:c>
    </x:row>
    <x:row r="33" ht="60" customHeight="1">
      <x:c r="A33" s="2" t="str">
        <x:v>KHM</x:v>
      </x:c>
      <x:c r="B33" s="2" t="str">
        <x:v>Cambodia</x:v>
      </x:c>
      <x:c r="C33" s="2" t="str">
        <x:v>Asia</x:v>
      </x:c>
      <x:c r="D33" s="2" t="str">
        <x:v>116</x:v>
      </x:c>
      <x:c r="E33" s="2" t="str">
        <x:v>Member state</x:v>
      </x:c>
      <x:c r="F33" s="2" t="n">
        <x:v>18051219</x:v>
      </x:c>
      <x:c r="G33" s="2" t="n">
        <x:v>18827388</x:v>
      </x:c>
      <x:c r="H33" s="2" t="n">
        <x:v>19720141</x:v>
      </x:c>
      <x:c r="I33" s="2" t="n">
        <x:v>20540682</x:v>
      </x:c>
      <x:c r="J33" s="2" t="n">
        <x:v>21286237</x:v>
      </x:c>
      <x:c r="K33" s="2" t="n">
        <x:v>21931455</x:v>
      </x:c>
      <x:c r="L33" s="2" t="n">
        <x:v>22045831</x:v>
      </x:c>
      <x:c r="M33" s="2" t="str">
        <x:v>trade</x:v>
      </x:c>
      <x:c r="N33" s="2" t="str">
        <x:v>Watch product/corridor opportunity</x:v>
      </x:c>
      <x:c r="O33" s="2" t="str">
        <x:v>Not verified, absence not inferred</x:v>
      </x:c>
      <x:c r="P33" s="2" t="str">
        <x:v>Staple trade, product selection pending</x:v>
      </x:c>
      <x:c r="Q33" s="2" t="str">
        <x:v>Confirm product demand, accessible HS line, counterparties, delivered spread, cash conversion and legal clearance.</x:v>
      </x:c>
    </x:row>
    <x:row r="34" ht="60" customHeight="1">
      <x:c r="A34" s="2" t="str">
        <x:v>CMR</x:v>
      </x:c>
      <x:c r="B34" s="2" t="str">
        <x:v>Cameroon</x:v>
      </x:c>
      <x:c r="C34" s="2" t="str">
        <x:v>Africa</x:v>
      </x:c>
      <x:c r="D34" s="2" t="str">
        <x:v>120</x:v>
      </x:c>
      <x:c r="E34" s="2" t="str">
        <x:v>Member state</x:v>
      </x:c>
      <x:c r="F34" s="2" t="n">
        <x:v>30640817</x:v>
      </x:c>
      <x:c r="G34" s="2" t="n">
        <x:v>33777190</x:v>
      </x:c>
      <x:c r="H34" s="2" t="n">
        <x:v>37893818</x:v>
      </x:c>
      <x:c r="I34" s="2" t="n">
        <x:v>42208003</x:v>
      </x:c>
      <x:c r="J34" s="2" t="n">
        <x:v>46629039</x:v>
      </x:c>
      <x:c r="K34" s="2" t="n">
        <x:v>51096317</x:v>
      </x:c>
      <x:c r="L34" s="2" t="n">
        <x:v>51989016</x:v>
      </x:c>
      <x:c r="M34" s="2" t="str">
        <x:v>partner</x:v>
      </x:c>
      <x:c r="N34" s="2" t="str">
        <x:v>Diligence priority</x:v>
      </x:c>
      <x:c r="O34" s="2" t="str">
        <x:v>Disclosed location in June-2026 factsheet</x:v>
      </x:c>
      <x:c r="P34" s="2" t="str">
        <x:v>Flour and rice</x:v>
      </x:c>
      <x:c r="Q34" s="2" t="str">
        <x:v>Measure late payments, delivery reliability and product-specific duties.</x:v>
      </x:c>
    </x:row>
    <x:row r="35" ht="60" customHeight="1">
      <x:c r="A35" s="2" t="str">
        <x:v>CAN</x:v>
      </x:c>
      <x:c r="B35" s="2" t="str">
        <x:v>Canada</x:v>
      </x:c>
      <x:c r="C35" s="2" t="str">
        <x:v>Americas</x:v>
      </x:c>
      <x:c r="D35" s="2" t="str">
        <x:v>124</x:v>
      </x:c>
      <x:c r="E35" s="2" t="str">
        <x:v>Member state</x:v>
      </x:c>
      <x:c r="F35" s="2" t="n">
        <x:v>40467728</x:v>
      </x:c>
      <x:c r="G35" s="2" t="n">
        <x:v>41655589</x:v>
      </x:c>
      <x:c r="H35" s="2" t="n">
        <x:v>42905267</x:v>
      </x:c>
      <x:c r="I35" s="2" t="n">
        <x:v>43951417</x:v>
      </x:c>
      <x:c r="J35" s="2" t="n">
        <x:v>44850096</x:v>
      </x:c>
      <x:c r="K35" s="2" t="n">
        <x:v>45621882</x:v>
      </x:c>
      <x:c r="L35" s="2" t="n">
        <x:v>45771463</x:v>
      </x:c>
      <x:c r="M35" s="2" t="str">
        <x:v>trade</x:v>
      </x:c>
      <x:c r="N35" s="2" t="str">
        <x:v>Watch product/corridor opportunity</x:v>
      </x:c>
      <x:c r="O35" s="2" t="str">
        <x:v>Not verified, absence not inferred</x:v>
      </x:c>
      <x:c r="P35" s="2" t="str">
        <x:v>Staple trade, product selection pending</x:v>
      </x:c>
      <x:c r="Q35" s="2" t="str">
        <x:v>Confirm product demand, accessible HS line, counterparties, delivered spread, cash conversion and legal clearance.</x:v>
      </x:c>
    </x:row>
    <x:row r="36" ht="60" customHeight="1">
      <x:c r="A36" s="2" t="str">
        <x:v>CAF</x:v>
      </x:c>
      <x:c r="B36" s="2" t="str">
        <x:v>Central African Republic</x:v>
      </x:c>
      <x:c r="C36" s="2" t="str">
        <x:v>Africa</x:v>
      </x:c>
      <x:c r="D36" s="2" t="str">
        <x:v>140</x:v>
      </x:c>
      <x:c r="E36" s="2" t="str">
        <x:v>Member state</x:v>
      </x:c>
      <x:c r="F36" s="2" t="n">
        <x:v>5698984</x:v>
      </x:c>
      <x:c r="G36" s="2" t="n">
        <x:v>6478245</x:v>
      </x:c>
      <x:c r="H36" s="2" t="n">
        <x:v>7502587</x:v>
      </x:c>
      <x:c r="I36" s="2" t="n">
        <x:v>8526455</x:v>
      </x:c>
      <x:c r="J36" s="2" t="n">
        <x:v>9550893</x:v>
      </x:c>
      <x:c r="K36" s="2" t="n">
        <x:v>10616753</x:v>
      </x:c>
      <x:c r="L36" s="2" t="n">
        <x:v>10834361</x:v>
      </x:c>
      <x:c r="M36" s="2" t="str">
        <x:v>trade</x:v>
      </x:c>
      <x:c r="N36" s="2" t="str">
        <x:v>Watch product/corridor opportunity</x:v>
      </x:c>
      <x:c r="O36" s="2" t="str">
        <x:v>Not verified, absence not inferred</x:v>
      </x:c>
      <x:c r="P36" s="2" t="str">
        <x:v>Staple trade, product selection pending</x:v>
      </x:c>
      <x:c r="Q36" s="2" t="str">
        <x:v>Confirm product demand, accessible HS line, counterparties, delivered spread, cash conversion and legal clearance.</x:v>
      </x:c>
    </x:row>
    <x:row r="37" ht="60" customHeight="1">
      <x:c r="A37" s="2" t="str">
        <x:v>TCD</x:v>
      </x:c>
      <x:c r="B37" s="2" t="str">
        <x:v>Chad</x:v>
      </x:c>
      <x:c r="C37" s="2" t="str">
        <x:v>Africa</x:v>
      </x:c>
      <x:c r="D37" s="2" t="str">
        <x:v>148</x:v>
      </x:c>
      <x:c r="E37" s="2" t="str">
        <x:v>Member state</x:v>
      </x:c>
      <x:c r="F37" s="2" t="n">
        <x:v>21560380</x:v>
      </x:c>
      <x:c r="G37" s="2" t="n">
        <x:v>24207479</x:v>
      </x:c>
      <x:c r="H37" s="2" t="n">
        <x:v>27697279</x:v>
      </x:c>
      <x:c r="I37" s="2" t="n">
        <x:v>31307342</x:v>
      </x:c>
      <x:c r="J37" s="2" t="n">
        <x:v>35026393</x:v>
      </x:c>
      <x:c r="K37" s="2" t="n">
        <x:v>38857686</x:v>
      </x:c>
      <x:c r="L37" s="2" t="n">
        <x:v>39636033</x:v>
      </x:c>
      <x:c r="M37" s="2" t="str">
        <x:v>trade</x:v>
      </x:c>
      <x:c r="N37" s="2" t="str">
        <x:v>Review existing operation</x:v>
      </x:c>
      <x:c r="O37" s="2" t="str">
        <x:v>Disclosed location in June-2026 factsheet</x:v>
      </x:c>
      <x:c r="P37" s="2" t="str">
        <x:v>Staple trade, product selection pending</x:v>
      </x:c>
      <x:c r="Q37" s="2" t="str">
        <x:v>Confirm product demand, accessible HS line, counterparties, delivered spread, cash conversion and legal clearance.</x:v>
      </x:c>
    </x:row>
    <x:row r="38" ht="60" customHeight="1">
      <x:c r="A38" s="2" t="str">
        <x:v>CHL</x:v>
      </x:c>
      <x:c r="B38" s="2" t="str">
        <x:v>Chile</x:v>
      </x:c>
      <x:c r="C38" s="2" t="str">
        <x:v>Americas</x:v>
      </x:c>
      <x:c r="D38" s="2" t="str">
        <x:v>152</x:v>
      </x:c>
      <x:c r="E38" s="2" t="str">
        <x:v>Member state</x:v>
      </x:c>
      <x:c r="F38" s="2" t="n">
        <x:v>19945850</x:v>
      </x:c>
      <x:c r="G38" s="2" t="n">
        <x:v>20233183</x:v>
      </x:c>
      <x:c r="H38" s="2" t="n">
        <x:v>20455940</x:v>
      </x:c>
      <x:c r="I38" s="2" t="n">
        <x:v>20542103</x:v>
      </x:c>
      <x:c r="J38" s="2" t="n">
        <x:v>20499138</x:v>
      </x:c>
      <x:c r="K38" s="2" t="n">
        <x:v>20320306</x:v>
      </x:c>
      <x:c r="L38" s="2" t="n">
        <x:v>20269202</x:v>
      </x:c>
      <x:c r="M38" s="2" t="str">
        <x:v>trade</x:v>
      </x:c>
      <x:c r="N38" s="2" t="str">
        <x:v>Watch product/corridor opportunity</x:v>
      </x:c>
      <x:c r="O38" s="2" t="str">
        <x:v>Not verified, absence not inferred</x:v>
      </x:c>
      <x:c r="P38" s="2" t="str">
        <x:v>Staple trade, product selection pending</x:v>
      </x:c>
      <x:c r="Q38" s="2" t="str">
        <x:v>Confirm product demand, accessible HS line, counterparties, delivered spread, cash conversion and legal clearance.</x:v>
      </x:c>
    </x:row>
    <x:row r="39" ht="60" customHeight="1">
      <x:c r="A39" s="2" t="str">
        <x:v>CHN</x:v>
      </x:c>
      <x:c r="B39" s="2" t="str">
        <x:v>China</x:v>
      </x:c>
      <x:c r="C39" s="2" t="str">
        <x:v>Asia</x:v>
      </x:c>
      <x:c r="D39" s="2" t="str">
        <x:v>156</x:v>
      </x:c>
      <x:c r="E39" s="2" t="str">
        <x:v>Member state</x:v>
      </x:c>
      <x:c r="F39" s="2" t="n">
        <x:v>1412914089</x:v>
      </x:c>
      <x:c r="G39" s="2" t="n">
        <x:v>1398153832</x:v>
      </x:c>
      <x:c r="H39" s="2" t="n">
        <x:v>1373427531</x:v>
      </x:c>
      <x:c r="I39" s="2" t="n">
        <x:v>1342816657</x:v>
      </x:c>
      <x:c r="J39" s="2" t="n">
        <x:v>1306113788</x:v>
      </x:c>
      <x:c r="K39" s="2" t="n">
        <x:v>1260289093</x:v>
      </x:c>
      <x:c r="L39" s="2" t="n">
        <x:v>1249692538</x:v>
      </x:c>
      <x:c r="M39" s="2" t="str">
        <x:v>trade</x:v>
      </x:c>
      <x:c r="N39" s="2" t="str">
        <x:v>Review existing operation</x:v>
      </x:c>
      <x:c r="O39" s="2" t="str">
        <x:v>Disclosed location in June-2026 factsheet</x:v>
      </x:c>
      <x:c r="P39" s="2" t="str">
        <x:v>Staple trade, product selection pending</x:v>
      </x:c>
      <x:c r="Q39" s="2" t="str">
        <x:v>Confirm product demand, accessible HS line, counterparties, delivered spread, cash conversion and legal clearance.</x:v>
      </x:c>
    </x:row>
    <x:row r="40" ht="60" customHeight="1">
      <x:c r="A40" s="2" t="str">
        <x:v>COL</x:v>
      </x:c>
      <x:c r="B40" s="2" t="str">
        <x:v>Colombia</x:v>
      </x:c>
      <x:c r="C40" s="2" t="str">
        <x:v>Americas</x:v>
      </x:c>
      <x:c r="D40" s="2" t="str">
        <x:v>170</x:v>
      </x:c>
      <x:c r="E40" s="2" t="str">
        <x:v>Member state</x:v>
      </x:c>
      <x:c r="F40" s="2" t="n">
        <x:v>53936226</x:v>
      </x:c>
      <x:c r="G40" s="2" t="n">
        <x:v>55736475</x:v>
      </x:c>
      <x:c r="H40" s="2" t="n">
        <x:v>57445753</x:v>
      </x:c>
      <x:c r="I40" s="2" t="n">
        <x:v>58576446</x:v>
      </x:c>
      <x:c r="J40" s="2" t="n">
        <x:v>59190823</x:v>
      </x:c>
      <x:c r="K40" s="2" t="n">
        <x:v>59385357</x:v>
      </x:c>
      <x:c r="L40" s="2" t="n">
        <x:v>59382960</x:v>
      </x:c>
      <x:c r="M40" s="2" t="str">
        <x:v>trade</x:v>
      </x:c>
      <x:c r="N40" s="2" t="str">
        <x:v>Watch product/corridor opportunity</x:v>
      </x:c>
      <x:c r="O40" s="2" t="str">
        <x:v>Not verified, absence not inferred</x:v>
      </x:c>
      <x:c r="P40" s="2" t="str">
        <x:v>Staple trade, product selection pending</x:v>
      </x:c>
      <x:c r="Q40" s="2" t="str">
        <x:v>Confirm product demand, accessible HS line, counterparties, delivered spread, cash conversion and legal clearance.</x:v>
      </x:c>
    </x:row>
    <x:row r="41" ht="60" customHeight="1">
      <x:c r="A41" s="2" t="str">
        <x:v>COM</x:v>
      </x:c>
      <x:c r="B41" s="2" t="str">
        <x:v>Comoros</x:v>
      </x:c>
      <x:c r="C41" s="2" t="str">
        <x:v>Africa</x:v>
      </x:c>
      <x:c r="D41" s="2" t="str">
        <x:v>174</x:v>
      </x:c>
      <x:c r="E41" s="2" t="str">
        <x:v>Member state</x:v>
      </x:c>
      <x:c r="F41" s="2" t="n">
        <x:v>899010</x:v>
      </x:c>
      <x:c r="G41" s="2" t="n">
        <x:v>964264</x:v>
      </x:c>
      <x:c r="H41" s="2" t="n">
        <x:v>1047762.9999999999</x:v>
      </x:c>
      <x:c r="I41" s="2" t="n">
        <x:v>1133778</x:v>
      </x:c>
      <x:c r="J41" s="2" t="n">
        <x:v>1221072</x:v>
      </x:c>
      <x:c r="K41" s="2" t="n">
        <x:v>1307558</x:v>
      </x:c>
      <x:c r="L41" s="2" t="n">
        <x:v>1324686</x:v>
      </x:c>
      <x:c r="M41" s="2" t="str">
        <x:v>trade</x:v>
      </x:c>
      <x:c r="N41" s="2" t="str">
        <x:v>Watch regional trade</x:v>
      </x:c>
      <x:c r="O41" s="2" t="str">
        <x:v>Not verified, absence not inferred</x:v>
      </x:c>
      <x:c r="P41" s="2" t="str">
        <x:v>Staple trade, product selection pending</x:v>
      </x:c>
      <x:c r="Q41" s="2" t="str">
        <x:v>Confirm product demand, accessible HS line, counterparties, delivered spread, cash conversion and legal clearance.</x:v>
      </x:c>
    </x:row>
    <x:row r="42" ht="60" customHeight="1">
      <x:c r="A42" s="2" t="str">
        <x:v>COG</x:v>
      </x:c>
      <x:c r="B42" s="2" t="str">
        <x:v>Congo</x:v>
      </x:c>
      <x:c r="C42" s="2" t="str">
        <x:v>Africa</x:v>
      </x:c>
      <x:c r="D42" s="2" t="str">
        <x:v>178</x:v>
      </x:c>
      <x:c r="E42" s="2" t="str">
        <x:v>Member state</x:v>
      </x:c>
      <x:c r="F42" s="2" t="n">
        <x:v>6637785</x:v>
      </x:c>
      <x:c r="G42" s="2" t="n">
        <x:v>7282266</x:v>
      </x:c>
      <x:c r="H42" s="2" t="n">
        <x:v>8160733</x:v>
      </x:c>
      <x:c r="I42" s="2" t="n">
        <x:v>9083971</x:v>
      </x:c>
      <x:c r="J42" s="2" t="n">
        <x:v>10041901</x:v>
      </x:c>
      <x:c r="K42" s="2" t="n">
        <x:v>11006471</x:v>
      </x:c>
      <x:c r="L42" s="2" t="n">
        <x:v>11200449</x:v>
      </x:c>
      <x:c r="M42" s="2" t="str">
        <x:v>trade</x:v>
      </x:c>
      <x:c r="N42" s="2" t="str">
        <x:v>Review existing operation</x:v>
      </x:c>
      <x:c r="O42" s="2" t="str">
        <x:v>Disclosed location in June-2026 factsheet</x:v>
      </x:c>
      <x:c r="P42" s="2" t="str">
        <x:v>Staple trade, product selection pending</x:v>
      </x:c>
      <x:c r="Q42" s="2" t="str">
        <x:v>Confirm product demand, accessible HS line, counterparties, delivered spread, cash conversion and legal clearance.</x:v>
      </x:c>
    </x:row>
    <x:row r="43" ht="60" customHeight="1">
      <x:c r="A43" s="2" t="str">
        <x:v>CRI</x:v>
      </x:c>
      <x:c r="B43" s="2" t="str">
        <x:v>Costa Rica</x:v>
      </x:c>
      <x:c r="C43" s="2" t="str">
        <x:v>Americas</x:v>
      </x:c>
      <x:c r="D43" s="2" t="str">
        <x:v>188</x:v>
      </x:c>
      <x:c r="E43" s="2" t="str">
        <x:v>Member state</x:v>
      </x:c>
      <x:c r="F43" s="2" t="n">
        <x:v>5174789</x:v>
      </x:c>
      <x:c r="G43" s="2" t="n">
        <x:v>5251497</x:v>
      </x:c>
      <x:c r="H43" s="2" t="n">
        <x:v>5324699</x:v>
      </x:c>
      <x:c r="I43" s="2" t="n">
        <x:v>5369806</x:v>
      </x:c>
      <x:c r="J43" s="2" t="n">
        <x:v>5381019</x:v>
      </x:c>
      <x:c r="K43" s="2" t="n">
        <x:v>5354150</x:v>
      </x:c>
      <x:c r="L43" s="2" t="n">
        <x:v>5344062</x:v>
      </x:c>
      <x:c r="M43" s="2" t="str">
        <x:v>trade</x:v>
      </x:c>
      <x:c r="N43" s="2" t="str">
        <x:v>Watch product/corridor opportunity</x:v>
      </x:c>
      <x:c r="O43" s="2" t="str">
        <x:v>Not verified, absence not inferred</x:v>
      </x:c>
      <x:c r="P43" s="2" t="str">
        <x:v>Staple trade, product selection pending</x:v>
      </x:c>
      <x:c r="Q43" s="2" t="str">
        <x:v>Confirm product demand, accessible HS line, counterparties, delivered spread, cash conversion and legal clearance.</x:v>
      </x:c>
    </x:row>
    <x:row r="44" ht="60" customHeight="1">
      <x:c r="A44" s="2" t="str">
        <x:v>HRV</x:v>
      </x:c>
      <x:c r="B44" s="2" t="str">
        <x:v>Croatia</x:v>
      </x:c>
      <x:c r="C44" s="2" t="str">
        <x:v>Europe</x:v>
      </x:c>
      <x:c r="D44" s="2" t="str">
        <x:v>191</x:v>
      </x:c>
      <x:c r="E44" s="2" t="str">
        <x:v>Member state</x:v>
      </x:c>
      <x:c r="F44" s="2" t="n">
        <x:v>3822345</x:v>
      </x:c>
      <x:c r="G44" s="2" t="n">
        <x:v>3725770</x:v>
      </x:c>
      <x:c r="H44" s="2" t="n">
        <x:v>3607215</x:v>
      </x:c>
      <x:c r="I44" s="2" t="n">
        <x:v>3488309</x:v>
      </x:c>
      <x:c r="J44" s="2" t="n">
        <x:v>3362953</x:v>
      </x:c>
      <x:c r="K44" s="2" t="n">
        <x:v>3234160</x:v>
      </x:c>
      <x:c r="L44" s="2" t="n">
        <x:v>3208229</x:v>
      </x:c>
      <x:c r="M44" s="2" t="str">
        <x:v>trade</x:v>
      </x:c>
      <x:c r="N44" s="2" t="str">
        <x:v>Watch customer specialization</x:v>
      </x:c>
      <x:c r="O44" s="2" t="str">
        <x:v>Not verified, absence not inferred</x:v>
      </x:c>
      <x:c r="P44" s="2" t="str">
        <x:v>Staple trade, product selection pending</x:v>
      </x:c>
      <x:c r="Q44" s="2" t="str">
        <x:v>Confirm product demand, accessible HS line, counterparties, delivered spread, cash conversion and legal clearance.</x:v>
      </x:c>
    </x:row>
    <x:row r="45" ht="60" customHeight="1">
      <x:c r="A45" s="2" t="str">
        <x:v>CUB</x:v>
      </x:c>
      <x:c r="B45" s="2" t="str">
        <x:v>Cuba</x:v>
      </x:c>
      <x:c r="C45" s="2" t="str">
        <x:v>Americas</x:v>
      </x:c>
      <x:c r="D45" s="2" t="str">
        <x:v>192</x:v>
      </x:c>
      <x:c r="E45" s="2" t="str">
        <x:v>Member state</x:v>
      </x:c>
      <x:c r="F45" s="2" t="n">
        <x:v>10892659</x:v>
      </x:c>
      <x:c r="G45" s="2" t="n">
        <x:v>10700822</x:v>
      </x:c>
      <x:c r="H45" s="2" t="n">
        <x:v>10431762</x:v>
      </x:c>
      <x:c r="I45" s="2" t="n">
        <x:v>10125837</x:v>
      </x:c>
      <x:c r="J45" s="2" t="n">
        <x:v>9775199</x:v>
      </x:c>
      <x:c r="K45" s="2" t="n">
        <x:v>9381999</x:v>
      </x:c>
      <x:c r="L45" s="2" t="n">
        <x:v>9298547</x:v>
      </x:c>
      <x:c r="M45" s="2" t="str">
        <x:v>trade</x:v>
      </x:c>
      <x:c r="N45" s="2" t="str">
        <x:v>Watch customer specialization</x:v>
      </x:c>
      <x:c r="O45" s="2" t="str">
        <x:v>Not verified, absence not inferred</x:v>
      </x:c>
      <x:c r="P45" s="2" t="str">
        <x:v>Staple trade, product selection pending</x:v>
      </x:c>
      <x:c r="Q45" s="2" t="str">
        <x:v>Confirm product demand, accessible HS line, counterparties, delivered spread, cash conversion and legal clearance.</x:v>
      </x:c>
    </x:row>
    <x:row r="46" ht="60" customHeight="1">
      <x:c r="A46" s="2" t="str">
        <x:v>CYP</x:v>
      </x:c>
      <x:c r="B46" s="2" t="str">
        <x:v>Cyprus</x:v>
      </x:c>
      <x:c r="C46" s="2" t="str">
        <x:v>Asia</x:v>
      </x:c>
      <x:c r="D46" s="2" t="str">
        <x:v>196</x:v>
      </x:c>
      <x:c r="E46" s="2" t="str">
        <x:v>Member state</x:v>
      </x:c>
      <x:c r="F46" s="2" t="n">
        <x:v>1382334</x:v>
      </x:c>
      <x:c r="G46" s="2" t="n">
        <x:v>1422318</x:v>
      </x:c>
      <x:c r="H46" s="2" t="n">
        <x:v>1459190</x:v>
      </x:c>
      <x:c r="I46" s="2" t="n">
        <x:v>1484849</x:v>
      </x:c>
      <x:c r="J46" s="2" t="n">
        <x:v>1500070</x:v>
      </x:c>
      <x:c r="K46" s="2" t="n">
        <x:v>1508482</x:v>
      </x:c>
      <x:c r="L46" s="2" t="n">
        <x:v>1509486</x:v>
      </x:c>
      <x:c r="M46" s="2" t="str">
        <x:v>trade</x:v>
      </x:c>
      <x:c r="N46" s="2" t="str">
        <x:v>Watch product/corridor opportunity</x:v>
      </x:c>
      <x:c r="O46" s="2" t="str">
        <x:v>Not verified, absence not inferred</x:v>
      </x:c>
      <x:c r="P46" s="2" t="str">
        <x:v>Staple trade, product selection pending</x:v>
      </x:c>
      <x:c r="Q46" s="2" t="str">
        <x:v>Confirm product demand, accessible HS line, counterparties, delivered spread, cash conversion and legal clearance.</x:v>
      </x:c>
    </x:row>
    <x:row r="47" ht="60" customHeight="1">
      <x:c r="A47" s="2" t="str">
        <x:v>CZE</x:v>
      </x:c>
      <x:c r="B47" s="2" t="str">
        <x:v>Czechia</x:v>
      </x:c>
      <x:c r="C47" s="2" t="str">
        <x:v>Europe</x:v>
      </x:c>
      <x:c r="D47" s="2" t="str">
        <x:v>203</x:v>
      </x:c>
      <x:c r="E47" s="2" t="str">
        <x:v>Member state</x:v>
      </x:c>
      <x:c r="F47" s="2" t="n">
        <x:v>10527781</x:v>
      </x:c>
      <x:c r="G47" s="2" t="n">
        <x:v>10425089</x:v>
      </x:c>
      <x:c r="H47" s="2" t="n">
        <x:v>10265956</x:v>
      </x:c>
      <x:c r="I47" s="2" t="n">
        <x:v>10107226</x:v>
      </x:c>
      <x:c r="J47" s="2" t="n">
        <x:v>9965090</x:v>
      </x:c>
      <x:c r="K47" s="2" t="n">
        <x:v>9825543</x:v>
      </x:c>
      <x:c r="L47" s="2" t="n">
        <x:v>9795302</x:v>
      </x:c>
      <x:c r="M47" s="2" t="str">
        <x:v>trade</x:v>
      </x:c>
      <x:c r="N47" s="2" t="str">
        <x:v>Watch customer specialization</x:v>
      </x:c>
      <x:c r="O47" s="2" t="str">
        <x:v>Not verified, absence not inferred</x:v>
      </x:c>
      <x:c r="P47" s="2" t="str">
        <x:v>Staple trade, product selection pending</x:v>
      </x:c>
      <x:c r="Q47" s="2" t="str">
        <x:v>Confirm product demand, accessible HS line, counterparties, delivered spread, cash conversion and legal clearance.</x:v>
      </x:c>
    </x:row>
    <x:row r="48" ht="60" customHeight="1">
      <x:c r="A48" s="2" t="str">
        <x:v>CIV</x:v>
      </x:c>
      <x:c r="B48" s="2" t="str">
        <x:v>Côte d’Ivoire</x:v>
      </x:c>
      <x:c r="C48" s="2" t="str">
        <x:v>Africa</x:v>
      </x:c>
      <x:c r="D48" s="2" t="str">
        <x:v>384</x:v>
      </x:c>
      <x:c r="E48" s="2" t="str">
        <x:v>Member state</x:v>
      </x:c>
      <x:c r="F48" s="2" t="n">
        <x:v>33494345.999999996</x:v>
      </x:c>
      <x:c r="G48" s="2" t="n">
        <x:v>36699009</x:v>
      </x:c>
      <x:c r="H48" s="2" t="n">
        <x:v>41033849</x:v>
      </x:c>
      <x:c r="I48" s="2" t="n">
        <x:v>45743925</x:v>
      </x:c>
      <x:c r="J48" s="2" t="n">
        <x:v>50716067</x:v>
      </x:c>
      <x:c r="K48" s="2" t="n">
        <x:v>55746985</x:v>
      </x:c>
      <x:c r="L48" s="2" t="n">
        <x:v>56759561</x:v>
      </x:c>
      <x:c r="M48" s="2" t="str">
        <x:v>trade</x:v>
      </x:c>
      <x:c r="N48" s="2" t="str">
        <x:v>Review existing operation</x:v>
      </x:c>
      <x:c r="O48" s="2" t="str">
        <x:v>Disclosed location in June-2026 factsheet</x:v>
      </x:c>
      <x:c r="P48" s="2" t="str">
        <x:v>Staple trade, product selection pending</x:v>
      </x:c>
      <x:c r="Q48" s="2" t="str">
        <x:v>Confirm product demand, accessible HS line, counterparties, delivered spread, cash conversion and legal clearance.</x:v>
      </x:c>
    </x:row>
    <x:row r="49" ht="60" customHeight="1">
      <x:c r="A49" s="2" t="str">
        <x:v>PRK</x:v>
      </x:c>
      <x:c r="B49" s="2" t="str">
        <x:v>Democratic People's Republic of Korea</x:v>
      </x:c>
      <x:c r="C49" s="2" t="str">
        <x:v>Asia</x:v>
      </x:c>
      <x:c r="D49" s="2" t="str">
        <x:v>408</x:v>
      </x:c>
      <x:c r="E49" s="2" t="str">
        <x:v>Member state</x:v>
      </x:c>
      <x:c r="F49" s="2" t="n">
        <x:v>26633691</x:v>
      </x:c>
      <x:c r="G49" s="2" t="n">
        <x:v>26784904</x:v>
      </x:c>
      <x:c r="H49" s="2" t="n">
        <x:v>26757724</x:v>
      </x:c>
      <x:c r="I49" s="2" t="n">
        <x:v>26542432</x:v>
      </x:c>
      <x:c r="J49" s="2" t="n">
        <x:v>26210203</x:v>
      </x:c>
      <x:c r="K49" s="2" t="n">
        <x:v>25787127</x:v>
      </x:c>
      <x:c r="L49" s="2" t="n">
        <x:v>25691411</x:v>
      </x:c>
      <x:c r="M49" s="2" t="str">
        <x:v>trade</x:v>
      </x:c>
      <x:c r="N49" s="2" t="str">
        <x:v>Watch product/corridor opportunity</x:v>
      </x:c>
      <x:c r="O49" s="2" t="str">
        <x:v>Not verified, absence not inferred</x:v>
      </x:c>
      <x:c r="P49" s="2" t="str">
        <x:v>Staple trade, product selection pending</x:v>
      </x:c>
      <x:c r="Q49" s="2" t="str">
        <x:v>Confirm product demand, accessible HS line, counterparties, delivered spread, cash conversion and legal clearance.</x:v>
      </x:c>
    </x:row>
    <x:row r="50" ht="60" customHeight="1">
      <x:c r="A50" s="2" t="str">
        <x:v>COD</x:v>
      </x:c>
      <x:c r="B50" s="2" t="str">
        <x:v>Democratic Republic of the Congo</x:v>
      </x:c>
      <x:c r="C50" s="2" t="str">
        <x:v>Africa</x:v>
      </x:c>
      <x:c r="D50" s="2" t="str">
        <x:v>180</x:v>
      </x:c>
      <x:c r="E50" s="2" t="str">
        <x:v>Member state</x:v>
      </x:c>
      <x:c r="F50" s="2" t="n">
        <x:v>116452162</x:v>
      </x:c>
      <x:c r="G50" s="2" t="n">
        <x:v>131532201</x:v>
      </x:c>
      <x:c r="H50" s="2" t="n">
        <x:v>151560103</x:v>
      </x:c>
      <x:c r="I50" s="2" t="n">
        <x:v>172595582</x:v>
      </x:c>
      <x:c r="J50" s="2" t="n">
        <x:v>194865379</x:v>
      </x:c>
      <x:c r="K50" s="2" t="n">
        <x:v>218246072</x:v>
      </x:c>
      <x:c r="L50" s="2" t="n">
        <x:v>223027957</x:v>
      </x:c>
      <x:c r="M50" s="2" t="str">
        <x:v>trade</x:v>
      </x:c>
      <x:c r="N50" s="2" t="str">
        <x:v>Watch product/corridor opportunity</x:v>
      </x:c>
      <x:c r="O50" s="2" t="str">
        <x:v>Not verified, absence not inferred</x:v>
      </x:c>
      <x:c r="P50" s="2" t="str">
        <x:v>Staple trade, product selection pending</x:v>
      </x:c>
      <x:c r="Q50" s="2" t="str">
        <x:v>Confirm product demand, accessible HS line, counterparties, delivered spread, cash conversion and legal clearance.</x:v>
      </x:c>
    </x:row>
    <x:row r="51" ht="60" customHeight="1">
      <x:c r="A51" s="2" t="str">
        <x:v>DNK</x:v>
      </x:c>
      <x:c r="B51" s="2" t="str">
        <x:v>Denmark</x:v>
      </x:c>
      <x:c r="C51" s="2" t="str">
        <x:v>Europe</x:v>
      </x:c>
      <x:c r="D51" s="2" t="str">
        <x:v>208</x:v>
      </x:c>
      <x:c r="E51" s="2" t="str">
        <x:v>Member state</x:v>
      </x:c>
      <x:c r="F51" s="2" t="n">
        <x:v>6023520</x:v>
      </x:c>
      <x:c r="G51" s="2" t="n">
        <x:v>6081995</x:v>
      </x:c>
      <x:c r="H51" s="2" t="n">
        <x:v>6119806</x:v>
      </x:c>
      <x:c r="I51" s="2" t="n">
        <x:v>6134659</x:v>
      </x:c>
      <x:c r="J51" s="2" t="n">
        <x:v>6134655</x:v>
      </x:c>
      <x:c r="K51" s="2" t="n">
        <x:v>6124838</x:v>
      </x:c>
      <x:c r="L51" s="2" t="n">
        <x:v>6121371</x:v>
      </x:c>
      <x:c r="M51" s="2" t="str">
        <x:v>trade</x:v>
      </x:c>
      <x:c r="N51" s="2" t="str">
        <x:v>Watch product/corridor opportunity</x:v>
      </x:c>
      <x:c r="O51" s="2" t="str">
        <x:v>Not verified, absence not inferred</x:v>
      </x:c>
      <x:c r="P51" s="2" t="str">
        <x:v>Staple trade, product selection pending</x:v>
      </x:c>
      <x:c r="Q51" s="2" t="str">
        <x:v>Confirm product demand, accessible HS line, counterparties, delivered spread, cash conversion and legal clearance.</x:v>
      </x:c>
    </x:row>
    <x:row r="52" ht="60" customHeight="1">
      <x:c r="A52" s="2" t="str">
        <x:v>DJI</x:v>
      </x:c>
      <x:c r="B52" s="2" t="str">
        <x:v>Djibouti</x:v>
      </x:c>
      <x:c r="C52" s="2" t="str">
        <x:v>Africa</x:v>
      </x:c>
      <x:c r="D52" s="2" t="str">
        <x:v>262</x:v>
      </x:c>
      <x:c r="E52" s="2" t="str">
        <x:v>Member state</x:v>
      </x:c>
      <x:c r="F52" s="2" t="n">
        <x:v>1199459</x:v>
      </x:c>
      <x:c r="G52" s="2" t="n">
        <x:v>1262678</x:v>
      </x:c>
      <x:c r="H52" s="2" t="n">
        <x:v>1335498</x:v>
      </x:c>
      <x:c r="I52" s="2" t="n">
        <x:v>1406635</x:v>
      </x:c>
      <x:c r="J52" s="2" t="n">
        <x:v>1474041</x:v>
      </x:c>
      <x:c r="K52" s="2" t="n">
        <x:v>1530540</x:v>
      </x:c>
      <x:c r="L52" s="2" t="n">
        <x:v>1540678</x:v>
      </x:c>
      <x:c r="M52" s="2" t="str">
        <x:v>trade</x:v>
      </x:c>
      <x:c r="N52" s="2" t="str">
        <x:v>Watch product/corridor opportunity</x:v>
      </x:c>
      <x:c r="O52" s="2" t="str">
        <x:v>Not verified, absence not inferred</x:v>
      </x:c>
      <x:c r="P52" s="2" t="str">
        <x:v>Staple trade, product selection pending</x:v>
      </x:c>
      <x:c r="Q52" s="2" t="str">
        <x:v>Confirm product demand, accessible HS line, counterparties, delivered spread, cash conversion and legal clearance.</x:v>
      </x:c>
    </x:row>
    <x:row r="53" ht="60" customHeight="1">
      <x:c r="A53" s="2" t="str">
        <x:v>DMA</x:v>
      </x:c>
      <x:c r="B53" s="2" t="str">
        <x:v>Dominica</x:v>
      </x:c>
      <x:c r="C53" s="2" t="str">
        <x:v>Americas</x:v>
      </x:c>
      <x:c r="D53" s="2" t="str">
        <x:v>212</x:v>
      </x:c>
      <x:c r="E53" s="2" t="str">
        <x:v>Member state</x:v>
      </x:c>
      <x:c r="F53" s="2" t="n">
        <x:v>65510.99999999999</x:v>
      </x:c>
      <x:c r="G53" s="2" t="n">
        <x:v>64169</x:v>
      </x:c>
      <x:c r="H53" s="2" t="n">
        <x:v>63761</x:v>
      </x:c>
      <x:c r="I53" s="2" t="n">
        <x:v>63799</x:v>
      </x:c>
      <x:c r="J53" s="2" t="n">
        <x:v>63629</x:v>
      </x:c>
      <x:c r="K53" s="2" t="n">
        <x:v>63192</x:v>
      </x:c>
      <x:c r="L53" s="2" t="n">
        <x:v>63062</x:v>
      </x:c>
      <x:c r="M53" s="2" t="str">
        <x:v>trade</x:v>
      </x:c>
      <x:c r="N53" s="2" t="str">
        <x:v>Watch regional trade</x:v>
      </x:c>
      <x:c r="O53" s="2" t="str">
        <x:v>Not verified, absence not inferred</x:v>
      </x:c>
      <x:c r="P53" s="2" t="str">
        <x:v>Staple trade, product selection pending</x:v>
      </x:c>
      <x:c r="Q53" s="2" t="str">
        <x:v>Confirm product demand, accessible HS line, counterparties, delivered spread, cash conversion and legal clearance.</x:v>
      </x:c>
    </x:row>
    <x:row r="54" ht="60" customHeight="1">
      <x:c r="A54" s="2" t="str">
        <x:v>DOM</x:v>
      </x:c>
      <x:c r="B54" s="2" t="str">
        <x:v>Dominican Republic</x:v>
      </x:c>
      <x:c r="C54" s="2" t="str">
        <x:v>Americas</x:v>
      </x:c>
      <x:c r="D54" s="2" t="str">
        <x:v>214</x:v>
      </x:c>
      <x:c r="E54" s="2" t="str">
        <x:v>Member state</x:v>
      </x:c>
      <x:c r="F54" s="2" t="n">
        <x:v>11609500</x:v>
      </x:c>
      <x:c r="G54" s="2" t="n">
        <x:v>11938852</x:v>
      </x:c>
      <x:c r="H54" s="2" t="n">
        <x:v>12289431</x:v>
      </x:c>
      <x:c r="I54" s="2" t="n">
        <x:v>12579320</x:v>
      </x:c>
      <x:c r="J54" s="2" t="n">
        <x:v>12816005</x:v>
      </x:c>
      <x:c r="K54" s="2" t="n">
        <x:v>12996293</x:v>
      </x:c>
      <x:c r="L54" s="2" t="n">
        <x:v>13025140</x:v>
      </x:c>
      <x:c r="M54" s="2" t="str">
        <x:v>trade</x:v>
      </x:c>
      <x:c r="N54" s="2" t="str">
        <x:v>Watch product/corridor opportunity</x:v>
      </x:c>
      <x:c r="O54" s="2" t="str">
        <x:v>Not verified, absence not inferred</x:v>
      </x:c>
      <x:c r="P54" s="2" t="str">
        <x:v>Staple trade, product selection pending</x:v>
      </x:c>
      <x:c r="Q54" s="2" t="str">
        <x:v>Confirm product demand, accessible HS line, counterparties, delivered spread, cash conversion and legal clearance.</x:v>
      </x:c>
    </x:row>
    <x:row r="55" ht="60" customHeight="1">
      <x:c r="A55" s="2" t="str">
        <x:v>ECU</x:v>
      </x:c>
      <x:c r="B55" s="2" t="str">
        <x:v>Ecuador</x:v>
      </x:c>
      <x:c r="C55" s="2" t="str">
        <x:v>Americas</x:v>
      </x:c>
      <x:c r="D55" s="2" t="str">
        <x:v>218</x:v>
      </x:c>
      <x:c r="E55" s="2" t="str">
        <x:v>Member state</x:v>
      </x:c>
      <x:c r="F55" s="2" t="n">
        <x:v>18444506</x:v>
      </x:c>
      <x:c r="G55" s="2" t="n">
        <x:v>19069719</x:v>
      </x:c>
      <x:c r="H55" s="2" t="n">
        <x:v>19800128</x:v>
      </x:c>
      <x:c r="I55" s="2" t="n">
        <x:v>20434220</x:v>
      </x:c>
      <x:c r="J55" s="2" t="n">
        <x:v>20950628</x:v>
      </x:c>
      <x:c r="K55" s="2" t="n">
        <x:v>21337237</x:v>
      </x:c>
      <x:c r="L55" s="2" t="n">
        <x:v>21398376</x:v>
      </x:c>
      <x:c r="M55" s="2" t="str">
        <x:v>trade</x:v>
      </x:c>
      <x:c r="N55" s="2" t="str">
        <x:v>Watch product/corridor opportunity</x:v>
      </x:c>
      <x:c r="O55" s="2" t="str">
        <x:v>Not verified, absence not inferred</x:v>
      </x:c>
      <x:c r="P55" s="2" t="str">
        <x:v>Staple trade, product selection pending</x:v>
      </x:c>
      <x:c r="Q55" s="2" t="str">
        <x:v>Confirm product demand, accessible HS line, counterparties, delivered spread, cash conversion and legal clearance.</x:v>
      </x:c>
    </x:row>
    <x:row r="56" ht="60" customHeight="1">
      <x:c r="A56" s="2" t="str">
        <x:v>EGY</x:v>
      </x:c>
      <x:c r="B56" s="2" t="str">
        <x:v>Egypt</x:v>
      </x:c>
      <x:c r="C56" s="2" t="str">
        <x:v>Africa</x:v>
      </x:c>
      <x:c r="D56" s="2" t="str">
        <x:v>818</x:v>
      </x:c>
      <x:c r="E56" s="2" t="str">
        <x:v>Member state</x:v>
      </x:c>
      <x:c r="F56" s="2" t="n">
        <x:v>120101175</x:v>
      </x:c>
      <x:c r="G56" s="2" t="n">
        <x:v>127139322</x:v>
      </x:c>
      <x:c r="H56" s="2" t="n">
        <x:v>136097217</x:v>
      </x:c>
      <x:c r="I56" s="2" t="n">
        <x:v>145213654</x:v>
      </x:c>
      <x:c r="J56" s="2" t="n">
        <x:v>153919189</x:v>
      </x:c>
      <x:c r="K56" s="2" t="n">
        <x:v>161630192</x:v>
      </x:c>
      <x:c r="L56" s="2" t="n">
        <x:v>163063539</x:v>
      </x:c>
      <x:c r="M56" s="2" t="str">
        <x:v>trade</x:v>
      </x:c>
      <x:c r="N56" s="2" t="str">
        <x:v>Watch product/corridor opportunity</x:v>
      </x:c>
      <x:c r="O56" s="2" t="str">
        <x:v>Not verified, absence not inferred</x:v>
      </x:c>
      <x:c r="P56" s="2" t="str">
        <x:v>Staple trade, product selection pending</x:v>
      </x:c>
      <x:c r="Q56" s="2" t="str">
        <x:v>Confirm product demand, accessible HS line, counterparties, delivered spread, cash conversion and legal clearance.</x:v>
      </x:c>
    </x:row>
    <x:row r="57" ht="60" customHeight="1">
      <x:c r="A57" s="2" t="str">
        <x:v>SLV</x:v>
      </x:c>
      <x:c r="B57" s="2" t="str">
        <x:v>El Salvador</x:v>
      </x:c>
      <x:c r="C57" s="2" t="str">
        <x:v>Americas</x:v>
      </x:c>
      <x:c r="D57" s="2" t="str">
        <x:v>222</x:v>
      </x:c>
      <x:c r="E57" s="2" t="str">
        <x:v>Member state</x:v>
      </x:c>
      <x:c r="F57" s="2" t="n">
        <x:v>6391253</x:v>
      </x:c>
      <x:c r="G57" s="2" t="n">
        <x:v>6486207</x:v>
      </x:c>
      <x:c r="H57" s="2" t="n">
        <x:v>6578181</x:v>
      </x:c>
      <x:c r="I57" s="2" t="n">
        <x:v>6640752</x:v>
      </x:c>
      <x:c r="J57" s="2" t="n">
        <x:v>6668025</x:v>
      </x:c>
      <x:c r="K57" s="2" t="n">
        <x:v>6663346</x:v>
      </x:c>
      <x:c r="L57" s="2" t="n">
        <x:v>6658584</x:v>
      </x:c>
      <x:c r="M57" s="2" t="str">
        <x:v>trade</x:v>
      </x:c>
      <x:c r="N57" s="2" t="str">
        <x:v>Watch product/corridor opportunity</x:v>
      </x:c>
      <x:c r="O57" s="2" t="str">
        <x:v>Not verified, absence not inferred</x:v>
      </x:c>
      <x:c r="P57" s="2" t="str">
        <x:v>Staple trade, product selection pending</x:v>
      </x:c>
      <x:c r="Q57" s="2" t="str">
        <x:v>Confirm product demand, accessible HS line, counterparties, delivered spread, cash conversion and legal clearance.</x:v>
      </x:c>
    </x:row>
    <x:row r="58" ht="60" customHeight="1">
      <x:c r="A58" s="2" t="str">
        <x:v>GNQ</x:v>
      </x:c>
      <x:c r="B58" s="2" t="str">
        <x:v>Equatorial Guinea</x:v>
      </x:c>
      <x:c r="C58" s="2" t="str">
        <x:v>Africa</x:v>
      </x:c>
      <x:c r="D58" s="2" t="str">
        <x:v>226</x:v>
      </x:c>
      <x:c r="E58" s="2" t="str">
        <x:v>Member state</x:v>
      </x:c>
      <x:c r="F58" s="2" t="n">
        <x:v>1984468</x:v>
      </x:c>
      <x:c r="G58" s="2" t="n">
        <x:v>2170445</x:v>
      </x:c>
      <x:c r="H58" s="2" t="n">
        <x:v>2414269</x:v>
      </x:c>
      <x:c r="I58" s="2" t="n">
        <x:v>2665586</x:v>
      </x:c>
      <x:c r="J58" s="2" t="n">
        <x:v>2911235</x:v>
      </x:c>
      <x:c r="K58" s="2" t="n">
        <x:v>3143728</x:v>
      </x:c>
      <x:c r="L58" s="2" t="n">
        <x:v>3190137</x:v>
      </x:c>
      <x:c r="M58" s="2" t="str">
        <x:v>trade</x:v>
      </x:c>
      <x:c r="N58" s="2" t="str">
        <x:v>Watch product/corridor opportunity</x:v>
      </x:c>
      <x:c r="O58" s="2" t="str">
        <x:v>Not verified, absence not inferred</x:v>
      </x:c>
      <x:c r="P58" s="2" t="str">
        <x:v>Staple trade, product selection pending</x:v>
      </x:c>
      <x:c r="Q58" s="2" t="str">
        <x:v>Confirm product demand, accessible HS line, counterparties, delivered spread, cash conversion and legal clearance.</x:v>
      </x:c>
    </x:row>
    <x:row r="59" ht="60" customHeight="1">
      <x:c r="A59" s="2" t="str">
        <x:v>ERI</x:v>
      </x:c>
      <x:c r="B59" s="2" t="str">
        <x:v>Eritrea</x:v>
      </x:c>
      <x:c r="C59" s="2" t="str">
        <x:v>Africa</x:v>
      </x:c>
      <x:c r="D59" s="2" t="str">
        <x:v>232</x:v>
      </x:c>
      <x:c r="E59" s="2" t="str">
        <x:v>Member state</x:v>
      </x:c>
      <x:c r="F59" s="2" t="n">
        <x:v>3682669</x:v>
      </x:c>
      <x:c r="G59" s="2" t="n">
        <x:v>4002672</x:v>
      </x:c>
      <x:c r="H59" s="2" t="n">
        <x:v>4420922</x:v>
      </x:c>
      <x:c r="I59" s="2" t="n">
        <x:v>4868676</x:v>
      </x:c>
      <x:c r="J59" s="2" t="n">
        <x:v>5292768</x:v>
      </x:c>
      <x:c r="K59" s="2" t="n">
        <x:v>5696062</x:v>
      </x:c>
      <x:c r="L59" s="2" t="n">
        <x:v>5775739</x:v>
      </x:c>
      <x:c r="M59" s="2" t="str">
        <x:v>trade</x:v>
      </x:c>
      <x:c r="N59" s="2" t="str">
        <x:v>Watch product/corridor opportunity</x:v>
      </x:c>
      <x:c r="O59" s="2" t="str">
        <x:v>Not verified, absence not inferred</x:v>
      </x:c>
      <x:c r="P59" s="2" t="str">
        <x:v>Staple trade, product selection pending</x:v>
      </x:c>
      <x:c r="Q59" s="2" t="str">
        <x:v>Confirm product demand, accessible HS line, counterparties, delivered spread, cash conversion and legal clearance.</x:v>
      </x:c>
    </x:row>
    <x:row r="60" ht="60" customHeight="1">
      <x:c r="A60" s="2" t="str">
        <x:v>EST</x:v>
      </x:c>
      <x:c r="B60" s="2" t="str">
        <x:v>Estonia</x:v>
      </x:c>
      <x:c r="C60" s="2" t="str">
        <x:v>Europe</x:v>
      </x:c>
      <x:c r="D60" s="2" t="str">
        <x:v>233</x:v>
      </x:c>
      <x:c r="E60" s="2" t="str">
        <x:v>Member state</x:v>
      </x:c>
      <x:c r="F60" s="2" t="n">
        <x:v>1331062</x:v>
      </x:c>
      <x:c r="G60" s="2" t="n">
        <x:v>1302772</x:v>
      </x:c>
      <x:c r="H60" s="2" t="n">
        <x:v>1268271</x:v>
      </x:c>
      <x:c r="I60" s="2" t="n">
        <x:v>1236787</x:v>
      </x:c>
      <x:c r="J60" s="2" t="n">
        <x:v>1206184</x:v>
      </x:c>
      <x:c r="K60" s="2" t="n">
        <x:v>1174267</x:v>
      </x:c>
      <x:c r="L60" s="2" t="n">
        <x:v>1167469</x:v>
      </x:c>
      <x:c r="M60" s="2" t="str">
        <x:v>trade</x:v>
      </x:c>
      <x:c r="N60" s="2" t="str">
        <x:v>Watch customer specialization</x:v>
      </x:c>
      <x:c r="O60" s="2" t="str">
        <x:v>Not verified, absence not inferred</x:v>
      </x:c>
      <x:c r="P60" s="2" t="str">
        <x:v>Staple trade, product selection pending</x:v>
      </x:c>
      <x:c r="Q60" s="2" t="str">
        <x:v>Confirm product demand, accessible HS line, counterparties, delivered spread, cash conversion and legal clearance.</x:v>
      </x:c>
    </x:row>
    <x:row r="61" ht="60" customHeight="1">
      <x:c r="A61" s="2" t="str">
        <x:v>SWZ</x:v>
      </x:c>
      <x:c r="B61" s="2" t="str">
        <x:v>Eswatini</x:v>
      </x:c>
      <x:c r="C61" s="2" t="str">
        <x:v>Africa</x:v>
      </x:c>
      <x:c r="D61" s="2" t="str">
        <x:v>748</x:v>
      </x:c>
      <x:c r="E61" s="2" t="str">
        <x:v>Member state</x:v>
      </x:c>
      <x:c r="F61" s="2" t="n">
        <x:v>1269859</x:v>
      </x:c>
      <x:c r="G61" s="2" t="n">
        <x:v>1320918</x:v>
      </x:c>
      <x:c r="H61" s="2" t="n">
        <x:v>1379418</x:v>
      </x:c>
      <x:c r="I61" s="2" t="n">
        <x:v>1429781</x:v>
      </x:c>
      <x:c r="J61" s="2" t="n">
        <x:v>1472137</x:v>
      </x:c>
      <x:c r="K61" s="2" t="n">
        <x:v>1505331</x:v>
      </x:c>
      <x:c r="L61" s="2" t="n">
        <x:v>1510782</x:v>
      </x:c>
      <x:c r="M61" s="2" t="str">
        <x:v>trade</x:v>
      </x:c>
      <x:c r="N61" s="2" t="str">
        <x:v>Watch product/corridor opportunity</x:v>
      </x:c>
      <x:c r="O61" s="2" t="str">
        <x:v>Not verified, absence not inferred</x:v>
      </x:c>
      <x:c r="P61" s="2" t="str">
        <x:v>Staple trade, product selection pending</x:v>
      </x:c>
      <x:c r="Q61" s="2" t="str">
        <x:v>Confirm product demand, accessible HS line, counterparties, delivered spread, cash conversion and legal clearance.</x:v>
      </x:c>
    </x:row>
    <x:row r="62" ht="60" customHeight="1">
      <x:c r="A62" s="2" t="str">
        <x:v>ETH</x:v>
      </x:c>
      <x:c r="B62" s="2" t="str">
        <x:v>Ethiopia</x:v>
      </x:c>
      <x:c r="C62" s="2" t="str">
        <x:v>Africa</x:v>
      </x:c>
      <x:c r="D62" s="2" t="str">
        <x:v>231</x:v>
      </x:c>
      <x:c r="E62" s="2" t="str">
        <x:v>Member state</x:v>
      </x:c>
      <x:c r="F62" s="2" t="n">
        <x:v>138902185</x:v>
      </x:c>
      <x:c r="G62" s="2" t="n">
        <x:v>152855357</x:v>
      </x:c>
      <x:c r="H62" s="2" t="n">
        <x:v>170532954</x:v>
      </x:c>
      <x:c r="I62" s="2" t="n">
        <x:v>188450902</x:v>
      </x:c>
      <x:c r="J62" s="2" t="n">
        <x:v>206673639</x:v>
      </x:c>
      <x:c r="K62" s="2" t="n">
        <x:v>225021875</x:v>
      </x:c>
      <x:c r="L62" s="2" t="n">
        <x:v>228687201</x:v>
      </x:c>
      <x:c r="M62" s="2" t="str">
        <x:v>trade</x:v>
      </x:c>
      <x:c r="N62" s="2" t="str">
        <x:v>Watch product/corridor opportunity</x:v>
      </x:c>
      <x:c r="O62" s="2" t="str">
        <x:v>Not verified, absence not inferred</x:v>
      </x:c>
      <x:c r="P62" s="2" t="str">
        <x:v>Staple trade, product selection pending</x:v>
      </x:c>
      <x:c r="Q62" s="2" t="str">
        <x:v>Confirm product demand, accessible HS line, counterparties, delivered spread, cash conversion and legal clearance.</x:v>
      </x:c>
    </x:row>
    <x:row r="63" ht="60" customHeight="1">
      <x:c r="A63" s="2" t="str">
        <x:v>FJI</x:v>
      </x:c>
      <x:c r="B63" s="2" t="str">
        <x:v>Fiji</x:v>
      </x:c>
      <x:c r="C63" s="2" t="str">
        <x:v>Oceania</x:v>
      </x:c>
      <x:c r="D63" s="2" t="str">
        <x:v>242</x:v>
      </x:c>
      <x:c r="E63" s="2" t="str">
        <x:v>Member state</x:v>
      </x:c>
      <x:c r="F63" s="2" t="n">
        <x:v>937282</x:v>
      </x:c>
      <x:c r="G63" s="2" t="n">
        <x:v>953106</x:v>
      </x:c>
      <x:c r="H63" s="2" t="n">
        <x:v>969629</x:v>
      </x:c>
      <x:c r="I63" s="2" t="n">
        <x:v>983858</x:v>
      </x:c>
      <x:c r="J63" s="2" t="n">
        <x:v>994457</x:v>
      </x:c>
      <x:c r="K63" s="2" t="n">
        <x:v>1000261</x:v>
      </x:c>
      <x:c r="L63" s="2" t="n">
        <x:v>1000845</x:v>
      </x:c>
      <x:c r="M63" s="2" t="str">
        <x:v>trade</x:v>
      </x:c>
      <x:c r="N63" s="2" t="str">
        <x:v>Watch regional trade</x:v>
      </x:c>
      <x:c r="O63" s="2" t="str">
        <x:v>Not verified, absence not inferred</x:v>
      </x:c>
      <x:c r="P63" s="2" t="str">
        <x:v>Staple trade, product selection pending</x:v>
      </x:c>
      <x:c r="Q63" s="2" t="str">
        <x:v>Confirm product demand, accessible HS line, counterparties, delivered spread, cash conversion and legal clearance.</x:v>
      </x:c>
    </x:row>
    <x:row r="64" ht="60" customHeight="1">
      <x:c r="A64" s="2" t="str">
        <x:v>FIN</x:v>
      </x:c>
      <x:c r="B64" s="2" t="str">
        <x:v>Finland</x:v>
      </x:c>
      <x:c r="C64" s="2" t="str">
        <x:v>Europe</x:v>
      </x:c>
      <x:c r="D64" s="2" t="str">
        <x:v>246</x:v>
      </x:c>
      <x:c r="E64" s="2" t="str">
        <x:v>Member state</x:v>
      </x:c>
      <x:c r="F64" s="2" t="n">
        <x:v>5621739</x:v>
      </x:c>
      <x:c r="G64" s="2" t="n">
        <x:v>5592051</x:v>
      </x:c>
      <x:c r="H64" s="2" t="n">
        <x:v>5540655</x:v>
      </x:c>
      <x:c r="I64" s="2" t="n">
        <x:v>5480523</x:v>
      </x:c>
      <x:c r="J64" s="2" t="n">
        <x:v>5418350</x:v>
      </x:c>
      <x:c r="K64" s="2" t="n">
        <x:v>5351645</x:v>
      </x:c>
      <x:c r="L64" s="2" t="n">
        <x:v>5337090</x:v>
      </x:c>
      <x:c r="M64" s="2" t="str">
        <x:v>trade</x:v>
      </x:c>
      <x:c r="N64" s="2" t="str">
        <x:v>Watch customer specialization</x:v>
      </x:c>
      <x:c r="O64" s="2" t="str">
        <x:v>Not verified, absence not inferred</x:v>
      </x:c>
      <x:c r="P64" s="2" t="str">
        <x:v>Staple trade, product selection pending</x:v>
      </x:c>
      <x:c r="Q64" s="2" t="str">
        <x:v>Confirm product demand, accessible HS line, counterparties, delivered spread, cash conversion and legal clearance.</x:v>
      </x:c>
    </x:row>
    <x:row r="65" ht="60" customHeight="1">
      <x:c r="A65" s="2" t="str">
        <x:v>FRA</x:v>
      </x:c>
      <x:c r="B65" s="2" t="str">
        <x:v>France</x:v>
      </x:c>
      <x:c r="C65" s="2" t="str">
        <x:v>Europe</x:v>
      </x:c>
      <x:c r="D65" s="2" t="str">
        <x:v>250</x:v>
      </x:c>
      <x:c r="E65" s="2" t="str">
        <x:v>Member state</x:v>
      </x:c>
      <x:c r="F65" s="2" t="n">
        <x:v>66746401</x:v>
      </x:c>
      <x:c r="G65" s="2" t="n">
        <x:v>67107691.00000001</x:v>
      </x:c>
      <x:c r="H65" s="2" t="n">
        <x:v>67547946</x:v>
      </x:c>
      <x:c r="I65" s="2" t="n">
        <x:v>67938904</x:v>
      </x:c>
      <x:c r="J65" s="2" t="n">
        <x:v>68190955</x:v>
      </x:c>
      <x:c r="K65" s="2" t="n">
        <x:v>68219675</x:v>
      </x:c>
      <x:c r="L65" s="2" t="n">
        <x:v>68200254</x:v>
      </x:c>
      <x:c r="M65" s="2" t="str">
        <x:v>trade</x:v>
      </x:c>
      <x:c r="N65" s="2" t="str">
        <x:v>Review existing operation</x:v>
      </x:c>
      <x:c r="O65" s="2" t="str">
        <x:v>Disclosed location in June-2026 factsheet</x:v>
      </x:c>
      <x:c r="P65" s="2" t="str">
        <x:v>Staple trade, product selection pending</x:v>
      </x:c>
      <x:c r="Q65" s="2" t="str">
        <x:v>Confirm product demand, accessible HS line, counterparties, delivered spread, cash conversion and legal clearance.</x:v>
      </x:c>
    </x:row>
    <x:row r="66" ht="60" customHeight="1">
      <x:c r="A66" s="2" t="str">
        <x:v>GAB</x:v>
      </x:c>
      <x:c r="B66" s="2" t="str">
        <x:v>Gabon</x:v>
      </x:c>
      <x:c r="C66" s="2" t="str">
        <x:v>Africa</x:v>
      </x:c>
      <x:c r="D66" s="2" t="str">
        <x:v>266</x:v>
      </x:c>
      <x:c r="E66" s="2" t="str">
        <x:v>Member state</x:v>
      </x:c>
      <x:c r="F66" s="2" t="n">
        <x:v>2647399</x:v>
      </x:c>
      <x:c r="G66" s="2" t="n">
        <x:v>2866667</x:v>
      </x:c>
      <x:c r="H66" s="2" t="n">
        <x:v>3151468</x:v>
      </x:c>
      <x:c r="I66" s="2" t="n">
        <x:v>3452988</x:v>
      </x:c>
      <x:c r="J66" s="2" t="n">
        <x:v>3767429</x:v>
      </x:c>
      <x:c r="K66" s="2" t="n">
        <x:v>4084533</x:v>
      </x:c>
      <x:c r="L66" s="2" t="n">
        <x:v>4147627.0000000005</x:v>
      </x:c>
      <x:c r="M66" s="2" t="str">
        <x:v>trade</x:v>
      </x:c>
      <x:c r="N66" s="2" t="str">
        <x:v>Watch product/corridor opportunity</x:v>
      </x:c>
      <x:c r="O66" s="2" t="str">
        <x:v>Not verified, absence not inferred</x:v>
      </x:c>
      <x:c r="P66" s="2" t="str">
        <x:v>Staple trade, product selection pending</x:v>
      </x:c>
      <x:c r="Q66" s="2" t="str">
        <x:v>Confirm product demand, accessible HS line, counterparties, delivered spread, cash conversion and legal clearance.</x:v>
      </x:c>
    </x:row>
    <x:row r="67" ht="60" customHeight="1">
      <x:c r="A67" s="2" t="str">
        <x:v>GMB</x:v>
      </x:c>
      <x:c r="B67" s="2" t="str">
        <x:v>Gambia</x:v>
      </x:c>
      <x:c r="C67" s="2" t="str">
        <x:v>Africa</x:v>
      </x:c>
      <x:c r="D67" s="2" t="str">
        <x:v>270</x:v>
      </x:c>
      <x:c r="E67" s="2" t="str">
        <x:v>Member state</x:v>
      </x:c>
      <x:c r="F67" s="2" t="n">
        <x:v>2884079</x:v>
      </x:c>
      <x:c r="G67" s="2" t="n">
        <x:v>3130133</x:v>
      </x:c>
      <x:c r="H67" s="2" t="n">
        <x:v>3433425</x:v>
      </x:c>
      <x:c r="I67" s="2" t="n">
        <x:v>3732798</x:v>
      </x:c>
      <x:c r="J67" s="2" t="n">
        <x:v>4024237</x:v>
      </x:c>
      <x:c r="K67" s="2" t="n">
        <x:v>4301895</x:v>
      </x:c>
      <x:c r="L67" s="2" t="n">
        <x:v>4355372</x:v>
      </x:c>
      <x:c r="M67" s="2" t="str">
        <x:v>trade</x:v>
      </x:c>
      <x:c r="N67" s="2" t="str">
        <x:v>Watch product/corridor opportunity</x:v>
      </x:c>
      <x:c r="O67" s="2" t="str">
        <x:v>Not verified, absence not inferred</x:v>
      </x:c>
      <x:c r="P67" s="2" t="str">
        <x:v>Staple trade, product selection pending</x:v>
      </x:c>
      <x:c r="Q67" s="2" t="str">
        <x:v>Confirm product demand, accessible HS line, counterparties, delivered spread, cash conversion and legal clearance.</x:v>
      </x:c>
    </x:row>
    <x:row r="68" ht="60" customHeight="1">
      <x:c r="A68" s="2" t="str">
        <x:v>GEO</x:v>
      </x:c>
      <x:c r="B68" s="2" t="str">
        <x:v>Georgia</x:v>
      </x:c>
      <x:c r="C68" s="2" t="str">
        <x:v>Asia</x:v>
      </x:c>
      <x:c r="D68" s="2" t="str">
        <x:v>268</x:v>
      </x:c>
      <x:c r="E68" s="2" t="str">
        <x:v>Member state</x:v>
      </x:c>
      <x:c r="F68" s="2" t="n">
        <x:v>3804642</x:v>
      </x:c>
      <x:c r="G68" s="2" t="n">
        <x:v>3790542</x:v>
      </x:c>
      <x:c r="H68" s="2" t="n">
        <x:v>3764200</x:v>
      </x:c>
      <x:c r="I68" s="2" t="n">
        <x:v>3732856</x:v>
      </x:c>
      <x:c r="J68" s="2" t="n">
        <x:v>3703994</x:v>
      </x:c>
      <x:c r="K68" s="2" t="n">
        <x:v>3664014</x:v>
      </x:c>
      <x:c r="L68" s="2" t="n">
        <x:v>3654921</x:v>
      </x:c>
      <x:c r="M68" s="2" t="str">
        <x:v>trade</x:v>
      </x:c>
      <x:c r="N68" s="2" t="str">
        <x:v>Watch product/corridor opportunity</x:v>
      </x:c>
      <x:c r="O68" s="2" t="str">
        <x:v>Not verified, absence not inferred</x:v>
      </x:c>
      <x:c r="P68" s="2" t="str">
        <x:v>Staple trade, product selection pending</x:v>
      </x:c>
      <x:c r="Q68" s="2" t="str">
        <x:v>Confirm product demand, accessible HS line, counterparties, delivered spread, cash conversion and legal clearance.</x:v>
      </x:c>
    </x:row>
    <x:row r="69" ht="60" customHeight="1">
      <x:c r="A69" s="2" t="str">
        <x:v>DEU</x:v>
      </x:c>
      <x:c r="B69" s="2" t="str">
        <x:v>Germany</x:v>
      </x:c>
      <x:c r="C69" s="2" t="str">
        <x:v>Europe</x:v>
      </x:c>
      <x:c r="D69" s="2" t="str">
        <x:v>276</x:v>
      </x:c>
      <x:c r="E69" s="2" t="str">
        <x:v>Member state</x:v>
      </x:c>
      <x:c r="F69" s="2" t="n">
        <x:v>83644258</x:v>
      </x:c>
      <x:c r="G69" s="2" t="n">
        <x:v>82780953</x:v>
      </x:c>
      <x:c r="H69" s="2" t="n">
        <x:v>81669909</x:v>
      </x:c>
      <x:c r="I69" s="2" t="n">
        <x:v>80551736</x:v>
      </x:c>
      <x:c r="J69" s="2" t="n">
        <x:v>79491795</x:v>
      </x:c>
      <x:c r="K69" s="2" t="n">
        <x:v>78294613</x:v>
      </x:c>
      <x:c r="L69" s="2" t="n">
        <x:v>78048438</x:v>
      </x:c>
      <x:c r="M69" s="2" t="str">
        <x:v>trade</x:v>
      </x:c>
      <x:c r="N69" s="2" t="str">
        <x:v>Watch customer specialization</x:v>
      </x:c>
      <x:c r="O69" s="2" t="str">
        <x:v>Not verified, absence not inferred</x:v>
      </x:c>
      <x:c r="P69" s="2" t="str">
        <x:v>Staple trade, product selection pending</x:v>
      </x:c>
      <x:c r="Q69" s="2" t="str">
        <x:v>Confirm product demand, accessible HS line, counterparties, delivered spread, cash conversion and legal clearance.</x:v>
      </x:c>
    </x:row>
    <x:row r="70" ht="60" customHeight="1">
      <x:c r="A70" s="2" t="str">
        <x:v>GHA</x:v>
      </x:c>
      <x:c r="B70" s="2" t="str">
        <x:v>Ghana</x:v>
      </x:c>
      <x:c r="C70" s="2" t="str">
        <x:v>Africa</x:v>
      </x:c>
      <x:c r="D70" s="2" t="str">
        <x:v>288</x:v>
      </x:c>
      <x:c r="E70" s="2" t="str">
        <x:v>Member state</x:v>
      </x:c>
      <x:c r="F70" s="2" t="n">
        <x:v>35697557</x:v>
      </x:c>
      <x:c r="G70" s="2" t="n">
        <x:v>38222089</x:v>
      </x:c>
      <x:c r="H70" s="2" t="n">
        <x:v>41412554</x:v>
      </x:c>
      <x:c r="I70" s="2" t="n">
        <x:v>44568350</x:v>
      </x:c>
      <x:c r="J70" s="2" t="n">
        <x:v>47634274</x:v>
      </x:c>
      <x:c r="K70" s="2" t="n">
        <x:v>50553047</x:v>
      </x:c>
      <x:c r="L70" s="2" t="n">
        <x:v>51112490</x:v>
      </x:c>
      <x:c r="M70" s="2" t="str">
        <x:v>partner</x:v>
      </x:c>
      <x:c r="N70" s="2" t="str">
        <x:v>Diligence priority</x:v>
      </x:c>
      <x:c r="O70" s="2" t="str">
        <x:v>Disclosed location in June-2026 factsheet</x:v>
      </x:c>
      <x:c r="P70" s="2" t="str">
        <x:v>Flour and pasta</x:v>
      </x:c>
      <x:c r="Q70" s="2" t="str">
        <x:v>Verify utilization, gross-to-net margin and pasta adoption against substitute meals.</x:v>
      </x:c>
    </x:row>
    <x:row r="71" ht="60" customHeight="1">
      <x:c r="A71" s="2" t="str">
        <x:v>GRC</x:v>
      </x:c>
      <x:c r="B71" s="2" t="str">
        <x:v>Greece</x:v>
      </x:c>
      <x:c r="C71" s="2" t="str">
        <x:v>Europe</x:v>
      </x:c>
      <x:c r="D71" s="2" t="str">
        <x:v>300</x:v>
      </x:c>
      <x:c r="E71" s="2" t="str">
        <x:v>Member state</x:v>
      </x:c>
      <x:c r="F71" s="2" t="n">
        <x:v>9897115</x:v>
      </x:c>
      <x:c r="G71" s="2" t="n">
        <x:v>9721984</x:v>
      </x:c>
      <x:c r="H71" s="2" t="n">
        <x:v>9496499</x:v>
      </x:c>
      <x:c r="I71" s="2" t="n">
        <x:v>9275613</x:v>
      </x:c>
      <x:c r="J71" s="2" t="n">
        <x:v>9058325</x:v>
      </x:c>
      <x:c r="K71" s="2" t="n">
        <x:v>8812069</x:v>
      </x:c>
      <x:c r="L71" s="2" t="n">
        <x:v>8758041</x:v>
      </x:c>
      <x:c r="M71" s="2" t="str">
        <x:v>trade</x:v>
      </x:c>
      <x:c r="N71" s="2" t="str">
        <x:v>Watch customer specialization</x:v>
      </x:c>
      <x:c r="O71" s="2" t="str">
        <x:v>Not verified, absence not inferred</x:v>
      </x:c>
      <x:c r="P71" s="2" t="str">
        <x:v>Staple trade, product selection pending</x:v>
      </x:c>
      <x:c r="Q71" s="2" t="str">
        <x:v>Confirm product demand, accessible HS line, counterparties, delivered spread, cash conversion and legal clearance.</x:v>
      </x:c>
    </x:row>
    <x:row r="72" ht="60" customHeight="1">
      <x:c r="A72" s="2" t="str">
        <x:v>GRD</x:v>
      </x:c>
      <x:c r="B72" s="2" t="str">
        <x:v>Grenada</x:v>
      </x:c>
      <x:c r="C72" s="2" t="str">
        <x:v>Americas</x:v>
      </x:c>
      <x:c r="D72" s="2" t="str">
        <x:v>308</x:v>
      </x:c>
      <x:c r="E72" s="2" t="str">
        <x:v>Member state</x:v>
      </x:c>
      <x:c r="F72" s="2" t="n">
        <x:v>117362</x:v>
      </x:c>
      <x:c r="G72" s="2" t="n">
        <x:v>117466</x:v>
      </x:c>
      <x:c r="H72" s="2" t="n">
        <x:v>117244</x:v>
      </x:c>
      <x:c r="I72" s="2" t="n">
        <x:v>116493</x:v>
      </x:c>
      <x:c r="J72" s="2" t="n">
        <x:v>115123</x:v>
      </x:c>
      <x:c r="K72" s="2" t="n">
        <x:v>113243</x:v>
      </x:c>
      <x:c r="L72" s="2" t="n">
        <x:v>112801</x:v>
      </x:c>
      <x:c r="M72" s="2" t="str">
        <x:v>trade</x:v>
      </x:c>
      <x:c r="N72" s="2" t="str">
        <x:v>Watch regional trade</x:v>
      </x:c>
      <x:c r="O72" s="2" t="str">
        <x:v>Not verified, absence not inferred</x:v>
      </x:c>
      <x:c r="P72" s="2" t="str">
        <x:v>Staple trade, product selection pending</x:v>
      </x:c>
      <x:c r="Q72" s="2" t="str">
        <x:v>Confirm product demand, accessible HS line, counterparties, delivered spread, cash conversion and legal clearance.</x:v>
      </x:c>
    </x:row>
    <x:row r="73" ht="60" customHeight="1">
      <x:c r="A73" s="2" t="str">
        <x:v>GTM</x:v>
      </x:c>
      <x:c r="B73" s="2" t="str">
        <x:v>Guatemala</x:v>
      </x:c>
      <x:c r="C73" s="2" t="str">
        <x:v>Americas</x:v>
      </x:c>
      <x:c r="D73" s="2" t="str">
        <x:v>320</x:v>
      </x:c>
      <x:c r="E73" s="2" t="str">
        <x:v>Member state</x:v>
      </x:c>
      <x:c r="F73" s="2" t="n">
        <x:v>18967978</x:v>
      </x:c>
      <x:c r="G73" s="2" t="n">
        <x:v>20067253</x:v>
      </x:c>
      <x:c r="H73" s="2" t="n">
        <x:v>21394237</x:v>
      </x:c>
      <x:c r="I73" s="2" t="n">
        <x:v>22626870</x:v>
      </x:c>
      <x:c r="J73" s="2" t="n">
        <x:v>23719089</x:v>
      </x:c>
      <x:c r="K73" s="2" t="n">
        <x:v>24670857</x:v>
      </x:c>
      <x:c r="L73" s="2" t="n">
        <x:v>24845333</x:v>
      </x:c>
      <x:c r="M73" s="2" t="str">
        <x:v>trade</x:v>
      </x:c>
      <x:c r="N73" s="2" t="str">
        <x:v>Watch product/corridor opportunity</x:v>
      </x:c>
      <x:c r="O73" s="2" t="str">
        <x:v>Not verified, absence not inferred</x:v>
      </x:c>
      <x:c r="P73" s="2" t="str">
        <x:v>Staple trade, product selection pending</x:v>
      </x:c>
      <x:c r="Q73" s="2" t="str">
        <x:v>Confirm product demand, accessible HS line, counterparties, delivered spread, cash conversion and legal clearance.</x:v>
      </x:c>
    </x:row>
    <x:row r="74" ht="60" customHeight="1">
      <x:c r="A74" s="2" t="str">
        <x:v>GIN</x:v>
      </x:c>
      <x:c r="B74" s="2" t="str">
        <x:v>Guinea</x:v>
      </x:c>
      <x:c r="C74" s="2" t="str">
        <x:v>Africa</x:v>
      </x:c>
      <x:c r="D74" s="2" t="str">
        <x:v>324</x:v>
      </x:c>
      <x:c r="E74" s="2" t="str">
        <x:v>Member state</x:v>
      </x:c>
      <x:c r="F74" s="2" t="n">
        <x:v>15441993</x:v>
      </x:c>
      <x:c r="G74" s="2" t="n">
        <x:v>16807147</x:v>
      </x:c>
      <x:c r="H74" s="2" t="n">
        <x:v>18486013</x:v>
      </x:c>
      <x:c r="I74" s="2" t="n">
        <x:v>20160750</x:v>
      </x:c>
      <x:c r="J74" s="2" t="n">
        <x:v>21817245</x:v>
      </x:c>
      <x:c r="K74" s="2" t="n">
        <x:v>23404584</x:v>
      </x:c>
      <x:c r="L74" s="2" t="n">
        <x:v>23715929</x:v>
      </x:c>
      <x:c r="M74" s="2" t="str">
        <x:v>trade</x:v>
      </x:c>
      <x:c r="N74" s="2" t="str">
        <x:v>Watch product/corridor opportunity</x:v>
      </x:c>
      <x:c r="O74" s="2" t="str">
        <x:v>Not verified, absence not inferred</x:v>
      </x:c>
      <x:c r="P74" s="2" t="str">
        <x:v>Staple trade, product selection pending</x:v>
      </x:c>
      <x:c r="Q74" s="2" t="str">
        <x:v>Confirm product demand, accessible HS line, counterparties, delivered spread, cash conversion and legal clearance.</x:v>
      </x:c>
    </x:row>
    <x:row r="75" ht="60" customHeight="1">
      <x:c r="A75" s="2" t="str">
        <x:v>GNB</x:v>
      </x:c>
      <x:c r="B75" s="2" t="str">
        <x:v>Guinea-Bissau</x:v>
      </x:c>
      <x:c r="C75" s="2" t="str">
        <x:v>Africa</x:v>
      </x:c>
      <x:c r="D75" s="2" t="str">
        <x:v>624</x:v>
      </x:c>
      <x:c r="E75" s="2" t="str">
        <x:v>Member state</x:v>
      </x:c>
      <x:c r="F75" s="2" t="n">
        <x:v>2297808</x:v>
      </x:c>
      <x:c r="G75" s="2" t="n">
        <x:v>2488934</x:v>
      </x:c>
      <x:c r="H75" s="2" t="n">
        <x:v>2730133</x:v>
      </x:c>
      <x:c r="I75" s="2" t="n">
        <x:v>2969702</x:v>
      </x:c>
      <x:c r="J75" s="2" t="n">
        <x:v>3204249</x:v>
      </x:c>
      <x:c r="K75" s="2" t="n">
        <x:v>3438608</x:v>
      </x:c>
      <x:c r="L75" s="2" t="n">
        <x:v>3483363</x:v>
      </x:c>
      <x:c r="M75" s="2" t="str">
        <x:v>trade</x:v>
      </x:c>
      <x:c r="N75" s="2" t="str">
        <x:v>Watch product/corridor opportunity</x:v>
      </x:c>
      <x:c r="O75" s="2" t="str">
        <x:v>Not verified, absence not inferred</x:v>
      </x:c>
      <x:c r="P75" s="2" t="str">
        <x:v>Staple trade, product selection pending</x:v>
      </x:c>
      <x:c r="Q75" s="2" t="str">
        <x:v>Confirm product demand, accessible HS line, counterparties, delivered spread, cash conversion and legal clearance.</x:v>
      </x:c>
    </x:row>
    <x:row r="76" ht="60" customHeight="1">
      <x:c r="A76" s="2" t="str">
        <x:v>GUY</x:v>
      </x:c>
      <x:c r="B76" s="2" t="str">
        <x:v>Guyana</x:v>
      </x:c>
      <x:c r="C76" s="2" t="str">
        <x:v>Americas</x:v>
      </x:c>
      <x:c r="D76" s="2" t="str">
        <x:v>328</x:v>
      </x:c>
      <x:c r="E76" s="2" t="str">
        <x:v>Member state</x:v>
      </x:c>
      <x:c r="F76" s="2" t="n">
        <x:v>840890</x:v>
      </x:c>
      <x:c r="G76" s="2" t="n">
        <x:v>861038</x:v>
      </x:c>
      <x:c r="H76" s="2" t="n">
        <x:v>885936</x:v>
      </x:c>
      <x:c r="I76" s="2" t="n">
        <x:v>907506</x:v>
      </x:c>
      <x:c r="J76" s="2" t="n">
        <x:v>926353</x:v>
      </x:c>
      <x:c r="K76" s="2" t="n">
        <x:v>940607</x:v>
      </x:c>
      <x:c r="L76" s="2" t="n">
        <x:v>942745</x:v>
      </x:c>
      <x:c r="M76" s="2" t="str">
        <x:v>trade</x:v>
      </x:c>
      <x:c r="N76" s="2" t="str">
        <x:v>Watch regional trade</x:v>
      </x:c>
      <x:c r="O76" s="2" t="str">
        <x:v>Not verified, absence not inferred</x:v>
      </x:c>
      <x:c r="P76" s="2" t="str">
        <x:v>Staple trade, product selection pending</x:v>
      </x:c>
      <x:c r="Q76" s="2" t="str">
        <x:v>Confirm product demand, accessible HS line, counterparties, delivered spread, cash conversion and legal clearance.</x:v>
      </x:c>
    </x:row>
    <x:row r="77" ht="60" customHeight="1">
      <x:c r="A77" s="2" t="str">
        <x:v>HTI</x:v>
      </x:c>
      <x:c r="B77" s="2" t="str">
        <x:v>Haiti</x:v>
      </x:c>
      <x:c r="C77" s="2" t="str">
        <x:v>Americas</x:v>
      </x:c>
      <x:c r="D77" s="2" t="str">
        <x:v>332</x:v>
      </x:c>
      <x:c r="E77" s="2" t="str">
        <x:v>Member state</x:v>
      </x:c>
      <x:c r="F77" s="2" t="n">
        <x:v>12037506</x:v>
      </x:c>
      <x:c r="G77" s="2" t="n">
        <x:v>12552359</x:v>
      </x:c>
      <x:c r="H77" s="2" t="n">
        <x:v>13165000</x:v>
      </x:c>
      <x:c r="I77" s="2" t="n">
        <x:v>13733853</x:v>
      </x:c>
      <x:c r="J77" s="2" t="n">
        <x:v>14252967</x:v>
      </x:c>
      <x:c r="K77" s="2" t="n">
        <x:v>14710862</x:v>
      </x:c>
      <x:c r="L77" s="2" t="n">
        <x:v>14794290</x:v>
      </x:c>
      <x:c r="M77" s="2" t="str">
        <x:v>trade</x:v>
      </x:c>
      <x:c r="N77" s="2" t="str">
        <x:v>Watch product/corridor opportunity</x:v>
      </x:c>
      <x:c r="O77" s="2" t="str">
        <x:v>Not verified, absence not inferred</x:v>
      </x:c>
      <x:c r="P77" s="2" t="str">
        <x:v>Staple trade, product selection pending</x:v>
      </x:c>
      <x:c r="Q77" s="2" t="str">
        <x:v>Confirm product demand, accessible HS line, counterparties, delivered spread, cash conversion and legal clearance.</x:v>
      </x:c>
    </x:row>
    <x:row r="78" ht="60" customHeight="1">
      <x:c r="A78" s="2" t="str">
        <x:v>VAT</x:v>
      </x:c>
      <x:c r="B78" s="2" t="str">
        <x:v>Holy See</x:v>
      </x:c>
      <x:c r="C78" s="2" t="str">
        <x:v>Europe</x:v>
      </x:c>
      <x:c r="D78" s="2" t="str">
        <x:v>336</x:v>
      </x:c>
      <x:c r="E78" s="2" t="str">
        <x:v>Observer state</x:v>
      </x:c>
      <x:c r="F78" s="2" t="n">
        <x:v>506</x:v>
      </x:c>
      <x:c r="G78" s="2" t="n">
        <x:v>528</x:v>
      </x:c>
      <x:c r="H78" s="2" t="n">
        <x:v>537</x:v>
      </x:c>
      <x:c r="I78" s="2" t="n">
        <x:v>587</x:v>
      </x:c>
      <x:c r="J78" s="2" t="n">
        <x:v>649</x:v>
      </x:c>
      <x:c r="K78" s="2" t="n">
        <x:v>714</x:v>
      </x:c>
      <x:c r="L78" s="2" t="n">
        <x:v>726</x:v>
      </x:c>
      <x:c r="M78" s="2" t="str">
        <x:v>trade</x:v>
      </x:c>
      <x:c r="N78" s="2" t="str">
        <x:v>No standalone asset proposal</x:v>
      </x:c>
      <x:c r="O78" s="2" t="str">
        <x:v>Not verified, absence not inferred</x:v>
      </x:c>
      <x:c r="P78" s="2" t="str">
        <x:v>Staple trade, product selection pending</x:v>
      </x:c>
      <x:c r="Q78" s="2" t="str">
        <x:v>Confirm product demand, accessible HS line, counterparties, delivered spread, cash conversion and legal clearance.</x:v>
      </x:c>
    </x:row>
    <x:row r="79" ht="60" customHeight="1">
      <x:c r="A79" s="2" t="str">
        <x:v>HND</x:v>
      </x:c>
      <x:c r="B79" s="2" t="str">
        <x:v>Honduras</x:v>
      </x:c>
      <x:c r="C79" s="2" t="str">
        <x:v>Americas</x:v>
      </x:c>
      <x:c r="D79" s="2" t="str">
        <x:v>340</x:v>
      </x:c>
      <x:c r="E79" s="2" t="str">
        <x:v>Member state</x:v>
      </x:c>
      <x:c r="F79" s="2" t="n">
        <x:v>11184760</x:v>
      </x:c>
      <x:c r="G79" s="2" t="n">
        <x:v>11885319</x:v>
      </x:c>
      <x:c r="H79" s="2" t="n">
        <x:v>12714114</x:v>
      </x:c>
      <x:c r="I79" s="2" t="n">
        <x:v>13484653</x:v>
      </x:c>
      <x:c r="J79" s="2" t="n">
        <x:v>14197946</x:v>
      </x:c>
      <x:c r="K79" s="2" t="n">
        <x:v>14846779</x:v>
      </x:c>
      <x:c r="L79" s="2" t="n">
        <x:v>14968238</x:v>
      </x:c>
      <x:c r="M79" s="2" t="str">
        <x:v>trade</x:v>
      </x:c>
      <x:c r="N79" s="2" t="str">
        <x:v>Watch product/corridor opportunity</x:v>
      </x:c>
      <x:c r="O79" s="2" t="str">
        <x:v>Not verified, absence not inferred</x:v>
      </x:c>
      <x:c r="P79" s="2" t="str">
        <x:v>Staple trade, product selection pending</x:v>
      </x:c>
      <x:c r="Q79" s="2" t="str">
        <x:v>Confirm product demand, accessible HS line, counterparties, delivered spread, cash conversion and legal clearance.</x:v>
      </x:c>
    </x:row>
    <x:row r="80" ht="60" customHeight="1">
      <x:c r="A80" s="2" t="str">
        <x:v>HUN</x:v>
      </x:c>
      <x:c r="B80" s="2" t="str">
        <x:v>Hungary</x:v>
      </x:c>
      <x:c r="C80" s="2" t="str">
        <x:v>Europe</x:v>
      </x:c>
      <x:c r="D80" s="2" t="str">
        <x:v>348</x:v>
      </x:c>
      <x:c r="E80" s="2" t="str">
        <x:v>Member state</x:v>
      </x:c>
      <x:c r="F80" s="2" t="n">
        <x:v>9585818</x:v>
      </x:c>
      <x:c r="G80" s="2" t="n">
        <x:v>9449115</x:v>
      </x:c>
      <x:c r="H80" s="2" t="n">
        <x:v>9259903</x:v>
      </x:c>
      <x:c r="I80" s="2" t="n">
        <x:v>9067617</x:v>
      </x:c>
      <x:c r="J80" s="2" t="n">
        <x:v>8889214</x:v>
      </x:c>
      <x:c r="K80" s="2" t="n">
        <x:v>8725347</x:v>
      </x:c>
      <x:c r="L80" s="2" t="n">
        <x:v>8693973</x:v>
      </x:c>
      <x:c r="M80" s="2" t="str">
        <x:v>trade</x:v>
      </x:c>
      <x:c r="N80" s="2" t="str">
        <x:v>Watch customer specialization</x:v>
      </x:c>
      <x:c r="O80" s="2" t="str">
        <x:v>Not verified, absence not inferred</x:v>
      </x:c>
      <x:c r="P80" s="2" t="str">
        <x:v>Staple trade, product selection pending</x:v>
      </x:c>
      <x:c r="Q80" s="2" t="str">
        <x:v>Confirm product demand, accessible HS line, counterparties, delivered spread, cash conversion and legal clearance.</x:v>
      </x:c>
    </x:row>
    <x:row r="81" ht="60" customHeight="1">
      <x:c r="A81" s="2" t="str">
        <x:v>ISL</x:v>
      </x:c>
      <x:c r="B81" s="2" t="str">
        <x:v>Iceland</x:v>
      </x:c>
      <x:c r="C81" s="2" t="str">
        <x:v>Europe</x:v>
      </x:c>
      <x:c r="D81" s="2" t="str">
        <x:v>352</x:v>
      </x:c>
      <x:c r="E81" s="2" t="str">
        <x:v>Member state</x:v>
      </x:c>
      <x:c r="F81" s="2" t="n">
        <x:v>402329</x:v>
      </x:c>
      <x:c r="G81" s="2" t="n">
        <x:v>414348</x:v>
      </x:c>
      <x:c r="H81" s="2" t="n">
        <x:v>423579</x:v>
      </x:c>
      <x:c r="I81" s="2" t="n">
        <x:v>429452</x:v>
      </x:c>
      <x:c r="J81" s="2" t="n">
        <x:v>432484</x:v>
      </x:c>
      <x:c r="K81" s="2" t="n">
        <x:v>432993</x:v>
      </x:c>
      <x:c r="L81" s="2" t="n">
        <x:v>432981</x:v>
      </x:c>
      <x:c r="M81" s="2" t="str">
        <x:v>trade</x:v>
      </x:c>
      <x:c r="N81" s="2" t="str">
        <x:v>Watch regional trade</x:v>
      </x:c>
      <x:c r="O81" s="2" t="str">
        <x:v>Not verified, absence not inferred</x:v>
      </x:c>
      <x:c r="P81" s="2" t="str">
        <x:v>Staple trade, product selection pending</x:v>
      </x:c>
      <x:c r="Q81" s="2" t="str">
        <x:v>Confirm product demand, accessible HS line, counterparties, delivered spread, cash conversion and legal clearance.</x:v>
      </x:c>
    </x:row>
    <x:row r="82" ht="60" customHeight="1">
      <x:c r="A82" s="2" t="str">
        <x:v>IND</x:v>
      </x:c>
      <x:c r="B82" s="2" t="str">
        <x:v>India</x:v>
      </x:c>
      <x:c r="C82" s="2" t="str">
        <x:v>Asia</x:v>
      </x:c>
      <x:c r="D82" s="2" t="str">
        <x:v>356</x:v>
      </x:c>
      <x:c r="E82" s="2" t="str">
        <x:v>Member state</x:v>
      </x:c>
      <x:c r="F82" s="2" t="n">
        <x:v>1476625576</x:v>
      </x:c>
      <x:c r="G82" s="2" t="n">
        <x:v>1525138844</x:v>
      </x:c>
      <x:c r="H82" s="2" t="n">
        <x:v>1578694796</x:v>
      </x:c>
      <x:c r="I82" s="2" t="n">
        <x:v>1622580039</x:v>
      </x:c>
      <x:c r="J82" s="2" t="n">
        <x:v>1656067583</x:v>
      </x:c>
      <x:c r="K82" s="2" t="n">
        <x:v>1679589259</x:v>
      </x:c>
      <x:c r="L82" s="2" t="n">
        <x:v>1683220886</x:v>
      </x:c>
      <x:c r="M82" s="2" t="str">
        <x:v>trade</x:v>
      </x:c>
      <x:c r="N82" s="2" t="str">
        <x:v>Diligence priority</x:v>
      </x:c>
      <x:c r="O82" s="2" t="str">
        <x:v>Disclosed location in June-2026 factsheet</x:v>
      </x:c>
      <x:c r="P82" s="2" t="str">
        <x:v>Rice sourcing</x:v>
      </x:c>
      <x:c r="Q82" s="2" t="str">
        <x:v>Check product-specific export rules, supplier rights, landed spread and destination credit.</x:v>
      </x:c>
    </x:row>
    <x:row r="83" ht="60" customHeight="1">
      <x:c r="A83" s="2" t="str">
        <x:v>IDN</x:v>
      </x:c>
      <x:c r="B83" s="2" t="str">
        <x:v>Indonesia</x:v>
      </x:c>
      <x:c r="C83" s="2" t="str">
        <x:v>Asia</x:v>
      </x:c>
      <x:c r="D83" s="2" t="str">
        <x:v>360</x:v>
      </x:c>
      <x:c r="E83" s="2" t="str">
        <x:v>Member state</x:v>
      </x:c>
      <x:c r="F83" s="2" t="n">
        <x:v>287886782</x:v>
      </x:c>
      <x:c r="G83" s="2" t="n">
        <x:v>295876648</x:v>
      </x:c>
      <x:c r="H83" s="2" t="n">
        <x:v>304566622</x:v>
      </x:c>
      <x:c r="I83" s="2" t="n">
        <x:v>311797395</x:v>
      </x:c>
      <x:c r="J83" s="2" t="n">
        <x:v>317249613</x:v>
      </x:c>
      <x:c r="K83" s="2" t="n">
        <x:v>320712949</x:v>
      </x:c>
      <x:c r="L83" s="2" t="n">
        <x:v>321175111</x:v>
      </x:c>
      <x:c r="M83" s="2" t="str">
        <x:v>trade</x:v>
      </x:c>
      <x:c r="N83" s="2" t="str">
        <x:v>Review existing operation</x:v>
      </x:c>
      <x:c r="O83" s="2" t="str">
        <x:v>Disclosed location in June-2026 factsheet</x:v>
      </x:c>
      <x:c r="P83" s="2" t="str">
        <x:v>Staple trade, product selection pending</x:v>
      </x:c>
      <x:c r="Q83" s="2" t="str">
        <x:v>Confirm product demand, accessible HS line, counterparties, delivered spread, cash conversion and legal clearance.</x:v>
      </x:c>
    </x:row>
    <x:row r="84" ht="60" customHeight="1">
      <x:c r="A84" s="2" t="str">
        <x:v>IRN</x:v>
      </x:c>
      <x:c r="B84" s="2" t="str">
        <x:v>Iran (Islamic Republic of)</x:v>
      </x:c>
      <x:c r="C84" s="2" t="str">
        <x:v>Asia</x:v>
      </x:c>
      <x:c r="D84" s="2" t="str">
        <x:v>364</x:v>
      </x:c>
      <x:c r="E84" s="2" t="str">
        <x:v>Member state</x:v>
      </x:c>
      <x:c r="F84" s="2" t="n">
        <x:v>93168497</x:v>
      </x:c>
      <x:c r="G84" s="2" t="n">
        <x:v>95486667</x:v>
      </x:c>
      <x:c r="H84" s="2" t="n">
        <x:v>97679252</x:v>
      </x:c>
      <x:c r="I84" s="2" t="n">
        <x:v>99524277</x:v>
      </x:c>
      <x:c r="J84" s="2" t="n">
        <x:v>100990613</x:v>
      </x:c>
      <x:c r="K84" s="2" t="n">
        <x:v>101861993</x:v>
      </x:c>
      <x:c r="L84" s="2" t="n">
        <x:v>101942322</x:v>
      </x:c>
      <x:c r="M84" s="2" t="str">
        <x:v>trade</x:v>
      </x:c>
      <x:c r="N84" s="2" t="str">
        <x:v>Watch product/corridor opportunity</x:v>
      </x:c>
      <x:c r="O84" s="2" t="str">
        <x:v>Not verified, absence not inferred</x:v>
      </x:c>
      <x:c r="P84" s="2" t="str">
        <x:v>Staple trade, product selection pending</x:v>
      </x:c>
      <x:c r="Q84" s="2" t="str">
        <x:v>Confirm product demand, accessible HS line, counterparties, delivered spread, cash conversion and legal clearance.</x:v>
      </x:c>
    </x:row>
    <x:row r="85" ht="60" customHeight="1">
      <x:c r="A85" s="2" t="str">
        <x:v>IRQ</x:v>
      </x:c>
      <x:c r="B85" s="2" t="str">
        <x:v>Iraq</x:v>
      </x:c>
      <x:c r="C85" s="2" t="str">
        <x:v>Asia</x:v>
      </x:c>
      <x:c r="D85" s="2" t="str">
        <x:v>368</x:v>
      </x:c>
      <x:c r="E85" s="2" t="str">
        <x:v>Member state</x:v>
      </x:c>
      <x:c r="F85" s="2" t="n">
        <x:v>48007437</x:v>
      </x:c>
      <x:c r="G85" s="2" t="n">
        <x:v>51937208</x:v>
      </x:c>
      <x:c r="H85" s="2" t="n">
        <x:v>57035914</x:v>
      </x:c>
      <x:c r="I85" s="2" t="n">
        <x:v>62223211</x:v>
      </x:c>
      <x:c r="J85" s="2" t="n">
        <x:v>67204177</x:v>
      </x:c>
      <x:c r="K85" s="2" t="n">
        <x:v>71928750</x:v>
      </x:c>
      <x:c r="L85" s="2" t="n">
        <x:v>72837415</x:v>
      </x:c>
      <x:c r="M85" s="2" t="str">
        <x:v>trade</x:v>
      </x:c>
      <x:c r="N85" s="2" t="str">
        <x:v>Watch product/corridor opportunity</x:v>
      </x:c>
      <x:c r="O85" s="2" t="str">
        <x:v>Not verified, absence not inferred</x:v>
      </x:c>
      <x:c r="P85" s="2" t="str">
        <x:v>Staple trade, product selection pending</x:v>
      </x:c>
      <x:c r="Q85" s="2" t="str">
        <x:v>Confirm product demand, accessible HS line, counterparties, delivered spread, cash conversion and legal clearance.</x:v>
      </x:c>
    </x:row>
    <x:row r="86" ht="60" customHeight="1">
      <x:c r="A86" s="2" t="str">
        <x:v>IRL</x:v>
      </x:c>
      <x:c r="B86" s="2" t="str">
        <x:v>Ireland</x:v>
      </x:c>
      <x:c r="C86" s="2" t="str">
        <x:v>Europe</x:v>
      </x:c>
      <x:c r="D86" s="2" t="str">
        <x:v>372</x:v>
      </x:c>
      <x:c r="E86" s="2" t="str">
        <x:v>Member state</x:v>
      </x:c>
      <x:c r="F86" s="2" t="n">
        <x:v>5356950</x:v>
      </x:c>
      <x:c r="G86" s="2" t="n">
        <x:v>5525093</x:v>
      </x:c>
      <x:c r="H86" s="2" t="n">
        <x:v>5686868</x:v>
      </x:c>
      <x:c r="I86" s="2" t="n">
        <x:v>5817570</x:v>
      </x:c>
      <x:c r="J86" s="2" t="n">
        <x:v>5916936</x:v>
      </x:c>
      <x:c r="K86" s="2" t="n">
        <x:v>5970042</x:v>
      </x:c>
      <x:c r="L86" s="2" t="n">
        <x:v>5973837</x:v>
      </x:c>
      <x:c r="M86" s="2" t="str">
        <x:v>trade</x:v>
      </x:c>
      <x:c r="N86" s="2" t="str">
        <x:v>Watch product/corridor opportunity</x:v>
      </x:c>
      <x:c r="O86" s="2" t="str">
        <x:v>Not verified, absence not inferred</x:v>
      </x:c>
      <x:c r="P86" s="2" t="str">
        <x:v>Staple trade, product selection pending</x:v>
      </x:c>
      <x:c r="Q86" s="2" t="str">
        <x:v>Confirm product demand, accessible HS line, counterparties, delivered spread, cash conversion and legal clearance.</x:v>
      </x:c>
    </x:row>
    <x:row r="87" ht="60" customHeight="1">
      <x:c r="A87" s="2" t="str">
        <x:v>ISR</x:v>
      </x:c>
      <x:c r="B87" s="2" t="str">
        <x:v>Israel</x:v>
      </x:c>
      <x:c r="C87" s="2" t="str">
        <x:v>Asia</x:v>
      </x:c>
      <x:c r="D87" s="2" t="str">
        <x:v>376</x:v>
      </x:c>
      <x:c r="E87" s="2" t="str">
        <x:v>Member state</x:v>
      </x:c>
      <x:c r="F87" s="2" t="n">
        <x:v>9647689</x:v>
      </x:c>
      <x:c r="G87" s="2" t="n">
        <x:v>10175954</x:v>
      </x:c>
      <x:c r="H87" s="2" t="n">
        <x:v>10858122</x:v>
      </x:c>
      <x:c r="I87" s="2" t="n">
        <x:v>11581474</x:v>
      </x:c>
      <x:c r="J87" s="2" t="n">
        <x:v>12342061</x:v>
      </x:c>
      <x:c r="K87" s="2" t="n">
        <x:v>13092722</x:v>
      </x:c>
      <x:c r="L87" s="2" t="n">
        <x:v>13244415</x:v>
      </x:c>
      <x:c r="M87" s="2" t="str">
        <x:v>trade</x:v>
      </x:c>
      <x:c r="N87" s="2" t="str">
        <x:v>Watch product/corridor opportunity</x:v>
      </x:c>
      <x:c r="O87" s="2" t="str">
        <x:v>Not verified, absence not inferred</x:v>
      </x:c>
      <x:c r="P87" s="2" t="str">
        <x:v>Staple trade, product selection pending</x:v>
      </x:c>
      <x:c r="Q87" s="2" t="str">
        <x:v>Confirm product demand, accessible HS line, counterparties, delivered spread, cash conversion and legal clearance.</x:v>
      </x:c>
    </x:row>
    <x:row r="88" ht="60" customHeight="1">
      <x:c r="A88" s="2" t="str">
        <x:v>ITA</x:v>
      </x:c>
      <x:c r="B88" s="2" t="str">
        <x:v>Italy</x:v>
      </x:c>
      <x:c r="C88" s="2" t="str">
        <x:v>Europe</x:v>
      </x:c>
      <x:c r="D88" s="2" t="str">
        <x:v>380</x:v>
      </x:c>
      <x:c r="E88" s="2" t="str">
        <x:v>Member state</x:v>
      </x:c>
      <x:c r="F88" s="2" t="n">
        <x:v>58926166</x:v>
      </x:c>
      <x:c r="G88" s="2" t="n">
        <x:v>57946072</x:v>
      </x:c>
      <x:c r="H88" s="2" t="n">
        <x:v>56620005</x:v>
      </x:c>
      <x:c r="I88" s="2" t="n">
        <x:v>55221168</x:v>
      </x:c>
      <x:c r="J88" s="2" t="n">
        <x:v>53680471</x:v>
      </x:c>
      <x:c r="K88" s="2" t="n">
        <x:v>51891099</x:v>
      </x:c>
      <x:c r="L88" s="2" t="n">
        <x:v>51499509</x:v>
      </x:c>
      <x:c r="M88" s="2" t="str">
        <x:v>trade</x:v>
      </x:c>
      <x:c r="N88" s="2" t="str">
        <x:v>Watch customer specialization</x:v>
      </x:c>
      <x:c r="O88" s="2" t="str">
        <x:v>Not verified, absence not inferred</x:v>
      </x:c>
      <x:c r="P88" s="2" t="str">
        <x:v>Staple trade, product selection pending</x:v>
      </x:c>
      <x:c r="Q88" s="2" t="str">
        <x:v>Confirm product demand, accessible HS line, counterparties, delivered spread, cash conversion and legal clearance.</x:v>
      </x:c>
    </x:row>
    <x:row r="89" ht="60" customHeight="1">
      <x:c r="A89" s="2" t="str">
        <x:v>JAM</x:v>
      </x:c>
      <x:c r="B89" s="2" t="str">
        <x:v>Jamaica</x:v>
      </x:c>
      <x:c r="C89" s="2" t="str">
        <x:v>Americas</x:v>
      </x:c>
      <x:c r="D89" s="2" t="str">
        <x:v>388</x:v>
      </x:c>
      <x:c r="E89" s="2" t="str">
        <x:v>Member state</x:v>
      </x:c>
      <x:c r="F89" s="2" t="n">
        <x:v>2833403</x:v>
      </x:c>
      <x:c r="G89" s="2" t="n">
        <x:v>2808954</x:v>
      </x:c>
      <x:c r="H89" s="2" t="n">
        <x:v>2755934</x:v>
      </x:c>
      <x:c r="I89" s="2" t="n">
        <x:v>2676100</x:v>
      </x:c>
      <x:c r="J89" s="2" t="n">
        <x:v>2574081</x:v>
      </x:c>
      <x:c r="K89" s="2" t="n">
        <x:v>2454940</x:v>
      </x:c>
      <x:c r="L89" s="2" t="n">
        <x:v>2429919</x:v>
      </x:c>
      <x:c r="M89" s="2" t="str">
        <x:v>trade</x:v>
      </x:c>
      <x:c r="N89" s="2" t="str">
        <x:v>Watch customer specialization</x:v>
      </x:c>
      <x:c r="O89" s="2" t="str">
        <x:v>Not verified, absence not inferred</x:v>
      </x:c>
      <x:c r="P89" s="2" t="str">
        <x:v>Staple trade, product selection pending</x:v>
      </x:c>
      <x:c r="Q89" s="2" t="str">
        <x:v>Confirm product demand, accessible HS line, counterparties, delivered spread, cash conversion and legal clearance.</x:v>
      </x:c>
    </x:row>
    <x:row r="90" ht="60" customHeight="1">
      <x:c r="A90" s="2" t="str">
        <x:v>JPN</x:v>
      </x:c>
      <x:c r="B90" s="2" t="str">
        <x:v>Japan</x:v>
      </x:c>
      <x:c r="C90" s="2" t="str">
        <x:v>Asia</x:v>
      </x:c>
      <x:c r="D90" s="2" t="str">
        <x:v>392</x:v>
      </x:c>
      <x:c r="E90" s="2" t="str">
        <x:v>Member state</x:v>
      </x:c>
      <x:c r="F90" s="2" t="n">
        <x:v>122427731</x:v>
      </x:c>
      <x:c r="G90" s="2" t="n">
        <x:v>119584121</x:v>
      </x:c>
      <x:c r="H90" s="2" t="n">
        <x:v>115876149</x:v>
      </x:c>
      <x:c r="I90" s="2" t="n">
        <x:v>112158303</x:v>
      </x:c>
      <x:c r="J90" s="2" t="n">
        <x:v>108551995</x:v>
      </x:c>
      <x:c r="K90" s="2" t="n">
        <x:v>105123167</x:v>
      </x:c>
      <x:c r="L90" s="2" t="n">
        <x:v>104452458</x:v>
      </x:c>
      <x:c r="M90" s="2" t="str">
        <x:v>trade</x:v>
      </x:c>
      <x:c r="N90" s="2" t="str">
        <x:v>Watch customer specialization</x:v>
      </x:c>
      <x:c r="O90" s="2" t="str">
        <x:v>Not verified, absence not inferred</x:v>
      </x:c>
      <x:c r="P90" s="2" t="str">
        <x:v>Staple trade, product selection pending</x:v>
      </x:c>
      <x:c r="Q90" s="2" t="str">
        <x:v>Confirm product demand, accessible HS line, counterparties, delivered spread, cash conversion and legal clearance.</x:v>
      </x:c>
    </x:row>
    <x:row r="91" ht="60" customHeight="1">
      <x:c r="A91" s="2" t="str">
        <x:v>JOR</x:v>
      </x:c>
      <x:c r="B91" s="2" t="str">
        <x:v>Jordan</x:v>
      </x:c>
      <x:c r="C91" s="2" t="str">
        <x:v>Asia</x:v>
      </x:c>
      <x:c r="D91" s="2" t="str">
        <x:v>400</x:v>
      </x:c>
      <x:c r="E91" s="2" t="str">
        <x:v>Member state</x:v>
      </x:c>
      <x:c r="F91" s="2" t="n">
        <x:v>11589532</x:v>
      </x:c>
      <x:c r="G91" s="2" t="n">
        <x:v>12448776</x:v>
      </x:c>
      <x:c r="H91" s="2" t="n">
        <x:v>13440834</x:v>
      </x:c>
      <x:c r="I91" s="2" t="n">
        <x:v>14471297</x:v>
      </x:c>
      <x:c r="J91" s="2" t="n">
        <x:v>15471984</x:v>
      </x:c>
      <x:c r="K91" s="2" t="n">
        <x:v>16367354</x:v>
      </x:c>
      <x:c r="L91" s="2" t="n">
        <x:v>16525167.000000002</x:v>
      </x:c>
      <x:c r="M91" s="2" t="str">
        <x:v>trade</x:v>
      </x:c>
      <x:c r="N91" s="2" t="str">
        <x:v>Watch product/corridor opportunity</x:v>
      </x:c>
      <x:c r="O91" s="2" t="str">
        <x:v>Not verified, absence not inferred</x:v>
      </x:c>
      <x:c r="P91" s="2" t="str">
        <x:v>Staple trade, product selection pending</x:v>
      </x:c>
      <x:c r="Q91" s="2" t="str">
        <x:v>Confirm product demand, accessible HS line, counterparties, delivered spread, cash conversion and legal clearance.</x:v>
      </x:c>
    </x:row>
    <x:row r="92" ht="60" customHeight="1">
      <x:c r="A92" s="2" t="str">
        <x:v>KAZ</x:v>
      </x:c>
      <x:c r="B92" s="2" t="str">
        <x:v>Kazakhstan</x:v>
      </x:c>
      <x:c r="C92" s="2" t="str">
        <x:v>Asia</x:v>
      </x:c>
      <x:c r="D92" s="2" t="str">
        <x:v>398</x:v>
      </x:c>
      <x:c r="E92" s="2" t="str">
        <x:v>Member state</x:v>
      </x:c>
      <x:c r="F92" s="2" t="n">
        <x:v>21083626</x:v>
      </x:c>
      <x:c r="G92" s="2" t="n">
        <x:v>22003193</x:v>
      </x:c>
      <x:c r="H92" s="2" t="n">
        <x:v>23125951</x:v>
      </x:c>
      <x:c r="I92" s="2" t="n">
        <x:v>24246823</x:v>
      </x:c>
      <x:c r="J92" s="2" t="n">
        <x:v>25409756</x:v>
      </x:c>
      <x:c r="K92" s="2" t="n">
        <x:v>26544265</x:v>
      </x:c>
      <x:c r="L92" s="2" t="n">
        <x:v>26757521</x:v>
      </x:c>
      <x:c r="M92" s="2" t="str">
        <x:v>trade</x:v>
      </x:c>
      <x:c r="N92" s="2" t="str">
        <x:v>Watch product/corridor opportunity</x:v>
      </x:c>
      <x:c r="O92" s="2" t="str">
        <x:v>Not verified, absence not inferred</x:v>
      </x:c>
      <x:c r="P92" s="2" t="str">
        <x:v>Staple trade, product selection pending</x:v>
      </x:c>
      <x:c r="Q92" s="2" t="str">
        <x:v>Confirm product demand, accessible HS line, counterparties, delivered spread, cash conversion and legal clearance.</x:v>
      </x:c>
    </x:row>
    <x:row r="93" ht="60" customHeight="1">
      <x:c r="A93" s="2" t="str">
        <x:v>KEN</x:v>
      </x:c>
      <x:c r="B93" s="2" t="str">
        <x:v>Kenya</x:v>
      </x:c>
      <x:c r="C93" s="2" t="str">
        <x:v>Africa</x:v>
      </x:c>
      <x:c r="D93" s="2" t="str">
        <x:v>404</x:v>
      </x:c>
      <x:c r="E93" s="2" t="str">
        <x:v>Member state</x:v>
      </x:c>
      <x:c r="F93" s="2" t="n">
        <x:v>58636412</x:v>
      </x:c>
      <x:c r="G93" s="2" t="n">
        <x:v>63102245</x:v>
      </x:c>
      <x:c r="H93" s="2" t="n">
        <x:v>68715909</x:v>
      </x:c>
      <x:c r="I93" s="2" t="n">
        <x:v>74108863</x:v>
      </x:c>
      <x:c r="J93" s="2" t="n">
        <x:v>79088836</x:v>
      </x:c>
      <x:c r="K93" s="2" t="n">
        <x:v>83593239</x:v>
      </x:c>
      <x:c r="L93" s="2" t="n">
        <x:v>84451673</x:v>
      </x:c>
      <x:c r="M93" s="2" t="str">
        <x:v>trade</x:v>
      </x:c>
      <x:c r="N93" s="2" t="str">
        <x:v>Watch product/corridor opportunity</x:v>
      </x:c>
      <x:c r="O93" s="2" t="str">
        <x:v>Not verified, absence not inferred</x:v>
      </x:c>
      <x:c r="P93" s="2" t="str">
        <x:v>Staple trade, product selection pending</x:v>
      </x:c>
      <x:c r="Q93" s="2" t="str">
        <x:v>Confirm product demand, accessible HS line, counterparties, delivered spread, cash conversion and legal clearance.</x:v>
      </x:c>
    </x:row>
    <x:row r="94" ht="60" customHeight="1">
      <x:c r="A94" s="2" t="str">
        <x:v>KIR</x:v>
      </x:c>
      <x:c r="B94" s="2" t="str">
        <x:v>Kiribati</x:v>
      </x:c>
      <x:c r="C94" s="2" t="str">
        <x:v>Oceania</x:v>
      </x:c>
      <x:c r="D94" s="2" t="str">
        <x:v>296</x:v>
      </x:c>
      <x:c r="E94" s="2" t="str">
        <x:v>Member state</x:v>
      </x:c>
      <x:c r="F94" s="2" t="n">
        <x:v>138445</x:v>
      </x:c>
      <x:c r="G94" s="2" t="n">
        <x:v>146126</x:v>
      </x:c>
      <x:c r="H94" s="2" t="n">
        <x:v>155440</x:v>
      </x:c>
      <x:c r="I94" s="2" t="n">
        <x:v>164700</x:v>
      </x:c>
      <x:c r="J94" s="2" t="n">
        <x:v>173813</x:v>
      </x:c>
      <x:c r="K94" s="2" t="n">
        <x:v>182621</x:v>
      </x:c>
      <x:c r="L94" s="2" t="n">
        <x:v>184260</x:v>
      </x:c>
      <x:c r="M94" s="2" t="str">
        <x:v>trade</x:v>
      </x:c>
      <x:c r="N94" s="2" t="str">
        <x:v>Watch regional trade</x:v>
      </x:c>
      <x:c r="O94" s="2" t="str">
        <x:v>Not verified, absence not inferred</x:v>
      </x:c>
      <x:c r="P94" s="2" t="str">
        <x:v>Staple trade, product selection pending</x:v>
      </x:c>
      <x:c r="Q94" s="2" t="str">
        <x:v>Confirm product demand, accessible HS line, counterparties, delivered spread, cash conversion and legal clearance.</x:v>
      </x:c>
    </x:row>
    <x:row r="95" ht="60" customHeight="1">
      <x:c r="A95" s="2" t="str">
        <x:v>KWT</x:v>
      </x:c>
      <x:c r="B95" s="2" t="str">
        <x:v>Kuwait</x:v>
      </x:c>
      <x:c r="C95" s="2" t="str">
        <x:v>Asia</x:v>
      </x:c>
      <x:c r="D95" s="2" t="str">
        <x:v>414</x:v>
      </x:c>
      <x:c r="E95" s="2" t="str">
        <x:v>Member state</x:v>
      </x:c>
      <x:c r="F95" s="2" t="n">
        <x:v>5102773</x:v>
      </x:c>
      <x:c r="G95" s="2" t="n">
        <x:v>5324198</x:v>
      </x:c>
      <x:c r="H95" s="2" t="n">
        <x:v>5569671</x:v>
      </x:c>
      <x:c r="I95" s="2" t="n">
        <x:v>5831211</x:v>
      </x:c>
      <x:c r="J95" s="2" t="n">
        <x:v>6099774</x:v>
      </x:c>
      <x:c r="K95" s="2" t="n">
        <x:v>6367756</x:v>
      </x:c>
      <x:c r="L95" s="2" t="n">
        <x:v>6421239</x:v>
      </x:c>
      <x:c r="M95" s="2" t="str">
        <x:v>trade</x:v>
      </x:c>
      <x:c r="N95" s="2" t="str">
        <x:v>Watch product/corridor opportunity</x:v>
      </x:c>
      <x:c r="O95" s="2" t="str">
        <x:v>Not verified, absence not inferred</x:v>
      </x:c>
      <x:c r="P95" s="2" t="str">
        <x:v>Staple trade, product selection pending</x:v>
      </x:c>
      <x:c r="Q95" s="2" t="str">
        <x:v>Confirm product demand, accessible HS line, counterparties, delivered spread, cash conversion and legal clearance.</x:v>
      </x:c>
    </x:row>
    <x:row r="96" ht="60" customHeight="1">
      <x:c r="A96" s="2" t="str">
        <x:v>KGZ</x:v>
      </x:c>
      <x:c r="B96" s="2" t="str">
        <x:v>Kyrgyzstan</x:v>
      </x:c>
      <x:c r="C96" s="2" t="str">
        <x:v>Asia</x:v>
      </x:c>
      <x:c r="D96" s="2" t="str">
        <x:v>417</x:v>
      </x:c>
      <x:c r="E96" s="2" t="str">
        <x:v>Member state</x:v>
      </x:c>
      <x:c r="F96" s="2" t="n">
        <x:v>7400465</x:v>
      </x:c>
      <x:c r="G96" s="2" t="n">
        <x:v>7803618</x:v>
      </x:c>
      <x:c r="H96" s="2" t="n">
        <x:v>8282415.000000001</x:v>
      </x:c>
      <x:c r="I96" s="2" t="n">
        <x:v>8757697</x:v>
      </x:c>
      <x:c r="J96" s="2" t="n">
        <x:v>9222104</x:v>
      </x:c>
      <x:c r="K96" s="2" t="n">
        <x:v>9642952</x:v>
      </x:c>
      <x:c r="L96" s="2" t="n">
        <x:v>9722163</x:v>
      </x:c>
      <x:c r="M96" s="2" t="str">
        <x:v>trade</x:v>
      </x:c>
      <x:c r="N96" s="2" t="str">
        <x:v>Watch product/corridor opportunity</x:v>
      </x:c>
      <x:c r="O96" s="2" t="str">
        <x:v>Not verified, absence not inferred</x:v>
      </x:c>
      <x:c r="P96" s="2" t="str">
        <x:v>Staple trade, product selection pending</x:v>
      </x:c>
      <x:c r="Q96" s="2" t="str">
        <x:v>Confirm product demand, accessible HS line, counterparties, delivered spread, cash conversion and legal clearance.</x:v>
      </x:c>
    </x:row>
    <x:row r="97" ht="60" customHeight="1">
      <x:c r="A97" s="2" t="str">
        <x:v>LAO</x:v>
      </x:c>
      <x:c r="B97" s="2" t="str">
        <x:v>Lao People's Democratic Republic</x:v>
      </x:c>
      <x:c r="C97" s="2" t="str">
        <x:v>Asia</x:v>
      </x:c>
      <x:c r="D97" s="2" t="str">
        <x:v>418</x:v>
      </x:c>
      <x:c r="E97" s="2" t="str">
        <x:v>Member state</x:v>
      </x:c>
      <x:c r="F97" s="2" t="n">
        <x:v>7974017</x:v>
      </x:c>
      <x:c r="G97" s="2" t="n">
        <x:v>8357022.999999999</x:v>
      </x:c>
      <x:c r="H97" s="2" t="n">
        <x:v>8788756</x:v>
      </x:c>
      <x:c r="I97" s="2" t="n">
        <x:v>9169002</x:v>
      </x:c>
      <x:c r="J97" s="2" t="n">
        <x:v>9492503</x:v>
      </x:c>
      <x:c r="K97" s="2" t="n">
        <x:v>9757285</x:v>
      </x:c>
      <x:c r="L97" s="2" t="n">
        <x:v>9802787</x:v>
      </x:c>
      <x:c r="M97" s="2" t="str">
        <x:v>trade</x:v>
      </x:c>
      <x:c r="N97" s="2" t="str">
        <x:v>Watch product/corridor opportunity</x:v>
      </x:c>
      <x:c r="O97" s="2" t="str">
        <x:v>Not verified, absence not inferred</x:v>
      </x:c>
      <x:c r="P97" s="2" t="str">
        <x:v>Staple trade, product selection pending</x:v>
      </x:c>
      <x:c r="Q97" s="2" t="str">
        <x:v>Confirm product demand, accessible HS line, counterparties, delivered spread, cash conversion and legal clearance.</x:v>
      </x:c>
    </x:row>
    <x:row r="98" ht="60" customHeight="1">
      <x:c r="A98" s="2" t="str">
        <x:v>LVA</x:v>
      </x:c>
      <x:c r="B98" s="2" t="str">
        <x:v>Latvia</x:v>
      </x:c>
      <x:c r="C98" s="2" t="str">
        <x:v>Europe</x:v>
      </x:c>
      <x:c r="D98" s="2" t="str">
        <x:v>428</x:v>
      </x:c>
      <x:c r="E98" s="2" t="str">
        <x:v>Member state</x:v>
      </x:c>
      <x:c r="F98" s="2" t="n">
        <x:v>1835935</x:v>
      </x:c>
      <x:c r="G98" s="2" t="n">
        <x:v>1777620</x:v>
      </x:c>
      <x:c r="H98" s="2" t="n">
        <x:v>1706428</x:v>
      </x:c>
      <x:c r="I98" s="2" t="n">
        <x:v>1640644</x:v>
      </x:c>
      <x:c r="J98" s="2" t="n">
        <x:v>1577406</x:v>
      </x:c>
      <x:c r="K98" s="2" t="n">
        <x:v>1513810</x:v>
      </x:c>
      <x:c r="L98" s="2" t="n">
        <x:v>1501015</x:v>
      </x:c>
      <x:c r="M98" s="2" t="str">
        <x:v>trade</x:v>
      </x:c>
      <x:c r="N98" s="2" t="str">
        <x:v>Watch customer specialization</x:v>
      </x:c>
      <x:c r="O98" s="2" t="str">
        <x:v>Not verified, absence not inferred</x:v>
      </x:c>
      <x:c r="P98" s="2" t="str">
        <x:v>Staple trade, product selection pending</x:v>
      </x:c>
      <x:c r="Q98" s="2" t="str">
        <x:v>Confirm product demand, accessible HS line, counterparties, delivered spread, cash conversion and legal clearance.</x:v>
      </x:c>
    </x:row>
    <x:row r="99" ht="60" customHeight="1">
      <x:c r="A99" s="2" t="str">
        <x:v>LBN</x:v>
      </x:c>
      <x:c r="B99" s="2" t="str">
        <x:v>Lebanon</x:v>
      </x:c>
      <x:c r="C99" s="2" t="str">
        <x:v>Asia</x:v>
      </x:c>
      <x:c r="D99" s="2" t="str">
        <x:v>422</x:v>
      </x:c>
      <x:c r="E99" s="2" t="str">
        <x:v>Member state</x:v>
      </x:c>
      <x:c r="F99" s="2" t="n">
        <x:v>5897467</x:v>
      </x:c>
      <x:c r="G99" s="2" t="n">
        <x:v>6103808</x:v>
      </x:c>
      <x:c r="H99" s="2" t="n">
        <x:v>6357724</x:v>
      </x:c>
      <x:c r="I99" s="2" t="n">
        <x:v>6620329</x:v>
      </x:c>
      <x:c r="J99" s="2" t="n">
        <x:v>6834988</x:v>
      </x:c>
      <x:c r="K99" s="2" t="n">
        <x:v>6999260</x:v>
      </x:c>
      <x:c r="L99" s="2" t="n">
        <x:v>7025484</x:v>
      </x:c>
      <x:c r="M99" s="2" t="str">
        <x:v>trade</x:v>
      </x:c>
      <x:c r="N99" s="2" t="str">
        <x:v>Watch product/corridor opportunity</x:v>
      </x:c>
      <x:c r="O99" s="2" t="str">
        <x:v>Not verified, absence not inferred</x:v>
      </x:c>
      <x:c r="P99" s="2" t="str">
        <x:v>Staple trade, product selection pending</x:v>
      </x:c>
      <x:c r="Q99" s="2" t="str">
        <x:v>Confirm product demand, accessible HS line, counterparties, delivered spread, cash conversion and legal clearance.</x:v>
      </x:c>
    </x:row>
    <x:row r="100" ht="60" customHeight="1">
      <x:c r="A100" s="2" t="str">
        <x:v>LSO</x:v>
      </x:c>
      <x:c r="B100" s="2" t="str">
        <x:v>Lesotho</x:v>
      </x:c>
      <x:c r="C100" s="2" t="str">
        <x:v>Africa</x:v>
      </x:c>
      <x:c r="D100" s="2" t="str">
        <x:v>426</x:v>
      </x:c>
      <x:c r="E100" s="2" t="str">
        <x:v>Member state</x:v>
      </x:c>
      <x:c r="F100" s="2" t="n">
        <x:v>2389336</x:v>
      </x:c>
      <x:c r="G100" s="2" t="n">
        <x:v>2493818</x:v>
      </x:c>
      <x:c r="H100" s="2" t="n">
        <x:v>2626567</x:v>
      </x:c>
      <x:c r="I100" s="2" t="n">
        <x:v>2757876</x:v>
      </x:c>
      <x:c r="J100" s="2" t="n">
        <x:v>2881339</x:v>
      </x:c>
      <x:c r="K100" s="2" t="n">
        <x:v>2993077</x:v>
      </x:c>
      <x:c r="L100" s="2" t="n">
        <x:v>3013558</x:v>
      </x:c>
      <x:c r="M100" s="2" t="str">
        <x:v>trade</x:v>
      </x:c>
      <x:c r="N100" s="2" t="str">
        <x:v>Watch product/corridor opportunity</x:v>
      </x:c>
      <x:c r="O100" s="2" t="str">
        <x:v>Not verified, absence not inferred</x:v>
      </x:c>
      <x:c r="P100" s="2" t="str">
        <x:v>Staple trade, product selection pending</x:v>
      </x:c>
      <x:c r="Q100" s="2" t="str">
        <x:v>Confirm product demand, accessible HS line, counterparties, delivered spread, cash conversion and legal clearance.</x:v>
      </x:c>
    </x:row>
    <x:row r="101" ht="60" customHeight="1">
      <x:c r="A101" s="2" t="str">
        <x:v>LBR</x:v>
      </x:c>
      <x:c r="B101" s="2" t="str">
        <x:v>Liberia</x:v>
      </x:c>
      <x:c r="C101" s="2" t="str">
        <x:v>Africa</x:v>
      </x:c>
      <x:c r="D101" s="2" t="str">
        <x:v>430</x:v>
      </x:c>
      <x:c r="E101" s="2" t="str">
        <x:v>Member state</x:v>
      </x:c>
      <x:c r="F101" s="2" t="n">
        <x:v>5853949</x:v>
      </x:c>
      <x:c r="G101" s="2" t="n">
        <x:v>6366291</x:v>
      </x:c>
      <x:c r="H101" s="2" t="n">
        <x:v>7003557</x:v>
      </x:c>
      <x:c r="I101" s="2" t="n">
        <x:v>7681688</x:v>
      </x:c>
      <x:c r="J101" s="2" t="n">
        <x:v>8310645</x:v>
      </x:c>
      <x:c r="K101" s="2" t="n">
        <x:v>8910530</x:v>
      </x:c>
      <x:c r="L101" s="2" t="n">
        <x:v>9020146</x:v>
      </x:c>
      <x:c r="M101" s="2" t="str">
        <x:v>trade</x:v>
      </x:c>
      <x:c r="N101" s="2" t="str">
        <x:v>Watch product/corridor opportunity</x:v>
      </x:c>
      <x:c r="O101" s="2" t="str">
        <x:v>Not verified, absence not inferred</x:v>
      </x:c>
      <x:c r="P101" s="2" t="str">
        <x:v>Staple trade, product selection pending</x:v>
      </x:c>
      <x:c r="Q101" s="2" t="str">
        <x:v>Confirm product demand, accessible HS line, counterparties, delivered spread, cash conversion and legal clearance.</x:v>
      </x:c>
    </x:row>
    <x:row r="102" ht="60" customHeight="1">
      <x:c r="A102" s="2" t="str">
        <x:v>LBY</x:v>
      </x:c>
      <x:c r="B102" s="2" t="str">
        <x:v>Libya</x:v>
      </x:c>
      <x:c r="C102" s="2" t="str">
        <x:v>Africa</x:v>
      </x:c>
      <x:c r="D102" s="2" t="str">
        <x:v>434</x:v>
      </x:c>
      <x:c r="E102" s="2" t="str">
        <x:v>Member state</x:v>
      </x:c>
      <x:c r="F102" s="2" t="n">
        <x:v>7539851</x:v>
      </x:c>
      <x:c r="G102" s="2" t="n">
        <x:v>7885806</x:v>
      </x:c>
      <x:c r="H102" s="2" t="n">
        <x:v>8283952.999999999</x:v>
      </x:c>
      <x:c r="I102" s="2" t="n">
        <x:v>8651417</x:v>
      </x:c>
      <x:c r="J102" s="2" t="n">
        <x:v>8983949</x:v>
      </x:c>
      <x:c r="K102" s="2" t="n">
        <x:v>9260605</x:v>
      </x:c>
      <x:c r="L102" s="2" t="n">
        <x:v>9310578</x:v>
      </x:c>
      <x:c r="M102" s="2" t="str">
        <x:v>trade</x:v>
      </x:c>
      <x:c r="N102" s="2" t="str">
        <x:v>Watch product/corridor opportunity</x:v>
      </x:c>
      <x:c r="O102" s="2" t="str">
        <x:v>Not verified, absence not inferred</x:v>
      </x:c>
      <x:c r="P102" s="2" t="str">
        <x:v>Staple trade, product selection pending</x:v>
      </x:c>
      <x:c r="Q102" s="2" t="str">
        <x:v>Confirm product demand, accessible HS line, counterparties, delivered spread, cash conversion and legal clearance.</x:v>
      </x:c>
    </x:row>
    <x:row r="103" ht="60" customHeight="1">
      <x:c r="A103" s="2" t="str">
        <x:v>LIE</x:v>
      </x:c>
      <x:c r="B103" s="2" t="str">
        <x:v>Liechtenstein</x:v>
      </x:c>
      <x:c r="C103" s="2" t="str">
        <x:v>Europe</x:v>
      </x:c>
      <x:c r="D103" s="2" t="str">
        <x:v>438</x:v>
      </x:c>
      <x:c r="E103" s="2" t="str">
        <x:v>Member state</x:v>
      </x:c>
      <x:c r="F103" s="2" t="n">
        <x:v>40368</x:v>
      </x:c>
      <x:c r="G103" s="2" t="n">
        <x:v>41202</x:v>
      </x:c>
      <x:c r="H103" s="2" t="n">
        <x:v>42005</x:v>
      </x:c>
      <x:c r="I103" s="2" t="n">
        <x:v>42534</x:v>
      </x:c>
      <x:c r="J103" s="2" t="n">
        <x:v>42861</x:v>
      </x:c>
      <x:c r="K103" s="2" t="n">
        <x:v>43013</x:v>
      </x:c>
      <x:c r="L103" s="2" t="n">
        <x:v>43031</x:v>
      </x:c>
      <x:c r="M103" s="2" t="str">
        <x:v>trade</x:v>
      </x:c>
      <x:c r="N103" s="2" t="str">
        <x:v>Watch regional trade</x:v>
      </x:c>
      <x:c r="O103" s="2" t="str">
        <x:v>Not verified, absence not inferred</x:v>
      </x:c>
      <x:c r="P103" s="2" t="str">
        <x:v>Staple trade, product selection pending</x:v>
      </x:c>
      <x:c r="Q103" s="2" t="str">
        <x:v>Confirm product demand, accessible HS line, counterparties, delivered spread, cash conversion and legal clearance.</x:v>
      </x:c>
    </x:row>
    <x:row r="104" ht="60" customHeight="1">
      <x:c r="A104" s="2" t="str">
        <x:v>LTU</x:v>
      </x:c>
      <x:c r="B104" s="2" t="str">
        <x:v>Lithuania</x:v>
      </x:c>
      <x:c r="C104" s="2" t="str">
        <x:v>Europe</x:v>
      </x:c>
      <x:c r="D104" s="2" t="str">
        <x:v>440</x:v>
      </x:c>
      <x:c r="E104" s="2" t="str">
        <x:v>Member state</x:v>
      </x:c>
      <x:c r="F104" s="2" t="n">
        <x:v>2797338</x:v>
      </x:c>
      <x:c r="G104" s="2" t="n">
        <x:v>2706358</x:v>
      </x:c>
      <x:c r="H104" s="2" t="n">
        <x:v>2597392</x:v>
      </x:c>
      <x:c r="I104" s="2" t="n">
        <x:v>2484835</x:v>
      </x:c>
      <x:c r="J104" s="2" t="n">
        <x:v>2372137</x:v>
      </x:c>
      <x:c r="K104" s="2" t="n">
        <x:v>2258774</x:v>
      </x:c>
      <x:c r="L104" s="2" t="n">
        <x:v>2235291</x:v>
      </x:c>
      <x:c r="M104" s="2" t="str">
        <x:v>trade</x:v>
      </x:c>
      <x:c r="N104" s="2" t="str">
        <x:v>Watch customer specialization</x:v>
      </x:c>
      <x:c r="O104" s="2" t="str">
        <x:v>Not verified, absence not inferred</x:v>
      </x:c>
      <x:c r="P104" s="2" t="str">
        <x:v>Staple trade, product selection pending</x:v>
      </x:c>
      <x:c r="Q104" s="2" t="str">
        <x:v>Confirm product demand, accessible HS line, counterparties, delivered spread, cash conversion and legal clearance.</x:v>
      </x:c>
    </x:row>
    <x:row r="105" ht="60" customHeight="1">
      <x:c r="A105" s="2" t="str">
        <x:v>LUX</x:v>
      </x:c>
      <x:c r="B105" s="2" t="str">
        <x:v>Luxembourg</x:v>
      </x:c>
      <x:c r="C105" s="2" t="str">
        <x:v>Europe</x:v>
      </x:c>
      <x:c r="D105" s="2" t="str">
        <x:v>442</x:v>
      </x:c>
      <x:c r="E105" s="2" t="str">
        <x:v>Member state</x:v>
      </x:c>
      <x:c r="F105" s="2" t="n">
        <x:v>687448</x:v>
      </x:c>
      <x:c r="G105" s="2" t="n">
        <x:v>713667</x:v>
      </x:c>
      <x:c r="H105" s="2" t="n">
        <x:v>740629</x:v>
      </x:c>
      <x:c r="I105" s="2" t="n">
        <x:v>762673</x:v>
      </x:c>
      <x:c r="J105" s="2" t="n">
        <x:v>779539</x:v>
      </x:c>
      <x:c r="K105" s="2" t="n">
        <x:v>791464</x:v>
      </x:c>
      <x:c r="L105" s="2" t="n">
        <x:v>793283</x:v>
      </x:c>
      <x:c r="M105" s="2" t="str">
        <x:v>trade</x:v>
      </x:c>
      <x:c r="N105" s="2" t="str">
        <x:v>Watch regional trade</x:v>
      </x:c>
      <x:c r="O105" s="2" t="str">
        <x:v>Not verified, absence not inferred</x:v>
      </x:c>
      <x:c r="P105" s="2" t="str">
        <x:v>Staple trade, product selection pending</x:v>
      </x:c>
      <x:c r="Q105" s="2" t="str">
        <x:v>Confirm product demand, accessible HS line, counterparties, delivered spread, cash conversion and legal clearance.</x:v>
      </x:c>
    </x:row>
    <x:row r="106" ht="60" customHeight="1">
      <x:c r="A106" s="2" t="str">
        <x:v>MDG</x:v>
      </x:c>
      <x:c r="B106" s="2" t="str">
        <x:v>Madagascar</x:v>
      </x:c>
      <x:c r="C106" s="2" t="str">
        <x:v>Africa</x:v>
      </x:c>
      <x:c r="D106" s="2" t="str">
        <x:v>450</x:v>
      </x:c>
      <x:c r="E106" s="2" t="str">
        <x:v>Member state</x:v>
      </x:c>
      <x:c r="F106" s="2" t="n">
        <x:v>33522052.000000004</x:v>
      </x:c>
      <x:c r="G106" s="2" t="n">
        <x:v>36693183</x:v>
      </x:c>
      <x:c r="H106" s="2" t="n">
        <x:v>40733844</x:v>
      </x:c>
      <x:c r="I106" s="2" t="n">
        <x:v>44846895</x:v>
      </x:c>
      <x:c r="J106" s="2" t="n">
        <x:v>49011274</x:v>
      </x:c>
      <x:c r="K106" s="2" t="n">
        <x:v>53185475</x:v>
      </x:c>
      <x:c r="L106" s="2" t="n">
        <x:v>54016765</x:v>
      </x:c>
      <x:c r="M106" s="2" t="str">
        <x:v>trade</x:v>
      </x:c>
      <x:c r="N106" s="2" t="str">
        <x:v>Watch product/corridor opportunity</x:v>
      </x:c>
      <x:c r="O106" s="2" t="str">
        <x:v>Not verified, absence not inferred</x:v>
      </x:c>
      <x:c r="P106" s="2" t="str">
        <x:v>Staple trade, product selection pending</x:v>
      </x:c>
      <x:c r="Q106" s="2" t="str">
        <x:v>Confirm product demand, accessible HS line, counterparties, delivered spread, cash conversion and legal clearance.</x:v>
      </x:c>
    </x:row>
    <x:row r="107" ht="60" customHeight="1">
      <x:c r="A107" s="2" t="str">
        <x:v>MWI</x:v>
      </x:c>
      <x:c r="B107" s="2" t="str">
        <x:v>Malawi</x:v>
      </x:c>
      <x:c r="C107" s="2" t="str">
        <x:v>Africa</x:v>
      </x:c>
      <x:c r="D107" s="2" t="str">
        <x:v>454</x:v>
      </x:c>
      <x:c r="E107" s="2" t="str">
        <x:v>Member state</x:v>
      </x:c>
      <x:c r="F107" s="2" t="n">
        <x:v>22785535</x:v>
      </x:c>
      <x:c r="G107" s="2" t="n">
        <x:v>25160287</x:v>
      </x:c>
      <x:c r="H107" s="2" t="n">
        <x:v>28213795</x:v>
      </x:c>
      <x:c r="I107" s="2" t="n">
        <x:v>31302098</x:v>
      </x:c>
      <x:c r="J107" s="2" t="n">
        <x:v>34350954</x:v>
      </x:c>
      <x:c r="K107" s="2" t="n">
        <x:v>37361683</x:v>
      </x:c>
      <x:c r="L107" s="2" t="n">
        <x:v>37964325</x:v>
      </x:c>
      <x:c r="M107" s="2" t="str">
        <x:v>trade</x:v>
      </x:c>
      <x:c r="N107" s="2" t="str">
        <x:v>Watch product/corridor opportunity</x:v>
      </x:c>
      <x:c r="O107" s="2" t="str">
        <x:v>Not verified, absence not inferred</x:v>
      </x:c>
      <x:c r="P107" s="2" t="str">
        <x:v>Staple trade, product selection pending</x:v>
      </x:c>
      <x:c r="Q107" s="2" t="str">
        <x:v>Confirm product demand, accessible HS line, counterparties, delivered spread, cash conversion and legal clearance.</x:v>
      </x:c>
    </x:row>
    <x:row r="108" ht="60" customHeight="1">
      <x:c r="A108" s="2" t="str">
        <x:v>MYS</x:v>
      </x:c>
      <x:c r="B108" s="2" t="str">
        <x:v>Malaysia</x:v>
      </x:c>
      <x:c r="C108" s="2" t="str">
        <x:v>Asia</x:v>
      </x:c>
      <x:c r="D108" s="2" t="str">
        <x:v>458</x:v>
      </x:c>
      <x:c r="E108" s="2" t="str">
        <x:v>Member state</x:v>
      </x:c>
      <x:c r="F108" s="2" t="n">
        <x:v>36385115</x:v>
      </x:c>
      <x:c r="G108" s="2" t="n">
        <x:v>37961719</x:v>
      </x:c>
      <x:c r="H108" s="2" t="n">
        <x:v>39814825</x:v>
      </x:c>
      <x:c r="I108" s="2" t="n">
        <x:v>41509644</x:v>
      </x:c>
      <x:c r="J108" s="2" t="n">
        <x:v>43038204</x:v>
      </x:c>
      <x:c r="K108" s="2" t="n">
        <x:v>44289772</x:v>
      </x:c>
      <x:c r="L108" s="2" t="n">
        <x:v>44502613</x:v>
      </x:c>
      <x:c r="M108" s="2" t="str">
        <x:v>trade</x:v>
      </x:c>
      <x:c r="N108" s="2" t="str">
        <x:v>Review existing operation</x:v>
      </x:c>
      <x:c r="O108" s="2" t="str">
        <x:v>Disclosed location in June-2026 factsheet</x:v>
      </x:c>
      <x:c r="P108" s="2" t="str">
        <x:v>Staple trade, product selection pending</x:v>
      </x:c>
      <x:c r="Q108" s="2" t="str">
        <x:v>Confirm product demand, accessible HS line, counterparties, delivered spread, cash conversion and legal clearance.</x:v>
      </x:c>
    </x:row>
    <x:row r="109" ht="60" customHeight="1">
      <x:c r="A109" s="2" t="str">
        <x:v>MDV</x:v>
      </x:c>
      <x:c r="B109" s="2" t="str">
        <x:v>Maldives</x:v>
      </x:c>
      <x:c r="C109" s="2" t="str">
        <x:v>Asia</x:v>
      </x:c>
      <x:c r="D109" s="2" t="str">
        <x:v>462</x:v>
      </x:c>
      <x:c r="E109" s="2" t="str">
        <x:v>Member state</x:v>
      </x:c>
      <x:c r="F109" s="2" t="n">
        <x:v>531517</x:v>
      </x:c>
      <x:c r="G109" s="2" t="n">
        <x:v>539667</x:v>
      </x:c>
      <x:c r="H109" s="2" t="n">
        <x:v>551594</x:v>
      </x:c>
      <x:c r="I109" s="2" t="n">
        <x:v>564798</x:v>
      </x:c>
      <x:c r="J109" s="2" t="n">
        <x:v>578453</x:v>
      </x:c>
      <x:c r="K109" s="2" t="n">
        <x:v>589962</x:v>
      </x:c>
      <x:c r="L109" s="2" t="n">
        <x:v>591628</x:v>
      </x:c>
      <x:c r="M109" s="2" t="str">
        <x:v>trade</x:v>
      </x:c>
      <x:c r="N109" s="2" t="str">
        <x:v>Watch regional trade</x:v>
      </x:c>
      <x:c r="O109" s="2" t="str">
        <x:v>Not verified, absence not inferred</x:v>
      </x:c>
      <x:c r="P109" s="2" t="str">
        <x:v>Staple trade, product selection pending</x:v>
      </x:c>
      <x:c r="Q109" s="2" t="str">
        <x:v>Confirm product demand, accessible HS line, counterparties, delivered spread, cash conversion and legal clearance.</x:v>
      </x:c>
    </x:row>
    <x:row r="110" ht="60" customHeight="1">
      <x:c r="A110" s="2" t="str">
        <x:v>MLI</x:v>
      </x:c>
      <x:c r="B110" s="2" t="str">
        <x:v>Mali</x:v>
      </x:c>
      <x:c r="C110" s="2" t="str">
        <x:v>Africa</x:v>
      </x:c>
      <x:c r="D110" s="2" t="str">
        <x:v>466</x:v>
      </x:c>
      <x:c r="E110" s="2" t="str">
        <x:v>Member state</x:v>
      </x:c>
      <x:c r="F110" s="2" t="n">
        <x:v>25932275</x:v>
      </x:c>
      <x:c r="G110" s="2" t="n">
        <x:v>29002865</x:v>
      </x:c>
      <x:c r="H110" s="2" t="n">
        <x:v>33118345</x:v>
      </x:c>
      <x:c r="I110" s="2" t="n">
        <x:v>37413643</x:v>
      </x:c>
      <x:c r="J110" s="2" t="n">
        <x:v>41778982</x:v>
      </x:c>
      <x:c r="K110" s="2" t="n">
        <x:v>46154079</x:v>
      </x:c>
      <x:c r="L110" s="2" t="n">
        <x:v>47029244</x:v>
      </x:c>
      <x:c r="M110" s="2" t="str">
        <x:v>trade</x:v>
      </x:c>
      <x:c r="N110" s="2" t="str">
        <x:v>Watch product/corridor opportunity</x:v>
      </x:c>
      <x:c r="O110" s="2" t="str">
        <x:v>Not verified, absence not inferred</x:v>
      </x:c>
      <x:c r="P110" s="2" t="str">
        <x:v>Staple trade, product selection pending</x:v>
      </x:c>
      <x:c r="Q110" s="2" t="str">
        <x:v>Confirm product demand, accessible HS line, counterparties, delivered spread, cash conversion and legal clearance.</x:v>
      </x:c>
    </x:row>
    <x:row r="111" ht="60" customHeight="1">
      <x:c r="A111" s="2" t="str">
        <x:v>MLT</x:v>
      </x:c>
      <x:c r="B111" s="2" t="str">
        <x:v>Malta</x:v>
      </x:c>
      <x:c r="C111" s="2" t="str">
        <x:v>Europe</x:v>
      </x:c>
      <x:c r="D111" s="2" t="str">
        <x:v>470</x:v>
      </x:c>
      <x:c r="E111" s="2" t="str">
        <x:v>Member state</x:v>
      </x:c>
      <x:c r="F111" s="2" t="n">
        <x:v>549011</x:v>
      </x:c>
      <x:c r="G111" s="2" t="n">
        <x:v>555231</x:v>
      </x:c>
      <x:c r="H111" s="2" t="n">
        <x:v>556508</x:v>
      </x:c>
      <x:c r="I111" s="2" t="n">
        <x:v>551735</x:v>
      </x:c>
      <x:c r="J111" s="2" t="n">
        <x:v>544634</x:v>
      </x:c>
      <x:c r="K111" s="2" t="n">
        <x:v>535721</x:v>
      </x:c>
      <x:c r="L111" s="2" t="n">
        <x:v>533639</x:v>
      </x:c>
      <x:c r="M111" s="2" t="str">
        <x:v>trade</x:v>
      </x:c>
      <x:c r="N111" s="2" t="str">
        <x:v>Watch regional trade</x:v>
      </x:c>
      <x:c r="O111" s="2" t="str">
        <x:v>Not verified, absence not inferred</x:v>
      </x:c>
      <x:c r="P111" s="2" t="str">
        <x:v>Staple trade, product selection pending</x:v>
      </x:c>
      <x:c r="Q111" s="2" t="str">
        <x:v>Confirm product demand, accessible HS line, counterparties, delivered spread, cash conversion and legal clearance.</x:v>
      </x:c>
    </x:row>
    <x:row r="112" ht="60" customHeight="1">
      <x:c r="A112" s="2" t="str">
        <x:v>MHL</x:v>
      </x:c>
      <x:c r="B112" s="2" t="str">
        <x:v>Marshall Islands</x:v>
      </x:c>
      <x:c r="C112" s="2" t="str">
        <x:v>Oceania</x:v>
      </x:c>
      <x:c r="D112" s="2" t="str">
        <x:v>584</x:v>
      </x:c>
      <x:c r="E112" s="2" t="str">
        <x:v>Member state</x:v>
      </x:c>
      <x:c r="F112" s="2" t="n">
        <x:v>35075</x:v>
      </x:c>
      <x:c r="G112" s="2" t="n">
        <x:v>31186</x:v>
      </x:c>
      <x:c r="H112" s="2" t="n">
        <x:v>28142</x:v>
      </x:c>
      <x:c r="I112" s="2" t="n">
        <x:v>26597</x:v>
      </x:c>
      <x:c r="J112" s="2" t="n">
        <x:v>25773</x:v>
      </x:c>
      <x:c r="K112" s="2" t="n">
        <x:v>25195</x:v>
      </x:c>
      <x:c r="L112" s="2" t="n">
        <x:v>25088</x:v>
      </x:c>
      <x:c r="M112" s="2" t="str">
        <x:v>trade</x:v>
      </x:c>
      <x:c r="N112" s="2" t="str">
        <x:v>Watch regional trade</x:v>
      </x:c>
      <x:c r="O112" s="2" t="str">
        <x:v>Not verified, absence not inferred</x:v>
      </x:c>
      <x:c r="P112" s="2" t="str">
        <x:v>Staple trade, product selection pending</x:v>
      </x:c>
      <x:c r="Q112" s="2" t="str">
        <x:v>Confirm product demand, accessible HS line, counterparties, delivered spread, cash conversion and legal clearance.</x:v>
      </x:c>
    </x:row>
    <x:row r="113" ht="60" customHeight="1">
      <x:c r="A113" s="2" t="str">
        <x:v>MRT</x:v>
      </x:c>
      <x:c r="B113" s="2" t="str">
        <x:v>Mauritania</x:v>
      </x:c>
      <x:c r="C113" s="2" t="str">
        <x:v>Africa</x:v>
      </x:c>
      <x:c r="D113" s="2" t="str">
        <x:v>478</x:v>
      </x:c>
      <x:c r="E113" s="2" t="str">
        <x:v>Member state</x:v>
      </x:c>
      <x:c r="F113" s="2" t="n">
        <x:v>5461319</x:v>
      </x:c>
      <x:c r="G113" s="2" t="n">
        <x:v>6062528</x:v>
      </x:c>
      <x:c r="H113" s="2" t="n">
        <x:v>6856319</x:v>
      </x:c>
      <x:c r="I113" s="2" t="n">
        <x:v>7681908</x:v>
      </x:c>
      <x:c r="J113" s="2" t="n">
        <x:v>8538531</x:v>
      </x:c>
      <x:c r="K113" s="2" t="n">
        <x:v>9415598</x:v>
      </x:c>
      <x:c r="L113" s="2" t="n">
        <x:v>9592001</x:v>
      </x:c>
      <x:c r="M113" s="2" t="str">
        <x:v>trade</x:v>
      </x:c>
      <x:c r="N113" s="2" t="str">
        <x:v>Watch product/corridor opportunity</x:v>
      </x:c>
      <x:c r="O113" s="2" t="str">
        <x:v>Not verified, absence not inferred</x:v>
      </x:c>
      <x:c r="P113" s="2" t="str">
        <x:v>Staple trade, product selection pending</x:v>
      </x:c>
      <x:c r="Q113" s="2" t="str">
        <x:v>Confirm product demand, accessible HS line, counterparties, delivered spread, cash conversion and legal clearance.</x:v>
      </x:c>
    </x:row>
    <x:row r="114" ht="60" customHeight="1">
      <x:c r="A114" s="2" t="str">
        <x:v>MUS</x:v>
      </x:c>
      <x:c r="B114" s="2" t="str">
        <x:v>Mauritius</x:v>
      </x:c>
      <x:c r="C114" s="2" t="str">
        <x:v>Africa</x:v>
      </x:c>
      <x:c r="D114" s="2" t="str">
        <x:v>480</x:v>
      </x:c>
      <x:c r="E114" s="2" t="str">
        <x:v>Member state</x:v>
      </x:c>
      <x:c r="F114" s="2" t="n">
        <x:v>1265059</x:v>
      </x:c>
      <x:c r="G114" s="2" t="n">
        <x:v>1250432</x:v>
      </x:c>
      <x:c r="H114" s="2" t="n">
        <x:v>1226955</x:v>
      </x:c>
      <x:c r="I114" s="2" t="n">
        <x:v>1195223</x:v>
      </x:c>
      <x:c r="J114" s="2" t="n">
        <x:v>1154659</x:v>
      </x:c>
      <x:c r="K114" s="2" t="n">
        <x:v>1107197</x:v>
      </x:c>
      <x:c r="L114" s="2" t="n">
        <x:v>1097238</x:v>
      </x:c>
      <x:c r="M114" s="2" t="str">
        <x:v>trade</x:v>
      </x:c>
      <x:c r="N114" s="2" t="str">
        <x:v>Watch customer specialization</x:v>
      </x:c>
      <x:c r="O114" s="2" t="str">
        <x:v>Not verified, absence not inferred</x:v>
      </x:c>
      <x:c r="P114" s="2" t="str">
        <x:v>Staple trade, product selection pending</x:v>
      </x:c>
      <x:c r="Q114" s="2" t="str">
        <x:v>Confirm product demand, accessible HS line, counterparties, delivered spread, cash conversion and legal clearance.</x:v>
      </x:c>
    </x:row>
    <x:row r="115" ht="60" customHeight="1">
      <x:c r="A115" s="2" t="str">
        <x:v>MEX</x:v>
      </x:c>
      <x:c r="B115" s="2" t="str">
        <x:v>Mexico</x:v>
      </x:c>
      <x:c r="C115" s="2" t="str">
        <x:v>Americas</x:v>
      </x:c>
      <x:c r="D115" s="2" t="str">
        <x:v>484</x:v>
      </x:c>
      <x:c r="E115" s="2" t="str">
        <x:v>Member state</x:v>
      </x:c>
      <x:c r="F115" s="2" t="n">
        <x:v>132997658</x:v>
      </x:c>
      <x:c r="G115" s="2" t="n">
        <x:v>136904738</x:v>
      </x:c>
      <x:c r="H115" s="2" t="n">
        <x:v>141150819</x:v>
      </x:c>
      <x:c r="I115" s="2" t="n">
        <x:v>144624323</x:v>
      </x:c>
      <x:c r="J115" s="2" t="n">
        <x:v>147240092</x:v>
      </x:c>
      <x:c r="K115" s="2" t="n">
        <x:v>148946274</x:v>
      </x:c>
      <x:c r="L115" s="2" t="n">
        <x:v>149181847</x:v>
      </x:c>
      <x:c r="M115" s="2" t="str">
        <x:v>trade</x:v>
      </x:c>
      <x:c r="N115" s="2" t="str">
        <x:v>Review existing operation</x:v>
      </x:c>
      <x:c r="O115" s="2" t="str">
        <x:v>Disclosed location in June-2026 factsheet</x:v>
      </x:c>
      <x:c r="P115" s="2" t="str">
        <x:v>Staple trade, product selection pending</x:v>
      </x:c>
      <x:c r="Q115" s="2" t="str">
        <x:v>Confirm product demand, accessible HS line, counterparties, delivered spread, cash conversion and legal clearance.</x:v>
      </x:c>
    </x:row>
    <x:row r="116" ht="60" customHeight="1">
      <x:c r="A116" s="2" t="str">
        <x:v>FSM</x:v>
      </x:c>
      <x:c r="B116" s="2" t="str">
        <x:v>Micronesia (Federated States of)</x:v>
      </x:c>
      <x:c r="C116" s="2" t="str">
        <x:v>Oceania</x:v>
      </x:c>
      <x:c r="D116" s="2" t="str">
        <x:v>583</x:v>
      </x:c>
      <x:c r="E116" s="2" t="str">
        <x:v>Member state</x:v>
      </x:c>
      <x:c r="F116" s="2" t="n">
        <x:v>114183</x:v>
      </x:c>
      <x:c r="G116" s="2" t="n">
        <x:v>116350</x:v>
      </x:c>
      <x:c r="H116" s="2" t="n">
        <x:v>119143</x:v>
      </x:c>
      <x:c r="I116" s="2" t="n">
        <x:v>121681</x:v>
      </x:c>
      <x:c r="J116" s="2" t="n">
        <x:v>124064</x:v>
      </x:c>
      <x:c r="K116" s="2" t="n">
        <x:v>126408</x:v>
      </x:c>
      <x:c r="L116" s="2" t="n">
        <x:v>126853</x:v>
      </x:c>
      <x:c r="M116" s="2" t="str">
        <x:v>trade</x:v>
      </x:c>
      <x:c r="N116" s="2" t="str">
        <x:v>Watch regional trade</x:v>
      </x:c>
      <x:c r="O116" s="2" t="str">
        <x:v>Not verified, absence not inferred</x:v>
      </x:c>
      <x:c r="P116" s="2" t="str">
        <x:v>Staple trade, product selection pending</x:v>
      </x:c>
      <x:c r="Q116" s="2" t="str">
        <x:v>Confirm product demand, accessible HS line, counterparties, delivered spread, cash conversion and legal clearance.</x:v>
      </x:c>
    </x:row>
    <x:row r="117" ht="60" customHeight="1">
      <x:c r="A117" s="2" t="str">
        <x:v>MCO</x:v>
      </x:c>
      <x:c r="B117" s="2" t="str">
        <x:v>Monaco</x:v>
      </x:c>
      <x:c r="C117" s="2" t="str">
        <x:v>Europe</x:v>
      </x:c>
      <x:c r="D117" s="2" t="str">
        <x:v>492</x:v>
      </x:c>
      <x:c r="E117" s="2" t="str">
        <x:v>Member state</x:v>
      </x:c>
      <x:c r="F117" s="2" t="n">
        <x:v>38087</x:v>
      </x:c>
      <x:c r="G117" s="2" t="n">
        <x:v>37366</x:v>
      </x:c>
      <x:c r="H117" s="2" t="n">
        <x:v>36894</x:v>
      </x:c>
      <x:c r="I117" s="2" t="n">
        <x:v>36627</x:v>
      </x:c>
      <x:c r="J117" s="2" t="n">
        <x:v>36523</x:v>
      </x:c>
      <x:c r="K117" s="2" t="n">
        <x:v>36757</x:v>
      </x:c>
      <x:c r="L117" s="2" t="n">
        <x:v>36840</x:v>
      </x:c>
      <x:c r="M117" s="2" t="str">
        <x:v>trade</x:v>
      </x:c>
      <x:c r="N117" s="2" t="str">
        <x:v>Watch regional trade</x:v>
      </x:c>
      <x:c r="O117" s="2" t="str">
        <x:v>Not verified, absence not inferred</x:v>
      </x:c>
      <x:c r="P117" s="2" t="str">
        <x:v>Staple trade, product selection pending</x:v>
      </x:c>
      <x:c r="Q117" s="2" t="str">
        <x:v>Confirm product demand, accessible HS line, counterparties, delivered spread, cash conversion and legal clearance.</x:v>
      </x:c>
    </x:row>
    <x:row r="118" ht="60" customHeight="1">
      <x:c r="A118" s="2" t="str">
        <x:v>MNG</x:v>
      </x:c>
      <x:c r="B118" s="2" t="str">
        <x:v>Mongolia</x:v>
      </x:c>
      <x:c r="C118" s="2" t="str">
        <x:v>Asia</x:v>
      </x:c>
      <x:c r="D118" s="2" t="str">
        <x:v>496</x:v>
      </x:c>
      <x:c r="E118" s="2" t="str">
        <x:v>Member state</x:v>
      </x:c>
      <x:c r="F118" s="2" t="n">
        <x:v>3556798</x:v>
      </x:c>
      <x:c r="G118" s="2" t="n">
        <x:v>3705231</x:v>
      </x:c>
      <x:c r="H118" s="2" t="n">
        <x:v>3889776</x:v>
      </x:c>
      <x:c r="I118" s="2" t="n">
        <x:v>4095554</x:v>
      </x:c>
      <x:c r="J118" s="2" t="n">
        <x:v>4308779</x:v>
      </x:c>
      <x:c r="K118" s="2" t="n">
        <x:v>4501493</x:v>
      </x:c>
      <x:c r="L118" s="2" t="n">
        <x:v>4535765</x:v>
      </x:c>
      <x:c r="M118" s="2" t="str">
        <x:v>trade</x:v>
      </x:c>
      <x:c r="N118" s="2" t="str">
        <x:v>Watch product/corridor opportunity</x:v>
      </x:c>
      <x:c r="O118" s="2" t="str">
        <x:v>Not verified, absence not inferred</x:v>
      </x:c>
      <x:c r="P118" s="2" t="str">
        <x:v>Staple trade, product selection pending</x:v>
      </x:c>
      <x:c r="Q118" s="2" t="str">
        <x:v>Confirm product demand, accessible HS line, counterparties, delivered spread, cash conversion and legal clearance.</x:v>
      </x:c>
    </x:row>
    <x:row r="119" ht="60" customHeight="1">
      <x:c r="A119" s="2" t="str">
        <x:v>MNE</x:v>
      </x:c>
      <x:c r="B119" s="2" t="str">
        <x:v>Montenegro</x:v>
      </x:c>
      <x:c r="C119" s="2" t="str">
        <x:v>Europe</x:v>
      </x:c>
      <x:c r="D119" s="2" t="str">
        <x:v>499</x:v>
      </x:c>
      <x:c r="E119" s="2" t="str">
        <x:v>Member state</x:v>
      </x:c>
      <x:c r="F119" s="2" t="n">
        <x:v>626233</x:v>
      </x:c>
      <x:c r="G119" s="2" t="n">
        <x:v>612562</x:v>
      </x:c>
      <x:c r="H119" s="2" t="n">
        <x:v>594137</x:v>
      </x:c>
      <x:c r="I119" s="2" t="n">
        <x:v>574434</x:v>
      </x:c>
      <x:c r="J119" s="2" t="n">
        <x:v>554231</x:v>
      </x:c>
      <x:c r="K119" s="2" t="n">
        <x:v>533295</x:v>
      </x:c>
      <x:c r="L119" s="2" t="n">
        <x:v>529032</x:v>
      </x:c>
      <x:c r="M119" s="2" t="str">
        <x:v>trade</x:v>
      </x:c>
      <x:c r="N119" s="2" t="str">
        <x:v>Watch regional trade</x:v>
      </x:c>
      <x:c r="O119" s="2" t="str">
        <x:v>Not verified, absence not inferred</x:v>
      </x:c>
      <x:c r="P119" s="2" t="str">
        <x:v>Staple trade, product selection pending</x:v>
      </x:c>
      <x:c r="Q119" s="2" t="str">
        <x:v>Confirm product demand, accessible HS line, counterparties, delivered spread, cash conversion and legal clearance.</x:v>
      </x:c>
    </x:row>
    <x:row r="120" ht="60" customHeight="1">
      <x:c r="A120" s="2" t="str">
        <x:v>MAR</x:v>
      </x:c>
      <x:c r="B120" s="2" t="str">
        <x:v>Morocco</x:v>
      </x:c>
      <x:c r="C120" s="2" t="str">
        <x:v>Africa</x:v>
      </x:c>
      <x:c r="D120" s="2" t="str">
        <x:v>504</x:v>
      </x:c>
      <x:c r="E120" s="2" t="str">
        <x:v>Member state</x:v>
      </x:c>
      <x:c r="F120" s="2" t="n">
        <x:v>38762441</x:v>
      </x:c>
      <x:c r="G120" s="2" t="n">
        <x:v>39953460</x:v>
      </x:c>
      <x:c r="H120" s="2" t="n">
        <x:v>41182094</x:v>
      </x:c>
      <x:c r="I120" s="2" t="n">
        <x:v>42168205</x:v>
      </x:c>
      <x:c r="J120" s="2" t="n">
        <x:v>42925306</x:v>
      </x:c>
      <x:c r="K120" s="2" t="n">
        <x:v>43440431</x:v>
      </x:c>
      <x:c r="L120" s="2" t="n">
        <x:v>43517149</x:v>
      </x:c>
      <x:c r="M120" s="2" t="str">
        <x:v>trade</x:v>
      </x:c>
      <x:c r="N120" s="2" t="str">
        <x:v>Watch product/corridor opportunity</x:v>
      </x:c>
      <x:c r="O120" s="2" t="str">
        <x:v>Not verified, absence not inferred</x:v>
      </x:c>
      <x:c r="P120" s="2" t="str">
        <x:v>Staple trade, product selection pending</x:v>
      </x:c>
      <x:c r="Q120" s="2" t="str">
        <x:v>Confirm product demand, accessible HS line, counterparties, delivered spread, cash conversion and legal clearance.</x:v>
      </x:c>
    </x:row>
    <x:row r="121" ht="60" customHeight="1">
      <x:c r="A121" s="2" t="str">
        <x:v>MOZ</x:v>
      </x:c>
      <x:c r="B121" s="2" t="str">
        <x:v>Mozambique</x:v>
      </x:c>
      <x:c r="C121" s="2" t="str">
        <x:v>Africa</x:v>
      </x:c>
      <x:c r="D121" s="2" t="str">
        <x:v>508</x:v>
      </x:c>
      <x:c r="E121" s="2" t="str">
        <x:v>Member state</x:v>
      </x:c>
      <x:c r="F121" s="2" t="n">
        <x:v>36639851</x:v>
      </x:c>
      <x:c r="G121" s="2" t="n">
        <x:v>40846755</x:v>
      </x:c>
      <x:c r="H121" s="2" t="n">
        <x:v>46411774</x:v>
      </x:c>
      <x:c r="I121" s="2" t="n">
        <x:v>52124215</x:v>
      </x:c>
      <x:c r="J121" s="2" t="n">
        <x:v>57851793</x:v>
      </x:c>
      <x:c r="K121" s="2" t="n">
        <x:v>63530952</x:v>
      </x:c>
      <x:c r="L121" s="2" t="n">
        <x:v>64647084</x:v>
      </x:c>
      <x:c r="M121" s="2" t="str">
        <x:v>partner</x:v>
      </x:c>
      <x:c r="N121" s="2" t="str">
        <x:v>Diligence priority</x:v>
      </x:c>
      <x:c r="O121" s="2" t="str">
        <x:v>Disclosed location in June-2026 factsheet</x:v>
      </x:c>
      <x:c r="P121" s="2" t="str">
        <x:v>Rice and edible oils</x:v>
      </x:c>
      <x:c r="Q121" s="2" t="str">
        <x:v>Test disruption exposure at named port/route and cash tied in seasonal stocks.</x:v>
      </x:c>
    </x:row>
    <x:row r="122" ht="60" customHeight="1">
      <x:c r="A122" s="2" t="str">
        <x:v>MMR</x:v>
      </x:c>
      <x:c r="B122" s="2" t="str">
        <x:v>Myanmar</x:v>
      </x:c>
      <x:c r="C122" s="2" t="str">
        <x:v>Asia</x:v>
      </x:c>
      <x:c r="D122" s="2" t="str">
        <x:v>104</x:v>
      </x:c>
      <x:c r="E122" s="2" t="str">
        <x:v>Member state</x:v>
      </x:c>
      <x:c r="F122" s="2" t="n">
        <x:v>55184819</x:v>
      </x:c>
      <x:c r="G122" s="2" t="n">
        <x:v>56351031</x:v>
      </x:c>
      <x:c r="H122" s="2" t="n">
        <x:v>57444464</x:v>
      </x:c>
      <x:c r="I122" s="2" t="n">
        <x:v>58169858</x:v>
      </x:c>
      <x:c r="J122" s="2" t="n">
        <x:v>58558172</x:v>
      </x:c>
      <x:c r="K122" s="2" t="n">
        <x:v>58623232</x:v>
      </x:c>
      <x:c r="L122" s="2" t="n">
        <x:v>58602738</x:v>
      </x:c>
      <x:c r="M122" s="2" t="str">
        <x:v>trade</x:v>
      </x:c>
      <x:c r="N122" s="2" t="str">
        <x:v>Watch product/corridor opportunity</x:v>
      </x:c>
      <x:c r="O122" s="2" t="str">
        <x:v>Not verified, absence not inferred</x:v>
      </x:c>
      <x:c r="P122" s="2" t="str">
        <x:v>Staple trade, product selection pending</x:v>
      </x:c>
      <x:c r="Q122" s="2" t="str">
        <x:v>Confirm product demand, accessible HS line, counterparties, delivered spread, cash conversion and legal clearance.</x:v>
      </x:c>
    </x:row>
    <x:row r="123" ht="60" customHeight="1">
      <x:c r="A123" s="2" t="str">
        <x:v>NAM</x:v>
      </x:c>
      <x:c r="B123" s="2" t="str">
        <x:v>Namibia</x:v>
      </x:c>
      <x:c r="C123" s="2" t="str">
        <x:v>Africa</x:v>
      </x:c>
      <x:c r="D123" s="2" t="str">
        <x:v>516</x:v>
      </x:c>
      <x:c r="E123" s="2" t="str">
        <x:v>Member state</x:v>
      </x:c>
      <x:c r="F123" s="2" t="n">
        <x:v>3153246</x:v>
      </x:c>
      <x:c r="G123" s="2" t="n">
        <x:v>3389958</x:v>
      </x:c>
      <x:c r="H123" s="2" t="n">
        <x:v>3678880</x:v>
      </x:c>
      <x:c r="I123" s="2" t="n">
        <x:v>3962405</x:v>
      </x:c>
      <x:c r="J123" s="2" t="n">
        <x:v>4243350</x:v>
      </x:c>
      <x:c r="K123" s="2" t="n">
        <x:v>4512301</x:v>
      </x:c>
      <x:c r="L123" s="2" t="n">
        <x:v>4564906</x:v>
      </x:c>
      <x:c r="M123" s="2" t="str">
        <x:v>trade</x:v>
      </x:c>
      <x:c r="N123" s="2" t="str">
        <x:v>Watch product/corridor opportunity</x:v>
      </x:c>
      <x:c r="O123" s="2" t="str">
        <x:v>Not verified, absence not inferred</x:v>
      </x:c>
      <x:c r="P123" s="2" t="str">
        <x:v>Staple trade, product selection pending</x:v>
      </x:c>
      <x:c r="Q123" s="2" t="str">
        <x:v>Confirm product demand, accessible HS line, counterparties, delivered spread, cash conversion and legal clearance.</x:v>
      </x:c>
    </x:row>
    <x:row r="124" ht="60" customHeight="1">
      <x:c r="A124" s="2" t="str">
        <x:v>NRU</x:v>
      </x:c>
      <x:c r="B124" s="2" t="str">
        <x:v>Naoero</x:v>
      </x:c>
      <x:c r="C124" s="2" t="str">
        <x:v>Oceania</x:v>
      </x:c>
      <x:c r="D124" s="2" t="str">
        <x:v>520</x:v>
      </x:c>
      <x:c r="E124" s="2" t="str">
        <x:v>Member state</x:v>
      </x:c>
      <x:c r="F124" s="2" t="n">
        <x:v>12101</x:v>
      </x:c>
      <x:c r="G124" s="2" t="n">
        <x:v>12521</x:v>
      </x:c>
      <x:c r="H124" s="2" t="n">
        <x:v>13233</x:v>
      </x:c>
      <x:c r="I124" s="2" t="n">
        <x:v>14039</x:v>
      </x:c>
      <x:c r="J124" s="2" t="n">
        <x:v>14928</x:v>
      </x:c>
      <x:c r="K124" s="2" t="n">
        <x:v>15758</x:v>
      </x:c>
      <x:c r="L124" s="2" t="n">
        <x:v>15913</x:v>
      </x:c>
      <x:c r="M124" s="2" t="str">
        <x:v>trade</x:v>
      </x:c>
      <x:c r="N124" s="2" t="str">
        <x:v>Watch regional trade</x:v>
      </x:c>
      <x:c r="O124" s="2" t="str">
        <x:v>Not verified, absence not inferred</x:v>
      </x:c>
      <x:c r="P124" s="2" t="str">
        <x:v>Staple trade, product selection pending</x:v>
      </x:c>
      <x:c r="Q124" s="2" t="str">
        <x:v>Confirm product demand, accessible HS line, counterparties, delivered spread, cash conversion and legal clearance.</x:v>
      </x:c>
    </x:row>
    <x:row r="125" ht="60" customHeight="1">
      <x:c r="A125" s="2" t="str">
        <x:v>NPL</x:v>
      </x:c>
      <x:c r="B125" s="2" t="str">
        <x:v>Nepal</x:v>
      </x:c>
      <x:c r="C125" s="2" t="str">
        <x:v>Asia</x:v>
      </x:c>
      <x:c r="D125" s="2" t="str">
        <x:v>524</x:v>
      </x:c>
      <x:c r="E125" s="2" t="str">
        <x:v>Member state</x:v>
      </x:c>
      <x:c r="F125" s="2" t="n">
        <x:v>29629410</x:v>
      </x:c>
      <x:c r="G125" s="2" t="n">
        <x:v>30509996</x:v>
      </x:c>
      <x:c r="H125" s="2" t="n">
        <x:v>31798004</x:v>
      </x:c>
      <x:c r="I125" s="2" t="n">
        <x:v>32909536.999999996</x:v>
      </x:c>
      <x:c r="J125" s="2" t="n">
        <x:v>33861060</x:v>
      </x:c>
      <x:c r="K125" s="2" t="n">
        <x:v>34642027</x:v>
      </x:c>
      <x:c r="L125" s="2" t="n">
        <x:v>34777003</x:v>
      </x:c>
      <x:c r="M125" s="2" t="str">
        <x:v>trade</x:v>
      </x:c>
      <x:c r="N125" s="2" t="str">
        <x:v>Watch product/corridor opportunity</x:v>
      </x:c>
      <x:c r="O125" s="2" t="str">
        <x:v>Not verified, absence not inferred</x:v>
      </x:c>
      <x:c r="P125" s="2" t="str">
        <x:v>Staple trade, product selection pending</x:v>
      </x:c>
      <x:c r="Q125" s="2" t="str">
        <x:v>Confirm product demand, accessible HS line, counterparties, delivered spread, cash conversion and legal clearance.</x:v>
      </x:c>
    </x:row>
    <x:row r="126" ht="60" customHeight="1">
      <x:c r="A126" s="2" t="str">
        <x:v>NLD</x:v>
      </x:c>
      <x:c r="B126" s="2" t="str">
        <x:v>Netherlands (Kingdom of the)</x:v>
      </x:c>
      <x:c r="C126" s="2" t="str">
        <x:v>Europe</x:v>
      </x:c>
      <x:c r="D126" s="2" t="str">
        <x:v>528</x:v>
      </x:c>
      <x:c r="E126" s="2" t="str">
        <x:v>Member state</x:v>
      </x:c>
      <x:c r="F126" s="2" t="n">
        <x:v>18448775</x:v>
      </x:c>
      <x:c r="G126" s="2" t="n">
        <x:v>18757217</x:v>
      </x:c>
      <x:c r="H126" s="2" t="n">
        <x:v>18977352</x:v>
      </x:c>
      <x:c r="I126" s="2" t="n">
        <x:v>19062983</x:v>
      </x:c>
      <x:c r="J126" s="2" t="n">
        <x:v>19041975</x:v>
      </x:c>
      <x:c r="K126" s="2" t="n">
        <x:v>18958475</x:v>
      </x:c>
      <x:c r="L126" s="2" t="n">
        <x:v>18934376</x:v>
      </x:c>
      <x:c r="M126" s="2" t="str">
        <x:v>trade</x:v>
      </x:c>
      <x:c r="N126" s="2" t="str">
        <x:v>Review existing operation</x:v>
      </x:c>
      <x:c r="O126" s="2" t="str">
        <x:v>Disclosed location in June-2026 factsheet</x:v>
      </x:c>
      <x:c r="P126" s="2" t="str">
        <x:v>Staple trade, product selection pending</x:v>
      </x:c>
      <x:c r="Q126" s="2" t="str">
        <x:v>Confirm product demand, accessible HS line, counterparties, delivered spread, cash conversion and legal clearance.</x:v>
      </x:c>
    </x:row>
    <x:row r="127" ht="60" customHeight="1">
      <x:c r="A127" s="2" t="str">
        <x:v>NZL</x:v>
      </x:c>
      <x:c r="B127" s="2" t="str">
        <x:v>New Zealand</x:v>
      </x:c>
      <x:c r="C127" s="2" t="str">
        <x:v>Oceania</x:v>
      </x:c>
      <x:c r="D127" s="2" t="str">
        <x:v>554</x:v>
      </x:c>
      <x:c r="E127" s="2" t="str">
        <x:v>Member state</x:v>
      </x:c>
      <x:c r="F127" s="2" t="n">
        <x:v>5287479</x:v>
      </x:c>
      <x:c r="G127" s="2" t="n">
        <x:v>5407349</x:v>
      </x:c>
      <x:c r="H127" s="2" t="n">
        <x:v>5520602</x:v>
      </x:c>
      <x:c r="I127" s="2" t="n">
        <x:v>5617291</x:v>
      </x:c>
      <x:c r="J127" s="2" t="n">
        <x:v>5700556</x:v>
      </x:c>
      <x:c r="K127" s="2" t="n">
        <x:v>5755288</x:v>
      </x:c>
      <x:c r="L127" s="2" t="n">
        <x:v>5766716</x:v>
      </x:c>
      <x:c r="M127" s="2" t="str">
        <x:v>trade</x:v>
      </x:c>
      <x:c r="N127" s="2" t="str">
        <x:v>Watch product/corridor opportunity</x:v>
      </x:c>
      <x:c r="O127" s="2" t="str">
        <x:v>Not verified, absence not inferred</x:v>
      </x:c>
      <x:c r="P127" s="2" t="str">
        <x:v>Staple trade, product selection pending</x:v>
      </x:c>
      <x:c r="Q127" s="2" t="str">
        <x:v>Confirm product demand, accessible HS line, counterparties, delivered spread, cash conversion and legal clearance.</x:v>
      </x:c>
    </x:row>
    <x:row r="128" ht="60" customHeight="1">
      <x:c r="A128" s="2" t="str">
        <x:v>NIC</x:v>
      </x:c>
      <x:c r="B128" s="2" t="str">
        <x:v>Nicaragua</x:v>
      </x:c>
      <x:c r="C128" s="2" t="str">
        <x:v>Americas</x:v>
      </x:c>
      <x:c r="D128" s="2" t="str">
        <x:v>558</x:v>
      </x:c>
      <x:c r="E128" s="2" t="str">
        <x:v>Member state</x:v>
      </x:c>
      <x:c r="F128" s="2" t="n">
        <x:v>7097329</x:v>
      </x:c>
      <x:c r="G128" s="2" t="n">
        <x:v>7441603</x:v>
      </x:c>
      <x:c r="H128" s="2" t="n">
        <x:v>7836703</x:v>
      </x:c>
      <x:c r="I128" s="2" t="n">
        <x:v>8189914</x:v>
      </x:c>
      <x:c r="J128" s="2" t="n">
        <x:v>8497615</x:v>
      </x:c>
      <x:c r="K128" s="2" t="n">
        <x:v>8756430</x:v>
      </x:c>
      <x:c r="L128" s="2" t="n">
        <x:v>8801962</x:v>
      </x:c>
      <x:c r="M128" s="2" t="str">
        <x:v>trade</x:v>
      </x:c>
      <x:c r="N128" s="2" t="str">
        <x:v>Watch product/corridor opportunity</x:v>
      </x:c>
      <x:c r="O128" s="2" t="str">
        <x:v>Not verified, absence not inferred</x:v>
      </x:c>
      <x:c r="P128" s="2" t="str">
        <x:v>Staple trade, product selection pending</x:v>
      </x:c>
      <x:c r="Q128" s="2" t="str">
        <x:v>Confirm product demand, accessible HS line, counterparties, delivered spread, cash conversion and legal clearance.</x:v>
      </x:c>
    </x:row>
    <x:row r="129" ht="60" customHeight="1">
      <x:c r="A129" s="2" t="str">
        <x:v>NER</x:v>
      </x:c>
      <x:c r="B129" s="2" t="str">
        <x:v>Niger</x:v>
      </x:c>
      <x:c r="C129" s="2" t="str">
        <x:v>Africa</x:v>
      </x:c>
      <x:c r="D129" s="2" t="str">
        <x:v>562</x:v>
      </x:c>
      <x:c r="E129" s="2" t="str">
        <x:v>Member state</x:v>
      </x:c>
      <x:c r="F129" s="2" t="n">
        <x:v>28814878</x:v>
      </x:c>
      <x:c r="G129" s="2" t="n">
        <x:v>32518075</x:v>
      </x:c>
      <x:c r="H129" s="2" t="n">
        <x:v>37353463</x:v>
      </x:c>
      <x:c r="I129" s="2" t="n">
        <x:v>42316740</x:v>
      </x:c>
      <x:c r="J129" s="2" t="n">
        <x:v>47374117</x:v>
      </x:c>
      <x:c r="K129" s="2" t="n">
        <x:v>52513876</x:v>
      </x:c>
      <x:c r="L129" s="2" t="n">
        <x:v>53546930</x:v>
      </x:c>
      <x:c r="M129" s="2" t="str">
        <x:v>trade</x:v>
      </x:c>
      <x:c r="N129" s="2" t="str">
        <x:v>Watch product/corridor opportunity</x:v>
      </x:c>
      <x:c r="O129" s="2" t="str">
        <x:v>Not verified, absence not inferred</x:v>
      </x:c>
      <x:c r="P129" s="2" t="str">
        <x:v>Staple trade, product selection pending</x:v>
      </x:c>
      <x:c r="Q129" s="2" t="str">
        <x:v>Confirm product demand, accessible HS line, counterparties, delivered spread, cash conversion and legal clearance.</x:v>
      </x:c>
    </x:row>
    <x:row r="130" ht="60" customHeight="1">
      <x:c r="A130" s="2" t="str">
        <x:v>NGA</x:v>
      </x:c>
      <x:c r="B130" s="2" t="str">
        <x:v>Nigeria</x:v>
      </x:c>
      <x:c r="C130" s="2" t="str">
        <x:v>Africa</x:v>
      </x:c>
      <x:c r="D130" s="2" t="str">
        <x:v>566</x:v>
      </x:c>
      <x:c r="E130" s="2" t="str">
        <x:v>Member state</x:v>
      </x:c>
      <x:c r="F130" s="2" t="n">
        <x:v>242431832</x:v>
      </x:c>
      <x:c r="G130" s="2" t="n">
        <x:v>262380969.99999997</x:v>
      </x:c>
      <x:c r="H130" s="2" t="n">
        <x:v>287685763</x:v>
      </x:c>
      <x:c r="I130" s="2" t="n">
        <x:v>312710416</x:v>
      </x:c>
      <x:c r="J130" s="2" t="n">
        <x:v>336662502</x:v>
      </x:c>
      <x:c r="K130" s="2" t="n">
        <x:v>359185556</x:v>
      </x:c>
      <x:c r="L130" s="2" t="n">
        <x:v>363523611</x:v>
      </x:c>
      <x:c r="M130" s="2" t="str">
        <x:v>partner</x:v>
      </x:c>
      <x:c r="N130" s="2" t="str">
        <x:v>Diligence priority</x:v>
      </x:c>
      <x:c r="O130" s="2" t="str">
        <x:v>Disclosed location in June-2026 factsheet</x:v>
      </x:c>
      <x:c r="P130" s="2" t="str">
        <x:v>Semolina and edible oils</x:v>
      </x:c>
      <x:c r="Q130" s="2" t="str">
        <x:v>Finance-approved eligible sell-through and route P&amp;L. Legal rechecks crude/refined HS access.</x:v>
      </x:c>
    </x:row>
    <x:row r="131" ht="60" customHeight="1">
      <x:c r="A131" s="2" t="str">
        <x:v>MKD</x:v>
      </x:c>
      <x:c r="B131" s="2" t="str">
        <x:v>North Macedonia</x:v>
      </x:c>
      <x:c r="C131" s="2" t="str">
        <x:v>Europe</x:v>
      </x:c>
      <x:c r="D131" s="2" t="str">
        <x:v>807</x:v>
      </x:c>
      <x:c r="E131" s="2" t="str">
        <x:v>Member state</x:v>
      </x:c>
      <x:c r="F131" s="2" t="n">
        <x:v>1804063</x:v>
      </x:c>
      <x:c r="G131" s="2" t="n">
        <x:v>1762486</x:v>
      </x:c>
      <x:c r="H131" s="2" t="n">
        <x:v>1704194</x:v>
      </x:c>
      <x:c r="I131" s="2" t="n">
        <x:v>1641908</x:v>
      </x:c>
      <x:c r="J131" s="2" t="n">
        <x:v>1577355</x:v>
      </x:c>
      <x:c r="K131" s="2" t="n">
        <x:v>1512688</x:v>
      </x:c>
      <x:c r="L131" s="2" t="n">
        <x:v>1499303</x:v>
      </x:c>
      <x:c r="M131" s="2" t="str">
        <x:v>trade</x:v>
      </x:c>
      <x:c r="N131" s="2" t="str">
        <x:v>Watch customer specialization</x:v>
      </x:c>
      <x:c r="O131" s="2" t="str">
        <x:v>Not verified, absence not inferred</x:v>
      </x:c>
      <x:c r="P131" s="2" t="str">
        <x:v>Staple trade, product selection pending</x:v>
      </x:c>
      <x:c r="Q131" s="2" t="str">
        <x:v>Confirm product demand, accessible HS line, counterparties, delivered spread, cash conversion and legal clearance.</x:v>
      </x:c>
    </x:row>
    <x:row r="132" ht="60" customHeight="1">
      <x:c r="A132" s="2" t="str">
        <x:v>NOR</x:v>
      </x:c>
      <x:c r="B132" s="2" t="str">
        <x:v>Norway</x:v>
      </x:c>
      <x:c r="C132" s="2" t="str">
        <x:v>Europe</x:v>
      </x:c>
      <x:c r="D132" s="2" t="str">
        <x:v>578</x:v>
      </x:c>
      <x:c r="E132" s="2" t="str">
        <x:v>Member state</x:v>
      </x:c>
      <x:c r="F132" s="2" t="n">
        <x:v>5652989</x:v>
      </x:c>
      <x:c r="G132" s="2" t="n">
        <x:v>5729095</x:v>
      </x:c>
      <x:c r="H132" s="2" t="n">
        <x:v>5801417</x:v>
      </x:c>
      <x:c r="I132" s="2" t="n">
        <x:v>5853869</x:v>
      </x:c>
      <x:c r="J132" s="2" t="n">
        <x:v>5886017</x:v>
      </x:c>
      <x:c r="K132" s="2" t="n">
        <x:v>5899829</x:v>
      </x:c>
      <x:c r="L132" s="2" t="n">
        <x:v>5899792</x:v>
      </x:c>
      <x:c r="M132" s="2" t="str">
        <x:v>trade</x:v>
      </x:c>
      <x:c r="N132" s="2" t="str">
        <x:v>Watch product/corridor opportunity</x:v>
      </x:c>
      <x:c r="O132" s="2" t="str">
        <x:v>Not verified, absence not inferred</x:v>
      </x:c>
      <x:c r="P132" s="2" t="str">
        <x:v>Staple trade, product selection pending</x:v>
      </x:c>
      <x:c r="Q132" s="2" t="str">
        <x:v>Confirm product demand, accessible HS line, counterparties, delivered spread, cash conversion and legal clearance.</x:v>
      </x:c>
    </x:row>
    <x:row r="133" ht="60" customHeight="1">
      <x:c r="A133" s="2" t="str">
        <x:v>OMN</x:v>
      </x:c>
      <x:c r="B133" s="2" t="str">
        <x:v>Oman</x:v>
      </x:c>
      <x:c r="C133" s="2" t="str">
        <x:v>Asia</x:v>
      </x:c>
      <x:c r="D133" s="2" t="str">
        <x:v>512</x:v>
      </x:c>
      <x:c r="E133" s="2" t="str">
        <x:v>Member state</x:v>
      </x:c>
      <x:c r="F133" s="2" t="n">
        <x:v>5671458</x:v>
      </x:c>
      <x:c r="G133" s="2" t="n">
        <x:v>6112706</x:v>
      </x:c>
      <x:c r="H133" s="2" t="n">
        <x:v>6517803</x:v>
      </x:c>
      <x:c r="I133" s="2" t="n">
        <x:v>6931974</x:v>
      </x:c>
      <x:c r="J133" s="2" t="n">
        <x:v>7370225</x:v>
      </x:c>
      <x:c r="K133" s="2" t="n">
        <x:v>7827002</x:v>
      </x:c>
      <x:c r="L133" s="2" t="n">
        <x:v>7920185</x:v>
      </x:c>
      <x:c r="M133" s="2" t="str">
        <x:v>trade</x:v>
      </x:c>
      <x:c r="N133" s="2" t="str">
        <x:v>Watch product/corridor opportunity</x:v>
      </x:c>
      <x:c r="O133" s="2" t="str">
        <x:v>Not verified, absence not inferred</x:v>
      </x:c>
      <x:c r="P133" s="2" t="str">
        <x:v>Staple trade, product selection pending</x:v>
      </x:c>
      <x:c r="Q133" s="2" t="str">
        <x:v>Confirm product demand, accessible HS line, counterparties, delivered spread, cash conversion and legal clearance.</x:v>
      </x:c>
    </x:row>
    <x:row r="134" ht="60" customHeight="1">
      <x:c r="A134" s="2" t="str">
        <x:v>PAK</x:v>
      </x:c>
      <x:c r="B134" s="2" t="str">
        <x:v>Pakistan</x:v>
      </x:c>
      <x:c r="C134" s="2" t="str">
        <x:v>Asia</x:v>
      </x:c>
      <x:c r="D134" s="2" t="str">
        <x:v>586</x:v>
      </x:c>
      <x:c r="E134" s="2" t="str">
        <x:v>Member state</x:v>
      </x:c>
      <x:c r="F134" s="2" t="n">
        <x:v>259299791</x:v>
      </x:c>
      <x:c r="G134" s="2" t="n">
        <x:v>276883255</x:v>
      </x:c>
      <x:c r="H134" s="2" t="n">
        <x:v>300643508</x:v>
      </x:c>
      <x:c r="I134" s="2" t="n">
        <x:v>324937697</x:v>
      </x:c>
      <x:c r="J134" s="2" t="n">
        <x:v>348837726</x:v>
      </x:c>
      <x:c r="K134" s="2" t="n">
        <x:v>371863793</x:v>
      </x:c>
      <x:c r="L134" s="2" t="n">
        <x:v>376335025</x:v>
      </x:c>
      <x:c r="M134" s="2" t="str">
        <x:v>trade</x:v>
      </x:c>
      <x:c r="N134" s="2" t="str">
        <x:v>Watch product/corridor opportunity</x:v>
      </x:c>
      <x:c r="O134" s="2" t="str">
        <x:v>Not verified, absence not inferred</x:v>
      </x:c>
      <x:c r="P134" s="2" t="str">
        <x:v>Staple trade, product selection pending</x:v>
      </x:c>
      <x:c r="Q134" s="2" t="str">
        <x:v>Confirm product demand, accessible HS line, counterparties, delivered spread, cash conversion and legal clearance.</x:v>
      </x:c>
    </x:row>
    <x:row r="135" ht="60" customHeight="1">
      <x:c r="A135" s="2" t="str">
        <x:v>PLW</x:v>
      </x:c>
      <x:c r="B135" s="2" t="str">
        <x:v>Palau</x:v>
      </x:c>
      <x:c r="C135" s="2" t="str">
        <x:v>Oceania</x:v>
      </x:c>
      <x:c r="D135" s="2" t="str">
        <x:v>585</x:v>
      </x:c>
      <x:c r="E135" s="2" t="str">
        <x:v>Member state</x:v>
      </x:c>
      <x:c r="F135" s="2" t="n">
        <x:v>17614</x:v>
      </x:c>
      <x:c r="G135" s="2" t="n">
        <x:v>17376</x:v>
      </x:c>
      <x:c r="H135" s="2" t="n">
        <x:v>17015</x:v>
      </x:c>
      <x:c r="I135" s="2" t="n">
        <x:v>16602</x:v>
      </x:c>
      <x:c r="J135" s="2" t="n">
        <x:v>16088.999999999998</x:v>
      </x:c>
      <x:c r="K135" s="2" t="n">
        <x:v>15518</x:v>
      </x:c>
      <x:c r="L135" s="2" t="n">
        <x:v>15403</x:v>
      </x:c>
      <x:c r="M135" s="2" t="str">
        <x:v>trade</x:v>
      </x:c>
      <x:c r="N135" s="2" t="str">
        <x:v>Watch regional trade</x:v>
      </x:c>
      <x:c r="O135" s="2" t="str">
        <x:v>Not verified, absence not inferred</x:v>
      </x:c>
      <x:c r="P135" s="2" t="str">
        <x:v>Staple trade, product selection pending</x:v>
      </x:c>
      <x:c r="Q135" s="2" t="str">
        <x:v>Confirm product demand, accessible HS line, counterparties, delivered spread, cash conversion and legal clearance.</x:v>
      </x:c>
    </x:row>
    <x:row r="136" ht="60" customHeight="1">
      <x:c r="A136" s="2" t="str">
        <x:v>PAN</x:v>
      </x:c>
      <x:c r="B136" s="2" t="str">
        <x:v>Panama</x:v>
      </x:c>
      <x:c r="C136" s="2" t="str">
        <x:v>Americas</x:v>
      </x:c>
      <x:c r="D136" s="2" t="str">
        <x:v>591</x:v>
      </x:c>
      <x:c r="E136" s="2" t="str">
        <x:v>Member state</x:v>
      </x:c>
      <x:c r="F136" s="2" t="n">
        <x:v>4625718</x:v>
      </x:c>
      <x:c r="G136" s="2" t="n">
        <x:v>4833859</x:v>
      </x:c>
      <x:c r="H136" s="2" t="n">
        <x:v>5072263</x:v>
      </x:c>
      <x:c r="I136" s="2" t="n">
        <x:v>5286592</x:v>
      </x:c>
      <x:c r="J136" s="2" t="n">
        <x:v>5473276</x:v>
      </x:c>
      <x:c r="K136" s="2" t="n">
        <x:v>5630680</x:v>
      </x:c>
      <x:c r="L136" s="2" t="n">
        <x:v>5658479</x:v>
      </x:c>
      <x:c r="M136" s="2" t="str">
        <x:v>trade</x:v>
      </x:c>
      <x:c r="N136" s="2" t="str">
        <x:v>Watch product/corridor opportunity</x:v>
      </x:c>
      <x:c r="O136" s="2" t="str">
        <x:v>Not verified, absence not inferred</x:v>
      </x:c>
      <x:c r="P136" s="2" t="str">
        <x:v>Staple trade, product selection pending</x:v>
      </x:c>
      <x:c r="Q136" s="2" t="str">
        <x:v>Confirm product demand, accessible HS line, counterparties, delivered spread, cash conversion and legal clearance.</x:v>
      </x:c>
    </x:row>
    <x:row r="137" ht="60" customHeight="1">
      <x:c r="A137" s="2" t="str">
        <x:v>PNG</x:v>
      </x:c>
      <x:c r="B137" s="2" t="str">
        <x:v>Papua New Guinea</x:v>
      </x:c>
      <x:c r="C137" s="2" t="str">
        <x:v>Oceania</x:v>
      </x:c>
      <x:c r="D137" s="2" t="str">
        <x:v>598</x:v>
      </x:c>
      <x:c r="E137" s="2" t="str">
        <x:v>Member state</x:v>
      </x:c>
      <x:c r="F137" s="2" t="n">
        <x:v>10947848</x:v>
      </x:c>
      <x:c r="G137" s="2" t="n">
        <x:v>11671424</x:v>
      </x:c>
      <x:c r="H137" s="2" t="n">
        <x:v>12540603</x:v>
      </x:c>
      <x:c r="I137" s="2" t="n">
        <x:v>13376160</x:v>
      </x:c>
      <x:c r="J137" s="2" t="n">
        <x:v>14165588</x:v>
      </x:c>
      <x:c r="K137" s="2" t="n">
        <x:v>14906590</x:v>
      </x:c>
      <x:c r="L137" s="2" t="n">
        <x:v>15046436</x:v>
      </x:c>
      <x:c r="M137" s="2" t="str">
        <x:v>trade</x:v>
      </x:c>
      <x:c r="N137" s="2" t="str">
        <x:v>Watch product/corridor opportunity</x:v>
      </x:c>
      <x:c r="O137" s="2" t="str">
        <x:v>Not verified, absence not inferred</x:v>
      </x:c>
      <x:c r="P137" s="2" t="str">
        <x:v>Staple trade, product selection pending</x:v>
      </x:c>
      <x:c r="Q137" s="2" t="str">
        <x:v>Confirm product demand, accessible HS line, counterparties, delivered spread, cash conversion and legal clearance.</x:v>
      </x:c>
    </x:row>
    <x:row r="138" ht="60" customHeight="1">
      <x:c r="A138" s="2" t="str">
        <x:v>PRY</x:v>
      </x:c>
      <x:c r="B138" s="2" t="str">
        <x:v>Paraguay</x:v>
      </x:c>
      <x:c r="C138" s="2" t="str">
        <x:v>Americas</x:v>
      </x:c>
      <x:c r="D138" s="2" t="str">
        <x:v>600</x:v>
      </x:c>
      <x:c r="E138" s="2" t="str">
        <x:v>Member state</x:v>
      </x:c>
      <x:c r="F138" s="2" t="n">
        <x:v>7095279</x:v>
      </x:c>
      <x:c r="G138" s="2" t="n">
        <x:v>7407618</x:v>
      </x:c>
      <x:c r="H138" s="2" t="n">
        <x:v>7763520</x:v>
      </x:c>
      <x:c r="I138" s="2" t="n">
        <x:v>8087572</x:v>
      </x:c>
      <x:c r="J138" s="2" t="n">
        <x:v>8380530.000000001</x:v>
      </x:c>
      <x:c r="K138" s="2" t="n">
        <x:v>8640464</x:v>
      </x:c>
      <x:c r="L138" s="2" t="n">
        <x:v>8687836</x:v>
      </x:c>
      <x:c r="M138" s="2" t="str">
        <x:v>trade</x:v>
      </x:c>
      <x:c r="N138" s="2" t="str">
        <x:v>Watch product/corridor opportunity</x:v>
      </x:c>
      <x:c r="O138" s="2" t="str">
        <x:v>Not verified, absence not inferred</x:v>
      </x:c>
      <x:c r="P138" s="2" t="str">
        <x:v>Staple trade, product selection pending</x:v>
      </x:c>
      <x:c r="Q138" s="2" t="str">
        <x:v>Confirm product demand, accessible HS line, counterparties, delivered spread, cash conversion and legal clearance.</x:v>
      </x:c>
    </x:row>
    <x:row r="139" ht="60" customHeight="1">
      <x:c r="A139" s="2" t="str">
        <x:v>PER</x:v>
      </x:c>
      <x:c r="B139" s="2" t="str">
        <x:v>Peru</x:v>
      </x:c>
      <x:c r="C139" s="2" t="str">
        <x:v>Americas</x:v>
      </x:c>
      <x:c r="D139" s="2" t="str">
        <x:v>604</x:v>
      </x:c>
      <x:c r="E139" s="2" t="str">
        <x:v>Member state</x:v>
      </x:c>
      <x:c r="F139" s="2" t="n">
        <x:v>34922148</x:v>
      </x:c>
      <x:c r="G139" s="2" t="n">
        <x:v>36193880</x:v>
      </x:c>
      <x:c r="H139" s="2" t="n">
        <x:v>37591425</x:v>
      </x:c>
      <x:c r="I139" s="2" t="n">
        <x:v>38794649</x:v>
      </x:c>
      <x:c r="J139" s="2" t="n">
        <x:v>39796724</x:v>
      </x:c>
      <x:c r="K139" s="2" t="n">
        <x:v>40583876</x:v>
      </x:c>
      <x:c r="L139" s="2" t="n">
        <x:v>40716361</x:v>
      </x:c>
      <x:c r="M139" s="2" t="str">
        <x:v>trade</x:v>
      </x:c>
      <x:c r="N139" s="2" t="str">
        <x:v>Watch product/corridor opportunity</x:v>
      </x:c>
      <x:c r="O139" s="2" t="str">
        <x:v>Not verified, absence not inferred</x:v>
      </x:c>
      <x:c r="P139" s="2" t="str">
        <x:v>Staple trade, product selection pending</x:v>
      </x:c>
      <x:c r="Q139" s="2" t="str">
        <x:v>Confirm product demand, accessible HS line, counterparties, delivered spread, cash conversion and legal clearance.</x:v>
      </x:c>
    </x:row>
    <x:row r="140" ht="60" customHeight="1">
      <x:c r="A140" s="2" t="str">
        <x:v>PHL</x:v>
      </x:c>
      <x:c r="B140" s="2" t="str">
        <x:v>Philippines</x:v>
      </x:c>
      <x:c r="C140" s="2" t="str">
        <x:v>Asia</x:v>
      </x:c>
      <x:c r="D140" s="2" t="str">
        <x:v>608</x:v>
      </x:c>
      <x:c r="E140" s="2" t="str">
        <x:v>Member state</x:v>
      </x:c>
      <x:c r="F140" s="2" t="n">
        <x:v>117724471</x:v>
      </x:c>
      <x:c r="G140" s="2" t="n">
        <x:v>121408895</x:v>
      </x:c>
      <x:c r="H140" s="2" t="n">
        <x:v>125740971</x:v>
      </x:c>
      <x:c r="I140" s="2" t="n">
        <x:v>129546659</x:v>
      </x:c>
      <x:c r="J140" s="2" t="n">
        <x:v>132492032</x:v>
      </x:c>
      <x:c r="K140" s="2" t="n">
        <x:v>134373439</x:v>
      </x:c>
      <x:c r="L140" s="2" t="n">
        <x:v>134612611</x:v>
      </x:c>
      <x:c r="M140" s="2" t="str">
        <x:v>trade</x:v>
      </x:c>
      <x:c r="N140" s="2" t="str">
        <x:v>Watch product/corridor opportunity</x:v>
      </x:c>
      <x:c r="O140" s="2" t="str">
        <x:v>Not verified, absence not inferred</x:v>
      </x:c>
      <x:c r="P140" s="2" t="str">
        <x:v>Staple trade, product selection pending</x:v>
      </x:c>
      <x:c r="Q140" s="2" t="str">
        <x:v>Confirm product demand, accessible HS line, counterparties, delivered spread, cash conversion and legal clearance.</x:v>
      </x:c>
    </x:row>
    <x:row r="141" ht="60" customHeight="1">
      <x:c r="A141" s="2" t="str">
        <x:v>POL</x:v>
      </x:c>
      <x:c r="B141" s="2" t="str">
        <x:v>Poland</x:v>
      </x:c>
      <x:c r="C141" s="2" t="str">
        <x:v>Europe</x:v>
      </x:c>
      <x:c r="D141" s="2" t="str">
        <x:v>616</x:v>
      </x:c>
      <x:c r="E141" s="2" t="str">
        <x:v>Member state</x:v>
      </x:c>
      <x:c r="F141" s="2" t="n">
        <x:v>37843188</x:v>
      </x:c>
      <x:c r="G141" s="2" t="n">
        <x:v>37198543</x:v>
      </x:c>
      <x:c r="H141" s="2" t="n">
        <x:v>36243787</x:v>
      </x:c>
      <x:c r="I141" s="2" t="n">
        <x:v>35179554</x:v>
      </x:c>
      <x:c r="J141" s="2" t="n">
        <x:v>34031059</x:v>
      </x:c>
      <x:c r="K141" s="2" t="n">
        <x:v>32814095.999999996</x:v>
      </x:c>
      <x:c r="L141" s="2" t="n">
        <x:v>32561485</x:v>
      </x:c>
      <x:c r="M141" s="2" t="str">
        <x:v>trade</x:v>
      </x:c>
      <x:c r="N141" s="2" t="str">
        <x:v>Watch customer specialization</x:v>
      </x:c>
      <x:c r="O141" s="2" t="str">
        <x:v>Not verified, absence not inferred</x:v>
      </x:c>
      <x:c r="P141" s="2" t="str">
        <x:v>Staple trade, product selection pending</x:v>
      </x:c>
      <x:c r="Q141" s="2" t="str">
        <x:v>Confirm product demand, accessible HS line, counterparties, delivered spread, cash conversion and legal clearance.</x:v>
      </x:c>
    </x:row>
    <x:row r="142" ht="60" customHeight="1">
      <x:c r="A142" s="2" t="str">
        <x:v>PRT</x:v>
      </x:c>
      <x:c r="B142" s="2" t="str">
        <x:v>Portugal</x:v>
      </x:c>
      <x:c r="C142" s="2" t="str">
        <x:v>Europe</x:v>
      </x:c>
      <x:c r="D142" s="2" t="str">
        <x:v>620</x:v>
      </x:c>
      <x:c r="E142" s="2" t="str">
        <x:v>Member state</x:v>
      </x:c>
      <x:c r="F142" s="2" t="n">
        <x:v>10395362</x:v>
      </x:c>
      <x:c r="G142" s="2" t="n">
        <x:v>10317927</x:v>
      </x:c>
      <x:c r="H142" s="2" t="n">
        <x:v>10208240</x:v>
      </x:c>
      <x:c r="I142" s="2" t="n">
        <x:v>10082255</x:v>
      </x:c>
      <x:c r="J142" s="2" t="n">
        <x:v>9938389</x:v>
      </x:c>
      <x:c r="K142" s="2" t="n">
        <x:v>9770271</x:v>
      </x:c>
      <x:c r="L142" s="2" t="n">
        <x:v>9734815</x:v>
      </x:c>
      <x:c r="M142" s="2" t="str">
        <x:v>trade</x:v>
      </x:c>
      <x:c r="N142" s="2" t="str">
        <x:v>Watch customer specialization</x:v>
      </x:c>
      <x:c r="O142" s="2" t="str">
        <x:v>Not verified, absence not inferred</x:v>
      </x:c>
      <x:c r="P142" s="2" t="str">
        <x:v>Staple trade, product selection pending</x:v>
      </x:c>
      <x:c r="Q142" s="2" t="str">
        <x:v>Confirm product demand, accessible HS line, counterparties, delivered spread, cash conversion and legal clearance.</x:v>
      </x:c>
    </x:row>
    <x:row r="143" ht="60" customHeight="1">
      <x:c r="A143" s="2" t="str">
        <x:v>QAT</x:v>
      </x:c>
      <x:c r="B143" s="2" t="str">
        <x:v>Qatar</x:v>
      </x:c>
      <x:c r="C143" s="2" t="str">
        <x:v>Asia</x:v>
      </x:c>
      <x:c r="D143" s="2" t="str">
        <x:v>634</x:v>
      </x:c>
      <x:c r="E143" s="2" t="str">
        <x:v>Member state</x:v>
      </x:c>
      <x:c r="F143" s="2" t="n">
        <x:v>3173559</x:v>
      </x:c>
      <x:c r="G143" s="2" t="n">
        <x:v>3333610</x:v>
      </x:c>
      <x:c r="H143" s="2" t="n">
        <x:v>3511258</x:v>
      </x:c>
      <x:c r="I143" s="2" t="n">
        <x:v>3711503</x:v>
      </x:c>
      <x:c r="J143" s="2" t="n">
        <x:v>3930896</x:v>
      </x:c>
      <x:c r="K143" s="2" t="n">
        <x:v>4164461.0000000005</x:v>
      </x:c>
      <x:c r="L143" s="2" t="n">
        <x:v>4212656</x:v>
      </x:c>
      <x:c r="M143" s="2" t="str">
        <x:v>trade</x:v>
      </x:c>
      <x:c r="N143" s="2" t="str">
        <x:v>Watch product/corridor opportunity</x:v>
      </x:c>
      <x:c r="O143" s="2" t="str">
        <x:v>Not verified, absence not inferred</x:v>
      </x:c>
      <x:c r="P143" s="2" t="str">
        <x:v>Staple trade, product selection pending</x:v>
      </x:c>
      <x:c r="Q143" s="2" t="str">
        <x:v>Confirm product demand, accessible HS line, counterparties, delivered spread, cash conversion and legal clearance.</x:v>
      </x:c>
    </x:row>
    <x:row r="144" ht="60" customHeight="1">
      <x:c r="A144" s="2" t="str">
        <x:v>KOR</x:v>
      </x:c>
      <x:c r="B144" s="2" t="str">
        <x:v>Republic of Korea</x:v>
      </x:c>
      <x:c r="C144" s="2" t="str">
        <x:v>Asia</x:v>
      </x:c>
      <x:c r="D144" s="2" t="str">
        <x:v>410</x:v>
      </x:c>
      <x:c r="E144" s="2" t="str">
        <x:v>Member state</x:v>
      </x:c>
      <x:c r="F144" s="2" t="n">
        <x:v>51600388</x:v>
      </x:c>
      <x:c r="G144" s="2" t="n">
        <x:v>51188584</x:v>
      </x:c>
      <x:c r="H144" s="2" t="n">
        <x:v>50300733</x:v>
      </x:c>
      <x:c r="I144" s="2" t="n">
        <x:v>48948687</x:v>
      </x:c>
      <x:c r="J144" s="2" t="n">
        <x:v>47232956</x:v>
      </x:c>
      <x:c r="K144" s="2" t="n">
        <x:v>45143134</x:v>
      </x:c>
      <x:c r="L144" s="2" t="n">
        <x:v>44671149</x:v>
      </x:c>
      <x:c r="M144" s="2" t="str">
        <x:v>trade</x:v>
      </x:c>
      <x:c r="N144" s="2" t="str">
        <x:v>Watch customer specialization</x:v>
      </x:c>
      <x:c r="O144" s="2" t="str">
        <x:v>Not verified, absence not inferred</x:v>
      </x:c>
      <x:c r="P144" s="2" t="str">
        <x:v>Staple trade, product selection pending</x:v>
      </x:c>
      <x:c r="Q144" s="2" t="str">
        <x:v>Confirm product demand, accessible HS line, counterparties, delivered spread, cash conversion and legal clearance.</x:v>
      </x:c>
    </x:row>
    <x:row r="145" ht="60" customHeight="1">
      <x:c r="A145" s="2" t="str">
        <x:v>MDA</x:v>
      </x:c>
      <x:c r="B145" s="2" t="str">
        <x:v>Republic of Moldova</x:v>
      </x:c>
      <x:c r="C145" s="2" t="str">
        <x:v>Europe</x:v>
      </x:c>
      <x:c r="D145" s="2" t="str">
        <x:v>498</x:v>
      </x:c>
      <x:c r="E145" s="2" t="str">
        <x:v>Member state</x:v>
      </x:c>
      <x:c r="F145" s="2" t="n">
        <x:v>2961253</x:v>
      </x:c>
      <x:c r="G145" s="2" t="n">
        <x:v>2845242</x:v>
      </x:c>
      <x:c r="H145" s="2" t="n">
        <x:v>2702010</x:v>
      </x:c>
      <x:c r="I145" s="2" t="n">
        <x:v>2568810</x:v>
      </x:c>
      <x:c r="J145" s="2" t="n">
        <x:v>2454941</x:v>
      </x:c>
      <x:c r="K145" s="2" t="n">
        <x:v>2351809</x:v>
      </x:c>
      <x:c r="L145" s="2" t="n">
        <x:v>2331186</x:v>
      </x:c>
      <x:c r="M145" s="2" t="str">
        <x:v>trade</x:v>
      </x:c>
      <x:c r="N145" s="2" t="str">
        <x:v>Watch customer specialization</x:v>
      </x:c>
      <x:c r="O145" s="2" t="str">
        <x:v>Not verified, absence not inferred</x:v>
      </x:c>
      <x:c r="P145" s="2" t="str">
        <x:v>Staple trade, product selection pending</x:v>
      </x:c>
      <x:c r="Q145" s="2" t="str">
        <x:v>Confirm product demand, accessible HS line, counterparties, delivered spread, cash conversion and legal clearance.</x:v>
      </x:c>
    </x:row>
    <x:row r="146" ht="60" customHeight="1">
      <x:c r="A146" s="2" t="str">
        <x:v>ROU</x:v>
      </x:c>
      <x:c r="B146" s="2" t="str">
        <x:v>Romania</x:v>
      </x:c>
      <x:c r="C146" s="2" t="str">
        <x:v>Europe</x:v>
      </x:c>
      <x:c r="D146" s="2" t="str">
        <x:v>642</x:v>
      </x:c>
      <x:c r="E146" s="2" t="str">
        <x:v>Member state</x:v>
      </x:c>
      <x:c r="F146" s="2" t="n">
        <x:v>18800605</x:v>
      </x:c>
      <x:c r="G146" s="2" t="n">
        <x:v>18359507</x:v>
      </x:c>
      <x:c r="H146" s="2" t="n">
        <x:v>17794417</x:v>
      </x:c>
      <x:c r="I146" s="2" t="n">
        <x:v>17209718</x:v>
      </x:c>
      <x:c r="J146" s="2" t="n">
        <x:v>16620320</x:v>
      </x:c>
      <x:c r="K146" s="2" t="n">
        <x:v>16027266</x:v>
      </x:c>
      <x:c r="L146" s="2" t="n">
        <x:v>15907818</x:v>
      </x:c>
      <x:c r="M146" s="2" t="str">
        <x:v>trade</x:v>
      </x:c>
      <x:c r="N146" s="2" t="str">
        <x:v>Watch customer specialization</x:v>
      </x:c>
      <x:c r="O146" s="2" t="str">
        <x:v>Not verified, absence not inferred</x:v>
      </x:c>
      <x:c r="P146" s="2" t="str">
        <x:v>Staple trade, product selection pending</x:v>
      </x:c>
      <x:c r="Q146" s="2" t="str">
        <x:v>Confirm product demand, accessible HS line, counterparties, delivered spread, cash conversion and legal clearance.</x:v>
      </x:c>
    </x:row>
    <x:row r="147" ht="60" customHeight="1">
      <x:c r="A147" s="2" t="str">
        <x:v>RUS</x:v>
      </x:c>
      <x:c r="B147" s="2" t="str">
        <x:v>Russian Federation</x:v>
      </x:c>
      <x:c r="C147" s="2" t="str">
        <x:v>Europe</x:v>
      </x:c>
      <x:c r="D147" s="2" t="str">
        <x:v>643</x:v>
      </x:c>
      <x:c r="E147" s="2" t="str">
        <x:v>Member state</x:v>
      </x:c>
      <x:c r="F147" s="2" t="n">
        <x:v>143394458</x:v>
      </x:c>
      <x:c r="G147" s="2" t="n">
        <x:v>141889410</x:v>
      </x:c>
      <x:c r="H147" s="2" t="n">
        <x:v>139909641</x:v>
      </x:c>
      <x:c r="I147" s="2" t="n">
        <x:v>138281831</x:v>
      </x:c>
      <x:c r="J147" s="2" t="n">
        <x:v>137152207</x:v>
      </x:c>
      <x:c r="K147" s="2" t="n">
        <x:v>136132775</x:v>
      </x:c>
      <x:c r="L147" s="2" t="n">
        <x:v>135876189</x:v>
      </x:c>
      <x:c r="M147" s="2" t="str">
        <x:v>trade</x:v>
      </x:c>
      <x:c r="N147" s="2" t="str">
        <x:v>Review existing operation</x:v>
      </x:c>
      <x:c r="O147" s="2" t="str">
        <x:v>Disclosed location in June-2026 factsheet</x:v>
      </x:c>
      <x:c r="P147" s="2" t="str">
        <x:v>Staple trade, product selection pending</x:v>
      </x:c>
      <x:c r="Q147" s="2" t="str">
        <x:v>Confirm product demand, accessible HS line, counterparties, delivered spread, cash conversion and legal clearance.</x:v>
      </x:c>
    </x:row>
    <x:row r="148" ht="60" customHeight="1">
      <x:c r="A148" s="2" t="str">
        <x:v>RWA</x:v>
      </x:c>
      <x:c r="B148" s="2" t="str">
        <x:v>Rwanda</x:v>
      </x:c>
      <x:c r="C148" s="2" t="str">
        <x:v>Africa</x:v>
      </x:c>
      <x:c r="D148" s="2" t="str">
        <x:v>646</x:v>
      </x:c>
      <x:c r="E148" s="2" t="str">
        <x:v>Member state</x:v>
      </x:c>
      <x:c r="F148" s="2" t="n">
        <x:v>14889693</x:v>
      </x:c>
      <x:c r="G148" s="2" t="n">
        <x:v>16154705</x:v>
      </x:c>
      <x:c r="H148" s="2" t="n">
        <x:v>17746319</x:v>
      </x:c>
      <x:c r="I148" s="2" t="n">
        <x:v>19440770</x:v>
      </x:c>
      <x:c r="J148" s="2" t="n">
        <x:v>21152658</x:v>
      </x:c>
      <x:c r="K148" s="2" t="n">
        <x:v>22707910</x:v>
      </x:c>
      <x:c r="L148" s="2" t="n">
        <x:v>23007765</x:v>
      </x:c>
      <x:c r="M148" s="2" t="str">
        <x:v>trade</x:v>
      </x:c>
      <x:c r="N148" s="2" t="str">
        <x:v>Watch product/corridor opportunity</x:v>
      </x:c>
      <x:c r="O148" s="2" t="str">
        <x:v>Not verified, absence not inferred</x:v>
      </x:c>
      <x:c r="P148" s="2" t="str">
        <x:v>Staple trade, product selection pending</x:v>
      </x:c>
      <x:c r="Q148" s="2" t="str">
        <x:v>Confirm product demand, accessible HS line, counterparties, delivered spread, cash conversion and legal clearance.</x:v>
      </x:c>
    </x:row>
    <x:row r="149" ht="60" customHeight="1">
      <x:c r="A149" s="2" t="str">
        <x:v>KNA</x:v>
      </x:c>
      <x:c r="B149" s="2" t="str">
        <x:v>Saint Kitts and Nevis</x:v>
      </x:c>
      <x:c r="C149" s="2" t="str">
        <x:v>Americas</x:v>
      </x:c>
      <x:c r="D149" s="2" t="str">
        <x:v>659</x:v>
      </x:c>
      <x:c r="E149" s="2" t="str">
        <x:v>Member state</x:v>
      </x:c>
      <x:c r="F149" s="2" t="n">
        <x:v>46992</x:v>
      </x:c>
      <x:c r="G149" s="2" t="n">
        <x:v>47134</x:v>
      </x:c>
      <x:c r="H149" s="2" t="n">
        <x:v>46928</x:v>
      </x:c>
      <x:c r="I149" s="2" t="n">
        <x:v>46313</x:v>
      </x:c>
      <x:c r="J149" s="2" t="n">
        <x:v>45367</x:v>
      </x:c>
      <x:c r="K149" s="2" t="n">
        <x:v>44249</x:v>
      </x:c>
      <x:c r="L149" s="2" t="n">
        <x:v>43998</x:v>
      </x:c>
      <x:c r="M149" s="2" t="str">
        <x:v>trade</x:v>
      </x:c>
      <x:c r="N149" s="2" t="str">
        <x:v>Watch regional trade</x:v>
      </x:c>
      <x:c r="O149" s="2" t="str">
        <x:v>Not verified, absence not inferred</x:v>
      </x:c>
      <x:c r="P149" s="2" t="str">
        <x:v>Staple trade, product selection pending</x:v>
      </x:c>
      <x:c r="Q149" s="2" t="str">
        <x:v>Confirm product demand, accessible HS line, counterparties, delivered spread, cash conversion and legal clearance.</x:v>
      </x:c>
    </x:row>
    <x:row r="150" ht="60" customHeight="1">
      <x:c r="A150" s="2" t="str">
        <x:v>LCA</x:v>
      </x:c>
      <x:c r="B150" s="2" t="str">
        <x:v>Saint Lucia</x:v>
      </x:c>
      <x:c r="C150" s="2" t="str">
        <x:v>Americas</x:v>
      </x:c>
      <x:c r="D150" s="2" t="str">
        <x:v>662</x:v>
      </x:c>
      <x:c r="E150" s="2" t="str">
        <x:v>Member state</x:v>
      </x:c>
      <x:c r="F150" s="2" t="n">
        <x:v>180488</x:v>
      </x:c>
      <x:c r="G150" s="2" t="n">
        <x:v>181359</x:v>
      </x:c>
      <x:c r="H150" s="2" t="n">
        <x:v>181178</x:v>
      </x:c>
      <x:c r="I150" s="2" t="n">
        <x:v>179293</x:v>
      </x:c>
      <x:c r="J150" s="2" t="n">
        <x:v>176236</x:v>
      </x:c>
      <x:c r="K150" s="2" t="n">
        <x:v>172081</x:v>
      </x:c>
      <x:c r="L150" s="2" t="n">
        <x:v>171147</x:v>
      </x:c>
      <x:c r="M150" s="2" t="str">
        <x:v>trade</x:v>
      </x:c>
      <x:c r="N150" s="2" t="str">
        <x:v>Watch regional trade</x:v>
      </x:c>
      <x:c r="O150" s="2" t="str">
        <x:v>Not verified, absence not inferred</x:v>
      </x:c>
      <x:c r="P150" s="2" t="str">
        <x:v>Staple trade, product selection pending</x:v>
      </x:c>
      <x:c r="Q150" s="2" t="str">
        <x:v>Confirm product demand, accessible HS line, counterparties, delivered spread, cash conversion and legal clearance.</x:v>
      </x:c>
    </x:row>
    <x:row r="151" ht="60" customHeight="1">
      <x:c r="A151" s="2" t="str">
        <x:v>VCT</x:v>
      </x:c>
      <x:c r="B151" s="2" t="str">
        <x:v>Saint Vincent and the Grenadines</x:v>
      </x:c>
      <x:c r="C151" s="2" t="str">
        <x:v>Americas</x:v>
      </x:c>
      <x:c r="D151" s="2" t="str">
        <x:v>670</x:v>
      </x:c>
      <x:c r="E151" s="2" t="str">
        <x:v>Member state</x:v>
      </x:c>
      <x:c r="F151" s="2" t="n">
        <x:v>99245</x:v>
      </x:c>
      <x:c r="G151" s="2" t="n">
        <x:v>96856</x:v>
      </x:c>
      <x:c r="H151" s="2" t="n">
        <x:v>94484</x:v>
      </x:c>
      <x:c r="I151" s="2" t="n">
        <x:v>92650</x:v>
      </x:c>
      <x:c r="J151" s="2" t="n">
        <x:v>90955</x:v>
      </x:c>
      <x:c r="K151" s="2" t="n">
        <x:v>88942</x:v>
      </x:c>
      <x:c r="L151" s="2" t="n">
        <x:v>88495</x:v>
      </x:c>
      <x:c r="M151" s="2" t="str">
        <x:v>trade</x:v>
      </x:c>
      <x:c r="N151" s="2" t="str">
        <x:v>Watch regional trade</x:v>
      </x:c>
      <x:c r="O151" s="2" t="str">
        <x:v>Not verified, absence not inferred</x:v>
      </x:c>
      <x:c r="P151" s="2" t="str">
        <x:v>Staple trade, product selection pending</x:v>
      </x:c>
      <x:c r="Q151" s="2" t="str">
        <x:v>Confirm product demand, accessible HS line, counterparties, delivered spread, cash conversion and legal clearance.</x:v>
      </x:c>
    </x:row>
    <x:row r="152" ht="60" customHeight="1">
      <x:c r="A152" s="2" t="str">
        <x:v>WSM</x:v>
      </x:c>
      <x:c r="B152" s="2" t="str">
        <x:v>Samoa</x:v>
      </x:c>
      <x:c r="C152" s="2" t="str">
        <x:v>Oceania</x:v>
      </x:c>
      <x:c r="D152" s="2" t="str">
        <x:v>882</x:v>
      </x:c>
      <x:c r="E152" s="2" t="str">
        <x:v>Member state</x:v>
      </x:c>
      <x:c r="F152" s="2" t="n">
        <x:v>220528</x:v>
      </x:c>
      <x:c r="G152" s="2" t="n">
        <x:v>225971</x:v>
      </x:c>
      <x:c r="H152" s="2" t="n">
        <x:v>235179</x:v>
      </x:c>
      <x:c r="I152" s="2" t="n">
        <x:v>247196</x:v>
      </x:c>
      <x:c r="J152" s="2" t="n">
        <x:v>260262</x:v>
      </x:c>
      <x:c r="K152" s="2" t="n">
        <x:v>272726</x:v>
      </x:c>
      <x:c r="L152" s="2" t="n">
        <x:v>275124</x:v>
      </x:c>
      <x:c r="M152" s="2" t="str">
        <x:v>trade</x:v>
      </x:c>
      <x:c r="N152" s="2" t="str">
        <x:v>Watch regional trade</x:v>
      </x:c>
      <x:c r="O152" s="2" t="str">
        <x:v>Not verified, absence not inferred</x:v>
      </x:c>
      <x:c r="P152" s="2" t="str">
        <x:v>Staple trade, product selection pending</x:v>
      </x:c>
      <x:c r="Q152" s="2" t="str">
        <x:v>Confirm product demand, accessible HS line, counterparties, delivered spread, cash conversion and legal clearance.</x:v>
      </x:c>
    </x:row>
    <x:row r="153" ht="60" customHeight="1">
      <x:c r="A153" s="2" t="str">
        <x:v>SMR</x:v>
      </x:c>
      <x:c r="B153" s="2" t="str">
        <x:v>San Marino</x:v>
      </x:c>
      <x:c r="C153" s="2" t="str">
        <x:v>Europe</x:v>
      </x:c>
      <x:c r="D153" s="2" t="str">
        <x:v>674</x:v>
      </x:c>
      <x:c r="E153" s="2" t="str">
        <x:v>Member state</x:v>
      </x:c>
      <x:c r="F153" s="2" t="n">
        <x:v>33605</x:v>
      </x:c>
      <x:c r="G153" s="2" t="n">
        <x:v>33742</x:v>
      </x:c>
      <x:c r="H153" s="2" t="n">
        <x:v>33828</x:v>
      </x:c>
      <x:c r="I153" s="2" t="n">
        <x:v>33969</x:v>
      </x:c>
      <x:c r="J153" s="2" t="n">
        <x:v>33920</x:v>
      </x:c>
      <x:c r="K153" s="2" t="n">
        <x:v>33696</x:v>
      </x:c>
      <x:c r="L153" s="2" t="n">
        <x:v>33643</x:v>
      </x:c>
      <x:c r="M153" s="2" t="str">
        <x:v>trade</x:v>
      </x:c>
      <x:c r="N153" s="2" t="str">
        <x:v>Watch regional trade</x:v>
      </x:c>
      <x:c r="O153" s="2" t="str">
        <x:v>Not verified, absence not inferred</x:v>
      </x:c>
      <x:c r="P153" s="2" t="str">
        <x:v>Staple trade, product selection pending</x:v>
      </x:c>
      <x:c r="Q153" s="2" t="str">
        <x:v>Confirm product demand, accessible HS line, counterparties, delivered spread, cash conversion and legal clearance.</x:v>
      </x:c>
    </x:row>
    <x:row r="154" ht="60" customHeight="1">
      <x:c r="A154" s="2" t="str">
        <x:v>STP</x:v>
      </x:c>
      <x:c r="B154" s="2" t="str">
        <x:v>Sao Tome and Principe</x:v>
      </x:c>
      <x:c r="C154" s="2" t="str">
        <x:v>Africa</x:v>
      </x:c>
      <x:c r="D154" s="2" t="str">
        <x:v>678</x:v>
      </x:c>
      <x:c r="E154" s="2" t="str">
        <x:v>Member state</x:v>
      </x:c>
      <x:c r="F154" s="2" t="n">
        <x:v>244994</x:v>
      </x:c>
      <x:c r="G154" s="2" t="n">
        <x:v>264565</x:v>
      </x:c>
      <x:c r="H154" s="2" t="n">
        <x:v>290088</x:v>
      </x:c>
      <x:c r="I154" s="2" t="n">
        <x:v>315842</x:v>
      </x:c>
      <x:c r="J154" s="2" t="n">
        <x:v>340926</x:v>
      </x:c>
      <x:c r="K154" s="2" t="n">
        <x:v>365115</x:v>
      </x:c>
      <x:c r="L154" s="2" t="n">
        <x:v>369875</x:v>
      </x:c>
      <x:c r="M154" s="2" t="str">
        <x:v>trade</x:v>
      </x:c>
      <x:c r="N154" s="2" t="str">
        <x:v>Watch regional trade</x:v>
      </x:c>
      <x:c r="O154" s="2" t="str">
        <x:v>Not verified, absence not inferred</x:v>
      </x:c>
      <x:c r="P154" s="2" t="str">
        <x:v>Staple trade, product selection pending</x:v>
      </x:c>
      <x:c r="Q154" s="2" t="str">
        <x:v>Confirm product demand, accessible HS line, counterparties, delivered spread, cash conversion and legal clearance.</x:v>
      </x:c>
    </x:row>
    <x:row r="155" ht="60" customHeight="1">
      <x:c r="A155" s="2" t="str">
        <x:v>SAU</x:v>
      </x:c>
      <x:c r="B155" s="2" t="str">
        <x:v>Saudi Arabia</x:v>
      </x:c>
      <x:c r="C155" s="2" t="str">
        <x:v>Asia</x:v>
      </x:c>
      <x:c r="D155" s="2" t="str">
        <x:v>682</x:v>
      </x:c>
      <x:c r="E155" s="2" t="str">
        <x:v>Member state</x:v>
      </x:c>
      <x:c r="F155" s="2" t="n">
        <x:v>35165787</x:v>
      </x:c>
      <x:c r="G155" s="2" t="n">
        <x:v>37443751</x:v>
      </x:c>
      <x:c r="H155" s="2" t="n">
        <x:v>40012640</x:v>
      </x:c>
      <x:c r="I155" s="2" t="n">
        <x:v>42592205</x:v>
      </x:c>
      <x:c r="J155" s="2" t="n">
        <x:v>45156465</x:v>
      </x:c>
      <x:c r="K155" s="2" t="n">
        <x:v>47693910</x:v>
      </x:c>
      <x:c r="L155" s="2" t="n">
        <x:v>48198043</x:v>
      </x:c>
      <x:c r="M155" s="2" t="str">
        <x:v>trade</x:v>
      </x:c>
      <x:c r="N155" s="2" t="str">
        <x:v>Diligence priority</x:v>
      </x:c>
      <x:c r="O155" s="2" t="str">
        <x:v>Disclosed location in June-2026 factsheet</x:v>
      </x:c>
      <x:c r="P155" s="2" t="str">
        <x:v>Grain supply and food-security contracts</x:v>
      </x:c>
      <x:c r="Q155" s="2" t="str">
        <x:v>Secure independently bankable offtake. Ownership creates no guaranteed government order or funding.</x:v>
      </x:c>
    </x:row>
    <x:row r="156" ht="60" customHeight="1">
      <x:c r="A156" s="2" t="str">
        <x:v>SEN</x:v>
      </x:c>
      <x:c r="B156" s="2" t="str">
        <x:v>Senegal</x:v>
      </x:c>
      <x:c r="C156" s="2" t="str">
        <x:v>Africa</x:v>
      </x:c>
      <x:c r="D156" s="2" t="str">
        <x:v>686</x:v>
      </x:c>
      <x:c r="E156" s="2" t="str">
        <x:v>Member state</x:v>
      </x:c>
      <x:c r="F156" s="2" t="n">
        <x:v>19366548</x:v>
      </x:c>
      <x:c r="G156" s="2" t="n">
        <x:v>21163192</x:v>
      </x:c>
      <x:c r="H156" s="2" t="n">
        <x:v>23476596</x:v>
      </x:c>
      <x:c r="I156" s="2" t="n">
        <x:v>25797510</x:v>
      </x:c>
      <x:c r="J156" s="2" t="n">
        <x:v>28089699</x:v>
      </x:c>
      <x:c r="K156" s="2" t="n">
        <x:v>30364954</x:v>
      </x:c>
      <x:c r="L156" s="2" t="n">
        <x:v>30817068</x:v>
      </x:c>
      <x:c r="M156" s="2" t="str">
        <x:v>partner</x:v>
      </x:c>
      <x:c r="N156" s="2" t="str">
        <x:v>Diligence priority</x:v>
      </x:c>
      <x:c r="O156" s="2" t="str">
        <x:v>Disclosed location in June-2026 factsheet</x:v>
      </x:c>
      <x:c r="P156" s="2" t="str">
        <x:v>Flour and feed</x:v>
      </x:c>
      <x:c r="Q156" s="2" t="str">
        <x:v>Validate capacity bottleneck, payment terms and customer-level contribution.</x:v>
      </x:c>
    </x:row>
    <x:row r="157" ht="60" customHeight="1">
      <x:c r="A157" s="2" t="str">
        <x:v>SRB</x:v>
      </x:c>
      <x:c r="B157" s="2" t="str">
        <x:v>Serbia</x:v>
      </x:c>
      <x:c r="C157" s="2" t="str">
        <x:v>Europe</x:v>
      </x:c>
      <x:c r="D157" s="2" t="str">
        <x:v>688</x:v>
      </x:c>
      <x:c r="E157" s="2" t="str">
        <x:v>Member state</x:v>
      </x:c>
      <x:c r="F157" s="2" t="n">
        <x:v>6641964</x:v>
      </x:c>
      <x:c r="G157" s="2" t="n">
        <x:v>6461212</x:v>
      </x:c>
      <x:c r="H157" s="2" t="n">
        <x:v>6226578</x:v>
      </x:c>
      <x:c r="I157" s="2" t="n">
        <x:v>5987456</x:v>
      </x:c>
      <x:c r="J157" s="2" t="n">
        <x:v>5753266</x:v>
      </x:c>
      <x:c r="K157" s="2" t="n">
        <x:v>5532870</x:v>
      </x:c>
      <x:c r="L157" s="2" t="n">
        <x:v>5489989</x:v>
      </x:c>
      <x:c r="M157" s="2" t="str">
        <x:v>trade</x:v>
      </x:c>
      <x:c r="N157" s="2" t="str">
        <x:v>Watch customer specialization</x:v>
      </x:c>
      <x:c r="O157" s="2" t="str">
        <x:v>Not verified, absence not inferred</x:v>
      </x:c>
      <x:c r="P157" s="2" t="str">
        <x:v>Staple trade, product selection pending</x:v>
      </x:c>
      <x:c r="Q157" s="2" t="str">
        <x:v>Confirm product demand, accessible HS line, counterparties, delivered spread, cash conversion and legal clearance.</x:v>
      </x:c>
    </x:row>
    <x:row r="158" ht="60" customHeight="1">
      <x:c r="A158" s="2" t="str">
        <x:v>SYC</x:v>
      </x:c>
      <x:c r="B158" s="2" t="str">
        <x:v>Seychelles</x:v>
      </x:c>
      <x:c r="C158" s="2" t="str">
        <x:v>Africa</x:v>
      </x:c>
      <x:c r="D158" s="2" t="str">
        <x:v>690</x:v>
      </x:c>
      <x:c r="E158" s="2" t="str">
        <x:v>Member state</x:v>
      </x:c>
      <x:c r="F158" s="2" t="n">
        <x:v>134959</x:v>
      </x:c>
      <x:c r="G158" s="2" t="n">
        <x:v>140399</x:v>
      </x:c>
      <x:c r="H158" s="2" t="n">
        <x:v>141891</x:v>
      </x:c>
      <x:c r="I158" s="2" t="n">
        <x:v>142544</x:v>
      </x:c>
      <x:c r="J158" s="2" t="n">
        <x:v>142524</x:v>
      </x:c>
      <x:c r="K158" s="2" t="n">
        <x:v>141746</x:v>
      </x:c>
      <x:c r="L158" s="2" t="n">
        <x:v>141518</x:v>
      </x:c>
      <x:c r="M158" s="2" t="str">
        <x:v>trade</x:v>
      </x:c>
      <x:c r="N158" s="2" t="str">
        <x:v>Watch regional trade</x:v>
      </x:c>
      <x:c r="O158" s="2" t="str">
        <x:v>Not verified, absence not inferred</x:v>
      </x:c>
      <x:c r="P158" s="2" t="str">
        <x:v>Staple trade, product selection pending</x:v>
      </x:c>
      <x:c r="Q158" s="2" t="str">
        <x:v>Confirm product demand, accessible HS line, counterparties, delivered spread, cash conversion and legal clearance.</x:v>
      </x:c>
    </x:row>
    <x:row r="159" ht="60" customHeight="1">
      <x:c r="A159" s="2" t="str">
        <x:v>SLE</x:v>
      </x:c>
      <x:c r="B159" s="2" t="str">
        <x:v>Sierra Leone</x:v>
      </x:c>
      <x:c r="C159" s="2" t="str">
        <x:v>Africa</x:v>
      </x:c>
      <x:c r="D159" s="2" t="str">
        <x:v>694</x:v>
      </x:c>
      <x:c r="E159" s="2" t="str">
        <x:v>Member state</x:v>
      </x:c>
      <x:c r="F159" s="2" t="n">
        <x:v>8996745</x:v>
      </x:c>
      <x:c r="G159" s="2" t="n">
        <x:v>9694858</x:v>
      </x:c>
      <x:c r="H159" s="2" t="n">
        <x:v>10563167</x:v>
      </x:c>
      <x:c r="I159" s="2" t="n">
        <x:v>11398400</x:v>
      </x:c>
      <x:c r="J159" s="2" t="n">
        <x:v>12208880</x:v>
      </x:c>
      <x:c r="K159" s="2" t="n">
        <x:v>12948325</x:v>
      </x:c>
      <x:c r="L159" s="2" t="n">
        <x:v>13093462</x:v>
      </x:c>
      <x:c r="M159" s="2" t="str">
        <x:v>trade</x:v>
      </x:c>
      <x:c r="N159" s="2" t="str">
        <x:v>Watch product/corridor opportunity</x:v>
      </x:c>
      <x:c r="O159" s="2" t="str">
        <x:v>Not verified, absence not inferred</x:v>
      </x:c>
      <x:c r="P159" s="2" t="str">
        <x:v>Staple trade, product selection pending</x:v>
      </x:c>
      <x:c r="Q159" s="2" t="str">
        <x:v>Confirm product demand, accessible HS line, counterparties, delivered spread, cash conversion and legal clearance.</x:v>
      </x:c>
    </x:row>
    <x:row r="160" ht="60" customHeight="1">
      <x:c r="A160" s="2" t="str">
        <x:v>SGP</x:v>
      </x:c>
      <x:c r="B160" s="2" t="str">
        <x:v>Singapore</x:v>
      </x:c>
      <x:c r="C160" s="2" t="str">
        <x:v>Asia</x:v>
      </x:c>
      <x:c r="D160" s="2" t="str">
        <x:v>702</x:v>
      </x:c>
      <x:c r="E160" s="2" t="str">
        <x:v>Member state</x:v>
      </x:c>
      <x:c r="F160" s="2" t="n">
        <x:v>5905748</x:v>
      </x:c>
      <x:c r="G160" s="2" t="n">
        <x:v>6031377</x:v>
      </x:c>
      <x:c r="H160" s="2" t="n">
        <x:v>6153233</x:v>
      </x:c>
      <x:c r="I160" s="2" t="n">
        <x:v>6194782</x:v>
      </x:c>
      <x:c r="J160" s="2" t="n">
        <x:v>6156188</x:v>
      </x:c>
      <x:c r="K160" s="2" t="n">
        <x:v>6081691</x:v>
      </x:c>
      <x:c r="L160" s="2" t="n">
        <x:v>6064528</x:v>
      </x:c>
      <x:c r="M160" s="2" t="str">
        <x:v>trade</x:v>
      </x:c>
      <x:c r="N160" s="2" t="str">
        <x:v>Review existing operation</x:v>
      </x:c>
      <x:c r="O160" s="2" t="str">
        <x:v>Disclosed location in June-2026 factsheet</x:v>
      </x:c>
      <x:c r="P160" s="2" t="str">
        <x:v>Staple trade, product selection pending</x:v>
      </x:c>
      <x:c r="Q160" s="2" t="str">
        <x:v>Confirm product demand, accessible HS line, counterparties, delivered spread, cash conversion and legal clearance.</x:v>
      </x:c>
    </x:row>
    <x:row r="161" ht="60" customHeight="1">
      <x:c r="A161" s="2" t="str">
        <x:v>SVK</x:v>
      </x:c>
      <x:c r="B161" s="2" t="str">
        <x:v>Slovakia</x:v>
      </x:c>
      <x:c r="C161" s="2" t="str">
        <x:v>Europe</x:v>
      </x:c>
      <x:c r="D161" s="2" t="str">
        <x:v>703</x:v>
      </x:c>
      <x:c r="E161" s="2" t="str">
        <x:v>Member state</x:v>
      </x:c>
      <x:c r="F161" s="2" t="n">
        <x:v>5451342</x:v>
      </x:c>
      <x:c r="G161" s="2" t="n">
        <x:v>5401392</x:v>
      </x:c>
      <x:c r="H161" s="2" t="n">
        <x:v>5307343</x:v>
      </x:c>
      <x:c r="I161" s="2" t="n">
        <x:v>5192010</x:v>
      </x:c>
      <x:c r="J161" s="2" t="n">
        <x:v>5066919</x:v>
      </x:c>
      <x:c r="K161" s="2" t="n">
        <x:v>4936488</x:v>
      </x:c>
      <x:c r="L161" s="2" t="n">
        <x:v>4909328</x:v>
      </x:c>
      <x:c r="M161" s="2" t="str">
        <x:v>trade</x:v>
      </x:c>
      <x:c r="N161" s="2" t="str">
        <x:v>Watch customer specialization</x:v>
      </x:c>
      <x:c r="O161" s="2" t="str">
        <x:v>Not verified, absence not inferred</x:v>
      </x:c>
      <x:c r="P161" s="2" t="str">
        <x:v>Staple trade, product selection pending</x:v>
      </x:c>
      <x:c r="Q161" s="2" t="str">
        <x:v>Confirm product demand, accessible HS line, counterparties, delivered spread, cash conversion and legal clearance.</x:v>
      </x:c>
    </x:row>
    <x:row r="162" ht="60" customHeight="1">
      <x:c r="A162" s="2" t="str">
        <x:v>SVN</x:v>
      </x:c>
      <x:c r="B162" s="2" t="str">
        <x:v>Slovenia</x:v>
      </x:c>
      <x:c r="C162" s="2" t="str">
        <x:v>Europe</x:v>
      </x:c>
      <x:c r="D162" s="2" t="str">
        <x:v>705</x:v>
      </x:c>
      <x:c r="E162" s="2" t="str">
        <x:v>Member state</x:v>
      </x:c>
      <x:c r="F162" s="2" t="n">
        <x:v>2114573</x:v>
      </x:c>
      <x:c r="G162" s="2" t="n">
        <x:v>2098956</x:v>
      </x:c>
      <x:c r="H162" s="2" t="n">
        <x:v>2073835.9999999998</x:v>
      </x:c>
      <x:c r="I162" s="2" t="n">
        <x:v>2046764</x:v>
      </x:c>
      <x:c r="J162" s="2" t="n">
        <x:v>2016283</x:v>
      </x:c>
      <x:c r="K162" s="2" t="n">
        <x:v>1981553</x:v>
      </x:c>
      <x:c r="L162" s="2" t="n">
        <x:v>1973639</x:v>
      </x:c>
      <x:c r="M162" s="2" t="str">
        <x:v>trade</x:v>
      </x:c>
      <x:c r="N162" s="2" t="str">
        <x:v>Watch customer specialization</x:v>
      </x:c>
      <x:c r="O162" s="2" t="str">
        <x:v>Not verified, absence not inferred</x:v>
      </x:c>
      <x:c r="P162" s="2" t="str">
        <x:v>Staple trade, product selection pending</x:v>
      </x:c>
      <x:c r="Q162" s="2" t="str">
        <x:v>Confirm product demand, accessible HS line, counterparties, delivered spread, cash conversion and legal clearance.</x:v>
      </x:c>
    </x:row>
    <x:row r="163" ht="60" customHeight="1">
      <x:c r="A163" s="2" t="str">
        <x:v>SLB</x:v>
      </x:c>
      <x:c r="B163" s="2" t="str">
        <x:v>Solomon Islands</x:v>
      </x:c>
      <x:c r="C163" s="2" t="str">
        <x:v>Oceania</x:v>
      </x:c>
      <x:c r="D163" s="2" t="str">
        <x:v>090</x:v>
      </x:c>
      <x:c r="E163" s="2" t="str">
        <x:v>Member state</x:v>
      </x:c>
      <x:c r="F163" s="2" t="n">
        <x:v>858288</x:v>
      </x:c>
      <x:c r="G163" s="2" t="n">
        <x:v>938348</x:v>
      </x:c>
      <x:c r="H163" s="2" t="n">
        <x:v>1039656.9999999999</x:v>
      </x:c>
      <x:c r="I163" s="2" t="n">
        <x:v>1135455</x:v>
      </x:c>
      <x:c r="J163" s="2" t="n">
        <x:v>1224199</x:v>
      </x:c>
      <x:c r="K163" s="2" t="n">
        <x:v>1309110</x:v>
      </x:c>
      <x:c r="L163" s="2" t="n">
        <x:v>1325603</x:v>
      </x:c>
      <x:c r="M163" s="2" t="str">
        <x:v>trade</x:v>
      </x:c>
      <x:c r="N163" s="2" t="str">
        <x:v>Watch regional trade</x:v>
      </x:c>
      <x:c r="O163" s="2" t="str">
        <x:v>Not verified, absence not inferred</x:v>
      </x:c>
      <x:c r="P163" s="2" t="str">
        <x:v>Staple trade, product selection pending</x:v>
      </x:c>
      <x:c r="Q163" s="2" t="str">
        <x:v>Confirm product demand, accessible HS line, counterparties, delivered spread, cash conversion and legal clearance.</x:v>
      </x:c>
    </x:row>
    <x:row r="164" ht="60" customHeight="1">
      <x:c r="A164" s="2" t="str">
        <x:v>SOM</x:v>
      </x:c>
      <x:c r="B164" s="2" t="str">
        <x:v>Somalia</x:v>
      </x:c>
      <x:c r="C164" s="2" t="str">
        <x:v>Africa</x:v>
      </x:c>
      <x:c r="D164" s="2" t="str">
        <x:v>706</x:v>
      </x:c>
      <x:c r="E164" s="2" t="str">
        <x:v>Member state</x:v>
      </x:c>
      <x:c r="F164" s="2" t="n">
        <x:v>20305907</x:v>
      </x:c>
      <x:c r="G164" s="2" t="n">
        <x:v>22915044</x:v>
      </x:c>
      <x:c r="H164" s="2" t="n">
        <x:v>26294950</x:v>
      </x:c>
      <x:c r="I164" s="2" t="n">
        <x:v>29896287</x:v>
      </x:c>
      <x:c r="J164" s="2" t="n">
        <x:v>33510165.999999996</x:v>
      </x:c>
      <x:c r="K164" s="2" t="n">
        <x:v>37206512</x:v>
      </x:c>
      <x:c r="L164" s="2" t="n">
        <x:v>37953802</x:v>
      </x:c>
      <x:c r="M164" s="2" t="str">
        <x:v>trade</x:v>
      </x:c>
      <x:c r="N164" s="2" t="str">
        <x:v>Watch product/corridor opportunity</x:v>
      </x:c>
      <x:c r="O164" s="2" t="str">
        <x:v>Not verified, absence not inferred</x:v>
      </x:c>
      <x:c r="P164" s="2" t="str">
        <x:v>Staple trade, product selection pending</x:v>
      </x:c>
      <x:c r="Q164" s="2" t="str">
        <x:v>Confirm product demand, accessible HS line, counterparties, delivered spread, cash conversion and legal clearance.</x:v>
      </x:c>
    </x:row>
    <x:row r="165" ht="60" customHeight="1">
      <x:c r="A165" s="2" t="str">
        <x:v>ZAF</x:v>
      </x:c>
      <x:c r="B165" s="2" t="str">
        <x:v>South Africa</x:v>
      </x:c>
      <x:c r="C165" s="2" t="str">
        <x:v>Africa</x:v>
      </x:c>
      <x:c r="D165" s="2" t="str">
        <x:v>710</x:v>
      </x:c>
      <x:c r="E165" s="2" t="str">
        <x:v>Member state</x:v>
      </x:c>
      <x:c r="F165" s="2" t="n">
        <x:v>65453084</x:v>
      </x:c>
      <x:c r="G165" s="2" t="n">
        <x:v>68161359</x:v>
      </x:c>
      <x:c r="H165" s="2" t="n">
        <x:v>71234752</x:v>
      </x:c>
      <x:c r="I165" s="2" t="n">
        <x:v>74035624</x:v>
      </x:c>
      <x:c r="J165" s="2" t="n">
        <x:v>76681450</x:v>
      </x:c>
      <x:c r="K165" s="2" t="n">
        <x:v>79177328</x:v>
      </x:c>
      <x:c r="L165" s="2" t="n">
        <x:v>79652213</x:v>
      </x:c>
      <x:c r="M165" s="2" t="str">
        <x:v>trade</x:v>
      </x:c>
      <x:c r="N165" s="2" t="str">
        <x:v>Diligence priority</x:v>
      </x:c>
      <x:c r="O165" s="2" t="str">
        <x:v>Disclosed location in June-2026 factsheet</x:v>
      </x:c>
      <x:c r="P165" s="2" t="str">
        <x:v>Grains and edible oils</x:v>
      </x:c>
      <x:c r="Q165" s="2" t="str">
        <x:v>Require quality-adjusted spread, counterparty limits and inventory stress.</x:v>
      </x:c>
    </x:row>
    <x:row r="166" ht="60" customHeight="1">
      <x:c r="A166" s="2" t="str">
        <x:v>SSD</x:v>
      </x:c>
      <x:c r="B166" s="2" t="str">
        <x:v>South Sudan</x:v>
      </x:c>
      <x:c r="C166" s="2" t="str">
        <x:v>Africa</x:v>
      </x:c>
      <x:c r="D166" s="2" t="str">
        <x:v>728</x:v>
      </x:c>
      <x:c r="E166" s="2" t="str">
        <x:v>Member state</x:v>
      </x:c>
      <x:c r="F166" s="2" t="n">
        <x:v>12436037</x:v>
      </x:c>
      <x:c r="G166" s="2" t="n">
        <x:v>13457453</x:v>
      </x:c>
      <x:c r="H166" s="2" t="n">
        <x:v>14798600</x:v>
      </x:c>
      <x:c r="I166" s="2" t="n">
        <x:v>16101480</x:v>
      </x:c>
      <x:c r="J166" s="2" t="n">
        <x:v>17286410</x:v>
      </x:c>
      <x:c r="K166" s="2" t="n">
        <x:v>18341974</x:v>
      </x:c>
      <x:c r="L166" s="2" t="n">
        <x:v>18542997</x:v>
      </x:c>
      <x:c r="M166" s="2" t="str">
        <x:v>trade</x:v>
      </x:c>
      <x:c r="N166" s="2" t="str">
        <x:v>Watch product/corridor opportunity</x:v>
      </x:c>
      <x:c r="O166" s="2" t="str">
        <x:v>Not verified, absence not inferred</x:v>
      </x:c>
      <x:c r="P166" s="2" t="str">
        <x:v>Staple trade, product selection pending</x:v>
      </x:c>
      <x:c r="Q166" s="2" t="str">
        <x:v>Confirm product demand, accessible HS line, counterparties, delivered spread, cash conversion and legal clearance.</x:v>
      </x:c>
    </x:row>
    <x:row r="167" ht="60" customHeight="1">
      <x:c r="A167" s="2" t="str">
        <x:v>ESP</x:v>
      </x:c>
      <x:c r="B167" s="2" t="str">
        <x:v>Spain</x:v>
      </x:c>
      <x:c r="C167" s="2" t="str">
        <x:v>Europe</x:v>
      </x:c>
      <x:c r="D167" s="2" t="str">
        <x:v>724</x:v>
      </x:c>
      <x:c r="E167" s="2" t="str">
        <x:v>Member state</x:v>
      </x:c>
      <x:c r="F167" s="2" t="n">
        <x:v>47850793</x:v>
      </x:c>
      <x:c r="G167" s="2" t="n">
        <x:v>47610520</x:v>
      </x:c>
      <x:c r="H167" s="2" t="n">
        <x:v>47154196</x:v>
      </x:c>
      <x:c r="I167" s="2" t="n">
        <x:v>46591674</x:v>
      </x:c>
      <x:c r="J167" s="2" t="n">
        <x:v>45879964</x:v>
      </x:c>
      <x:c r="K167" s="2" t="n">
        <x:v>44928558</x:v>
      </x:c>
      <x:c r="L167" s="2" t="n">
        <x:v>44712279</x:v>
      </x:c>
      <x:c r="M167" s="2" t="str">
        <x:v>trade</x:v>
      </x:c>
      <x:c r="N167" s="2" t="str">
        <x:v>Review existing operation</x:v>
      </x:c>
      <x:c r="O167" s="2" t="str">
        <x:v>Disclosed location in June-2026 factsheet</x:v>
      </x:c>
      <x:c r="P167" s="2" t="str">
        <x:v>Staple trade, product selection pending</x:v>
      </x:c>
      <x:c r="Q167" s="2" t="str">
        <x:v>Confirm product demand, accessible HS line, counterparties, delivered spread, cash conversion and legal clearance.</x:v>
      </x:c>
    </x:row>
    <x:row r="168" ht="60" customHeight="1">
      <x:c r="A168" s="2" t="str">
        <x:v>LKA</x:v>
      </x:c>
      <x:c r="B168" s="2" t="str">
        <x:v>Sri Lanka</x:v>
      </x:c>
      <x:c r="C168" s="2" t="str">
        <x:v>Asia</x:v>
      </x:c>
      <x:c r="D168" s="2" t="str">
        <x:v>144</x:v>
      </x:c>
      <x:c r="E168" s="2" t="str">
        <x:v>Member state</x:v>
      </x:c>
      <x:c r="F168" s="2" t="n">
        <x:v>23348315</x:v>
      </x:c>
      <x:c r="G168" s="2" t="n">
        <x:v>23767952</x:v>
      </x:c>
      <x:c r="H168" s="2" t="n">
        <x:v>24196475</x:v>
      </x:c>
      <x:c r="I168" s="2" t="n">
        <x:v>24526699</x:v>
      </x:c>
      <x:c r="J168" s="2" t="n">
        <x:v>24736435</x:v>
      </x:c>
      <x:c r="K168" s="2" t="n">
        <x:v>24813690</x:v>
      </x:c>
      <x:c r="L168" s="2" t="n">
        <x:v>24814757</x:v>
      </x:c>
      <x:c r="M168" s="2" t="str">
        <x:v>trade</x:v>
      </x:c>
      <x:c r="N168" s="2" t="str">
        <x:v>Review existing operation</x:v>
      </x:c>
      <x:c r="O168" s="2" t="str">
        <x:v>Disclosed location in June-2026 factsheet</x:v>
      </x:c>
      <x:c r="P168" s="2" t="str">
        <x:v>Staple trade, product selection pending</x:v>
      </x:c>
      <x:c r="Q168" s="2" t="str">
        <x:v>Confirm product demand, accessible HS line, counterparties, delivered spread, cash conversion and legal clearance.</x:v>
      </x:c>
    </x:row>
    <x:row r="169" ht="60" customHeight="1">
      <x:c r="A169" s="2" t="str">
        <x:v>PSE</x:v>
      </x:c>
      <x:c r="B169" s="2" t="str">
        <x:v>State of Palestine</x:v>
      </x:c>
      <x:c r="C169" s="2" t="str">
        <x:v>Asia</x:v>
      </x:c>
      <x:c r="D169" s="2" t="str">
        <x:v>275</x:v>
      </x:c>
      <x:c r="E169" s="2" t="str">
        <x:v>Observer state</x:v>
      </x:c>
      <x:c r="F169" s="2" t="n">
        <x:v>5692790</x:v>
      </x:c>
      <x:c r="G169" s="2" t="n">
        <x:v>6122314</x:v>
      </x:c>
      <x:c r="H169" s="2" t="n">
        <x:v>6692735</x:v>
      </x:c>
      <x:c r="I169" s="2" t="n">
        <x:v>7291826</x:v>
      </x:c>
      <x:c r="J169" s="2" t="n">
        <x:v>7895095</x:v>
      </x:c>
      <x:c r="K169" s="2" t="n">
        <x:v>8451891</x:v>
      </x:c>
      <x:c r="L169" s="2" t="n">
        <x:v>8559237</x:v>
      </x:c>
      <x:c r="M169" s="2" t="str">
        <x:v>trade</x:v>
      </x:c>
      <x:c r="N169" s="2" t="str">
        <x:v>Watch product/corridor opportunity</x:v>
      </x:c>
      <x:c r="O169" s="2" t="str">
        <x:v>Not verified, absence not inferred</x:v>
      </x:c>
      <x:c r="P169" s="2" t="str">
        <x:v>Staple trade, product selection pending</x:v>
      </x:c>
      <x:c r="Q169" s="2" t="str">
        <x:v>Confirm product demand, accessible HS line, counterparties, delivered spread, cash conversion and legal clearance.</x:v>
      </x:c>
    </x:row>
    <x:row r="170" ht="60" customHeight="1">
      <x:c r="A170" s="2" t="str">
        <x:v>SDN</x:v>
      </x:c>
      <x:c r="B170" s="2" t="str">
        <x:v>Sudan</x:v>
      </x:c>
      <x:c r="C170" s="2" t="str">
        <x:v>Africa</x:v>
      </x:c>
      <x:c r="D170" s="2" t="str">
        <x:v>729</x:v>
      </x:c>
      <x:c r="E170" s="2" t="str">
        <x:v>Member state</x:v>
      </x:c>
      <x:c r="F170" s="2" t="n">
        <x:v>53282719</x:v>
      </x:c>
      <x:c r="G170" s="2" t="n">
        <x:v>58571616</x:v>
      </x:c>
      <x:c r="H170" s="2" t="n">
        <x:v>65148317</x:v>
      </x:c>
      <x:c r="I170" s="2" t="n">
        <x:v>71730599</x:v>
      </x:c>
      <x:c r="J170" s="2" t="n">
        <x:v>78415203</x:v>
      </x:c>
      <x:c r="K170" s="2" t="n">
        <x:v>85206383</x:v>
      </x:c>
      <x:c r="L170" s="2" t="n">
        <x:v>86579067</x:v>
      </x:c>
      <x:c r="M170" s="2" t="str">
        <x:v>trade</x:v>
      </x:c>
      <x:c r="N170" s="2" t="str">
        <x:v>Watch product/corridor opportunity</x:v>
      </x:c>
      <x:c r="O170" s="2" t="str">
        <x:v>Not verified, absence not inferred</x:v>
      </x:c>
      <x:c r="P170" s="2" t="str">
        <x:v>Staple trade, product selection pending</x:v>
      </x:c>
      <x:c r="Q170" s="2" t="str">
        <x:v>Confirm product demand, accessible HS line, counterparties, delivered spread, cash conversion and legal clearance.</x:v>
      </x:c>
    </x:row>
    <x:row r="171" ht="60" customHeight="1">
      <x:c r="A171" s="2" t="str">
        <x:v>SUR</x:v>
      </x:c>
      <x:c r="B171" s="2" t="str">
        <x:v>Suriname</x:v>
      </x:c>
      <x:c r="C171" s="2" t="str">
        <x:v>Americas</x:v>
      </x:c>
      <x:c r="D171" s="2" t="str">
        <x:v>740</x:v>
      </x:c>
      <x:c r="E171" s="2" t="str">
        <x:v>Member state</x:v>
      </x:c>
      <x:c r="F171" s="2" t="n">
        <x:v>645256</x:v>
      </x:c>
      <x:c r="G171" s="2" t="n">
        <x:v>665652</x:v>
      </x:c>
      <x:c r="H171" s="2" t="n">
        <x:v>688191</x:v>
      </x:c>
      <x:c r="I171" s="2" t="n">
        <x:v>707160</x:v>
      </x:c>
      <x:c r="J171" s="2" t="n">
        <x:v>722756</x:v>
      </x:c>
      <x:c r="K171" s="2" t="n">
        <x:v>733904</x:v>
      </x:c>
      <x:c r="L171" s="2" t="n">
        <x:v>735702</x:v>
      </x:c>
      <x:c r="M171" s="2" t="str">
        <x:v>trade</x:v>
      </x:c>
      <x:c r="N171" s="2" t="str">
        <x:v>Watch regional trade</x:v>
      </x:c>
      <x:c r="O171" s="2" t="str">
        <x:v>Not verified, absence not inferred</x:v>
      </x:c>
      <x:c r="P171" s="2" t="str">
        <x:v>Staple trade, product selection pending</x:v>
      </x:c>
      <x:c r="Q171" s="2" t="str">
        <x:v>Confirm product demand, accessible HS line, counterparties, delivered spread, cash conversion and legal clearance.</x:v>
      </x:c>
    </x:row>
    <x:row r="172" ht="60" customHeight="1">
      <x:c r="A172" s="2" t="str">
        <x:v>SWE</x:v>
      </x:c>
      <x:c r="B172" s="2" t="str">
        <x:v>Sweden</x:v>
      </x:c>
      <x:c r="C172" s="2" t="str">
        <x:v>Europe</x:v>
      </x:c>
      <x:c r="D172" s="2" t="str">
        <x:v>752</x:v>
      </x:c>
      <x:c r="E172" s="2" t="str">
        <x:v>Member state</x:v>
      </x:c>
      <x:c r="F172" s="2" t="n">
        <x:v>10701047</x:v>
      </x:c>
      <x:c r="G172" s="2" t="n">
        <x:v>10841810</x:v>
      </x:c>
      <x:c r="H172" s="2" t="n">
        <x:v>10964978</x:v>
      </x:c>
      <x:c r="I172" s="2" t="n">
        <x:v>11078602</x:v>
      </x:c>
      <x:c r="J172" s="2" t="n">
        <x:v>11202872</x:v>
      </x:c>
      <x:c r="K172" s="2" t="n">
        <x:v>11309630</x:v>
      </x:c>
      <x:c r="L172" s="2" t="n">
        <x:v>11327101</x:v>
      </x:c>
      <x:c r="M172" s="2" t="str">
        <x:v>trade</x:v>
      </x:c>
      <x:c r="N172" s="2" t="str">
        <x:v>Watch product/corridor opportunity</x:v>
      </x:c>
      <x:c r="O172" s="2" t="str">
        <x:v>Not verified, absence not inferred</x:v>
      </x:c>
      <x:c r="P172" s="2" t="str">
        <x:v>Staple trade, product selection pending</x:v>
      </x:c>
      <x:c r="Q172" s="2" t="str">
        <x:v>Confirm product demand, accessible HS line, counterparties, delivered spread, cash conversion and legal clearance.</x:v>
      </x:c>
    </x:row>
    <x:row r="173" ht="60" customHeight="1">
      <x:c r="A173" s="2" t="str">
        <x:v>CHE</x:v>
      </x:c>
      <x:c r="B173" s="2" t="str">
        <x:v>Switzerland</x:v>
      </x:c>
      <x:c r="C173" s="2" t="str">
        <x:v>Europe</x:v>
      </x:c>
      <x:c r="D173" s="2" t="str">
        <x:v>756</x:v>
      </x:c>
      <x:c r="E173" s="2" t="str">
        <x:v>Member state</x:v>
      </x:c>
      <x:c r="F173" s="2" t="n">
        <x:v>9007798</x:v>
      </x:c>
      <x:c r="G173" s="2" t="n">
        <x:v>9130292</x:v>
      </x:c>
      <x:c r="H173" s="2" t="n">
        <x:v>9224225</x:v>
      </x:c>
      <x:c r="I173" s="2" t="n">
        <x:v>9276178</x:v>
      </x:c>
      <x:c r="J173" s="2" t="n">
        <x:v>9315498</x:v>
      </x:c>
      <x:c r="K173" s="2" t="n">
        <x:v>9342586</x:v>
      </x:c>
      <x:c r="L173" s="2" t="n">
        <x:v>9343512</x:v>
      </x:c>
      <x:c r="M173" s="2" t="str">
        <x:v>trade</x:v>
      </x:c>
      <x:c r="N173" s="2" t="str">
        <x:v>Review existing operation</x:v>
      </x:c>
      <x:c r="O173" s="2" t="str">
        <x:v>Disclosed location in June-2026 factsheet</x:v>
      </x:c>
      <x:c r="P173" s="2" t="str">
        <x:v>Staple trade, product selection pending</x:v>
      </x:c>
      <x:c r="Q173" s="2" t="str">
        <x:v>Confirm product demand, accessible HS line, counterparties, delivered spread, cash conversion and legal clearance.</x:v>
      </x:c>
    </x:row>
    <x:row r="174" ht="60" customHeight="1">
      <x:c r="A174" s="2" t="str">
        <x:v>SYR</x:v>
      </x:c>
      <x:c r="B174" s="2" t="str">
        <x:v>Syrian Arab Republic</x:v>
      </x:c>
      <x:c r="C174" s="2" t="str">
        <x:v>Asia</x:v>
      </x:c>
      <x:c r="D174" s="2" t="str">
        <x:v>760</x:v>
      </x:c>
      <x:c r="E174" s="2" t="str">
        <x:v>Member state</x:v>
      </x:c>
      <x:c r="F174" s="2" t="n">
        <x:v>26472497</x:v>
      </x:c>
      <x:c r="G174" s="2" t="n">
        <x:v>29395540</x:v>
      </x:c>
      <x:c r="H174" s="2" t="n">
        <x:v>32294793</x:v>
      </x:c>
      <x:c r="I174" s="2" t="n">
        <x:v>34533185</x:v>
      </x:c>
      <x:c r="J174" s="2" t="n">
        <x:v>36265286</x:v>
      </x:c>
      <x:c r="K174" s="2" t="n">
        <x:v>37793372</x:v>
      </x:c>
      <x:c r="L174" s="2" t="n">
        <x:v>38104385</x:v>
      </x:c>
      <x:c r="M174" s="2" t="str">
        <x:v>trade</x:v>
      </x:c>
      <x:c r="N174" s="2" t="str">
        <x:v>Watch product/corridor opportunity</x:v>
      </x:c>
      <x:c r="O174" s="2" t="str">
        <x:v>Not verified, absence not inferred</x:v>
      </x:c>
      <x:c r="P174" s="2" t="str">
        <x:v>Staple trade, product selection pending</x:v>
      </x:c>
      <x:c r="Q174" s="2" t="str">
        <x:v>Confirm product demand, accessible HS line, counterparties, delivered spread, cash conversion and legal clearance.</x:v>
      </x:c>
    </x:row>
    <x:row r="175" ht="60" customHeight="1">
      <x:c r="A175" s="2" t="str">
        <x:v>TJK</x:v>
      </x:c>
      <x:c r="B175" s="2" t="str">
        <x:v>Tajikistan</x:v>
      </x:c>
      <x:c r="C175" s="2" t="str">
        <x:v>Asia</x:v>
      </x:c>
      <x:c r="D175" s="2" t="str">
        <x:v>762</x:v>
      </x:c>
      <x:c r="E175" s="2" t="str">
        <x:v>Member state</x:v>
      </x:c>
      <x:c r="F175" s="2" t="n">
        <x:v>10978599</x:v>
      </x:c>
      <x:c r="G175" s="2" t="n">
        <x:v>11733068</x:v>
      </x:c>
      <x:c r="H175" s="2" t="n">
        <x:v>12695585</x:v>
      </x:c>
      <x:c r="I175" s="2" t="n">
        <x:v>13713947</x:v>
      </x:c>
      <x:c r="J175" s="2" t="n">
        <x:v>14694862</x:v>
      </x:c>
      <x:c r="K175" s="2" t="n">
        <x:v>15574642</x:v>
      </x:c>
      <x:c r="L175" s="2" t="n">
        <x:v>15737680</x:v>
      </x:c>
      <x:c r="M175" s="2" t="str">
        <x:v>trade</x:v>
      </x:c>
      <x:c r="N175" s="2" t="str">
        <x:v>Watch product/corridor opportunity</x:v>
      </x:c>
      <x:c r="O175" s="2" t="str">
        <x:v>Not verified, absence not inferred</x:v>
      </x:c>
      <x:c r="P175" s="2" t="str">
        <x:v>Staple trade, product selection pending</x:v>
      </x:c>
      <x:c r="Q175" s="2" t="str">
        <x:v>Confirm product demand, accessible HS line, counterparties, delivered spread, cash conversion and legal clearance.</x:v>
      </x:c>
    </x:row>
    <x:row r="176" ht="60" customHeight="1">
      <x:c r="A176" s="2" t="str">
        <x:v>THA</x:v>
      </x:c>
      <x:c r="B176" s="2" t="str">
        <x:v>Thailand</x:v>
      </x:c>
      <x:c r="C176" s="2" t="str">
        <x:v>Asia</x:v>
      </x:c>
      <x:c r="D176" s="2" t="str">
        <x:v>764</x:v>
      </x:c>
      <x:c r="E176" s="2" t="str">
        <x:v>Member state</x:v>
      </x:c>
      <x:c r="F176" s="2" t="n">
        <x:v>71559614</x:v>
      </x:c>
      <x:c r="G176" s="2" t="n">
        <x:v>71215022</x:v>
      </x:c>
      <x:c r="H176" s="2" t="n">
        <x:v>70540885</x:v>
      </x:c>
      <x:c r="I176" s="2" t="n">
        <x:v>69535002</x:v>
      </x:c>
      <x:c r="J176" s="2" t="n">
        <x:v>68150152</x:v>
      </x:c>
      <x:c r="K176" s="2" t="n">
        <x:v>66382735</x:v>
      </x:c>
      <x:c r="L176" s="2" t="n">
        <x:v>65985159</x:v>
      </x:c>
      <x:c r="M176" s="2" t="str">
        <x:v>trade</x:v>
      </x:c>
      <x:c r="N176" s="2" t="str">
        <x:v>Review existing operation</x:v>
      </x:c>
      <x:c r="O176" s="2" t="str">
        <x:v>Disclosed location in June-2026 factsheet</x:v>
      </x:c>
      <x:c r="P176" s="2" t="str">
        <x:v>Staple trade, product selection pending</x:v>
      </x:c>
      <x:c r="Q176" s="2" t="str">
        <x:v>Confirm product demand, accessible HS line, counterparties, delivered spread, cash conversion and legal clearance.</x:v>
      </x:c>
    </x:row>
    <x:row r="177" ht="60" customHeight="1">
      <x:c r="A177" s="2" t="str">
        <x:v>TLS</x:v>
      </x:c>
      <x:c r="B177" s="2" t="str">
        <x:v>Timor-Leste</x:v>
      </x:c>
      <x:c r="C177" s="2" t="str">
        <x:v>Asia</x:v>
      </x:c>
      <x:c r="D177" s="2" t="str">
        <x:v>626</x:v>
      </x:c>
      <x:c r="E177" s="2" t="str">
        <x:v>Member state</x:v>
      </x:c>
      <x:c r="F177" s="2" t="n">
        <x:v>1436923</x:v>
      </x:c>
      <x:c r="G177" s="2" t="n">
        <x:v>1519804</x:v>
      </x:c>
      <x:c r="H177" s="2" t="n">
        <x:v>1618798</x:v>
      </x:c>
      <x:c r="I177" s="2" t="n">
        <x:v>1718249</x:v>
      </x:c>
      <x:c r="J177" s="2" t="n">
        <x:v>1809633</x:v>
      </x:c>
      <x:c r="K177" s="2" t="n">
        <x:v>1889249</x:v>
      </x:c>
      <x:c r="L177" s="2" t="n">
        <x:v>1902810</x:v>
      </x:c>
      <x:c r="M177" s="2" t="str">
        <x:v>trade</x:v>
      </x:c>
      <x:c r="N177" s="2" t="str">
        <x:v>Watch product/corridor opportunity</x:v>
      </x:c>
      <x:c r="O177" s="2" t="str">
        <x:v>Not verified, absence not inferred</x:v>
      </x:c>
      <x:c r="P177" s="2" t="str">
        <x:v>Staple trade, product selection pending</x:v>
      </x:c>
      <x:c r="Q177" s="2" t="str">
        <x:v>Confirm product demand, accessible HS line, counterparties, delivered spread, cash conversion and legal clearance.</x:v>
      </x:c>
    </x:row>
    <x:row r="178" ht="60" customHeight="1">
      <x:c r="A178" s="2" t="str">
        <x:v>TGO</x:v>
      </x:c>
      <x:c r="B178" s="2" t="str">
        <x:v>Togo</x:v>
      </x:c>
      <x:c r="C178" s="2" t="str">
        <x:v>Africa</x:v>
      </x:c>
      <x:c r="D178" s="2" t="str">
        <x:v>768</x:v>
      </x:c>
      <x:c r="E178" s="2" t="str">
        <x:v>Member state</x:v>
      </x:c>
      <x:c r="F178" s="2" t="n">
        <x:v>9930918</x:v>
      </x:c>
      <x:c r="G178" s="2" t="n">
        <x:v>10792997</x:v>
      </x:c>
      <x:c r="H178" s="2" t="n">
        <x:v>11937684</x:v>
      </x:c>
      <x:c r="I178" s="2" t="n">
        <x:v>13121352</x:v>
      </x:c>
      <x:c r="J178" s="2" t="n">
        <x:v>14347512</x:v>
      </x:c>
      <x:c r="K178" s="2" t="n">
        <x:v>15584778</x:v>
      </x:c>
      <x:c r="L178" s="2" t="n">
        <x:v>15831367</x:v>
      </x:c>
      <x:c r="M178" s="2" t="str">
        <x:v>trade</x:v>
      </x:c>
      <x:c r="N178" s="2" t="str">
        <x:v>Review existing operation</x:v>
      </x:c>
      <x:c r="O178" s="2" t="str">
        <x:v>Disclosed location in June-2026 factsheet</x:v>
      </x:c>
      <x:c r="P178" s="2" t="str">
        <x:v>Staple trade, product selection pending</x:v>
      </x:c>
      <x:c r="Q178" s="2" t="str">
        <x:v>Confirm product demand, accessible HS line, counterparties, delivered spread, cash conversion and legal clearance.</x:v>
      </x:c>
    </x:row>
    <x:row r="179" ht="60" customHeight="1">
      <x:c r="A179" s="2" t="str">
        <x:v>TON</x:v>
      </x:c>
      <x:c r="B179" s="2" t="str">
        <x:v>Tonga</x:v>
      </x:c>
      <x:c r="C179" s="2" t="str">
        <x:v>Oceania</x:v>
      </x:c>
      <x:c r="D179" s="2" t="str">
        <x:v>776</x:v>
      </x:c>
      <x:c r="E179" s="2" t="str">
        <x:v>Member state</x:v>
      </x:c>
      <x:c r="F179" s="2" t="n">
        <x:v>103291</x:v>
      </x:c>
      <x:c r="G179" s="2" t="n">
        <x:v>102072</x:v>
      </x:c>
      <x:c r="H179" s="2" t="n">
        <x:v>101829</x:v>
      </x:c>
      <x:c r="I179" s="2" t="n">
        <x:v>102565</x:v>
      </x:c>
      <x:c r="J179" s="2" t="n">
        <x:v>103930</x:v>
      </x:c>
      <x:c r="K179" s="2" t="n">
        <x:v>105195</x:v>
      </x:c>
      <x:c r="L179" s="2" t="n">
        <x:v>105416</x:v>
      </x:c>
      <x:c r="M179" s="2" t="str">
        <x:v>trade</x:v>
      </x:c>
      <x:c r="N179" s="2" t="str">
        <x:v>Watch regional trade</x:v>
      </x:c>
      <x:c r="O179" s="2" t="str">
        <x:v>Not verified, absence not inferred</x:v>
      </x:c>
      <x:c r="P179" s="2" t="str">
        <x:v>Staple trade, product selection pending</x:v>
      </x:c>
      <x:c r="Q179" s="2" t="str">
        <x:v>Confirm product demand, accessible HS line, counterparties, delivered spread, cash conversion and legal clearance.</x:v>
      </x:c>
    </x:row>
    <x:row r="180" ht="60" customHeight="1">
      <x:c r="A180" s="2" t="str">
        <x:v>TTO</x:v>
      </x:c>
      <x:c r="B180" s="2" t="str">
        <x:v>Trinidad and Tobago</x:v>
      </x:c>
      <x:c r="C180" s="2" t="str">
        <x:v>Americas</x:v>
      </x:c>
      <x:c r="D180" s="2" t="str">
        <x:v>780</x:v>
      </x:c>
      <x:c r="E180" s="2" t="str">
        <x:v>Member state</x:v>
      </x:c>
      <x:c r="F180" s="2" t="n">
        <x:v>1513268</x:v>
      </x:c>
      <x:c r="G180" s="2" t="n">
        <x:v>1512322</x:v>
      </x:c>
      <x:c r="H180" s="2" t="n">
        <x:v>1497855</x:v>
      </x:c>
      <x:c r="I180" s="2" t="n">
        <x:v>1472944</x:v>
      </x:c>
      <x:c r="J180" s="2" t="n">
        <x:v>1439585</x:v>
      </x:c>
      <x:c r="K180" s="2" t="n">
        <x:v>1399800</x:v>
      </x:c>
      <x:c r="L180" s="2" t="n">
        <x:v>1391195</x:v>
      </x:c>
      <x:c r="M180" s="2" t="str">
        <x:v>trade</x:v>
      </x:c>
      <x:c r="N180" s="2" t="str">
        <x:v>Watch customer specialization</x:v>
      </x:c>
      <x:c r="O180" s="2" t="str">
        <x:v>Not verified, absence not inferred</x:v>
      </x:c>
      <x:c r="P180" s="2" t="str">
        <x:v>Staple trade, product selection pending</x:v>
      </x:c>
      <x:c r="Q180" s="2" t="str">
        <x:v>Confirm product demand, accessible HS line, counterparties, delivered spread, cash conversion and legal clearance.</x:v>
      </x:c>
    </x:row>
    <x:row r="181" ht="60" customHeight="1">
      <x:c r="A181" s="2" t="str">
        <x:v>TUN</x:v>
      </x:c>
      <x:c r="B181" s="2" t="str">
        <x:v>Tunisia</x:v>
      </x:c>
      <x:c r="C181" s="2" t="str">
        <x:v>Africa</x:v>
      </x:c>
      <x:c r="D181" s="2" t="str">
        <x:v>788</x:v>
      </x:c>
      <x:c r="E181" s="2" t="str">
        <x:v>Member state</x:v>
      </x:c>
      <x:c r="F181" s="2" t="n">
        <x:v>12415138</x:v>
      </x:c>
      <x:c r="G181" s="2" t="n">
        <x:v>12628142</x:v>
      </x:c>
      <x:c r="H181" s="2" t="n">
        <x:v>12812269</x:v>
      </x:c>
      <x:c r="I181" s="2" t="n">
        <x:v>12953864</x:v>
      </x:c>
      <x:c r="J181" s="2" t="n">
        <x:v>13076089</x:v>
      </x:c>
      <x:c r="K181" s="2" t="n">
        <x:v>13145141</x:v>
      </x:c>
      <x:c r="L181" s="2" t="n">
        <x:v>13148162</x:v>
      </x:c>
      <x:c r="M181" s="2" t="str">
        <x:v>trade</x:v>
      </x:c>
      <x:c r="N181" s="2" t="str">
        <x:v>Watch product/corridor opportunity</x:v>
      </x:c>
      <x:c r="O181" s="2" t="str">
        <x:v>Not verified, absence not inferred</x:v>
      </x:c>
      <x:c r="P181" s="2" t="str">
        <x:v>Staple trade, product selection pending</x:v>
      </x:c>
      <x:c r="Q181" s="2" t="str">
        <x:v>Confirm product demand, accessible HS line, counterparties, delivered spread, cash conversion and legal clearance.</x:v>
      </x:c>
    </x:row>
    <x:row r="182" ht="60" customHeight="1">
      <x:c r="A182" s="2" t="str">
        <x:v>TKM</x:v>
      </x:c>
      <x:c r="B182" s="2" t="str">
        <x:v>Turkmenistan</x:v>
      </x:c>
      <x:c r="C182" s="2" t="str">
        <x:v>Asia</x:v>
      </x:c>
      <x:c r="D182" s="2" t="str">
        <x:v>795</x:v>
      </x:c>
      <x:c r="E182" s="2" t="str">
        <x:v>Member state</x:v>
      </x:c>
      <x:c r="F182" s="2" t="n">
        <x:v>7736632</x:v>
      </x:c>
      <x:c r="G182" s="2" t="n">
        <x:v>8135729</x:v>
      </x:c>
      <x:c r="H182" s="2" t="n">
        <x:v>8538668</x:v>
      </x:c>
      <x:c r="I182" s="2" t="n">
        <x:v>8932231</x:v>
      </x:c>
      <x:c r="J182" s="2" t="n">
        <x:v>9312822</x:v>
      </x:c>
      <x:c r="K182" s="2" t="n">
        <x:v>9639708</x:v>
      </x:c>
      <x:c r="L182" s="2" t="n">
        <x:v>9694833</x:v>
      </x:c>
      <x:c r="M182" s="2" t="str">
        <x:v>trade</x:v>
      </x:c>
      <x:c r="N182" s="2" t="str">
        <x:v>Watch product/corridor opportunity</x:v>
      </x:c>
      <x:c r="O182" s="2" t="str">
        <x:v>Not verified, absence not inferred</x:v>
      </x:c>
      <x:c r="P182" s="2" t="str">
        <x:v>Staple trade, product selection pending</x:v>
      </x:c>
      <x:c r="Q182" s="2" t="str">
        <x:v>Confirm product demand, accessible HS line, counterparties, delivered spread, cash conversion and legal clearance.</x:v>
      </x:c>
    </x:row>
    <x:row r="183" ht="60" customHeight="1">
      <x:c r="A183" s="2" t="str">
        <x:v>TUV</x:v>
      </x:c>
      <x:c r="B183" s="2" t="str">
        <x:v>Tuvalu</x:v>
      </x:c>
      <x:c r="C183" s="2" t="str">
        <x:v>Oceania</x:v>
      </x:c>
      <x:c r="D183" s="2" t="str">
        <x:v>798</x:v>
      </x:c>
      <x:c r="E183" s="2" t="str">
        <x:v>Member state</x:v>
      </x:c>
      <x:c r="F183" s="2" t="n">
        <x:v>9362</x:v>
      </x:c>
      <x:c r="G183" s="2" t="n">
        <x:v>9047</x:v>
      </x:c>
      <x:c r="H183" s="2" t="n">
        <x:v>8980</x:v>
      </x:c>
      <x:c r="I183" s="2" t="n">
        <x:v>9140</x:v>
      </x:c>
      <x:c r="J183" s="2" t="n">
        <x:v>9438</x:v>
      </x:c>
      <x:c r="K183" s="2" t="n">
        <x:v>9781</x:v>
      </x:c>
      <x:c r="L183" s="2" t="n">
        <x:v>9849</x:v>
      </x:c>
      <x:c r="M183" s="2" t="str">
        <x:v>trade</x:v>
      </x:c>
      <x:c r="N183" s="2" t="str">
        <x:v>Watch regional trade</x:v>
      </x:c>
      <x:c r="O183" s="2" t="str">
        <x:v>Not verified, absence not inferred</x:v>
      </x:c>
      <x:c r="P183" s="2" t="str">
        <x:v>Staple trade, product selection pending</x:v>
      </x:c>
      <x:c r="Q183" s="2" t="str">
        <x:v>Confirm product demand, accessible HS line, counterparties, delivered spread, cash conversion and legal clearance.</x:v>
      </x:c>
    </x:row>
    <x:row r="184" ht="60" customHeight="1">
      <x:c r="A184" s="2" t="str">
        <x:v>TUR</x:v>
      </x:c>
      <x:c r="B184" s="2" t="str">
        <x:v>Türkiye</x:v>
      </x:c>
      <x:c r="C184" s="2" t="str">
        <x:v>Asia</x:v>
      </x:c>
      <x:c r="D184" s="2" t="str">
        <x:v>792</x:v>
      </x:c>
      <x:c r="E184" s="2" t="str">
        <x:v>Member state</x:v>
      </x:c>
      <x:c r="F184" s="2" t="n">
        <x:v>87926082</x:v>
      </x:c>
      <x:c r="G184" s="2" t="n">
        <x:v>89027542</x:v>
      </x:c>
      <x:c r="H184" s="2" t="n">
        <x:v>90188557</x:v>
      </x:c>
      <x:c r="I184" s="2" t="n">
        <x:v>91009681</x:v>
      </x:c>
      <x:c r="J184" s="2" t="n">
        <x:v>91392535</x:v>
      </x:c>
      <x:c r="K184" s="2" t="n">
        <x:v>91258061</x:v>
      </x:c>
      <x:c r="L184" s="2" t="n">
        <x:v>91140413</x:v>
      </x:c>
      <x:c r="M184" s="2" t="str">
        <x:v>trade</x:v>
      </x:c>
      <x:c r="N184" s="2" t="str">
        <x:v>Watch product/corridor opportunity</x:v>
      </x:c>
      <x:c r="O184" s="2" t="str">
        <x:v>Not verified, absence not inferred</x:v>
      </x:c>
      <x:c r="P184" s="2" t="str">
        <x:v>Staple trade, product selection pending</x:v>
      </x:c>
      <x:c r="Q184" s="2" t="str">
        <x:v>Confirm product demand, accessible HS line, counterparties, delivered spread, cash conversion and legal clearance.</x:v>
      </x:c>
    </x:row>
    <x:row r="185" ht="60" customHeight="1">
      <x:c r="A185" s="2" t="str">
        <x:v>UGA</x:v>
      </x:c>
      <x:c r="B185" s="2" t="str">
        <x:v>Uganda</x:v>
      </x:c>
      <x:c r="C185" s="2" t="str">
        <x:v>Africa</x:v>
      </x:c>
      <x:c r="D185" s="2" t="str">
        <x:v>800</x:v>
      </x:c>
      <x:c r="E185" s="2" t="str">
        <x:v>Member state</x:v>
      </x:c>
      <x:c r="F185" s="2" t="n">
        <x:v>52761469</x:v>
      </x:c>
      <x:c r="G185" s="2" t="n">
        <x:v>58312940</x:v>
      </x:c>
      <x:c r="H185" s="2" t="n">
        <x:v>65205574</x:v>
      </x:c>
      <x:c r="I185" s="2" t="n">
        <x:v>72020418</x:v>
      </x:c>
      <x:c r="J185" s="2" t="n">
        <x:v>78797992</x:v>
      </x:c>
      <x:c r="K185" s="2" t="n">
        <x:v>85431202</x:v>
      </x:c>
      <x:c r="L185" s="2" t="n">
        <x:v>86718842</x:v>
      </x:c>
      <x:c r="M185" s="2" t="str">
        <x:v>trade</x:v>
      </x:c>
      <x:c r="N185" s="2" t="str">
        <x:v>Watch product/corridor opportunity</x:v>
      </x:c>
      <x:c r="O185" s="2" t="str">
        <x:v>Not verified, absence not inferred</x:v>
      </x:c>
      <x:c r="P185" s="2" t="str">
        <x:v>Staple trade, product selection pending</x:v>
      </x:c>
      <x:c r="Q185" s="2" t="str">
        <x:v>Confirm product demand, accessible HS line, counterparties, delivered spread, cash conversion and legal clearance.</x:v>
      </x:c>
    </x:row>
    <x:row r="186" ht="60" customHeight="1">
      <x:c r="A186" s="2" t="str">
        <x:v>UKR</x:v>
      </x:c>
      <x:c r="B186" s="2" t="str">
        <x:v>Ukraine</x:v>
      </x:c>
      <x:c r="C186" s="2" t="str">
        <x:v>Europe</x:v>
      </x:c>
      <x:c r="D186" s="2" t="str">
        <x:v>804</x:v>
      </x:c>
      <x:c r="E186" s="2" t="str">
        <x:v>Member state</x:v>
      </x:c>
      <x:c r="F186" s="2" t="n">
        <x:v>39535849</x:v>
      </x:c>
      <x:c r="G186" s="2" t="n">
        <x:v>38353853</x:v>
      </x:c>
      <x:c r="H186" s="2" t="n">
        <x:v>36828147</x:v>
      </x:c>
      <x:c r="I186" s="2" t="n">
        <x:v>35270911</x:v>
      </x:c>
      <x:c r="J186" s="2" t="n">
        <x:v>33680445</x:v>
      </x:c>
      <x:c r="K186" s="2" t="n">
        <x:v>31990132</x:v>
      </x:c>
      <x:c r="L186" s="2" t="n">
        <x:v>31637037</x:v>
      </x:c>
      <x:c r="M186" s="2" t="str">
        <x:v>trade</x:v>
      </x:c>
      <x:c r="N186" s="2" t="str">
        <x:v>Review existing operation</x:v>
      </x:c>
      <x:c r="O186" s="2" t="str">
        <x:v>Disclosed location in June-2026 factsheet</x:v>
      </x:c>
      <x:c r="P186" s="2" t="str">
        <x:v>Staple trade, product selection pending</x:v>
      </x:c>
      <x:c r="Q186" s="2" t="str">
        <x:v>Confirm product demand, accessible HS line, counterparties, delivered spread, cash conversion and legal clearance.</x:v>
      </x:c>
    </x:row>
    <x:row r="187" ht="60" customHeight="1">
      <x:c r="A187" s="2" t="str">
        <x:v>ARE</x:v>
      </x:c>
      <x:c r="B187" s="2" t="str">
        <x:v>United Arab Emirates</x:v>
      </x:c>
      <x:c r="C187" s="2" t="str">
        <x:v>Asia</x:v>
      </x:c>
      <x:c r="D187" s="2" t="str">
        <x:v>784</x:v>
      </x:c>
      <x:c r="E187" s="2" t="str">
        <x:v>Member state</x:v>
      </x:c>
      <x:c r="F187" s="2" t="n">
        <x:v>11574682</x:v>
      </x:c>
      <x:c r="G187" s="2" t="n">
        <x:v>12190605</x:v>
      </x:c>
      <x:c r="H187" s="2" t="n">
        <x:v>12910702</x:v>
      </x:c>
      <x:c r="I187" s="2" t="n">
        <x:v>13693776</x:v>
      </x:c>
      <x:c r="J187" s="2" t="n">
        <x:v>14507366</x:v>
      </x:c>
      <x:c r="K187" s="2" t="n">
        <x:v>15367392</x:v>
      </x:c>
      <x:c r="L187" s="2" t="n">
        <x:v>15543672</x:v>
      </x:c>
      <x:c r="M187" s="2" t="str">
        <x:v>trade</x:v>
      </x:c>
      <x:c r="N187" s="2" t="str">
        <x:v>Review existing operation</x:v>
      </x:c>
      <x:c r="O187" s="2" t="str">
        <x:v>Disclosed location in June-2026 factsheet</x:v>
      </x:c>
      <x:c r="P187" s="2" t="str">
        <x:v>Staple trade, product selection pending</x:v>
      </x:c>
      <x:c r="Q187" s="2" t="str">
        <x:v>Confirm product demand, accessible HS line, counterparties, delivered spread, cash conversion and legal clearance.</x:v>
      </x:c>
    </x:row>
    <x:row r="188" ht="60" customHeight="1">
      <x:c r="A188" s="2" t="str">
        <x:v>GBR</x:v>
      </x:c>
      <x:c r="B188" s="2" t="str">
        <x:v>United Kingdom of Great Britain and Northern Ireland</x:v>
      </x:c>
      <x:c r="C188" s="2" t="str">
        <x:v>Europe</x:v>
      </x:c>
      <x:c r="D188" s="2" t="str">
        <x:v>826</x:v>
      </x:c>
      <x:c r="E188" s="2" t="str">
        <x:v>Member state</x:v>
      </x:c>
      <x:c r="F188" s="2" t="n">
        <x:v>69931528</x:v>
      </x:c>
      <x:c r="G188" s="2" t="n">
        <x:v>71286992</x:v>
      </x:c>
      <x:c r="H188" s="2" t="n">
        <x:v>72656815</x:v>
      </x:c>
      <x:c r="I188" s="2" t="n">
        <x:v>73774626</x:v>
      </x:c>
      <x:c r="J188" s="2" t="n">
        <x:v>74753658</x:v>
      </x:c>
      <x:c r="K188" s="2" t="n">
        <x:v>75504681</x:v>
      </x:c>
      <x:c r="L188" s="2" t="n">
        <x:v>75616457</x:v>
      </x:c>
      <x:c r="M188" s="2" t="str">
        <x:v>trade</x:v>
      </x:c>
      <x:c r="N188" s="2" t="str">
        <x:v>Review existing operation</x:v>
      </x:c>
      <x:c r="O188" s="2" t="str">
        <x:v>Disclosed location in June-2026 factsheet</x:v>
      </x:c>
      <x:c r="P188" s="2" t="str">
        <x:v>Staple trade, product selection pending</x:v>
      </x:c>
      <x:c r="Q188" s="2" t="str">
        <x:v>Confirm product demand, accessible HS line, counterparties, delivered spread, cash conversion and legal clearance.</x:v>
      </x:c>
    </x:row>
    <x:row r="189" ht="60" customHeight="1">
      <x:c r="A189" s="2" t="str">
        <x:v>TZA</x:v>
      </x:c>
      <x:c r="B189" s="2" t="str">
        <x:v>United Republic of Tanzania</x:v>
      </x:c>
      <x:c r="C189" s="2" t="str">
        <x:v>Africa</x:v>
      </x:c>
      <x:c r="D189" s="2" t="str">
        <x:v>834</x:v>
      </x:c>
      <x:c r="E189" s="2" t="str">
        <x:v>Member state</x:v>
      </x:c>
      <x:c r="F189" s="2" t="n">
        <x:v>72563780</x:v>
      </x:c>
      <x:c r="G189" s="2" t="n">
        <x:v>80913124</x:v>
      </x:c>
      <x:c r="H189" s="2" t="n">
        <x:v>92091429</x:v>
      </x:c>
      <x:c r="I189" s="2" t="n">
        <x:v>103999359</x:v>
      </x:c>
      <x:c r="J189" s="2" t="n">
        <x:v>116525473</x:v>
      </x:c>
      <x:c r="K189" s="2" t="n">
        <x:v>129621102</x:v>
      </x:c>
      <x:c r="L189" s="2" t="n">
        <x:v>132280446.99999999</x:v>
      </x:c>
      <x:c r="M189" s="2" t="str">
        <x:v>trade</x:v>
      </x:c>
      <x:c r="N189" s="2" t="str">
        <x:v>Watch product/corridor opportunity</x:v>
      </x:c>
      <x:c r="O189" s="2" t="str">
        <x:v>Not verified, absence not inferred</x:v>
      </x:c>
      <x:c r="P189" s="2" t="str">
        <x:v>Staple trade, product selection pending</x:v>
      </x:c>
      <x:c r="Q189" s="2" t="str">
        <x:v>Confirm product demand, accessible HS line, counterparties, delivered spread, cash conversion and legal clearance.</x:v>
      </x:c>
    </x:row>
    <x:row r="190" ht="60" customHeight="1">
      <x:c r="A190" s="2" t="str">
        <x:v>USA</x:v>
      </x:c>
      <x:c r="B190" s="2" t="str">
        <x:v>United States of America</x:v>
      </x:c>
      <x:c r="C190" s="2" t="str">
        <x:v>Americas</x:v>
      </x:c>
      <x:c r="D190" s="2" t="str">
        <x:v>840</x:v>
      </x:c>
      <x:c r="E190" s="2" t="str">
        <x:v>Member state</x:v>
      </x:c>
      <x:c r="F190" s="2" t="n">
        <x:v>349035494</x:v>
      </x:c>
      <x:c r="G190" s="2" t="n">
        <x:v>355649881</x:v>
      </x:c>
      <x:c r="H190" s="2" t="n">
        <x:v>363284716</x:v>
      </x:c>
      <x:c r="I190" s="2" t="n">
        <x:v>370209316</x:v>
      </x:c>
      <x:c r="J190" s="2" t="n">
        <x:v>376106472</x:v>
      </x:c>
      <x:c r="K190" s="2" t="n">
        <x:v>380846910</x:v>
      </x:c>
      <x:c r="L190" s="2" t="n">
        <x:v>381708396</x:v>
      </x:c>
      <x:c r="M190" s="2" t="str">
        <x:v>trade</x:v>
      </x:c>
      <x:c r="N190" s="2" t="str">
        <x:v>Review existing operation</x:v>
      </x:c>
      <x:c r="O190" s="2" t="str">
        <x:v>Disclosed location in June-2026 factsheet</x:v>
      </x:c>
      <x:c r="P190" s="2" t="str">
        <x:v>Staple trade, product selection pending</x:v>
      </x:c>
      <x:c r="Q190" s="2" t="str">
        <x:v>Confirm product demand, accessible HS line, counterparties, delivered spread, cash conversion and legal clearance.</x:v>
      </x:c>
    </x:row>
    <x:row r="191" ht="60" customHeight="1">
      <x:c r="A191" s="2" t="str">
        <x:v>URY</x:v>
      </x:c>
      <x:c r="B191" s="2" t="str">
        <x:v>Uruguay</x:v>
      </x:c>
      <x:c r="C191" s="2" t="str">
        <x:v>Americas</x:v>
      </x:c>
      <x:c r="D191" s="2" t="str">
        <x:v>858</x:v>
      </x:c>
      <x:c r="E191" s="2" t="str">
        <x:v>Member state</x:v>
      </x:c>
      <x:c r="F191" s="2" t="n">
        <x:v>3382537</x:v>
      </x:c>
      <x:c r="G191" s="2" t="n">
        <x:v>3372887</x:v>
      </x:c>
      <x:c r="H191" s="2" t="n">
        <x:v>3358282</x:v>
      </x:c>
      <x:c r="I191" s="2" t="n">
        <x:v>3336459</x:v>
      </x:c>
      <x:c r="J191" s="2" t="n">
        <x:v>3302675</x:v>
      </x:c>
      <x:c r="K191" s="2" t="n">
        <x:v>3254354</x:v>
      </x:c>
      <x:c r="L191" s="2" t="n">
        <x:v>3242784</x:v>
      </x:c>
      <x:c r="M191" s="2" t="str">
        <x:v>trade</x:v>
      </x:c>
      <x:c r="N191" s="2" t="str">
        <x:v>Watch product/corridor opportunity</x:v>
      </x:c>
      <x:c r="O191" s="2" t="str">
        <x:v>Not verified, absence not inferred</x:v>
      </x:c>
      <x:c r="P191" s="2" t="str">
        <x:v>Staple trade, product selection pending</x:v>
      </x:c>
      <x:c r="Q191" s="2" t="str">
        <x:v>Confirm product demand, accessible HS line, counterparties, delivered spread, cash conversion and legal clearance.</x:v>
      </x:c>
    </x:row>
    <x:row r="192" ht="60" customHeight="1">
      <x:c r="A192" s="2" t="str">
        <x:v>UZB</x:v>
      </x:c>
      <x:c r="B192" s="2" t="str">
        <x:v>Uzbekistan</x:v>
      </x:c>
      <x:c r="C192" s="2" t="str">
        <x:v>Asia</x:v>
      </x:c>
      <x:c r="D192" s="2" t="str">
        <x:v>860</x:v>
      </x:c>
      <x:c r="E192" s="2" t="str">
        <x:v>Member state</x:v>
      </x:c>
      <x:c r="F192" s="2" t="n">
        <x:v>37724223</x:v>
      </x:c>
      <x:c r="G192" s="2" t="n">
        <x:v>40248241</x:v>
      </x:c>
      <x:c r="H192" s="2" t="n">
        <x:v>43175102</x:v>
      </x:c>
      <x:c r="I192" s="2" t="n">
        <x:v>46044152</x:v>
      </x:c>
      <x:c r="J192" s="2" t="n">
        <x:v>49096063</x:v>
      </x:c>
      <x:c r="K192" s="2" t="n">
        <x:v>52210755</x:v>
      </x:c>
      <x:c r="L192" s="2" t="n">
        <x:v>52819885</x:v>
      </x:c>
      <x:c r="M192" s="2" t="str">
        <x:v>trade</x:v>
      </x:c>
      <x:c r="N192" s="2" t="str">
        <x:v>Watch product/corridor opportunity</x:v>
      </x:c>
      <x:c r="O192" s="2" t="str">
        <x:v>Not verified, absence not inferred</x:v>
      </x:c>
      <x:c r="P192" s="2" t="str">
        <x:v>Staple trade, product selection pending</x:v>
      </x:c>
      <x:c r="Q192" s="2" t="str">
        <x:v>Confirm product demand, accessible HS line, counterparties, delivered spread, cash conversion and legal clearance.</x:v>
      </x:c>
    </x:row>
    <x:row r="193" ht="60" customHeight="1">
      <x:c r="A193" s="2" t="str">
        <x:v>VUT</x:v>
      </x:c>
      <x:c r="B193" s="2" t="str">
        <x:v>Vanuatu</x:v>
      </x:c>
      <x:c r="C193" s="2" t="str">
        <x:v>Oceania</x:v>
      </x:c>
      <x:c r="D193" s="2" t="str">
        <x:v>548</x:v>
      </x:c>
      <x:c r="E193" s="2" t="str">
        <x:v>Member state</x:v>
      </x:c>
      <x:c r="F193" s="2" t="n">
        <x:v>342564</x:v>
      </x:c>
      <x:c r="G193" s="2" t="n">
        <x:v>372428</x:v>
      </x:c>
      <x:c r="H193" s="2" t="n">
        <x:v>411063</x:v>
      </x:c>
      <x:c r="I193" s="2" t="n">
        <x:v>451512</x:v>
      </x:c>
      <x:c r="J193" s="2" t="n">
        <x:v>492990</x:v>
      </x:c>
      <x:c r="K193" s="2" t="n">
        <x:v>534388</x:v>
      </x:c>
      <x:c r="L193" s="2" t="n">
        <x:v>542587</x:v>
      </x:c>
      <x:c r="M193" s="2" t="str">
        <x:v>trade</x:v>
      </x:c>
      <x:c r="N193" s="2" t="str">
        <x:v>Watch regional trade</x:v>
      </x:c>
      <x:c r="O193" s="2" t="str">
        <x:v>Not verified, absence not inferred</x:v>
      </x:c>
      <x:c r="P193" s="2" t="str">
        <x:v>Staple trade, product selection pending</x:v>
      </x:c>
      <x:c r="Q193" s="2" t="str">
        <x:v>Confirm product demand, accessible HS line, counterparties, delivered spread, cash conversion and legal clearance.</x:v>
      </x:c>
    </x:row>
    <x:row r="194" ht="60" customHeight="1">
      <x:c r="A194" s="2" t="str">
        <x:v>VEN</x:v>
      </x:c>
      <x:c r="B194" s="2" t="str">
        <x:v>Venezuela (Bolivarian Republic of)</x:v>
      </x:c>
      <x:c r="C194" s="2" t="str">
        <x:v>Americas</x:v>
      </x:c>
      <x:c r="D194" s="2" t="str">
        <x:v>862</x:v>
      </x:c>
      <x:c r="E194" s="2" t="str">
        <x:v>Member state</x:v>
      </x:c>
      <x:c r="F194" s="2" t="n">
        <x:v>28633711</x:v>
      </x:c>
      <x:c r="G194" s="2" t="n">
        <x:v>29151810</x:v>
      </x:c>
      <x:c r="H194" s="2" t="n">
        <x:v>29883329</x:v>
      </x:c>
      <x:c r="I194" s="2" t="n">
        <x:v>30495443</x:v>
      </x:c>
      <x:c r="J194" s="2" t="n">
        <x:v>30871487</x:v>
      </x:c>
      <x:c r="K194" s="2" t="n">
        <x:v>31094883</x:v>
      </x:c>
      <x:c r="L194" s="2" t="n">
        <x:v>31122396</x:v>
      </x:c>
      <x:c r="M194" s="2" t="str">
        <x:v>trade</x:v>
      </x:c>
      <x:c r="N194" s="2" t="str">
        <x:v>Watch product/corridor opportunity</x:v>
      </x:c>
      <x:c r="O194" s="2" t="str">
        <x:v>Not verified, absence not inferred</x:v>
      </x:c>
      <x:c r="P194" s="2" t="str">
        <x:v>Staple trade, product selection pending</x:v>
      </x:c>
      <x:c r="Q194" s="2" t="str">
        <x:v>Confirm product demand, accessible HS line, counterparties, delivered spread, cash conversion and legal clearance.</x:v>
      </x:c>
    </x:row>
    <x:row r="195" ht="60" customHeight="1">
      <x:c r="A195" s="2" t="str">
        <x:v>VNM</x:v>
      </x:c>
      <x:c r="B195" s="2" t="str">
        <x:v>Viet Nam</x:v>
      </x:c>
      <x:c r="C195" s="2" t="str">
        <x:v>Asia</x:v>
      </x:c>
      <x:c r="D195" s="2" t="str">
        <x:v>704</x:v>
      </x:c>
      <x:c r="E195" s="2" t="str">
        <x:v>Member state</x:v>
      </x:c>
      <x:c r="F195" s="2" t="n">
        <x:v>102177431</x:v>
      </x:c>
      <x:c r="G195" s="2" t="n">
        <x:v>104254902</x:v>
      </x:c>
      <x:c r="H195" s="2" t="n">
        <x:v>106530676</x:v>
      </x:c>
      <x:c r="I195" s="2" t="n">
        <x:v>108437635</x:v>
      </x:c>
      <x:c r="J195" s="2" t="n">
        <x:v>109685398</x:v>
      </x:c>
      <x:c r="K195" s="2" t="n">
        <x:v>110008908</x:v>
      </x:c>
      <x:c r="L195" s="2" t="n">
        <x:v>109963189</x:v>
      </x:c>
      <x:c r="M195" s="2" t="str">
        <x:v>trade</x:v>
      </x:c>
      <x:c r="N195" s="2" t="str">
        <x:v>Diligence priority</x:v>
      </x:c>
      <x:c r="O195" s="2" t="str">
        <x:v>Disclosed location in June-2026 factsheet</x:v>
      </x:c>
      <x:c r="P195" s="2" t="str">
        <x:v>Rice sourcing</x:v>
      </x:c>
      <x:c r="Q195" s="2" t="str">
        <x:v>Obtain basin, supplier, freight and verified destination purchase evidence.</x:v>
      </x:c>
    </x:row>
    <x:row r="196" ht="60" customHeight="1">
      <x:c r="A196" s="2" t="str">
        <x:v>YEM</x:v>
      </x:c>
      <x:c r="B196" s="2" t="str">
        <x:v>Yemen</x:v>
      </x:c>
      <x:c r="C196" s="2" t="str">
        <x:v>Asia</x:v>
      </x:c>
      <x:c r="D196" s="2" t="str">
        <x:v>887</x:v>
      </x:c>
      <x:c r="E196" s="2" t="str">
        <x:v>Member state</x:v>
      </x:c>
      <x:c r="F196" s="2" t="n">
        <x:v>42961653</x:v>
      </x:c>
      <x:c r="G196" s="2" t="n">
        <x:v>47667662</x:v>
      </x:c>
      <x:c r="H196" s="2" t="n">
        <x:v>53429325</x:v>
      </x:c>
      <x:c r="I196" s="2" t="n">
        <x:v>59181526</x:v>
      </x:c>
      <x:c r="J196" s="2" t="n">
        <x:v>65066356</x:v>
      </x:c>
      <x:c r="K196" s="2" t="n">
        <x:v>70976403</x:v>
      </x:c>
      <x:c r="L196" s="2" t="n">
        <x:v>72147203</x:v>
      </x:c>
      <x:c r="M196" s="2" t="str">
        <x:v>trade</x:v>
      </x:c>
      <x:c r="N196" s="2" t="str">
        <x:v>Watch product/corridor opportunity</x:v>
      </x:c>
      <x:c r="O196" s="2" t="str">
        <x:v>Not verified, absence not inferred</x:v>
      </x:c>
      <x:c r="P196" s="2" t="str">
        <x:v>Staple trade, product selection pending</x:v>
      </x:c>
      <x:c r="Q196" s="2" t="str">
        <x:v>Confirm product demand, accessible HS line, counterparties, delivered spread, cash conversion and legal clearance.</x:v>
      </x:c>
    </x:row>
    <x:row r="197" ht="60" customHeight="1">
      <x:c r="A197" s="2" t="str">
        <x:v>ZMB</x:v>
      </x:c>
      <x:c r="B197" s="2" t="str">
        <x:v>Zambia</x:v>
      </x:c>
      <x:c r="C197" s="2" t="str">
        <x:v>Africa</x:v>
      </x:c>
      <x:c r="D197" s="2" t="str">
        <x:v>894</x:v>
      </x:c>
      <x:c r="E197" s="2" t="str">
        <x:v>Member state</x:v>
      </x:c>
      <x:c r="F197" s="2" t="n">
        <x:v>22521915</x:v>
      </x:c>
      <x:c r="G197" s="2" t="n">
        <x:v>25024901</x:v>
      </x:c>
      <x:c r="H197" s="2" t="n">
        <x:v>28266892</x:v>
      </x:c>
      <x:c r="I197" s="2" t="n">
        <x:v>31550402</x:v>
      </x:c>
      <x:c r="J197" s="2" t="n">
        <x:v>34821106</x:v>
      </x:c>
      <x:c r="K197" s="2" t="n">
        <x:v>38083385</x:v>
      </x:c>
      <x:c r="L197" s="2" t="n">
        <x:v>38728892</x:v>
      </x:c>
      <x:c r="M197" s="2" t="str">
        <x:v>trade</x:v>
      </x:c>
      <x:c r="N197" s="2" t="str">
        <x:v>Watch product/corridor opportunity</x:v>
      </x:c>
      <x:c r="O197" s="2" t="str">
        <x:v>Not verified, absence not inferred</x:v>
      </x:c>
      <x:c r="P197" s="2" t="str">
        <x:v>Staple trade, product selection pending</x:v>
      </x:c>
      <x:c r="Q197" s="2" t="str">
        <x:v>Confirm product demand, accessible HS line, counterparties, delivered spread, cash conversion and legal clearance.</x:v>
      </x:c>
    </x:row>
    <x:row r="198" ht="60" customHeight="1">
      <x:c r="A198" s="2" t="str">
        <x:v>ZWE</x:v>
      </x:c>
      <x:c r="B198" s="2" t="str">
        <x:v>Zimbabwe</x:v>
      </x:c>
      <x:c r="C198" s="2" t="str">
        <x:v>Africa</x:v>
      </x:c>
      <x:c r="D198" s="2" t="str">
        <x:v>716</x:v>
      </x:c>
      <x:c r="E198" s="2" t="str">
        <x:v>Member state</x:v>
      </x:c>
      <x:c r="F198" s="2" t="n">
        <x:v>17273580</x:v>
      </x:c>
      <x:c r="G198" s="2" t="n">
        <x:v>18610349</x:v>
      </x:c>
      <x:c r="H198" s="2" t="n">
        <x:v>20409146</x:v>
      </x:c>
      <x:c r="I198" s="2" t="n">
        <x:v>22250109</x:v>
      </x:c>
      <x:c r="J198" s="2" t="n">
        <x:v>24102380</x:v>
      </x:c>
      <x:c r="K198" s="2" t="n">
        <x:v>25866385</x:v>
      </x:c>
      <x:c r="L198" s="2" t="n">
        <x:v>26217392</x:v>
      </x:c>
      <x:c r="M198" s="2" t="str">
        <x:v>trade</x:v>
      </x:c>
      <x:c r="N198" s="2" t="str">
        <x:v>Watch product/corridor opportunity</x:v>
      </x:c>
      <x:c r="O198" s="2" t="str">
        <x:v>Not verified, absence not inferred</x:v>
      </x:c>
      <x:c r="P198" s="2" t="str">
        <x:v>Staple trade, product selection pending</x:v>
      </x:c>
      <x:c r="Q198" s="2" t="str">
        <x:v>Confirm product demand, accessible HS line, counterparties, delivered spread, cash conversion and legal clearance.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65" hidden="0" customWidth="1"/>
  </x:cols>
  <x:sheetData>
    <x:row r="1" ht="42" customHeight="1">
      <x:c r="A1" s="5" t="str">
        <x:v>Country Selector / v1.0.0</x:v>
      </x:c>
      <x:c r="B1" s="2"/>
    </x:row>
    <x:row r="2" ht="42" customHeight="1">
      <x:c r="A2" s="2" t="str">
        <x:v>Public evidence + chosen examples; no Olam internal investment valuation</x:v>
      </x:c>
      <x:c r="B2" s="2"/>
    </x:row>
    <x:row r="3" ht="32" customHeight="1">
      <x:c r="A3" s="4" t="str">
        <x:v>Field</x:v>
      </x:c>
      <x:c r="B3" s="4" t="str">
        <x:v>Value</x:v>
      </x:c>
    </x:row>
    <x:row r="4" ht="44" customHeight="1">
      <x:c r="A4" s="2" t="str">
        <x:v>Country row (1–195)</x:v>
      </x:c>
      <x:c r="B4" s="6" t="n">
        <x:v>127</x:v>
      </x:c>
    </x:row>
    <x:row r="5" ht="44" customHeight="1">
      <x:c r="A5" s="2" t="str">
        <x:v>Country name</x:v>
      </x:c>
      <x:c r="B5" s="7" t="str">
        <x:f>INDEX(Countries!B4:B198,$B$4)</x:f>
        <x:v>Nigeria</x:v>
      </x:c>
    </x:row>
    <x:row r="6" ht="44" customHeight="1">
      <x:c r="A6" s="2" t="str">
        <x:v>ISO3</x:v>
      </x:c>
      <x:c r="B6" s="7" t="str">
        <x:f>INDEX(Countries!A4:A198,$B$4)</x:f>
        <x:v>NGA</x:v>
      </x:c>
    </x:row>
    <x:row r="7" ht="44" customHeight="1">
      <x:c r="A7" s="2" t="str">
        <x:v>2026 population</x:v>
      </x:c>
      <x:c r="B7" s="7" t="n">
        <x:f>INDEX(Countries!F4:F198,$B$4)</x:f>
        <x:v>242431832</x:v>
      </x:c>
    </x:row>
    <x:row r="8" ht="44" customHeight="1">
      <x:c r="A8" s="2" t="str">
        <x:v>2051 population</x:v>
      </x:c>
      <x:c r="B8" s="7" t="n">
        <x:f>INDEX(Countries!L4:L198,$B$4)</x:f>
        <x:v>363523611</x:v>
      </x:c>
    </x:row>
    <x:row r="9" ht="44" customHeight="1">
      <x:c r="A9" s="2" t="str">
        <x:v>Disposition</x:v>
      </x:c>
      <x:c r="B9" s="7" t="str">
        <x:f>INDEX(Countries!N4:N198,$B$4)</x:f>
        <x:v>Diligence priority</x:v>
      </x:c>
    </x:row>
    <x:row r="10" ht="44" customHeight="1">
      <x:c r="A10" s="2" t="str">
        <x:v>Country NPV</x:v>
      </x:c>
      <x:c r="B10" s="7" t="str">
        <x:v>Unknown: business data missing</x:v>
      </x:c>
    </x:row>
    <x:row r="11" ht="44" customHeight="1">
      <x:c r="A11" s="2" t="str">
        <x:v>Next gate</x:v>
      </x:c>
      <x:c r="B11" s="7" t="str">
        <x:f>INDEX(Countries!Q4:Q198,$B$4)</x:f>
        <x:v>Finance-approved eligible sell-through and route P&amp;L. Legal rechecks crude/refined HS access.</x:v>
      </x:c>
    </x:row>
  </x:sheetData>
  <x:mergeCells>
    <x:mergeCell ref="A1:B1"/>
    <x:mergeCell ref="A2:B2"/>
  </x:mergeCells>
  <x:dataValidations count="1">
    <x:dataValidation type="whole" operator="between" sqref="B4">
      <x:formula1>1</x:formula1>
      <x:formula2>195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42" customHeight="1">
      <x:c r="A1" s="5" t="str">
        <x:v>Products HS / v1.0.0</x:v>
      </x:c>
      <x:c r="B1" s="2"/>
      <x:c r="C1" s="2"/>
    </x:row>
    <x:row r="2" ht="42" customHeight="1">
      <x:c r="A2" s="2" t="str">
        <x:v>Public evidence + chosen examples; no Olam internal investment valuation</x:v>
      </x:c>
      <x:c r="B2" s="2"/>
      <x:c r="C2" s="2"/>
    </x:row>
    <x:row r="3" ht="32" customHeight="1">
      <x:c r="A3" s="4" t="str">
        <x:v>Product</x:v>
      </x:c>
      <x:c r="B3" s="4" t="str">
        <x:v>Illustrative HS heading</x:v>
      </x:c>
      <x:c r="C3" s="4" t="str">
        <x:v>Status</x:v>
      </x:c>
    </x:row>
    <x:row r="4" ht="44" customHeight="1">
      <x:c r="A4" s="2" t="str">
        <x:v>Wheat</x:v>
      </x:c>
      <x:c r="B4" s="2" t="str">
        <x:v>1001</x:v>
      </x:c>
      <x:c r="C4" s="2" t="str">
        <x:v>HS 2022 broad heading; local subline and conversion needed</x:v>
      </x:c>
    </x:row>
    <x:row r="5" ht="44" customHeight="1">
      <x:c r="A5" s="2" t="str">
        <x:v>Rice</x:v>
      </x:c>
      <x:c r="B5" s="2" t="str">
        <x:v>1006</x:v>
      </x:c>
      <x:c r="C5" s="2" t="str">
        <x:v>Milled/paddy units must be reconciled</x:v>
      </x:c>
    </x:row>
    <x:row r="6" ht="44" customHeight="1">
      <x:c r="A6" s="2" t="str">
        <x:v>Palm oil</x:v>
      </x:c>
      <x:c r="B6" s="2" t="str">
        <x:v>1511</x:v>
      </x:c>
      <x:c r="C6" s="2" t="str">
        <x:v>Crude/refined access, duties and specific line check</x:v>
      </x:c>
    </x:row>
    <x:row r="7" ht="44" customHeight="1">
      <x:c r="A7" s="2" t="str">
        <x:v>Soybeans</x:v>
      </x:c>
      <x:c r="B7" s="2" t="str">
        <x:v>1201</x:v>
      </x:c>
      <x:c r="C7" s="2" t="str">
        <x:v>Product quality and origin required</x:v>
      </x:c>
    </x:row>
    <x:row r="8" ht="44" customHeight="1">
      <x:c r="A8" s="2" t="str">
        <x:v>Maize</x:v>
      </x:c>
      <x:c r="B8" s="2" t="str">
        <x:v>1005</x:v>
      </x:c>
      <x:c r="C8" s="2" t="str">
        <x:v>Food/feed grade and conversion required</x:v>
      </x:c>
    </x:row>
    <x:row r="9" ht="44" customHeight="1">
      <x:c r="A9" s="2" t="str">
        <x:v>Wheat flour</x:v>
      </x:c>
      <x:c r="B9" s="2" t="str">
        <x:v>1101</x:v>
      </x:c>
      <x:c r="C9" s="2" t="str">
        <x:v>Flour yield / input equivalent distinct</x:v>
      </x:c>
    </x:row>
    <x:row r="10" ht="44" customHeight="1">
      <x:c r="A10" s="2" t="str">
        <x:v>Feed/cotton/wood/rubber/sugar/biofuel</x:v>
      </x:c>
      <x:c r="B10" s="2" t="str">
        <x:v>Unselected</x:v>
      </x:c>
      <x:c r="C10" s="2" t="str">
        <x:v>Disclosed scope; country product concordance pending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42" customHeight="1">
      <x:c r="A1" s="5" t="str">
        <x:v>Raw Data Index / v1.0.0</x:v>
      </x:c>
      <x:c r="B1" s="2"/>
      <x:c r="C1" s="2"/>
      <x:c r="D1" s="2"/>
      <x:c r="E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</x:row>
    <x:row r="3" ht="32" customHeight="1">
      <x:c r="A3" s="4" t="str">
        <x:v>Variable</x:v>
      </x:c>
      <x:c r="B3" s="4" t="str">
        <x:v>Series</x:v>
      </x:c>
      <x:c r="C3" s="4" t="str">
        <x:v>Years</x:v>
      </x:c>
      <x:c r="D3" s="4" t="str">
        <x:v>Vintage</x:v>
      </x:c>
      <x:c r="E3" s="4" t="str">
        <x:v>Clean file</x:v>
      </x:c>
    </x:row>
    <x:row r="4" ht="44" customHeight="1">
      <x:c r="A4" s="2" t="str">
        <x:v>population</x:v>
      </x:c>
      <x:c r="B4" s="2" t="str">
        <x:v>See source ID WB_population</x:v>
      </x:c>
      <x:c r="C4" s="2" t="str">
        <x:v>2000–2025, latest observations vary</x:v>
      </x:c>
      <x:c r="D4" s="2" t="str">
        <x:v>2026-07-13</x:v>
      </x:c>
      <x:c r="E4" s="2" t="str">
        <x:v>country-panel.csv</x:v>
      </x:c>
    </x:row>
    <x:row r="5" ht="44" customHeight="1">
      <x:c r="A5" s="2" t="str">
        <x:v>income_ppp</x:v>
      </x:c>
      <x:c r="B5" s="2" t="str">
        <x:v>See source ID WB_income_ppp</x:v>
      </x:c>
      <x:c r="C5" s="2" t="str">
        <x:v>2000–2025, latest observations vary</x:v>
      </x:c>
      <x:c r="D5" s="2" t="str">
        <x:v>2026-07-13</x:v>
      </x:c>
      <x:c r="E5" s="2" t="str">
        <x:v>country-panel.csv</x:v>
      </x:c>
    </x:row>
    <x:row r="6" ht="44" customHeight="1">
      <x:c r="A6" s="2" t="str">
        <x:v>urban</x:v>
      </x:c>
      <x:c r="B6" s="2" t="str">
        <x:v>See source ID WB_urban</x:v>
      </x:c>
      <x:c r="C6" s="2" t="str">
        <x:v>2000–2025, latest observations vary</x:v>
      </x:c>
      <x:c r="D6" s="2" t="str">
        <x:v>2026-07-13</x:v>
      </x:c>
      <x:c r="E6" s="2" t="str">
        <x:v>country-panel.csv</x:v>
      </x:c>
    </x:row>
    <x:row r="7" ht="44" customHeight="1">
      <x:c r="A7" s="2" t="str">
        <x:v>inflation</x:v>
      </x:c>
      <x:c r="B7" s="2" t="str">
        <x:v>See source ID WB_inflation</x:v>
      </x:c>
      <x:c r="C7" s="2" t="str">
        <x:v>2000–2025, latest observations vary</x:v>
      </x:c>
      <x:c r="D7" s="2" t="str">
        <x:v>2026-07-13</x:v>
      </x:c>
      <x:c r="E7" s="2" t="str">
        <x:v>country-panel.csv</x:v>
      </x:c>
    </x:row>
    <x:row r="8" ht="44" customHeight="1">
      <x:c r="A8" s="2" t="str">
        <x:v>food_index</x:v>
      </x:c>
      <x:c r="B8" s="2" t="str">
        <x:v>See source ID WB_food_index</x:v>
      </x:c>
      <x:c r="C8" s="2" t="str">
        <x:v>2000–2025, latest observations vary</x:v>
      </x:c>
      <x:c r="D8" s="2" t="str">
        <x:v>2026-07-13</x:v>
      </x:c>
      <x:c r="E8" s="2" t="str">
        <x:v>country-panel.csv</x:v>
      </x:c>
    </x:row>
    <x:row r="9" ht="44" customHeight="1">
      <x:c r="A9" s="2" t="str">
        <x:v>food_import_share</x:v>
      </x:c>
      <x:c r="B9" s="2" t="str">
        <x:v>See source ID WB_food_import_share</x:v>
      </x:c>
      <x:c r="C9" s="2" t="str">
        <x:v>2000–2025, latest observations vary</x:v>
      </x:c>
      <x:c r="D9" s="2" t="str">
        <x:v>2026-07-13</x:v>
      </x:c>
      <x:c r="E9" s="2" t="str">
        <x:v>country-panel.csv</x:v>
      </x:c>
    </x:row>
    <x:row r="10" ht="44" customHeight="1">
      <x:c r="A10" s="2" t="str">
        <x:v>food_export_share</x:v>
      </x:c>
      <x:c r="B10" s="2" t="str">
        <x:v>See source ID WB_food_export_share</x:v>
      </x:c>
      <x:c r="C10" s="2" t="str">
        <x:v>2000–2025, latest observations vary</x:v>
      </x:c>
      <x:c r="D10" s="2" t="str">
        <x:v>2026-07-13</x:v>
      </x:c>
      <x:c r="E10" s="2" t="str">
        <x:v>country-panel.csv</x:v>
      </x:c>
    </x:row>
    <x:row r="11" ht="44" customHeight="1">
      <x:c r="A11" s="2" t="str">
        <x:v>imports_usd</x:v>
      </x:c>
      <x:c r="B11" s="2" t="str">
        <x:v>See source ID WB_imports_usd</x:v>
      </x:c>
      <x:c r="C11" s="2" t="str">
        <x:v>2000–2025, latest observations vary</x:v>
      </x:c>
      <x:c r="D11" s="2" t="str">
        <x:v>2026-07-13</x:v>
      </x:c>
      <x:c r="E11" s="2" t="str">
        <x:v>country-panel.csv</x:v>
      </x:c>
    </x:row>
    <x:row r="12" ht="44" customHeight="1">
      <x:c r="A12" s="2" t="str">
        <x:v>exports_usd</x:v>
      </x:c>
      <x:c r="B12" s="2" t="str">
        <x:v>See source ID WB_exports_usd</x:v>
      </x:c>
      <x:c r="C12" s="2" t="str">
        <x:v>2000–2025, latest observations vary</x:v>
      </x:c>
      <x:c r="D12" s="2" t="str">
        <x:v>2026-07-13</x:v>
      </x:c>
      <x:c r="E12" s="2" t="str">
        <x:v>country-panel.csv</x:v>
      </x:c>
    </x:row>
    <x:row r="13" ht="44" customHeight="1">
      <x:c r="A13" s="2" t="str">
        <x:v>cereal_yield</x:v>
      </x:c>
      <x:c r="B13" s="2" t="str">
        <x:v>See source ID WB_cereal_yield</x:v>
      </x:c>
      <x:c r="C13" s="2" t="str">
        <x:v>2000–2025, latest observations vary</x:v>
      </x:c>
      <x:c r="D13" s="2" t="str">
        <x:v>2026-07-13</x:v>
      </x:c>
      <x:c r="E13" s="2" t="str">
        <x:v>country-panel.csv</x:v>
      </x:c>
    </x:row>
    <x:row r="14" ht="44" customHeight="1">
      <x:c r="A14" s="2" t="str">
        <x:v>water_stress</x:v>
      </x:c>
      <x:c r="B14" s="2" t="str">
        <x:v>See source ID WB_water_stress</x:v>
      </x:c>
      <x:c r="C14" s="2" t="str">
        <x:v>2000–2025, latest observations vary</x:v>
      </x:c>
      <x:c r="D14" s="2" t="str">
        <x:v>2026-07-13</x:v>
      </x:c>
      <x:c r="E14" s="2" t="str">
        <x:v>country-panel.csv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42" customHeight="1">
      <x:c r="A1" s="5" t="str">
        <x:v>Transformations / v1.0.0</x:v>
      </x:c>
      <x:c r="B1" s="2"/>
      <x:c r="C1" s="2"/>
    </x:row>
    <x:row r="2" ht="42" customHeight="1">
      <x:c r="A2" s="2" t="str">
        <x:v>Public evidence + chosen examples; no Olam internal investment valuation</x:v>
      </x:c>
      <x:c r="B2" s="2"/>
      <x:c r="C2" s="2"/>
    </x:row>
    <x:row r="3" ht="32" customHeight="1">
      <x:c r="A3" s="4" t="str">
        <x:v>Operation</x:v>
      </x:c>
      <x:c r="B3" s="4" t="str">
        <x:v>Rule</x:v>
      </x:c>
      <x:c r="C3" s="4" t="str">
        <x:v>Failure condition</x:v>
      </x:c>
    </x:row>
    <x:row r="4" ht="44" customHeight="1">
      <x:c r="A4" s="2" t="str">
        <x:v>Population</x:v>
      </x:c>
      <x:c r="B4" s="2" t="str">
        <x:v>WPP thousands × 1,000</x:v>
      </x:c>
      <x:c r="C4" s="2" t="str">
        <x:v>Do not treat projection as realised</x:v>
      </x:c>
    </x:row>
    <x:row r="5" ht="44" customHeight="1">
      <x:c r="A5" s="2" t="str">
        <x:v>Trade proxy</x:v>
      </x:c>
      <x:c r="B5" s="2" t="str">
        <x:v>Same-year food share × merchandise imports</x:v>
      </x:c>
      <x:c r="C5" s="2" t="str">
        <x:v>Broad SITC food, not category demand</x:v>
      </x:c>
    </x:row>
    <x:row r="6" ht="44" customHeight="1">
      <x:c r="A6" s="2" t="str">
        <x:v>Regression</x:v>
      </x:c>
      <x:c r="B6" s="2" t="str">
        <x:v>Log differences then one-year lags</x:v>
      </x:c>
      <x:c r="C6" s="2" t="str">
        <x:v>Complete case, no missing imputation</x:v>
      </x:c>
    </x:row>
    <x:row r="7" ht="44" customHeight="1">
      <x:c r="A7" s="2" t="str">
        <x:v>Time basis</x:v>
      </x:c>
      <x:c r="B7" s="2" t="str">
        <x:v>365 days, annual constant USD</x:v>
      </x:c>
      <x:c r="C7" s="2" t="str">
        <x:v>Monthly seasonality remains missing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60" hidden="0" customWidth="1"/>
  </x:cols>
  <x:sheetData>
    <x:row r="1" ht="42" customHeight="1">
      <x:c r="A1" s="5" t="str">
        <x:v>Coverage / v1.0.0</x:v>
      </x:c>
      <x:c r="B1" s="2"/>
      <x:c r="C1" s="2"/>
      <x:c r="D1" s="2"/>
      <x:c r="E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</x:row>
    <x:row r="3" ht="32" customHeight="1">
      <x:c r="A3" s="4" t="str">
        <x:v>Country</x:v>
      </x:c>
      <x:c r="B3" s="4" t="str">
        <x:v>Macro fields available</x:v>
      </x:c>
      <x:c r="C3" s="4" t="str">
        <x:v>Financial grade</x:v>
      </x:c>
      <x:c r="D3" s="4" t="str">
        <x:v>Country NPV</x:v>
      </x:c>
      <x:c r="E3" s="4" t="str">
        <x:v>Next evidence</x:v>
      </x:c>
    </x:row>
    <x:row r="4" ht="44" customHeight="1">
      <x:c r="A4" s="2" t="str">
        <x:v>Afghanistan</x:v>
      </x:c>
      <x:c r="B4" s="2" t="n">
        <x:v>11</x:v>
      </x:c>
      <x:c r="C4" s="2" t="str">
        <x:v>Threshold-only case</x:v>
      </x:c>
      <x:c r="D4" s="2"/>
      <x:c r="E4" s="2" t="str">
        <x:v>Reconciled customer orders and delivered unit economics, seasonal NWC, plant/route constraints, basin hazards and applicable taxes</x:v>
      </x:c>
    </x:row>
    <x:row r="5" ht="44" customHeight="1">
      <x:c r="A5" s="2" t="str">
        <x:v>Albania</x:v>
      </x:c>
      <x:c r="B5" s="2" t="n">
        <x:v>11</x:v>
      </x:c>
      <x:c r="C5" s="2" t="str">
        <x:v>Threshold-only case</x:v>
      </x:c>
      <x:c r="D5" s="2"/>
      <x:c r="E5" s="2" t="str">
        <x:v>Reconciled customer orders and delivered unit economics, seasonal NWC, plant/route constraints, basin hazards and applicable taxes</x:v>
      </x:c>
    </x:row>
    <x:row r="6" ht="44" customHeight="1">
      <x:c r="A6" s="2" t="str">
        <x:v>Algeria</x:v>
      </x:c>
      <x:c r="B6" s="2" t="n">
        <x:v>11</x:v>
      </x:c>
      <x:c r="C6" s="2" t="str">
        <x:v>Threshold-only case</x:v>
      </x:c>
      <x:c r="D6" s="2"/>
      <x:c r="E6" s="2" t="str">
        <x:v>Reconciled customer orders and delivered unit economics, seasonal NWC, plant/route constraints, basin hazards and applicable taxes</x:v>
      </x:c>
    </x:row>
    <x:row r="7" ht="44" customHeight="1">
      <x:c r="A7" s="2" t="str">
        <x:v>Andorra</x:v>
      </x:c>
      <x:c r="B7" s="2" t="n">
        <x:v>7</x:v>
      </x:c>
      <x:c r="C7" s="2" t="str">
        <x:v>Threshold-only case</x:v>
      </x:c>
      <x:c r="D7" s="2"/>
      <x:c r="E7" s="2" t="str">
        <x:v>Reconciled customer orders and delivered unit economics, seasonal NWC, plant/route constraints, basin hazards and applicable taxes</x:v>
      </x:c>
    </x:row>
    <x:row r="8" ht="44" customHeight="1">
      <x:c r="A8" s="2" t="str">
        <x:v>Angola</x:v>
      </x:c>
      <x:c r="B8" s="2" t="n">
        <x:v>11</x:v>
      </x:c>
      <x:c r="C8" s="2" t="str">
        <x:v>Threshold-only case</x:v>
      </x:c>
      <x:c r="D8" s="2"/>
      <x:c r="E8" s="2" t="str">
        <x:v>Reconciled customer orders and delivered unit economics, seasonal NWC, plant/route constraints, basin hazards and applicable taxes</x:v>
      </x:c>
    </x:row>
    <x:row r="9" ht="44" customHeight="1">
      <x:c r="A9" s="2" t="str">
        <x:v>Antigua and Barbuda</x:v>
      </x:c>
      <x:c r="B9" s="2" t="n">
        <x:v>11</x:v>
      </x:c>
      <x:c r="C9" s="2" t="str">
        <x:v>Threshold-only case</x:v>
      </x:c>
      <x:c r="D9" s="2"/>
      <x:c r="E9" s="2" t="str">
        <x:v>Reconciled customer orders and delivered unit economics, seasonal NWC, plant/route constraints, basin hazards and applicable taxes</x:v>
      </x:c>
    </x:row>
    <x:row r="10" ht="44" customHeight="1">
      <x:c r="A10" s="2" t="str">
        <x:v>Argentina</x:v>
      </x:c>
      <x:c r="B10" s="2" t="n">
        <x:v>11</x:v>
      </x:c>
      <x:c r="C10" s="2" t="str">
        <x:v>Threshold-only case</x:v>
      </x:c>
      <x:c r="D10" s="2"/>
      <x:c r="E10" s="2" t="str">
        <x:v>Reconciled customer orders and delivered unit economics, seasonal NWC, plant/route constraints, basin hazards and applicable taxes</x:v>
      </x:c>
    </x:row>
    <x:row r="11" ht="44" customHeight="1">
      <x:c r="A11" s="2" t="str">
        <x:v>Armenia</x:v>
      </x:c>
      <x:c r="B11" s="2" t="n">
        <x:v>11</x:v>
      </x:c>
      <x:c r="C11" s="2" t="str">
        <x:v>Threshold-only case</x:v>
      </x:c>
      <x:c r="D11" s="2"/>
      <x:c r="E11" s="2" t="str">
        <x:v>Reconciled customer orders and delivered unit economics, seasonal NWC, plant/route constraints, basin hazards and applicable taxes</x:v>
      </x:c>
    </x:row>
    <x:row r="12" ht="44" customHeight="1">
      <x:c r="A12" s="2" t="str">
        <x:v>Australia</x:v>
      </x:c>
      <x:c r="B12" s="2" t="n">
        <x:v>11</x:v>
      </x:c>
      <x:c r="C12" s="2" t="str">
        <x:v>Threshold-only case</x:v>
      </x:c>
      <x:c r="D12" s="2"/>
      <x:c r="E12" s="2" t="str">
        <x:v>Reconciled customer orders and delivered unit economics, seasonal NWC, plant/route constraints, basin hazards and applicable taxes</x:v>
      </x:c>
    </x:row>
    <x:row r="13" ht="44" customHeight="1">
      <x:c r="A13" s="2" t="str">
        <x:v>Austria</x:v>
      </x:c>
      <x:c r="B13" s="2" t="n">
        <x:v>11</x:v>
      </x:c>
      <x:c r="C13" s="2" t="str">
        <x:v>Threshold-only case</x:v>
      </x:c>
      <x:c r="D13" s="2"/>
      <x:c r="E13" s="2" t="str">
        <x:v>Reconciled customer orders and delivered unit economics, seasonal NWC, plant/route constraints, basin hazards and applicable taxes</x:v>
      </x:c>
    </x:row>
    <x:row r="14" ht="44" customHeight="1">
      <x:c r="A14" s="2" t="str">
        <x:v>Azerbaijan</x:v>
      </x:c>
      <x:c r="B14" s="2" t="n">
        <x:v>11</x:v>
      </x:c>
      <x:c r="C14" s="2" t="str">
        <x:v>Threshold-only case</x:v>
      </x:c>
      <x:c r="D14" s="2"/>
      <x:c r="E14" s="2" t="str">
        <x:v>Reconciled customer orders and delivered unit economics, seasonal NWC, plant/route constraints, basin hazards and applicable taxes</x:v>
      </x:c>
    </x:row>
    <x:row r="15" ht="44" customHeight="1">
      <x:c r="A15" s="2" t="str">
        <x:v>Bahamas</x:v>
      </x:c>
      <x:c r="B15" s="2" t="n">
        <x:v>10</x:v>
      </x:c>
      <x:c r="C15" s="2" t="str">
        <x:v>Threshold-only case</x:v>
      </x:c>
      <x:c r="D15" s="2"/>
      <x:c r="E15" s="2" t="str">
        <x:v>Reconciled customer orders and delivered unit economics, seasonal NWC, plant/route constraints, basin hazards and applicable taxes</x:v>
      </x:c>
    </x:row>
    <x:row r="16" ht="44" customHeight="1">
      <x:c r="A16" s="2" t="str">
        <x:v>Bahrain</x:v>
      </x:c>
      <x:c r="B16" s="2" t="n">
        <x:v>10</x:v>
      </x:c>
      <x:c r="C16" s="2" t="str">
        <x:v>Threshold-only case</x:v>
      </x:c>
      <x:c r="D16" s="2"/>
      <x:c r="E16" s="2" t="str">
        <x:v>Reconciled customer orders and delivered unit economics, seasonal NWC, plant/route constraints, basin hazards and applicable taxes</x:v>
      </x:c>
    </x:row>
    <x:row r="17" ht="44" customHeight="1">
      <x:c r="A17" s="2" t="str">
        <x:v>Bangladesh</x:v>
      </x:c>
      <x:c r="B17" s="2" t="n">
        <x:v>11</x:v>
      </x:c>
      <x:c r="C17" s="2" t="str">
        <x:v>Threshold-only case</x:v>
      </x:c>
      <x:c r="D17" s="2"/>
      <x:c r="E17" s="2" t="str">
        <x:v>Reconciled customer orders and delivered unit economics, seasonal NWC, plant/route constraints, basin hazards and applicable taxes</x:v>
      </x:c>
    </x:row>
    <x:row r="18" ht="44" customHeight="1">
      <x:c r="A18" s="2" t="str">
        <x:v>Barbados</x:v>
      </x:c>
      <x:c r="B18" s="2" t="n">
        <x:v>11</x:v>
      </x:c>
      <x:c r="C18" s="2" t="str">
        <x:v>Threshold-only case</x:v>
      </x:c>
      <x:c r="D18" s="2"/>
      <x:c r="E18" s="2" t="str">
        <x:v>Reconciled customer orders and delivered unit economics, seasonal NWC, plant/route constraints, basin hazards and applicable taxes</x:v>
      </x:c>
    </x:row>
    <x:row r="19" ht="44" customHeight="1">
      <x:c r="A19" s="2" t="str">
        <x:v>Belarus</x:v>
      </x:c>
      <x:c r="B19" s="2" t="n">
        <x:v>11</x:v>
      </x:c>
      <x:c r="C19" s="2" t="str">
        <x:v>Threshold-only case</x:v>
      </x:c>
      <x:c r="D19" s="2"/>
      <x:c r="E19" s="2" t="str">
        <x:v>Reconciled customer orders and delivered unit economics, seasonal NWC, plant/route constraints, basin hazards and applicable taxes</x:v>
      </x:c>
    </x:row>
    <x:row r="20" ht="44" customHeight="1">
      <x:c r="A20" s="2" t="str">
        <x:v>Belgium</x:v>
      </x:c>
      <x:c r="B20" s="2" t="n">
        <x:v>11</x:v>
      </x:c>
      <x:c r="C20" s="2" t="str">
        <x:v>Threshold-only case</x:v>
      </x:c>
      <x:c r="D20" s="2"/>
      <x:c r="E20" s="2" t="str">
        <x:v>Reconciled customer orders and delivered unit economics, seasonal NWC, plant/route constraints, basin hazards and applicable taxes</x:v>
      </x:c>
    </x:row>
    <x:row r="21" ht="44" customHeight="1">
      <x:c r="A21" s="2" t="str">
        <x:v>Belize</x:v>
      </x:c>
      <x:c r="B21" s="2" t="n">
        <x:v>11</x:v>
      </x:c>
      <x:c r="C21" s="2" t="str">
        <x:v>Threshold-only case</x:v>
      </x:c>
      <x:c r="D21" s="2"/>
      <x:c r="E21" s="2" t="str">
        <x:v>Reconciled customer orders and delivered unit economics, seasonal NWC, plant/route constraints, basin hazards and applicable taxes</x:v>
      </x:c>
    </x:row>
    <x:row r="22" ht="44" customHeight="1">
      <x:c r="A22" s="2" t="str">
        <x:v>Benin</x:v>
      </x:c>
      <x:c r="B22" s="2" t="n">
        <x:v>11</x:v>
      </x:c>
      <x:c r="C22" s="2" t="str">
        <x:v>Threshold-only case</x:v>
      </x:c>
      <x:c r="D22" s="2"/>
      <x:c r="E22" s="2" t="str">
        <x:v>Reconciled customer orders and delivered unit economics, seasonal NWC, plant/route constraints, basin hazards and applicable taxes</x:v>
      </x:c>
    </x:row>
    <x:row r="23" ht="44" customHeight="1">
      <x:c r="A23" s="2" t="str">
        <x:v>Bhutan</x:v>
      </x:c>
      <x:c r="B23" s="2" t="n">
        <x:v>11</x:v>
      </x:c>
      <x:c r="C23" s="2" t="str">
        <x:v>Threshold-only case</x:v>
      </x:c>
      <x:c r="D23" s="2"/>
      <x:c r="E23" s="2" t="str">
        <x:v>Reconciled customer orders and delivered unit economics, seasonal NWC, plant/route constraints, basin hazards and applicable taxes</x:v>
      </x:c>
    </x:row>
    <x:row r="24" ht="44" customHeight="1">
      <x:c r="A24" s="2" t="str">
        <x:v>Bolivia (Plurinational State of)</x:v>
      </x:c>
      <x:c r="B24" s="2" t="n">
        <x:v>11</x:v>
      </x:c>
      <x:c r="C24" s="2" t="str">
        <x:v>Threshold-only case</x:v>
      </x:c>
      <x:c r="D24" s="2"/>
      <x:c r="E24" s="2" t="str">
        <x:v>Reconciled customer orders and delivered unit economics, seasonal NWC, plant/route constraints, basin hazards and applicable taxes</x:v>
      </x:c>
    </x:row>
    <x:row r="25" ht="44" customHeight="1">
      <x:c r="A25" s="2" t="str">
        <x:v>Bosnia and Herzegovina</x:v>
      </x:c>
      <x:c r="B25" s="2" t="n">
        <x:v>11</x:v>
      </x:c>
      <x:c r="C25" s="2" t="str">
        <x:v>Threshold-only case</x:v>
      </x:c>
      <x:c r="D25" s="2"/>
      <x:c r="E25" s="2" t="str">
        <x:v>Reconciled customer orders and delivered unit economics, seasonal NWC, plant/route constraints, basin hazards and applicable taxes</x:v>
      </x:c>
    </x:row>
    <x:row r="26" ht="44" customHeight="1">
      <x:c r="A26" s="2" t="str">
        <x:v>Botswana</x:v>
      </x:c>
      <x:c r="B26" s="2" t="n">
        <x:v>11</x:v>
      </x:c>
      <x:c r="C26" s="2" t="str">
        <x:v>Threshold-only case</x:v>
      </x:c>
      <x:c r="D26" s="2"/>
      <x:c r="E26" s="2" t="str">
        <x:v>Reconciled customer orders and delivered unit economics, seasonal NWC, plant/route constraints, basin hazards and applicable taxes</x:v>
      </x:c>
    </x:row>
    <x:row r="27" ht="44" customHeight="1">
      <x:c r="A27" s="2" t="str">
        <x:v>Brazil</x:v>
      </x:c>
      <x:c r="B27" s="2" t="n">
        <x:v>11</x:v>
      </x:c>
      <x:c r="C27" s="2" t="str">
        <x:v>Threshold-only case</x:v>
      </x:c>
      <x:c r="D27" s="2"/>
      <x:c r="E27" s="2" t="str">
        <x:v>Reconciled customer orders and delivered unit economics, seasonal NWC, plant/route constraints, basin hazards and applicable taxes</x:v>
      </x:c>
    </x:row>
    <x:row r="28" ht="44" customHeight="1">
      <x:c r="A28" s="2" t="str">
        <x:v>Brunei Darussalam</x:v>
      </x:c>
      <x:c r="B28" s="2" t="n">
        <x:v>11</x:v>
      </x:c>
      <x:c r="C28" s="2" t="str">
        <x:v>Threshold-only case</x:v>
      </x:c>
      <x:c r="D28" s="2"/>
      <x:c r="E28" s="2" t="str">
        <x:v>Reconciled customer orders and delivered unit economics, seasonal NWC, plant/route constraints, basin hazards and applicable taxes</x:v>
      </x:c>
    </x:row>
    <x:row r="29" ht="44" customHeight="1">
      <x:c r="A29" s="2" t="str">
        <x:v>Bulgaria</x:v>
      </x:c>
      <x:c r="B29" s="2" t="n">
        <x:v>11</x:v>
      </x:c>
      <x:c r="C29" s="2" t="str">
        <x:v>Threshold-only case</x:v>
      </x:c>
      <x:c r="D29" s="2"/>
      <x:c r="E29" s="2" t="str">
        <x:v>Reconciled customer orders and delivered unit economics, seasonal NWC, plant/route constraints, basin hazards and applicable taxes</x:v>
      </x:c>
    </x:row>
    <x:row r="30" ht="44" customHeight="1">
      <x:c r="A30" s="2" t="str">
        <x:v>Burkina Faso</x:v>
      </x:c>
      <x:c r="B30" s="2" t="n">
        <x:v>11</x:v>
      </x:c>
      <x:c r="C30" s="2" t="str">
        <x:v>Threshold-only case</x:v>
      </x:c>
      <x:c r="D30" s="2"/>
      <x:c r="E30" s="2" t="str">
        <x:v>Reconciled customer orders and delivered unit economics, seasonal NWC, plant/route constraints, basin hazards and applicable taxes</x:v>
      </x:c>
    </x:row>
    <x:row r="31" ht="44" customHeight="1">
      <x:c r="A31" s="2" t="str">
        <x:v>Burundi</x:v>
      </x:c>
      <x:c r="B31" s="2" t="n">
        <x:v>11</x:v>
      </x:c>
      <x:c r="C31" s="2" t="str">
        <x:v>Threshold-only case</x:v>
      </x:c>
      <x:c r="D31" s="2"/>
      <x:c r="E31" s="2" t="str">
        <x:v>Reconciled customer orders and delivered unit economics, seasonal NWC, plant/route constraints, basin hazards and applicable taxes</x:v>
      </x:c>
    </x:row>
    <x:row r="32" ht="44" customHeight="1">
      <x:c r="A32" s="2" t="str">
        <x:v>Cabo Verde</x:v>
      </x:c>
      <x:c r="B32" s="2" t="n">
        <x:v>11</x:v>
      </x:c>
      <x:c r="C32" s="2" t="str">
        <x:v>Threshold-only case</x:v>
      </x:c>
      <x:c r="D32" s="2"/>
      <x:c r="E32" s="2" t="str">
        <x:v>Reconciled customer orders and delivered unit economics, seasonal NWC, plant/route constraints, basin hazards and applicable taxes</x:v>
      </x:c>
    </x:row>
    <x:row r="33" ht="44" customHeight="1">
      <x:c r="A33" s="2" t="str">
        <x:v>Cambodia</x:v>
      </x:c>
      <x:c r="B33" s="2" t="n">
        <x:v>11</x:v>
      </x:c>
      <x:c r="C33" s="2" t="str">
        <x:v>Threshold-only case</x:v>
      </x:c>
      <x:c r="D33" s="2"/>
      <x:c r="E33" s="2" t="str">
        <x:v>Reconciled customer orders and delivered unit economics, seasonal NWC, plant/route constraints, basin hazards and applicable taxes</x:v>
      </x:c>
    </x:row>
    <x:row r="34" ht="44" customHeight="1">
      <x:c r="A34" s="2" t="str">
        <x:v>Cameroon</x:v>
      </x:c>
      <x:c r="B34" s="2" t="n">
        <x:v>11</x:v>
      </x:c>
      <x:c r="C34" s="2" t="str">
        <x:v>Threshold-only case</x:v>
      </x:c>
      <x:c r="D34" s="2"/>
      <x:c r="E34" s="2" t="str">
        <x:v>Reconciled customer orders and delivered unit economics, seasonal NWC, plant/route constraints, basin hazards and applicable taxes</x:v>
      </x:c>
    </x:row>
    <x:row r="35" ht="44" customHeight="1">
      <x:c r="A35" s="2" t="str">
        <x:v>Canada</x:v>
      </x:c>
      <x:c r="B35" s="2" t="n">
        <x:v>11</x:v>
      </x:c>
      <x:c r="C35" s="2" t="str">
        <x:v>Threshold-only case</x:v>
      </x:c>
      <x:c r="D35" s="2"/>
      <x:c r="E35" s="2" t="str">
        <x:v>Reconciled customer orders and delivered unit economics, seasonal NWC, plant/route constraints, basin hazards and applicable taxes</x:v>
      </x:c>
    </x:row>
    <x:row r="36" ht="44" customHeight="1">
      <x:c r="A36" s="2" t="str">
        <x:v>Central African Republic</x:v>
      </x:c>
      <x:c r="B36" s="2" t="n">
        <x:v>11</x:v>
      </x:c>
      <x:c r="C36" s="2" t="str">
        <x:v>Threshold-only case</x:v>
      </x:c>
      <x:c r="D36" s="2"/>
      <x:c r="E36" s="2" t="str">
        <x:v>Reconciled customer orders and delivered unit economics, seasonal NWC, plant/route constraints, basin hazards and applicable taxes</x:v>
      </x:c>
    </x:row>
    <x:row r="37" ht="44" customHeight="1">
      <x:c r="A37" s="2" t="str">
        <x:v>Chad</x:v>
      </x:c>
      <x:c r="B37" s="2" t="n">
        <x:v>9</x:v>
      </x:c>
      <x:c r="C37" s="2" t="str">
        <x:v>Threshold-only case</x:v>
      </x:c>
      <x:c r="D37" s="2"/>
      <x:c r="E37" s="2" t="str">
        <x:v>Reconciled customer orders and delivered unit economics, seasonal NWC, plant/route constraints, basin hazards and applicable taxes</x:v>
      </x:c>
    </x:row>
    <x:row r="38" ht="44" customHeight="1">
      <x:c r="A38" s="2" t="str">
        <x:v>Chile</x:v>
      </x:c>
      <x:c r="B38" s="2" t="n">
        <x:v>11</x:v>
      </x:c>
      <x:c r="C38" s="2" t="str">
        <x:v>Threshold-only case</x:v>
      </x:c>
      <x:c r="D38" s="2"/>
      <x:c r="E38" s="2" t="str">
        <x:v>Reconciled customer orders and delivered unit economics, seasonal NWC, plant/route constraints, basin hazards and applicable taxes</x:v>
      </x:c>
    </x:row>
    <x:row r="39" ht="44" customHeight="1">
      <x:c r="A39" s="2" t="str">
        <x:v>China</x:v>
      </x:c>
      <x:c r="B39" s="2" t="n">
        <x:v>11</x:v>
      </x:c>
      <x:c r="C39" s="2" t="str">
        <x:v>Threshold-only case</x:v>
      </x:c>
      <x:c r="D39" s="2"/>
      <x:c r="E39" s="2" t="str">
        <x:v>Reconciled customer orders and delivered unit economics, seasonal NWC, plant/route constraints, basin hazards and applicable taxes</x:v>
      </x:c>
    </x:row>
    <x:row r="40" ht="44" customHeight="1">
      <x:c r="A40" s="2" t="str">
        <x:v>Colombia</x:v>
      </x:c>
      <x:c r="B40" s="2" t="n">
        <x:v>11</x:v>
      </x:c>
      <x:c r="C40" s="2" t="str">
        <x:v>Threshold-only case</x:v>
      </x:c>
      <x:c r="D40" s="2"/>
      <x:c r="E40" s="2" t="str">
        <x:v>Reconciled customer orders and delivered unit economics, seasonal NWC, plant/route constraints, basin hazards and applicable taxes</x:v>
      </x:c>
    </x:row>
    <x:row r="41" ht="44" customHeight="1">
      <x:c r="A41" s="2" t="str">
        <x:v>Comoros</x:v>
      </x:c>
      <x:c r="B41" s="2" t="n">
        <x:v>11</x:v>
      </x:c>
      <x:c r="C41" s="2" t="str">
        <x:v>Threshold-only case</x:v>
      </x:c>
      <x:c r="D41" s="2"/>
      <x:c r="E41" s="2" t="str">
        <x:v>Reconciled customer orders and delivered unit economics, seasonal NWC, plant/route constraints, basin hazards and applicable taxes</x:v>
      </x:c>
    </x:row>
    <x:row r="42" ht="44" customHeight="1">
      <x:c r="A42" s="2" t="str">
        <x:v>Congo</x:v>
      </x:c>
      <x:c r="B42" s="2" t="n">
        <x:v>11</x:v>
      </x:c>
      <x:c r="C42" s="2" t="str">
        <x:v>Threshold-only case</x:v>
      </x:c>
      <x:c r="D42" s="2"/>
      <x:c r="E42" s="2" t="str">
        <x:v>Reconciled customer orders and delivered unit economics, seasonal NWC, plant/route constraints, basin hazards and applicable taxes</x:v>
      </x:c>
    </x:row>
    <x:row r="43" ht="44" customHeight="1">
      <x:c r="A43" s="2" t="str">
        <x:v>Costa Rica</x:v>
      </x:c>
      <x:c r="B43" s="2" t="n">
        <x:v>11</x:v>
      </x:c>
      <x:c r="C43" s="2" t="str">
        <x:v>Threshold-only case</x:v>
      </x:c>
      <x:c r="D43" s="2"/>
      <x:c r="E43" s="2" t="str">
        <x:v>Reconciled customer orders and delivered unit economics, seasonal NWC, plant/route constraints, basin hazards and applicable taxes</x:v>
      </x:c>
    </x:row>
    <x:row r="44" ht="44" customHeight="1">
      <x:c r="A44" s="2" t="str">
        <x:v>Croatia</x:v>
      </x:c>
      <x:c r="B44" s="2" t="n">
        <x:v>11</x:v>
      </x:c>
      <x:c r="C44" s="2" t="str">
        <x:v>Threshold-only case</x:v>
      </x:c>
      <x:c r="D44" s="2"/>
      <x:c r="E44" s="2" t="str">
        <x:v>Reconciled customer orders and delivered unit economics, seasonal NWC, plant/route constraints, basin hazards and applicable taxes</x:v>
      </x:c>
    </x:row>
    <x:row r="45" ht="44" customHeight="1">
      <x:c r="A45" s="2" t="str">
        <x:v>Cuba</x:v>
      </x:c>
      <x:c r="B45" s="2" t="n">
        <x:v>9</x:v>
      </x:c>
      <x:c r="C45" s="2" t="str">
        <x:v>Threshold-only case</x:v>
      </x:c>
      <x:c r="D45" s="2"/>
      <x:c r="E45" s="2" t="str">
        <x:v>Reconciled customer orders and delivered unit economics, seasonal NWC, plant/route constraints, basin hazards and applicable taxes</x:v>
      </x:c>
    </x:row>
    <x:row r="46" ht="44" customHeight="1">
      <x:c r="A46" s="2" t="str">
        <x:v>Cyprus</x:v>
      </x:c>
      <x:c r="B46" s="2" t="n">
        <x:v>11</x:v>
      </x:c>
      <x:c r="C46" s="2" t="str">
        <x:v>Threshold-only case</x:v>
      </x:c>
      <x:c r="D46" s="2"/>
      <x:c r="E46" s="2" t="str">
        <x:v>Reconciled customer orders and delivered unit economics, seasonal NWC, plant/route constraints, basin hazards and applicable taxes</x:v>
      </x:c>
    </x:row>
    <x:row r="47" ht="44" customHeight="1">
      <x:c r="A47" s="2" t="str">
        <x:v>Czechia</x:v>
      </x:c>
      <x:c r="B47" s="2" t="n">
        <x:v>11</x:v>
      </x:c>
      <x:c r="C47" s="2" t="str">
        <x:v>Threshold-only case</x:v>
      </x:c>
      <x:c r="D47" s="2"/>
      <x:c r="E47" s="2" t="str">
        <x:v>Reconciled customer orders and delivered unit economics, seasonal NWC, plant/route constraints, basin hazards and applicable taxes</x:v>
      </x:c>
    </x:row>
    <x:row r="48" ht="44" customHeight="1">
      <x:c r="A48" s="2" t="str">
        <x:v>Côte d’Ivoire</x:v>
      </x:c>
      <x:c r="B48" s="2" t="n">
        <x:v>11</x:v>
      </x:c>
      <x:c r="C48" s="2" t="str">
        <x:v>Threshold-only case</x:v>
      </x:c>
      <x:c r="D48" s="2"/>
      <x:c r="E48" s="2" t="str">
        <x:v>Reconciled customer orders and delivered unit economics, seasonal NWC, plant/route constraints, basin hazards and applicable taxes</x:v>
      </x:c>
    </x:row>
    <x:row r="49" ht="44" customHeight="1">
      <x:c r="A49" s="2" t="str">
        <x:v>Democratic People's Republic of Korea</x:v>
      </x:c>
      <x:c r="B49" s="2" t="n">
        <x:v>7</x:v>
      </x:c>
      <x:c r="C49" s="2" t="str">
        <x:v>Threshold-only case</x:v>
      </x:c>
      <x:c r="D49" s="2"/>
      <x:c r="E49" s="2" t="str">
        <x:v>Reconciled customer orders and delivered unit economics, seasonal NWC, plant/route constraints, basin hazards and applicable taxes</x:v>
      </x:c>
    </x:row>
    <x:row r="50" ht="44" customHeight="1">
      <x:c r="A50" s="2" t="str">
        <x:v>Democratic Republic of the Congo</x:v>
      </x:c>
      <x:c r="B50" s="2" t="n">
        <x:v>11</x:v>
      </x:c>
      <x:c r="C50" s="2" t="str">
        <x:v>Threshold-only case</x:v>
      </x:c>
      <x:c r="D50" s="2"/>
      <x:c r="E50" s="2" t="str">
        <x:v>Reconciled customer orders and delivered unit economics, seasonal NWC, plant/route constraints, basin hazards and applicable taxes</x:v>
      </x:c>
    </x:row>
    <x:row r="51" ht="44" customHeight="1">
      <x:c r="A51" s="2" t="str">
        <x:v>Denmark</x:v>
      </x:c>
      <x:c r="B51" s="2" t="n">
        <x:v>11</x:v>
      </x:c>
      <x:c r="C51" s="2" t="str">
        <x:v>Threshold-only case</x:v>
      </x:c>
      <x:c r="D51" s="2"/>
      <x:c r="E51" s="2" t="str">
        <x:v>Reconciled customer orders and delivered unit economics, seasonal NWC, plant/route constraints, basin hazards and applicable taxes</x:v>
      </x:c>
    </x:row>
    <x:row r="52" ht="44" customHeight="1">
      <x:c r="A52" s="2" t="str">
        <x:v>Djibouti</x:v>
      </x:c>
      <x:c r="B52" s="2" t="n">
        <x:v>11</x:v>
      </x:c>
      <x:c r="C52" s="2" t="str">
        <x:v>Threshold-only case</x:v>
      </x:c>
      <x:c r="D52" s="2"/>
      <x:c r="E52" s="2" t="str">
        <x:v>Reconciled customer orders and delivered unit economics, seasonal NWC, plant/route constraints, basin hazards and applicable taxes</x:v>
      </x:c>
    </x:row>
    <x:row r="53" ht="44" customHeight="1">
      <x:c r="A53" s="2" t="str">
        <x:v>Dominica</x:v>
      </x:c>
      <x:c r="B53" s="2" t="n">
        <x:v>11</x:v>
      </x:c>
      <x:c r="C53" s="2" t="str">
        <x:v>Threshold-only case</x:v>
      </x:c>
      <x:c r="D53" s="2"/>
      <x:c r="E53" s="2" t="str">
        <x:v>Reconciled customer orders and delivered unit economics, seasonal NWC, plant/route constraints, basin hazards and applicable taxes</x:v>
      </x:c>
    </x:row>
    <x:row r="54" ht="44" customHeight="1">
      <x:c r="A54" s="2" t="str">
        <x:v>Dominican Republic</x:v>
      </x:c>
      <x:c r="B54" s="2" t="n">
        <x:v>11</x:v>
      </x:c>
      <x:c r="C54" s="2" t="str">
        <x:v>Threshold-only case</x:v>
      </x:c>
      <x:c r="D54" s="2"/>
      <x:c r="E54" s="2" t="str">
        <x:v>Reconciled customer orders and delivered unit economics, seasonal NWC, plant/route constraints, basin hazards and applicable taxes</x:v>
      </x:c>
    </x:row>
    <x:row r="55" ht="44" customHeight="1">
      <x:c r="A55" s="2" t="str">
        <x:v>Ecuador</x:v>
      </x:c>
      <x:c r="B55" s="2" t="n">
        <x:v>11</x:v>
      </x:c>
      <x:c r="C55" s="2" t="str">
        <x:v>Threshold-only case</x:v>
      </x:c>
      <x:c r="D55" s="2"/>
      <x:c r="E55" s="2" t="str">
        <x:v>Reconciled customer orders and delivered unit economics, seasonal NWC, plant/route constraints, basin hazards and applicable taxes</x:v>
      </x:c>
    </x:row>
    <x:row r="56" ht="44" customHeight="1">
      <x:c r="A56" s="2" t="str">
        <x:v>Egypt</x:v>
      </x:c>
      <x:c r="B56" s="2" t="n">
        <x:v>11</x:v>
      </x:c>
      <x:c r="C56" s="2" t="str">
        <x:v>Threshold-only case</x:v>
      </x:c>
      <x:c r="D56" s="2"/>
      <x:c r="E56" s="2" t="str">
        <x:v>Reconciled customer orders and delivered unit economics, seasonal NWC, plant/route constraints, basin hazards and applicable taxes</x:v>
      </x:c>
    </x:row>
    <x:row r="57" ht="44" customHeight="1">
      <x:c r="A57" s="2" t="str">
        <x:v>El Salvador</x:v>
      </x:c>
      <x:c r="B57" s="2" t="n">
        <x:v>11</x:v>
      </x:c>
      <x:c r="C57" s="2" t="str">
        <x:v>Threshold-only case</x:v>
      </x:c>
      <x:c r="D57" s="2"/>
      <x:c r="E57" s="2" t="str">
        <x:v>Reconciled customer orders and delivered unit economics, seasonal NWC, plant/route constraints, basin hazards and applicable taxes</x:v>
      </x:c>
    </x:row>
    <x:row r="58" ht="44" customHeight="1">
      <x:c r="A58" s="2" t="str">
        <x:v>Equatorial Guinea</x:v>
      </x:c>
      <x:c r="B58" s="2" t="n">
        <x:v>8</x:v>
      </x:c>
      <x:c r="C58" s="2" t="str">
        <x:v>Threshold-only case</x:v>
      </x:c>
      <x:c r="D58" s="2"/>
      <x:c r="E58" s="2" t="str">
        <x:v>Reconciled customer orders and delivered unit economics, seasonal NWC, plant/route constraints, basin hazards and applicable taxes</x:v>
      </x:c>
    </x:row>
    <x:row r="59" ht="44" customHeight="1">
      <x:c r="A59" s="2" t="str">
        <x:v>Eritrea</x:v>
      </x:c>
      <x:c r="B59" s="2" t="n">
        <x:v>9</x:v>
      </x:c>
      <x:c r="C59" s="2" t="str">
        <x:v>Threshold-only case</x:v>
      </x:c>
      <x:c r="D59" s="2"/>
      <x:c r="E59" s="2" t="str">
        <x:v>Reconciled customer orders and delivered unit economics, seasonal NWC, plant/route constraints, basin hazards and applicable taxes</x:v>
      </x:c>
    </x:row>
    <x:row r="60" ht="44" customHeight="1">
      <x:c r="A60" s="2" t="str">
        <x:v>Estonia</x:v>
      </x:c>
      <x:c r="B60" s="2" t="n">
        <x:v>11</x:v>
      </x:c>
      <x:c r="C60" s="2" t="str">
        <x:v>Threshold-only case</x:v>
      </x:c>
      <x:c r="D60" s="2"/>
      <x:c r="E60" s="2" t="str">
        <x:v>Reconciled customer orders and delivered unit economics, seasonal NWC, plant/route constraints, basin hazards and applicable taxes</x:v>
      </x:c>
    </x:row>
    <x:row r="61" ht="44" customHeight="1">
      <x:c r="A61" s="2" t="str">
        <x:v>Eswatini</x:v>
      </x:c>
      <x:c r="B61" s="2" t="n">
        <x:v>11</x:v>
      </x:c>
      <x:c r="C61" s="2" t="str">
        <x:v>Threshold-only case</x:v>
      </x:c>
      <x:c r="D61" s="2"/>
      <x:c r="E61" s="2" t="str">
        <x:v>Reconciled customer orders and delivered unit economics, seasonal NWC, plant/route constraints, basin hazards and applicable taxes</x:v>
      </x:c>
    </x:row>
    <x:row r="62" ht="44" customHeight="1">
      <x:c r="A62" s="2" t="str">
        <x:v>Ethiopia</x:v>
      </x:c>
      <x:c r="B62" s="2" t="n">
        <x:v>11</x:v>
      </x:c>
      <x:c r="C62" s="2" t="str">
        <x:v>Threshold-only case</x:v>
      </x:c>
      <x:c r="D62" s="2"/>
      <x:c r="E62" s="2" t="str">
        <x:v>Reconciled customer orders and delivered unit economics, seasonal NWC, plant/route constraints, basin hazards and applicable taxes</x:v>
      </x:c>
    </x:row>
    <x:row r="63" ht="44" customHeight="1">
      <x:c r="A63" s="2" t="str">
        <x:v>Fiji</x:v>
      </x:c>
      <x:c r="B63" s="2" t="n">
        <x:v>11</x:v>
      </x:c>
      <x:c r="C63" s="2" t="str">
        <x:v>Threshold-only case</x:v>
      </x:c>
      <x:c r="D63" s="2"/>
      <x:c r="E63" s="2" t="str">
        <x:v>Reconciled customer orders and delivered unit economics, seasonal NWC, plant/route constraints, basin hazards and applicable taxes</x:v>
      </x:c>
    </x:row>
    <x:row r="64" ht="44" customHeight="1">
      <x:c r="A64" s="2" t="str">
        <x:v>Finland</x:v>
      </x:c>
      <x:c r="B64" s="2" t="n">
        <x:v>11</x:v>
      </x:c>
      <x:c r="C64" s="2" t="str">
        <x:v>Threshold-only case</x:v>
      </x:c>
      <x:c r="D64" s="2"/>
      <x:c r="E64" s="2" t="str">
        <x:v>Reconciled customer orders and delivered unit economics, seasonal NWC, plant/route constraints, basin hazards and applicable taxes</x:v>
      </x:c>
    </x:row>
    <x:row r="65" ht="44" customHeight="1">
      <x:c r="A65" s="2" t="str">
        <x:v>France</x:v>
      </x:c>
      <x:c r="B65" s="2" t="n">
        <x:v>11</x:v>
      </x:c>
      <x:c r="C65" s="2" t="str">
        <x:v>Threshold-only case</x:v>
      </x:c>
      <x:c r="D65" s="2"/>
      <x:c r="E65" s="2" t="str">
        <x:v>Reconciled customer orders and delivered unit economics, seasonal NWC, plant/route constraints, basin hazards and applicable taxes</x:v>
      </x:c>
    </x:row>
    <x:row r="66" ht="44" customHeight="1">
      <x:c r="A66" s="2" t="str">
        <x:v>Gabon</x:v>
      </x:c>
      <x:c r="B66" s="2" t="n">
        <x:v>11</x:v>
      </x:c>
      <x:c r="C66" s="2" t="str">
        <x:v>Threshold-only case</x:v>
      </x:c>
      <x:c r="D66" s="2"/>
      <x:c r="E66" s="2" t="str">
        <x:v>Reconciled customer orders and delivered unit economics, seasonal NWC, plant/route constraints, basin hazards and applicable taxes</x:v>
      </x:c>
    </x:row>
    <x:row r="67" ht="44" customHeight="1">
      <x:c r="A67" s="2" t="str">
        <x:v>Gambia</x:v>
      </x:c>
      <x:c r="B67" s="2" t="n">
        <x:v>11</x:v>
      </x:c>
      <x:c r="C67" s="2" t="str">
        <x:v>Threshold-only case</x:v>
      </x:c>
      <x:c r="D67" s="2"/>
      <x:c r="E67" s="2" t="str">
        <x:v>Reconciled customer orders and delivered unit economics, seasonal NWC, plant/route constraints, basin hazards and applicable taxes</x:v>
      </x:c>
    </x:row>
    <x:row r="68" ht="44" customHeight="1">
      <x:c r="A68" s="2" t="str">
        <x:v>Georgia</x:v>
      </x:c>
      <x:c r="B68" s="2" t="n">
        <x:v>11</x:v>
      </x:c>
      <x:c r="C68" s="2" t="str">
        <x:v>Threshold-only case</x:v>
      </x:c>
      <x:c r="D68" s="2"/>
      <x:c r="E68" s="2" t="str">
        <x:v>Reconciled customer orders and delivered unit economics, seasonal NWC, plant/route constraints, basin hazards and applicable taxes</x:v>
      </x:c>
    </x:row>
    <x:row r="69" ht="44" customHeight="1">
      <x:c r="A69" s="2" t="str">
        <x:v>Germany</x:v>
      </x:c>
      <x:c r="B69" s="2" t="n">
        <x:v>11</x:v>
      </x:c>
      <x:c r="C69" s="2" t="str">
        <x:v>Threshold-only case</x:v>
      </x:c>
      <x:c r="D69" s="2"/>
      <x:c r="E69" s="2" t="str">
        <x:v>Reconciled customer orders and delivered unit economics, seasonal NWC, plant/route constraints, basin hazards and applicable taxes</x:v>
      </x:c>
    </x:row>
    <x:row r="70" ht="44" customHeight="1">
      <x:c r="A70" s="2" t="str">
        <x:v>Ghana</x:v>
      </x:c>
      <x:c r="B70" s="2" t="n">
        <x:v>11</x:v>
      </x:c>
      <x:c r="C70" s="2" t="str">
        <x:v>Threshold-only case</x:v>
      </x:c>
      <x:c r="D70" s="2"/>
      <x:c r="E70" s="2" t="str">
        <x:v>Reconciled customer orders and delivered unit economics, seasonal NWC, plant/route constraints, basin hazards and applicable taxes</x:v>
      </x:c>
    </x:row>
    <x:row r="71" ht="44" customHeight="1">
      <x:c r="A71" s="2" t="str">
        <x:v>Greece</x:v>
      </x:c>
      <x:c r="B71" s="2" t="n">
        <x:v>11</x:v>
      </x:c>
      <x:c r="C71" s="2" t="str">
        <x:v>Threshold-only case</x:v>
      </x:c>
      <x:c r="D71" s="2"/>
      <x:c r="E71" s="2" t="str">
        <x:v>Reconciled customer orders and delivered unit economics, seasonal NWC, plant/route constraints, basin hazards and applicable taxes</x:v>
      </x:c>
    </x:row>
    <x:row r="72" ht="44" customHeight="1">
      <x:c r="A72" s="2" t="str">
        <x:v>Grenada</x:v>
      </x:c>
      <x:c r="B72" s="2" t="n">
        <x:v>11</x:v>
      </x:c>
      <x:c r="C72" s="2" t="str">
        <x:v>Threshold-only case</x:v>
      </x:c>
      <x:c r="D72" s="2"/>
      <x:c r="E72" s="2" t="str">
        <x:v>Reconciled customer orders and delivered unit economics, seasonal NWC, plant/route constraints, basin hazards and applicable taxes</x:v>
      </x:c>
    </x:row>
    <x:row r="73" ht="44" customHeight="1">
      <x:c r="A73" s="2" t="str">
        <x:v>Guatemala</x:v>
      </x:c>
      <x:c r="B73" s="2" t="n">
        <x:v>11</x:v>
      </x:c>
      <x:c r="C73" s="2" t="str">
        <x:v>Threshold-only case</x:v>
      </x:c>
      <x:c r="D73" s="2"/>
      <x:c r="E73" s="2" t="str">
        <x:v>Reconciled customer orders and delivered unit economics, seasonal NWC, plant/route constraints, basin hazards and applicable taxes</x:v>
      </x:c>
    </x:row>
    <x:row r="74" ht="44" customHeight="1">
      <x:c r="A74" s="2" t="str">
        <x:v>Guinea</x:v>
      </x:c>
      <x:c r="B74" s="2" t="n">
        <x:v>11</x:v>
      </x:c>
      <x:c r="C74" s="2" t="str">
        <x:v>Threshold-only case</x:v>
      </x:c>
      <x:c r="D74" s="2"/>
      <x:c r="E74" s="2" t="str">
        <x:v>Reconciled customer orders and delivered unit economics, seasonal NWC, plant/route constraints, basin hazards and applicable taxes</x:v>
      </x:c>
    </x:row>
    <x:row r="75" ht="44" customHeight="1">
      <x:c r="A75" s="2" t="str">
        <x:v>Guinea-Bissau</x:v>
      </x:c>
      <x:c r="B75" s="2" t="n">
        <x:v>11</x:v>
      </x:c>
      <x:c r="C75" s="2" t="str">
        <x:v>Threshold-only case</x:v>
      </x:c>
      <x:c r="D75" s="2"/>
      <x:c r="E75" s="2" t="str">
        <x:v>Reconciled customer orders and delivered unit economics, seasonal NWC, plant/route constraints, basin hazards and applicable taxes</x:v>
      </x:c>
    </x:row>
    <x:row r="76" ht="44" customHeight="1">
      <x:c r="A76" s="2" t="str">
        <x:v>Guyana</x:v>
      </x:c>
      <x:c r="B76" s="2" t="n">
        <x:v>11</x:v>
      </x:c>
      <x:c r="C76" s="2" t="str">
        <x:v>Threshold-only case</x:v>
      </x:c>
      <x:c r="D76" s="2"/>
      <x:c r="E76" s="2" t="str">
        <x:v>Reconciled customer orders and delivered unit economics, seasonal NWC, plant/route constraints, basin hazards and applicable taxes</x:v>
      </x:c>
    </x:row>
    <x:row r="77" ht="44" customHeight="1">
      <x:c r="A77" s="2" t="str">
        <x:v>Haiti</x:v>
      </x:c>
      <x:c r="B77" s="2" t="n">
        <x:v>11</x:v>
      </x:c>
      <x:c r="C77" s="2" t="str">
        <x:v>Threshold-only case</x:v>
      </x:c>
      <x:c r="D77" s="2"/>
      <x:c r="E77" s="2" t="str">
        <x:v>Reconciled customer orders and delivered unit economics, seasonal NWC, plant/route constraints, basin hazards and applicable taxes</x:v>
      </x:c>
    </x:row>
    <x:row r="78" ht="44" customHeight="1">
      <x:c r="A78" s="2" t="str">
        <x:v>Holy See</x:v>
      </x:c>
      <x:c r="B78" s="2" t="n">
        <x:v>0</x:v>
      </x:c>
      <x:c r="C78" s="2" t="str">
        <x:v>Threshold-only case</x:v>
      </x:c>
      <x:c r="D78" s="2"/>
      <x:c r="E78" s="2" t="str">
        <x:v>Reconciled customer orders and delivered unit economics, seasonal NWC, plant/route constraints, basin hazards and applicable taxes</x:v>
      </x:c>
    </x:row>
    <x:row r="79" ht="44" customHeight="1">
      <x:c r="A79" s="2" t="str">
        <x:v>Honduras</x:v>
      </x:c>
      <x:c r="B79" s="2" t="n">
        <x:v>11</x:v>
      </x:c>
      <x:c r="C79" s="2" t="str">
        <x:v>Threshold-only case</x:v>
      </x:c>
      <x:c r="D79" s="2"/>
      <x:c r="E79" s="2" t="str">
        <x:v>Reconciled customer orders and delivered unit economics, seasonal NWC, plant/route constraints, basin hazards and applicable taxes</x:v>
      </x:c>
    </x:row>
    <x:row r="80" ht="44" customHeight="1">
      <x:c r="A80" s="2" t="str">
        <x:v>Hungary</x:v>
      </x:c>
      <x:c r="B80" s="2" t="n">
        <x:v>11</x:v>
      </x:c>
      <x:c r="C80" s="2" t="str">
        <x:v>Threshold-only case</x:v>
      </x:c>
      <x:c r="D80" s="2"/>
      <x:c r="E80" s="2" t="str">
        <x:v>Reconciled customer orders and delivered unit economics, seasonal NWC, plant/route constraints, basin hazards and applicable taxes</x:v>
      </x:c>
    </x:row>
    <x:row r="81" ht="44" customHeight="1">
      <x:c r="A81" s="2" t="str">
        <x:v>Iceland</x:v>
      </x:c>
      <x:c r="B81" s="2" t="n">
        <x:v>11</x:v>
      </x:c>
      <x:c r="C81" s="2" t="str">
        <x:v>Threshold-only case</x:v>
      </x:c>
      <x:c r="D81" s="2"/>
      <x:c r="E81" s="2" t="str">
        <x:v>Reconciled customer orders and delivered unit economics, seasonal NWC, plant/route constraints, basin hazards and applicable taxes</x:v>
      </x:c>
    </x:row>
    <x:row r="82" ht="44" customHeight="1">
      <x:c r="A82" s="2" t="str">
        <x:v>India</x:v>
      </x:c>
      <x:c r="B82" s="2" t="n">
        <x:v>11</x:v>
      </x:c>
      <x:c r="C82" s="2" t="str">
        <x:v>Threshold-only case</x:v>
      </x:c>
      <x:c r="D82" s="2"/>
      <x:c r="E82" s="2" t="str">
        <x:v>Reconciled customer orders and delivered unit economics, seasonal NWC, plant/route constraints, basin hazards and applicable taxes</x:v>
      </x:c>
    </x:row>
    <x:row r="83" ht="44" customHeight="1">
      <x:c r="A83" s="2" t="str">
        <x:v>Indonesia</x:v>
      </x:c>
      <x:c r="B83" s="2" t="n">
        <x:v>11</x:v>
      </x:c>
      <x:c r="C83" s="2" t="str">
        <x:v>Threshold-only case</x:v>
      </x:c>
      <x:c r="D83" s="2"/>
      <x:c r="E83" s="2" t="str">
        <x:v>Reconciled customer orders and delivered unit economics, seasonal NWC, plant/route constraints, basin hazards and applicable taxes</x:v>
      </x:c>
    </x:row>
    <x:row r="84" ht="44" customHeight="1">
      <x:c r="A84" s="2" t="str">
        <x:v>Iran (Islamic Republic of)</x:v>
      </x:c>
      <x:c r="B84" s="2" t="n">
        <x:v>11</x:v>
      </x:c>
      <x:c r="C84" s="2" t="str">
        <x:v>Threshold-only case</x:v>
      </x:c>
      <x:c r="D84" s="2"/>
      <x:c r="E84" s="2" t="str">
        <x:v>Reconciled customer orders and delivered unit economics, seasonal NWC, plant/route constraints, basin hazards and applicable taxes</x:v>
      </x:c>
    </x:row>
    <x:row r="85" ht="44" customHeight="1">
      <x:c r="A85" s="2" t="str">
        <x:v>Iraq</x:v>
      </x:c>
      <x:c r="B85" s="2" t="n">
        <x:v>11</x:v>
      </x:c>
      <x:c r="C85" s="2" t="str">
        <x:v>Threshold-only case</x:v>
      </x:c>
      <x:c r="D85" s="2"/>
      <x:c r="E85" s="2" t="str">
        <x:v>Reconciled customer orders and delivered unit economics, seasonal NWC, plant/route constraints, basin hazards and applicable taxes</x:v>
      </x:c>
    </x:row>
    <x:row r="86" ht="44" customHeight="1">
      <x:c r="A86" s="2" t="str">
        <x:v>Ireland</x:v>
      </x:c>
      <x:c r="B86" s="2" t="n">
        <x:v>11</x:v>
      </x:c>
      <x:c r="C86" s="2" t="str">
        <x:v>Threshold-only case</x:v>
      </x:c>
      <x:c r="D86" s="2"/>
      <x:c r="E86" s="2" t="str">
        <x:v>Reconciled customer orders and delivered unit economics, seasonal NWC, plant/route constraints, basin hazards and applicable taxes</x:v>
      </x:c>
    </x:row>
    <x:row r="87" ht="44" customHeight="1">
      <x:c r="A87" s="2" t="str">
        <x:v>Israel</x:v>
      </x:c>
      <x:c r="B87" s="2" t="n">
        <x:v>11</x:v>
      </x:c>
      <x:c r="C87" s="2" t="str">
        <x:v>Threshold-only case</x:v>
      </x:c>
      <x:c r="D87" s="2"/>
      <x:c r="E87" s="2" t="str">
        <x:v>Reconciled customer orders and delivered unit economics, seasonal NWC, plant/route constraints, basin hazards and applicable taxes</x:v>
      </x:c>
    </x:row>
    <x:row r="88" ht="44" customHeight="1">
      <x:c r="A88" s="2" t="str">
        <x:v>Italy</x:v>
      </x:c>
      <x:c r="B88" s="2" t="n">
        <x:v>11</x:v>
      </x:c>
      <x:c r="C88" s="2" t="str">
        <x:v>Threshold-only case</x:v>
      </x:c>
      <x:c r="D88" s="2"/>
      <x:c r="E88" s="2" t="str">
        <x:v>Reconciled customer orders and delivered unit economics, seasonal NWC, plant/route constraints, basin hazards and applicable taxes</x:v>
      </x:c>
    </x:row>
    <x:row r="89" ht="44" customHeight="1">
      <x:c r="A89" s="2" t="str">
        <x:v>Jamaica</x:v>
      </x:c>
      <x:c r="B89" s="2" t="n">
        <x:v>11</x:v>
      </x:c>
      <x:c r="C89" s="2" t="str">
        <x:v>Threshold-only case</x:v>
      </x:c>
      <x:c r="D89" s="2"/>
      <x:c r="E89" s="2" t="str">
        <x:v>Reconciled customer orders and delivered unit economics, seasonal NWC, plant/route constraints, basin hazards and applicable taxes</x:v>
      </x:c>
    </x:row>
    <x:row r="90" ht="44" customHeight="1">
      <x:c r="A90" s="2" t="str">
        <x:v>Japan</x:v>
      </x:c>
      <x:c r="B90" s="2" t="n">
        <x:v>11</x:v>
      </x:c>
      <x:c r="C90" s="2" t="str">
        <x:v>Threshold-only case</x:v>
      </x:c>
      <x:c r="D90" s="2"/>
      <x:c r="E90" s="2" t="str">
        <x:v>Reconciled customer orders and delivered unit economics, seasonal NWC, plant/route constraints, basin hazards and applicable taxes</x:v>
      </x:c>
    </x:row>
    <x:row r="91" ht="44" customHeight="1">
      <x:c r="A91" s="2" t="str">
        <x:v>Jordan</x:v>
      </x:c>
      <x:c r="B91" s="2" t="n">
        <x:v>11</x:v>
      </x:c>
      <x:c r="C91" s="2" t="str">
        <x:v>Threshold-only case</x:v>
      </x:c>
      <x:c r="D91" s="2"/>
      <x:c r="E91" s="2" t="str">
        <x:v>Reconciled customer orders and delivered unit economics, seasonal NWC, plant/route constraints, basin hazards and applicable taxes</x:v>
      </x:c>
    </x:row>
    <x:row r="92" ht="44" customHeight="1">
      <x:c r="A92" s="2" t="str">
        <x:v>Kazakhstan</x:v>
      </x:c>
      <x:c r="B92" s="2" t="n">
        <x:v>11</x:v>
      </x:c>
      <x:c r="C92" s="2" t="str">
        <x:v>Threshold-only case</x:v>
      </x:c>
      <x:c r="D92" s="2"/>
      <x:c r="E92" s="2" t="str">
        <x:v>Reconciled customer orders and delivered unit economics, seasonal NWC, plant/route constraints, basin hazards and applicable taxes</x:v>
      </x:c>
    </x:row>
    <x:row r="93" ht="44" customHeight="1">
      <x:c r="A93" s="2" t="str">
        <x:v>Kenya</x:v>
      </x:c>
      <x:c r="B93" s="2" t="n">
        <x:v>11</x:v>
      </x:c>
      <x:c r="C93" s="2" t="str">
        <x:v>Threshold-only case</x:v>
      </x:c>
      <x:c r="D93" s="2"/>
      <x:c r="E93" s="2" t="str">
        <x:v>Reconciled customer orders and delivered unit economics, seasonal NWC, plant/route constraints, basin hazards and applicable taxes</x:v>
      </x:c>
    </x:row>
    <x:row r="94" ht="44" customHeight="1">
      <x:c r="A94" s="2" t="str">
        <x:v>Kiribati</x:v>
      </x:c>
      <x:c r="B94" s="2" t="n">
        <x:v>9</x:v>
      </x:c>
      <x:c r="C94" s="2" t="str">
        <x:v>Threshold-only case</x:v>
      </x:c>
      <x:c r="D94" s="2"/>
      <x:c r="E94" s="2" t="str">
        <x:v>Reconciled customer orders and delivered unit economics, seasonal NWC, plant/route constraints, basin hazards and applicable taxes</x:v>
      </x:c>
    </x:row>
    <x:row r="95" ht="44" customHeight="1">
      <x:c r="A95" s="2" t="str">
        <x:v>Kuwait</x:v>
      </x:c>
      <x:c r="B95" s="2" t="n">
        <x:v>11</x:v>
      </x:c>
      <x:c r="C95" s="2" t="str">
        <x:v>Threshold-only case</x:v>
      </x:c>
      <x:c r="D95" s="2"/>
      <x:c r="E95" s="2" t="str">
        <x:v>Reconciled customer orders and delivered unit economics, seasonal NWC, plant/route constraints, basin hazards and applicable taxes</x:v>
      </x:c>
    </x:row>
    <x:row r="96" ht="44" customHeight="1">
      <x:c r="A96" s="2" t="str">
        <x:v>Kyrgyzstan</x:v>
      </x:c>
      <x:c r="B96" s="2" t="n">
        <x:v>11</x:v>
      </x:c>
      <x:c r="C96" s="2" t="str">
        <x:v>Threshold-only case</x:v>
      </x:c>
      <x:c r="D96" s="2"/>
      <x:c r="E96" s="2" t="str">
        <x:v>Reconciled customer orders and delivered unit economics, seasonal NWC, plant/route constraints, basin hazards and applicable taxes</x:v>
      </x:c>
    </x:row>
    <x:row r="97" ht="44" customHeight="1">
      <x:c r="A97" s="2" t="str">
        <x:v>Lao People's Democratic Republic</x:v>
      </x:c>
      <x:c r="B97" s="2" t="n">
        <x:v>11</x:v>
      </x:c>
      <x:c r="C97" s="2" t="str">
        <x:v>Threshold-only case</x:v>
      </x:c>
      <x:c r="D97" s="2"/>
      <x:c r="E97" s="2" t="str">
        <x:v>Reconciled customer orders and delivered unit economics, seasonal NWC, plant/route constraints, basin hazards and applicable taxes</x:v>
      </x:c>
    </x:row>
    <x:row r="98" ht="44" customHeight="1">
      <x:c r="A98" s="2" t="str">
        <x:v>Latvia</x:v>
      </x:c>
      <x:c r="B98" s="2" t="n">
        <x:v>11</x:v>
      </x:c>
      <x:c r="C98" s="2" t="str">
        <x:v>Threshold-only case</x:v>
      </x:c>
      <x:c r="D98" s="2"/>
      <x:c r="E98" s="2" t="str">
        <x:v>Reconciled customer orders and delivered unit economics, seasonal NWC, plant/route constraints, basin hazards and applicable taxes</x:v>
      </x:c>
    </x:row>
    <x:row r="99" ht="44" customHeight="1">
      <x:c r="A99" s="2" t="str">
        <x:v>Lebanon</x:v>
      </x:c>
      <x:c r="B99" s="2" t="n">
        <x:v>11</x:v>
      </x:c>
      <x:c r="C99" s="2" t="str">
        <x:v>Threshold-only case</x:v>
      </x:c>
      <x:c r="D99" s="2"/>
      <x:c r="E99" s="2" t="str">
        <x:v>Reconciled customer orders and delivered unit economics, seasonal NWC, plant/route constraints, basin hazards and applicable taxes</x:v>
      </x:c>
    </x:row>
    <x:row r="100" ht="44" customHeight="1">
      <x:c r="A100" s="2" t="str">
        <x:v>Lesotho</x:v>
      </x:c>
      <x:c r="B100" s="2" t="n">
        <x:v>11</x:v>
      </x:c>
      <x:c r="C100" s="2" t="str">
        <x:v>Threshold-only case</x:v>
      </x:c>
      <x:c r="D100" s="2"/>
      <x:c r="E100" s="2" t="str">
        <x:v>Reconciled customer orders and delivered unit economics, seasonal NWC, plant/route constraints, basin hazards and applicable taxes</x:v>
      </x:c>
    </x:row>
    <x:row r="101" ht="44" customHeight="1">
      <x:c r="A101" s="2" t="str">
        <x:v>Liberia</x:v>
      </x:c>
      <x:c r="B101" s="2" t="n">
        <x:v>11</x:v>
      </x:c>
      <x:c r="C101" s="2" t="str">
        <x:v>Threshold-only case</x:v>
      </x:c>
      <x:c r="D101" s="2"/>
      <x:c r="E101" s="2" t="str">
        <x:v>Reconciled customer orders and delivered unit economics, seasonal NWC, plant/route constraints, basin hazards and applicable taxes</x:v>
      </x:c>
    </x:row>
    <x:row r="102" ht="44" customHeight="1">
      <x:c r="A102" s="2" t="str">
        <x:v>Libya</x:v>
      </x:c>
      <x:c r="B102" s="2" t="n">
        <x:v>11</x:v>
      </x:c>
      <x:c r="C102" s="2" t="str">
        <x:v>Threshold-only case</x:v>
      </x:c>
      <x:c r="D102" s="2"/>
      <x:c r="E102" s="2" t="str">
        <x:v>Reconciled customer orders and delivered unit economics, seasonal NWC, plant/route constraints, basin hazards and applicable taxes</x:v>
      </x:c>
    </x:row>
    <x:row r="103" ht="44" customHeight="1">
      <x:c r="A103" s="2" t="str">
        <x:v>Liechtenstein</x:v>
      </x:c>
      <x:c r="B103" s="2" t="n">
        <x:v>2</x:v>
      </x:c>
      <x:c r="C103" s="2" t="str">
        <x:v>Threshold-only case</x:v>
      </x:c>
      <x:c r="D103" s="2"/>
      <x:c r="E103" s="2" t="str">
        <x:v>Reconciled customer orders and delivered unit economics, seasonal NWC, plant/route constraints, basin hazards and applicable taxes</x:v>
      </x:c>
    </x:row>
    <x:row r="104" ht="44" customHeight="1">
      <x:c r="A104" s="2" t="str">
        <x:v>Lithuania</x:v>
      </x:c>
      <x:c r="B104" s="2" t="n">
        <x:v>11</x:v>
      </x:c>
      <x:c r="C104" s="2" t="str">
        <x:v>Threshold-only case</x:v>
      </x:c>
      <x:c r="D104" s="2"/>
      <x:c r="E104" s="2" t="str">
        <x:v>Reconciled customer orders and delivered unit economics, seasonal NWC, plant/route constraints, basin hazards and applicable taxes</x:v>
      </x:c>
    </x:row>
    <x:row r="105" ht="44" customHeight="1">
      <x:c r="A105" s="2" t="str">
        <x:v>Luxembourg</x:v>
      </x:c>
      <x:c r="B105" s="2" t="n">
        <x:v>11</x:v>
      </x:c>
      <x:c r="C105" s="2" t="str">
        <x:v>Threshold-only case</x:v>
      </x:c>
      <x:c r="D105" s="2"/>
      <x:c r="E105" s="2" t="str">
        <x:v>Reconciled customer orders and delivered unit economics, seasonal NWC, plant/route constraints, basin hazards and applicable taxes</x:v>
      </x:c>
    </x:row>
    <x:row r="106" ht="44" customHeight="1">
      <x:c r="A106" s="2" t="str">
        <x:v>Madagascar</x:v>
      </x:c>
      <x:c r="B106" s="2" t="n">
        <x:v>11</x:v>
      </x:c>
      <x:c r="C106" s="2" t="str">
        <x:v>Threshold-only case</x:v>
      </x:c>
      <x:c r="D106" s="2"/>
      <x:c r="E106" s="2" t="str">
        <x:v>Reconciled customer orders and delivered unit economics, seasonal NWC, plant/route constraints, basin hazards and applicable taxes</x:v>
      </x:c>
    </x:row>
    <x:row r="107" ht="44" customHeight="1">
      <x:c r="A107" s="2" t="str">
        <x:v>Malawi</x:v>
      </x:c>
      <x:c r="B107" s="2" t="n">
        <x:v>11</x:v>
      </x:c>
      <x:c r="C107" s="2" t="str">
        <x:v>Threshold-only case</x:v>
      </x:c>
      <x:c r="D107" s="2"/>
      <x:c r="E107" s="2" t="str">
        <x:v>Reconciled customer orders and delivered unit economics, seasonal NWC, plant/route constraints, basin hazards and applicable taxes</x:v>
      </x:c>
    </x:row>
    <x:row r="108" ht="44" customHeight="1">
      <x:c r="A108" s="2" t="str">
        <x:v>Malaysia</x:v>
      </x:c>
      <x:c r="B108" s="2" t="n">
        <x:v>11</x:v>
      </x:c>
      <x:c r="C108" s="2" t="str">
        <x:v>Threshold-only case</x:v>
      </x:c>
      <x:c r="D108" s="2"/>
      <x:c r="E108" s="2" t="str">
        <x:v>Reconciled customer orders and delivered unit economics, seasonal NWC, plant/route constraints, basin hazards and applicable taxes</x:v>
      </x:c>
    </x:row>
    <x:row r="109" ht="44" customHeight="1">
      <x:c r="A109" s="2" t="str">
        <x:v>Maldives</x:v>
      </x:c>
      <x:c r="B109" s="2" t="n">
        <x:v>11</x:v>
      </x:c>
      <x:c r="C109" s="2" t="str">
        <x:v>Threshold-only case</x:v>
      </x:c>
      <x:c r="D109" s="2"/>
      <x:c r="E109" s="2" t="str">
        <x:v>Reconciled customer orders and delivered unit economics, seasonal NWC, plant/route constraints, basin hazards and applicable taxes</x:v>
      </x:c>
    </x:row>
    <x:row r="110" ht="44" customHeight="1">
      <x:c r="A110" s="2" t="str">
        <x:v>Mali</x:v>
      </x:c>
      <x:c r="B110" s="2" t="n">
        <x:v>11</x:v>
      </x:c>
      <x:c r="C110" s="2" t="str">
        <x:v>Threshold-only case</x:v>
      </x:c>
      <x:c r="D110" s="2"/>
      <x:c r="E110" s="2" t="str">
        <x:v>Reconciled customer orders and delivered unit economics, seasonal NWC, plant/route constraints, basin hazards and applicable taxes</x:v>
      </x:c>
    </x:row>
    <x:row r="111" ht="44" customHeight="1">
      <x:c r="A111" s="2" t="str">
        <x:v>Malta</x:v>
      </x:c>
      <x:c r="B111" s="2" t="n">
        <x:v>11</x:v>
      </x:c>
      <x:c r="C111" s="2" t="str">
        <x:v>Threshold-only case</x:v>
      </x:c>
      <x:c r="D111" s="2"/>
      <x:c r="E111" s="2" t="str">
        <x:v>Reconciled customer orders and delivered unit economics, seasonal NWC, plant/route constraints, basin hazards and applicable taxes</x:v>
      </x:c>
    </x:row>
    <x:row r="112" ht="44" customHeight="1">
      <x:c r="A112" s="2" t="str">
        <x:v>Marshall Islands</x:v>
      </x:c>
      <x:c r="B112" s="2" t="n">
        <x:v>6</x:v>
      </x:c>
      <x:c r="C112" s="2" t="str">
        <x:v>Threshold-only case</x:v>
      </x:c>
      <x:c r="D112" s="2"/>
      <x:c r="E112" s="2" t="str">
        <x:v>Reconciled customer orders and delivered unit economics, seasonal NWC, plant/route constraints, basin hazards and applicable taxes</x:v>
      </x:c>
    </x:row>
    <x:row r="113" ht="44" customHeight="1">
      <x:c r="A113" s="2" t="str">
        <x:v>Mauritania</x:v>
      </x:c>
      <x:c r="B113" s="2" t="n">
        <x:v>11</x:v>
      </x:c>
      <x:c r="C113" s="2" t="str">
        <x:v>Threshold-only case</x:v>
      </x:c>
      <x:c r="D113" s="2"/>
      <x:c r="E113" s="2" t="str">
        <x:v>Reconciled customer orders and delivered unit economics, seasonal NWC, plant/route constraints, basin hazards and applicable taxes</x:v>
      </x:c>
    </x:row>
    <x:row r="114" ht="44" customHeight="1">
      <x:c r="A114" s="2" t="str">
        <x:v>Mauritius</x:v>
      </x:c>
      <x:c r="B114" s="2" t="n">
        <x:v>11</x:v>
      </x:c>
      <x:c r="C114" s="2" t="str">
        <x:v>Threshold-only case</x:v>
      </x:c>
      <x:c r="D114" s="2"/>
      <x:c r="E114" s="2" t="str">
        <x:v>Reconciled customer orders and delivered unit economics, seasonal NWC, plant/route constraints, basin hazards and applicable taxes</x:v>
      </x:c>
    </x:row>
    <x:row r="115" ht="44" customHeight="1">
      <x:c r="A115" s="2" t="str">
        <x:v>Mexico</x:v>
      </x:c>
      <x:c r="B115" s="2" t="n">
        <x:v>11</x:v>
      </x:c>
      <x:c r="C115" s="2" t="str">
        <x:v>Threshold-only case</x:v>
      </x:c>
      <x:c r="D115" s="2"/>
      <x:c r="E115" s="2" t="str">
        <x:v>Reconciled customer orders and delivered unit economics, seasonal NWC, plant/route constraints, basin hazards and applicable taxes</x:v>
      </x:c>
    </x:row>
    <x:row r="116" ht="44" customHeight="1">
      <x:c r="A116" s="2" t="str">
        <x:v>Micronesia (Federated States of)</x:v>
      </x:c>
      <x:c r="B116" s="2" t="n">
        <x:v>10</x:v>
      </x:c>
      <x:c r="C116" s="2" t="str">
        <x:v>Threshold-only case</x:v>
      </x:c>
      <x:c r="D116" s="2"/>
      <x:c r="E116" s="2" t="str">
        <x:v>Reconciled customer orders and delivered unit economics, seasonal NWC, plant/route constraints, basin hazards and applicable taxes</x:v>
      </x:c>
    </x:row>
    <x:row r="117" ht="44" customHeight="1">
      <x:c r="A117" s="2" t="str">
        <x:v>Monaco</x:v>
      </x:c>
      <x:c r="B117" s="2" t="n">
        <x:v>2</x:v>
      </x:c>
      <x:c r="C117" s="2" t="str">
        <x:v>Threshold-only case</x:v>
      </x:c>
      <x:c r="D117" s="2"/>
      <x:c r="E117" s="2" t="str">
        <x:v>Reconciled customer orders and delivered unit economics, seasonal NWC, plant/route constraints, basin hazards and applicable taxes</x:v>
      </x:c>
    </x:row>
    <x:row r="118" ht="44" customHeight="1">
      <x:c r="A118" s="2" t="str">
        <x:v>Mongolia</x:v>
      </x:c>
      <x:c r="B118" s="2" t="n">
        <x:v>11</x:v>
      </x:c>
      <x:c r="C118" s="2" t="str">
        <x:v>Threshold-only case</x:v>
      </x:c>
      <x:c r="D118" s="2"/>
      <x:c r="E118" s="2" t="str">
        <x:v>Reconciled customer orders and delivered unit economics, seasonal NWC, plant/route constraints, basin hazards and applicable taxes</x:v>
      </x:c>
    </x:row>
    <x:row r="119" ht="44" customHeight="1">
      <x:c r="A119" s="2" t="str">
        <x:v>Montenegro</x:v>
      </x:c>
      <x:c r="B119" s="2" t="n">
        <x:v>10</x:v>
      </x:c>
      <x:c r="C119" s="2" t="str">
        <x:v>Threshold-only case</x:v>
      </x:c>
      <x:c r="D119" s="2"/>
      <x:c r="E119" s="2" t="str">
        <x:v>Reconciled customer orders and delivered unit economics, seasonal NWC, plant/route constraints, basin hazards and applicable taxes</x:v>
      </x:c>
    </x:row>
    <x:row r="120" ht="44" customHeight="1">
      <x:c r="A120" s="2" t="str">
        <x:v>Morocco</x:v>
      </x:c>
      <x:c r="B120" s="2" t="n">
        <x:v>11</x:v>
      </x:c>
      <x:c r="C120" s="2" t="str">
        <x:v>Threshold-only case</x:v>
      </x:c>
      <x:c r="D120" s="2"/>
      <x:c r="E120" s="2" t="str">
        <x:v>Reconciled customer orders and delivered unit economics, seasonal NWC, plant/route constraints, basin hazards and applicable taxes</x:v>
      </x:c>
    </x:row>
    <x:row r="121" ht="44" customHeight="1">
      <x:c r="A121" s="2" t="str">
        <x:v>Mozambique</x:v>
      </x:c>
      <x:c r="B121" s="2" t="n">
        <x:v>11</x:v>
      </x:c>
      <x:c r="C121" s="2" t="str">
        <x:v>Threshold-only case</x:v>
      </x:c>
      <x:c r="D121" s="2"/>
      <x:c r="E121" s="2" t="str">
        <x:v>Reconciled customer orders and delivered unit economics, seasonal NWC, plant/route constraints, basin hazards and applicable taxes</x:v>
      </x:c>
    </x:row>
    <x:row r="122" ht="44" customHeight="1">
      <x:c r="A122" s="2" t="str">
        <x:v>Myanmar</x:v>
      </x:c>
      <x:c r="B122" s="2" t="n">
        <x:v>11</x:v>
      </x:c>
      <x:c r="C122" s="2" t="str">
        <x:v>Threshold-only case</x:v>
      </x:c>
      <x:c r="D122" s="2"/>
      <x:c r="E122" s="2" t="str">
        <x:v>Reconciled customer orders and delivered unit economics, seasonal NWC, plant/route constraints, basin hazards and applicable taxes</x:v>
      </x:c>
    </x:row>
    <x:row r="123" ht="44" customHeight="1">
      <x:c r="A123" s="2" t="str">
        <x:v>Namibia</x:v>
      </x:c>
      <x:c r="B123" s="2" t="n">
        <x:v>11</x:v>
      </x:c>
      <x:c r="C123" s="2" t="str">
        <x:v>Threshold-only case</x:v>
      </x:c>
      <x:c r="D123" s="2"/>
      <x:c r="E123" s="2" t="str">
        <x:v>Reconciled customer orders and delivered unit economics, seasonal NWC, plant/route constraints, basin hazards and applicable taxes</x:v>
      </x:c>
    </x:row>
    <x:row r="124" ht="44" customHeight="1">
      <x:c r="A124" s="2" t="str">
        <x:v>Naoero</x:v>
      </x:c>
      <x:c r="B124" s="2" t="n">
        <x:v>7</x:v>
      </x:c>
      <x:c r="C124" s="2" t="str">
        <x:v>Threshold-only case</x:v>
      </x:c>
      <x:c r="D124" s="2"/>
      <x:c r="E124" s="2" t="str">
        <x:v>Reconciled customer orders and delivered unit economics, seasonal NWC, plant/route constraints, basin hazards and applicable taxes</x:v>
      </x:c>
    </x:row>
    <x:row r="125" ht="44" customHeight="1">
      <x:c r="A125" s="2" t="str">
        <x:v>Nepal</x:v>
      </x:c>
      <x:c r="B125" s="2" t="n">
        <x:v>11</x:v>
      </x:c>
      <x:c r="C125" s="2" t="str">
        <x:v>Threshold-only case</x:v>
      </x:c>
      <x:c r="D125" s="2"/>
      <x:c r="E125" s="2" t="str">
        <x:v>Reconciled customer orders and delivered unit economics, seasonal NWC, plant/route constraints, basin hazards and applicable taxes</x:v>
      </x:c>
    </x:row>
    <x:row r="126" ht="44" customHeight="1">
      <x:c r="A126" s="2" t="str">
        <x:v>Netherlands (Kingdom of the)</x:v>
      </x:c>
      <x:c r="B126" s="2" t="n">
        <x:v>11</x:v>
      </x:c>
      <x:c r="C126" s="2" t="str">
        <x:v>Threshold-only case</x:v>
      </x:c>
      <x:c r="D126" s="2"/>
      <x:c r="E126" s="2" t="str">
        <x:v>Reconciled customer orders and delivered unit economics, seasonal NWC, plant/route constraints, basin hazards and applicable taxes</x:v>
      </x:c>
    </x:row>
    <x:row r="127" ht="44" customHeight="1">
      <x:c r="A127" s="2" t="str">
        <x:v>New Zealand</x:v>
      </x:c>
      <x:c r="B127" s="2" t="n">
        <x:v>11</x:v>
      </x:c>
      <x:c r="C127" s="2" t="str">
        <x:v>Threshold-only case</x:v>
      </x:c>
      <x:c r="D127" s="2"/>
      <x:c r="E127" s="2" t="str">
        <x:v>Reconciled customer orders and delivered unit economics, seasonal NWC, plant/route constraints, basin hazards and applicable taxes</x:v>
      </x:c>
    </x:row>
    <x:row r="128" ht="44" customHeight="1">
      <x:c r="A128" s="2" t="str">
        <x:v>Nicaragua</x:v>
      </x:c>
      <x:c r="B128" s="2" t="n">
        <x:v>11</x:v>
      </x:c>
      <x:c r="C128" s="2" t="str">
        <x:v>Threshold-only case</x:v>
      </x:c>
      <x:c r="D128" s="2"/>
      <x:c r="E128" s="2" t="str">
        <x:v>Reconciled customer orders and delivered unit economics, seasonal NWC, plant/route constraints, basin hazards and applicable taxes</x:v>
      </x:c>
    </x:row>
    <x:row r="129" ht="44" customHeight="1">
      <x:c r="A129" s="2" t="str">
        <x:v>Niger</x:v>
      </x:c>
      <x:c r="B129" s="2" t="n">
        <x:v>11</x:v>
      </x:c>
      <x:c r="C129" s="2" t="str">
        <x:v>Threshold-only case</x:v>
      </x:c>
      <x:c r="D129" s="2"/>
      <x:c r="E129" s="2" t="str">
        <x:v>Reconciled customer orders and delivered unit economics, seasonal NWC, plant/route constraints, basin hazards and applicable taxes</x:v>
      </x:c>
    </x:row>
    <x:row r="130" ht="44" customHeight="1">
      <x:c r="A130" s="2" t="str">
        <x:v>Nigeria</x:v>
      </x:c>
      <x:c r="B130" s="2" t="n">
        <x:v>11</x:v>
      </x:c>
      <x:c r="C130" s="2" t="str">
        <x:v>Threshold-only case</x:v>
      </x:c>
      <x:c r="D130" s="2"/>
      <x:c r="E130" s="2" t="str">
        <x:v>Reconciled customer orders and delivered unit economics, seasonal NWC, plant/route constraints, basin hazards and applicable taxes</x:v>
      </x:c>
    </x:row>
    <x:row r="131" ht="44" customHeight="1">
      <x:c r="A131" s="2" t="str">
        <x:v>North Macedonia</x:v>
      </x:c>
      <x:c r="B131" s="2" t="n">
        <x:v>11</x:v>
      </x:c>
      <x:c r="C131" s="2" t="str">
        <x:v>Threshold-only case</x:v>
      </x:c>
      <x:c r="D131" s="2"/>
      <x:c r="E131" s="2" t="str">
        <x:v>Reconciled customer orders and delivered unit economics, seasonal NWC, plant/route constraints, basin hazards and applicable taxes</x:v>
      </x:c>
    </x:row>
    <x:row r="132" ht="44" customHeight="1">
      <x:c r="A132" s="2" t="str">
        <x:v>Norway</x:v>
      </x:c>
      <x:c r="B132" s="2" t="n">
        <x:v>11</x:v>
      </x:c>
      <x:c r="C132" s="2" t="str">
        <x:v>Threshold-only case</x:v>
      </x:c>
      <x:c r="D132" s="2"/>
      <x:c r="E132" s="2" t="str">
        <x:v>Reconciled customer orders and delivered unit economics, seasonal NWC, plant/route constraints, basin hazards and applicable taxes</x:v>
      </x:c>
    </x:row>
    <x:row r="133" ht="44" customHeight="1">
      <x:c r="A133" s="2" t="str">
        <x:v>Oman</x:v>
      </x:c>
      <x:c r="B133" s="2" t="n">
        <x:v>11</x:v>
      </x:c>
      <x:c r="C133" s="2" t="str">
        <x:v>Threshold-only case</x:v>
      </x:c>
      <x:c r="D133" s="2"/>
      <x:c r="E133" s="2" t="str">
        <x:v>Reconciled customer orders and delivered unit economics, seasonal NWC, plant/route constraints, basin hazards and applicable taxes</x:v>
      </x:c>
    </x:row>
    <x:row r="134" ht="44" customHeight="1">
      <x:c r="A134" s="2" t="str">
        <x:v>Pakistan</x:v>
      </x:c>
      <x:c r="B134" s="2" t="n">
        <x:v>11</x:v>
      </x:c>
      <x:c r="C134" s="2" t="str">
        <x:v>Threshold-only case</x:v>
      </x:c>
      <x:c r="D134" s="2"/>
      <x:c r="E134" s="2" t="str">
        <x:v>Reconciled customer orders and delivered unit economics, seasonal NWC, plant/route constraints, basin hazards and applicable taxes</x:v>
      </x:c>
    </x:row>
    <x:row r="135" ht="44" customHeight="1">
      <x:c r="A135" s="2" t="str">
        <x:v>Palau</x:v>
      </x:c>
      <x:c r="B135" s="2" t="n">
        <x:v>8</x:v>
      </x:c>
      <x:c r="C135" s="2" t="str">
        <x:v>Threshold-only case</x:v>
      </x:c>
      <x:c r="D135" s="2"/>
      <x:c r="E135" s="2" t="str">
        <x:v>Reconciled customer orders and delivered unit economics, seasonal NWC, plant/route constraints, basin hazards and applicable taxes</x:v>
      </x:c>
    </x:row>
    <x:row r="136" ht="44" customHeight="1">
      <x:c r="A136" s="2" t="str">
        <x:v>Panama</x:v>
      </x:c>
      <x:c r="B136" s="2" t="n">
        <x:v>11</x:v>
      </x:c>
      <x:c r="C136" s="2" t="str">
        <x:v>Threshold-only case</x:v>
      </x:c>
      <x:c r="D136" s="2"/>
      <x:c r="E136" s="2" t="str">
        <x:v>Reconciled customer orders and delivered unit economics, seasonal NWC, plant/route constraints, basin hazards and applicable taxes</x:v>
      </x:c>
    </x:row>
    <x:row r="137" ht="44" customHeight="1">
      <x:c r="A137" s="2" t="str">
        <x:v>Papua New Guinea</x:v>
      </x:c>
      <x:c r="B137" s="2" t="n">
        <x:v>11</x:v>
      </x:c>
      <x:c r="C137" s="2" t="str">
        <x:v>Threshold-only case</x:v>
      </x:c>
      <x:c r="D137" s="2"/>
      <x:c r="E137" s="2" t="str">
        <x:v>Reconciled customer orders and delivered unit economics, seasonal NWC, plant/route constraints, basin hazards and applicable taxes</x:v>
      </x:c>
    </x:row>
    <x:row r="138" ht="44" customHeight="1">
      <x:c r="A138" s="2" t="str">
        <x:v>Paraguay</x:v>
      </x:c>
      <x:c r="B138" s="2" t="n">
        <x:v>11</x:v>
      </x:c>
      <x:c r="C138" s="2" t="str">
        <x:v>Threshold-only case</x:v>
      </x:c>
      <x:c r="D138" s="2"/>
      <x:c r="E138" s="2" t="str">
        <x:v>Reconciled customer orders and delivered unit economics, seasonal NWC, plant/route constraints, basin hazards and applicable taxes</x:v>
      </x:c>
    </x:row>
    <x:row r="139" ht="44" customHeight="1">
      <x:c r="A139" s="2" t="str">
        <x:v>Peru</x:v>
      </x:c>
      <x:c r="B139" s="2" t="n">
        <x:v>11</x:v>
      </x:c>
      <x:c r="C139" s="2" t="str">
        <x:v>Threshold-only case</x:v>
      </x:c>
      <x:c r="D139" s="2"/>
      <x:c r="E139" s="2" t="str">
        <x:v>Reconciled customer orders and delivered unit economics, seasonal NWC, plant/route constraints, basin hazards and applicable taxes</x:v>
      </x:c>
    </x:row>
    <x:row r="140" ht="44" customHeight="1">
      <x:c r="A140" s="2" t="str">
        <x:v>Philippines</x:v>
      </x:c>
      <x:c r="B140" s="2" t="n">
        <x:v>11</x:v>
      </x:c>
      <x:c r="C140" s="2" t="str">
        <x:v>Threshold-only case</x:v>
      </x:c>
      <x:c r="D140" s="2"/>
      <x:c r="E140" s="2" t="str">
        <x:v>Reconciled customer orders and delivered unit economics, seasonal NWC, plant/route constraints, basin hazards and applicable taxes</x:v>
      </x:c>
    </x:row>
    <x:row r="141" ht="44" customHeight="1">
      <x:c r="A141" s="2" t="str">
        <x:v>Poland</x:v>
      </x:c>
      <x:c r="B141" s="2" t="n">
        <x:v>11</x:v>
      </x:c>
      <x:c r="C141" s="2" t="str">
        <x:v>Threshold-only case</x:v>
      </x:c>
      <x:c r="D141" s="2"/>
      <x:c r="E141" s="2" t="str">
        <x:v>Reconciled customer orders and delivered unit economics, seasonal NWC, plant/route constraints, basin hazards and applicable taxes</x:v>
      </x:c>
    </x:row>
    <x:row r="142" ht="44" customHeight="1">
      <x:c r="A142" s="2" t="str">
        <x:v>Portugal</x:v>
      </x:c>
      <x:c r="B142" s="2" t="n">
        <x:v>11</x:v>
      </x:c>
      <x:c r="C142" s="2" t="str">
        <x:v>Threshold-only case</x:v>
      </x:c>
      <x:c r="D142" s="2"/>
      <x:c r="E142" s="2" t="str">
        <x:v>Reconciled customer orders and delivered unit economics, seasonal NWC, plant/route constraints, basin hazards and applicable taxes</x:v>
      </x:c>
    </x:row>
    <x:row r="143" ht="44" customHeight="1">
      <x:c r="A143" s="2" t="str">
        <x:v>Qatar</x:v>
      </x:c>
      <x:c r="B143" s="2" t="n">
        <x:v>11</x:v>
      </x:c>
      <x:c r="C143" s="2" t="str">
        <x:v>Threshold-only case</x:v>
      </x:c>
      <x:c r="D143" s="2"/>
      <x:c r="E143" s="2" t="str">
        <x:v>Reconciled customer orders and delivered unit economics, seasonal NWC, plant/route constraints, basin hazards and applicable taxes</x:v>
      </x:c>
    </x:row>
    <x:row r="144" ht="44" customHeight="1">
      <x:c r="A144" s="2" t="str">
        <x:v>Republic of Korea</x:v>
      </x:c>
      <x:c r="B144" s="2" t="n">
        <x:v>11</x:v>
      </x:c>
      <x:c r="C144" s="2" t="str">
        <x:v>Threshold-only case</x:v>
      </x:c>
      <x:c r="D144" s="2"/>
      <x:c r="E144" s="2" t="str">
        <x:v>Reconciled customer orders and delivered unit economics, seasonal NWC, plant/route constraints, basin hazards and applicable taxes</x:v>
      </x:c>
    </x:row>
    <x:row r="145" ht="44" customHeight="1">
      <x:c r="A145" s="2" t="str">
        <x:v>Republic of Moldova</x:v>
      </x:c>
      <x:c r="B145" s="2" t="n">
        <x:v>11</x:v>
      </x:c>
      <x:c r="C145" s="2" t="str">
        <x:v>Threshold-only case</x:v>
      </x:c>
      <x:c r="D145" s="2"/>
      <x:c r="E145" s="2" t="str">
        <x:v>Reconciled customer orders and delivered unit economics, seasonal NWC, plant/route constraints, basin hazards and applicable taxes</x:v>
      </x:c>
    </x:row>
    <x:row r="146" ht="44" customHeight="1">
      <x:c r="A146" s="2" t="str">
        <x:v>Romania</x:v>
      </x:c>
      <x:c r="B146" s="2" t="n">
        <x:v>11</x:v>
      </x:c>
      <x:c r="C146" s="2" t="str">
        <x:v>Threshold-only case</x:v>
      </x:c>
      <x:c r="D146" s="2"/>
      <x:c r="E146" s="2" t="str">
        <x:v>Reconciled customer orders and delivered unit economics, seasonal NWC, plant/route constraints, basin hazards and applicable taxes</x:v>
      </x:c>
    </x:row>
    <x:row r="147" ht="44" customHeight="1">
      <x:c r="A147" s="2" t="str">
        <x:v>Russian Federation</x:v>
      </x:c>
      <x:c r="B147" s="2" t="n">
        <x:v>11</x:v>
      </x:c>
      <x:c r="C147" s="2" t="str">
        <x:v>Threshold-only case</x:v>
      </x:c>
      <x:c r="D147" s="2"/>
      <x:c r="E147" s="2" t="str">
        <x:v>Reconciled customer orders and delivered unit economics, seasonal NWC, plant/route constraints, basin hazards and applicable taxes</x:v>
      </x:c>
    </x:row>
    <x:row r="148" ht="44" customHeight="1">
      <x:c r="A148" s="2" t="str">
        <x:v>Rwanda</x:v>
      </x:c>
      <x:c r="B148" s="2" t="n">
        <x:v>11</x:v>
      </x:c>
      <x:c r="C148" s="2" t="str">
        <x:v>Threshold-only case</x:v>
      </x:c>
      <x:c r="D148" s="2"/>
      <x:c r="E148" s="2" t="str">
        <x:v>Reconciled customer orders and delivered unit economics, seasonal NWC, plant/route constraints, basin hazards and applicable taxes</x:v>
      </x:c>
    </x:row>
    <x:row r="149" ht="44" customHeight="1">
      <x:c r="A149" s="2" t="str">
        <x:v>Saint Kitts and Nevis</x:v>
      </x:c>
      <x:c r="B149" s="2" t="n">
        <x:v>10</x:v>
      </x:c>
      <x:c r="C149" s="2" t="str">
        <x:v>Threshold-only case</x:v>
      </x:c>
      <x:c r="D149" s="2"/>
      <x:c r="E149" s="2" t="str">
        <x:v>Reconciled customer orders and delivered unit economics, seasonal NWC, plant/route constraints, basin hazards and applicable taxes</x:v>
      </x:c>
    </x:row>
    <x:row r="150" ht="44" customHeight="1">
      <x:c r="A150" s="2" t="str">
        <x:v>Saint Lucia</x:v>
      </x:c>
      <x:c r="B150" s="2" t="n">
        <x:v>10</x:v>
      </x:c>
      <x:c r="C150" s="2" t="str">
        <x:v>Threshold-only case</x:v>
      </x:c>
      <x:c r="D150" s="2"/>
      <x:c r="E150" s="2" t="str">
        <x:v>Reconciled customer orders and delivered unit economics, seasonal NWC, plant/route constraints, basin hazards and applicable taxes</x:v>
      </x:c>
    </x:row>
    <x:row r="151" ht="44" customHeight="1">
      <x:c r="A151" s="2" t="str">
        <x:v>Saint Vincent and the Grenadines</x:v>
      </x:c>
      <x:c r="B151" s="2" t="n">
        <x:v>11</x:v>
      </x:c>
      <x:c r="C151" s="2" t="str">
        <x:v>Threshold-only case</x:v>
      </x:c>
      <x:c r="D151" s="2"/>
      <x:c r="E151" s="2" t="str">
        <x:v>Reconciled customer orders and delivered unit economics, seasonal NWC, plant/route constraints, basin hazards and applicable taxes</x:v>
      </x:c>
    </x:row>
    <x:row r="152" ht="44" customHeight="1">
      <x:c r="A152" s="2" t="str">
        <x:v>Samoa</x:v>
      </x:c>
      <x:c r="B152" s="2" t="n">
        <x:v>9</x:v>
      </x:c>
      <x:c r="C152" s="2" t="str">
        <x:v>Threshold-only case</x:v>
      </x:c>
      <x:c r="D152" s="2"/>
      <x:c r="E152" s="2" t="str">
        <x:v>Reconciled customer orders and delivered unit economics, seasonal NWC, plant/route constraints, basin hazards and applicable taxes</x:v>
      </x:c>
    </x:row>
    <x:row r="153" ht="44" customHeight="1">
      <x:c r="A153" s="2" t="str">
        <x:v>San Marino</x:v>
      </x:c>
      <x:c r="B153" s="2" t="n">
        <x:v>4</x:v>
      </x:c>
      <x:c r="C153" s="2" t="str">
        <x:v>Threshold-only case</x:v>
      </x:c>
      <x:c r="D153" s="2"/>
      <x:c r="E153" s="2" t="str">
        <x:v>Reconciled customer orders and delivered unit economics, seasonal NWC, plant/route constraints, basin hazards and applicable taxes</x:v>
      </x:c>
    </x:row>
    <x:row r="154" ht="44" customHeight="1">
      <x:c r="A154" s="2" t="str">
        <x:v>Sao Tome and Principe</x:v>
      </x:c>
      <x:c r="B154" s="2" t="n">
        <x:v>11</x:v>
      </x:c>
      <x:c r="C154" s="2" t="str">
        <x:v>Threshold-only case</x:v>
      </x:c>
      <x:c r="D154" s="2"/>
      <x:c r="E154" s="2" t="str">
        <x:v>Reconciled customer orders and delivered unit economics, seasonal NWC, plant/route constraints, basin hazards and applicable taxes</x:v>
      </x:c>
    </x:row>
    <x:row r="155" ht="44" customHeight="1">
      <x:c r="A155" s="2" t="str">
        <x:v>Saudi Arabia</x:v>
      </x:c>
      <x:c r="B155" s="2" t="n">
        <x:v>11</x:v>
      </x:c>
      <x:c r="C155" s="2" t="str">
        <x:v>Threshold-only case</x:v>
      </x:c>
      <x:c r="D155" s="2"/>
      <x:c r="E155" s="2" t="str">
        <x:v>Reconciled customer orders and delivered unit economics, seasonal NWC, plant/route constraints, basin hazards and applicable taxes</x:v>
      </x:c>
    </x:row>
    <x:row r="156" ht="44" customHeight="1">
      <x:c r="A156" s="2" t="str">
        <x:v>Senegal</x:v>
      </x:c>
      <x:c r="B156" s="2" t="n">
        <x:v>11</x:v>
      </x:c>
      <x:c r="C156" s="2" t="str">
        <x:v>Threshold-only case</x:v>
      </x:c>
      <x:c r="D156" s="2"/>
      <x:c r="E156" s="2" t="str">
        <x:v>Reconciled customer orders and delivered unit economics, seasonal NWC, plant/route constraints, basin hazards and applicable taxes</x:v>
      </x:c>
    </x:row>
    <x:row r="157" ht="44" customHeight="1">
      <x:c r="A157" s="2" t="str">
        <x:v>Serbia</x:v>
      </x:c>
      <x:c r="B157" s="2" t="n">
        <x:v>11</x:v>
      </x:c>
      <x:c r="C157" s="2" t="str">
        <x:v>Threshold-only case</x:v>
      </x:c>
      <x:c r="D157" s="2"/>
      <x:c r="E157" s="2" t="str">
        <x:v>Reconciled customer orders and delivered unit economics, seasonal NWC, plant/route constraints, basin hazards and applicable taxes</x:v>
      </x:c>
    </x:row>
    <x:row r="158" ht="44" customHeight="1">
      <x:c r="A158" s="2" t="str">
        <x:v>Seychelles</x:v>
      </x:c>
      <x:c r="B158" s="2" t="n">
        <x:v>9</x:v>
      </x:c>
      <x:c r="C158" s="2" t="str">
        <x:v>Threshold-only case</x:v>
      </x:c>
      <x:c r="D158" s="2"/>
      <x:c r="E158" s="2" t="str">
        <x:v>Reconciled customer orders and delivered unit economics, seasonal NWC, plant/route constraints, basin hazards and applicable taxes</x:v>
      </x:c>
    </x:row>
    <x:row r="159" ht="44" customHeight="1">
      <x:c r="A159" s="2" t="str">
        <x:v>Sierra Leone</x:v>
      </x:c>
      <x:c r="B159" s="2" t="n">
        <x:v>11</x:v>
      </x:c>
      <x:c r="C159" s="2" t="str">
        <x:v>Threshold-only case</x:v>
      </x:c>
      <x:c r="D159" s="2"/>
      <x:c r="E159" s="2" t="str">
        <x:v>Reconciled customer orders and delivered unit economics, seasonal NWC, plant/route constraints, basin hazards and applicable taxes</x:v>
      </x:c>
    </x:row>
    <x:row r="160" ht="44" customHeight="1">
      <x:c r="A160" s="2" t="str">
        <x:v>Singapore</x:v>
      </x:c>
      <x:c r="B160" s="2" t="n">
        <x:v>10</x:v>
      </x:c>
      <x:c r="C160" s="2" t="str">
        <x:v>Threshold-only case</x:v>
      </x:c>
      <x:c r="D160" s="2"/>
      <x:c r="E160" s="2" t="str">
        <x:v>Reconciled customer orders and delivered unit economics, seasonal NWC, plant/route constraints, basin hazards and applicable taxes</x:v>
      </x:c>
    </x:row>
    <x:row r="161" ht="44" customHeight="1">
      <x:c r="A161" s="2" t="str">
        <x:v>Slovakia</x:v>
      </x:c>
      <x:c r="B161" s="2" t="n">
        <x:v>11</x:v>
      </x:c>
      <x:c r="C161" s="2" t="str">
        <x:v>Threshold-only case</x:v>
      </x:c>
      <x:c r="D161" s="2"/>
      <x:c r="E161" s="2" t="str">
        <x:v>Reconciled customer orders and delivered unit economics, seasonal NWC, plant/route constraints, basin hazards and applicable taxes</x:v>
      </x:c>
    </x:row>
    <x:row r="162" ht="44" customHeight="1">
      <x:c r="A162" s="2" t="str">
        <x:v>Slovenia</x:v>
      </x:c>
      <x:c r="B162" s="2" t="n">
        <x:v>11</x:v>
      </x:c>
      <x:c r="C162" s="2" t="str">
        <x:v>Threshold-only case</x:v>
      </x:c>
      <x:c r="D162" s="2"/>
      <x:c r="E162" s="2" t="str">
        <x:v>Reconciled customer orders and delivered unit economics, seasonal NWC, plant/route constraints, basin hazards and applicable taxes</x:v>
      </x:c>
    </x:row>
    <x:row r="163" ht="44" customHeight="1">
      <x:c r="A163" s="2" t="str">
        <x:v>Solomon Islands</x:v>
      </x:c>
      <x:c r="B163" s="2" t="n">
        <x:v>10</x:v>
      </x:c>
      <x:c r="C163" s="2" t="str">
        <x:v>Threshold-only case</x:v>
      </x:c>
      <x:c r="D163" s="2"/>
      <x:c r="E163" s="2" t="str">
        <x:v>Reconciled customer orders and delivered unit economics, seasonal NWC, plant/route constraints, basin hazards and applicable taxes</x:v>
      </x:c>
    </x:row>
    <x:row r="164" ht="44" customHeight="1">
      <x:c r="A164" s="2" t="str">
        <x:v>Somalia</x:v>
      </x:c>
      <x:c r="B164" s="2" t="n">
        <x:v>8</x:v>
      </x:c>
      <x:c r="C164" s="2" t="str">
        <x:v>Threshold-only case</x:v>
      </x:c>
      <x:c r="D164" s="2"/>
      <x:c r="E164" s="2" t="str">
        <x:v>Reconciled customer orders and delivered unit economics, seasonal NWC, plant/route constraints, basin hazards and applicable taxes</x:v>
      </x:c>
    </x:row>
    <x:row r="165" ht="44" customHeight="1">
      <x:c r="A165" s="2" t="str">
        <x:v>South Africa</x:v>
      </x:c>
      <x:c r="B165" s="2" t="n">
        <x:v>11</x:v>
      </x:c>
      <x:c r="C165" s="2" t="str">
        <x:v>Threshold-only case</x:v>
      </x:c>
      <x:c r="D165" s="2"/>
      <x:c r="E165" s="2" t="str">
        <x:v>Reconciled customer orders and delivered unit economics, seasonal NWC, plant/route constraints, basin hazards and applicable taxes</x:v>
      </x:c>
    </x:row>
    <x:row r="166" ht="44" customHeight="1">
      <x:c r="A166" s="2" t="str">
        <x:v>South Sudan</x:v>
      </x:c>
      <x:c r="B166" s="2" t="n">
        <x:v>8</x:v>
      </x:c>
      <x:c r="C166" s="2" t="str">
        <x:v>Threshold-only case</x:v>
      </x:c>
      <x:c r="D166" s="2"/>
      <x:c r="E166" s="2" t="str">
        <x:v>Reconciled customer orders and delivered unit economics, seasonal NWC, plant/route constraints, basin hazards and applicable taxes</x:v>
      </x:c>
    </x:row>
    <x:row r="167" ht="44" customHeight="1">
      <x:c r="A167" s="2" t="str">
        <x:v>Spain</x:v>
      </x:c>
      <x:c r="B167" s="2" t="n">
        <x:v>11</x:v>
      </x:c>
      <x:c r="C167" s="2" t="str">
        <x:v>Threshold-only case</x:v>
      </x:c>
      <x:c r="D167" s="2"/>
      <x:c r="E167" s="2" t="str">
        <x:v>Reconciled customer orders and delivered unit economics, seasonal NWC, plant/route constraints, basin hazards and applicable taxes</x:v>
      </x:c>
    </x:row>
    <x:row r="168" ht="44" customHeight="1">
      <x:c r="A168" s="2" t="str">
        <x:v>Sri Lanka</x:v>
      </x:c>
      <x:c r="B168" s="2" t="n">
        <x:v>11</x:v>
      </x:c>
      <x:c r="C168" s="2" t="str">
        <x:v>Threshold-only case</x:v>
      </x:c>
      <x:c r="D168" s="2"/>
      <x:c r="E168" s="2" t="str">
        <x:v>Reconciled customer orders and delivered unit economics, seasonal NWC, plant/route constraints, basin hazards and applicable taxes</x:v>
      </x:c>
    </x:row>
    <x:row r="169" ht="44" customHeight="1">
      <x:c r="A169" s="2" t="str">
        <x:v>State of Palestine</x:v>
      </x:c>
      <x:c r="B169" s="2" t="n">
        <x:v>9</x:v>
      </x:c>
      <x:c r="C169" s="2" t="str">
        <x:v>Threshold-only case</x:v>
      </x:c>
      <x:c r="D169" s="2"/>
      <x:c r="E169" s="2" t="str">
        <x:v>Reconciled customer orders and delivered unit economics, seasonal NWC, plant/route constraints, basin hazards and applicable taxes</x:v>
      </x:c>
    </x:row>
    <x:row r="170" ht="44" customHeight="1">
      <x:c r="A170" s="2" t="str">
        <x:v>Sudan</x:v>
      </x:c>
      <x:c r="B170" s="2" t="n">
        <x:v>11</x:v>
      </x:c>
      <x:c r="C170" s="2" t="str">
        <x:v>Threshold-only case</x:v>
      </x:c>
      <x:c r="D170" s="2"/>
      <x:c r="E170" s="2" t="str">
        <x:v>Reconciled customer orders and delivered unit economics, seasonal NWC, plant/route constraints, basin hazards and applicable taxes</x:v>
      </x:c>
    </x:row>
    <x:row r="171" ht="44" customHeight="1">
      <x:c r="A171" s="2" t="str">
        <x:v>Suriname</x:v>
      </x:c>
      <x:c r="B171" s="2" t="n">
        <x:v>11</x:v>
      </x:c>
      <x:c r="C171" s="2" t="str">
        <x:v>Threshold-only case</x:v>
      </x:c>
      <x:c r="D171" s="2"/>
      <x:c r="E171" s="2" t="str">
        <x:v>Reconciled customer orders and delivered unit economics, seasonal NWC, plant/route constraints, basin hazards and applicable taxes</x:v>
      </x:c>
    </x:row>
    <x:row r="172" ht="44" customHeight="1">
      <x:c r="A172" s="2" t="str">
        <x:v>Sweden</x:v>
      </x:c>
      <x:c r="B172" s="2" t="n">
        <x:v>11</x:v>
      </x:c>
      <x:c r="C172" s="2" t="str">
        <x:v>Threshold-only case</x:v>
      </x:c>
      <x:c r="D172" s="2"/>
      <x:c r="E172" s="2" t="str">
        <x:v>Reconciled customer orders and delivered unit economics, seasonal NWC, plant/route constraints, basin hazards and applicable taxes</x:v>
      </x:c>
    </x:row>
    <x:row r="173" ht="44" customHeight="1">
      <x:c r="A173" s="2" t="str">
        <x:v>Switzerland</x:v>
      </x:c>
      <x:c r="B173" s="2" t="n">
        <x:v>11</x:v>
      </x:c>
      <x:c r="C173" s="2" t="str">
        <x:v>Threshold-only case</x:v>
      </x:c>
      <x:c r="D173" s="2"/>
      <x:c r="E173" s="2" t="str">
        <x:v>Reconciled customer orders and delivered unit economics, seasonal NWC, plant/route constraints, basin hazards and applicable taxes</x:v>
      </x:c>
    </x:row>
    <x:row r="174" ht="44" customHeight="1">
      <x:c r="A174" s="2" t="str">
        <x:v>Syrian Arab Republic</x:v>
      </x:c>
      <x:c r="B174" s="2" t="n">
        <x:v>11</x:v>
      </x:c>
      <x:c r="C174" s="2" t="str">
        <x:v>Threshold-only case</x:v>
      </x:c>
      <x:c r="D174" s="2"/>
      <x:c r="E174" s="2" t="str">
        <x:v>Reconciled customer orders and delivered unit economics, seasonal NWC, plant/route constraints, basin hazards and applicable taxes</x:v>
      </x:c>
    </x:row>
    <x:row r="175" ht="44" customHeight="1">
      <x:c r="A175" s="2" t="str">
        <x:v>Tajikistan</x:v>
      </x:c>
      <x:c r="B175" s="2" t="n">
        <x:v>11</x:v>
      </x:c>
      <x:c r="C175" s="2" t="str">
        <x:v>Threshold-only case</x:v>
      </x:c>
      <x:c r="D175" s="2"/>
      <x:c r="E175" s="2" t="str">
        <x:v>Reconciled customer orders and delivered unit economics, seasonal NWC, plant/route constraints, basin hazards and applicable taxes</x:v>
      </x:c>
    </x:row>
    <x:row r="176" ht="44" customHeight="1">
      <x:c r="A176" s="2" t="str">
        <x:v>Thailand</x:v>
      </x:c>
      <x:c r="B176" s="2" t="n">
        <x:v>11</x:v>
      </x:c>
      <x:c r="C176" s="2" t="str">
        <x:v>Threshold-only case</x:v>
      </x:c>
      <x:c r="D176" s="2"/>
      <x:c r="E176" s="2" t="str">
        <x:v>Reconciled customer orders and delivered unit economics, seasonal NWC, plant/route constraints, basin hazards and applicable taxes</x:v>
      </x:c>
    </x:row>
    <x:row r="177" ht="44" customHeight="1">
      <x:c r="A177" s="2" t="str">
        <x:v>Timor-Leste</x:v>
      </x:c>
      <x:c r="B177" s="2" t="n">
        <x:v>11</x:v>
      </x:c>
      <x:c r="C177" s="2" t="str">
        <x:v>Threshold-only case</x:v>
      </x:c>
      <x:c r="D177" s="2"/>
      <x:c r="E177" s="2" t="str">
        <x:v>Reconciled customer orders and delivered unit economics, seasonal NWC, plant/route constraints, basin hazards and applicable taxes</x:v>
      </x:c>
    </x:row>
    <x:row r="178" ht="44" customHeight="1">
      <x:c r="A178" s="2" t="str">
        <x:v>Togo</x:v>
      </x:c>
      <x:c r="B178" s="2" t="n">
        <x:v>11</x:v>
      </x:c>
      <x:c r="C178" s="2" t="str">
        <x:v>Threshold-only case</x:v>
      </x:c>
      <x:c r="D178" s="2"/>
      <x:c r="E178" s="2" t="str">
        <x:v>Reconciled customer orders and delivered unit economics, seasonal NWC, plant/route constraints, basin hazards and applicable taxes</x:v>
      </x:c>
    </x:row>
    <x:row r="179" ht="44" customHeight="1">
      <x:c r="A179" s="2" t="str">
        <x:v>Tonga</x:v>
      </x:c>
      <x:c r="B179" s="2" t="n">
        <x:v>9</x:v>
      </x:c>
      <x:c r="C179" s="2" t="str">
        <x:v>Threshold-only case</x:v>
      </x:c>
      <x:c r="D179" s="2"/>
      <x:c r="E179" s="2" t="str">
        <x:v>Reconciled customer orders and delivered unit economics, seasonal NWC, plant/route constraints, basin hazards and applicable taxes</x:v>
      </x:c>
    </x:row>
    <x:row r="180" ht="44" customHeight="1">
      <x:c r="A180" s="2" t="str">
        <x:v>Trinidad and Tobago</x:v>
      </x:c>
      <x:c r="B180" s="2" t="n">
        <x:v>11</x:v>
      </x:c>
      <x:c r="C180" s="2" t="str">
        <x:v>Threshold-only case</x:v>
      </x:c>
      <x:c r="D180" s="2"/>
      <x:c r="E180" s="2" t="str">
        <x:v>Reconciled customer orders and delivered unit economics, seasonal NWC, plant/route constraints, basin hazards and applicable taxes</x:v>
      </x:c>
    </x:row>
    <x:row r="181" ht="44" customHeight="1">
      <x:c r="A181" s="2" t="str">
        <x:v>Tunisia</x:v>
      </x:c>
      <x:c r="B181" s="2" t="n">
        <x:v>11</x:v>
      </x:c>
      <x:c r="C181" s="2" t="str">
        <x:v>Threshold-only case</x:v>
      </x:c>
      <x:c r="D181" s="2"/>
      <x:c r="E181" s="2" t="str">
        <x:v>Reconciled customer orders and delivered unit economics, seasonal NWC, plant/route constraints, basin hazards and applicable taxes</x:v>
      </x:c>
    </x:row>
    <x:row r="182" ht="44" customHeight="1">
      <x:c r="A182" s="2" t="str">
        <x:v>Turkmenistan</x:v>
      </x:c>
      <x:c r="B182" s="2" t="n">
        <x:v>10</x:v>
      </x:c>
      <x:c r="C182" s="2" t="str">
        <x:v>Threshold-only case</x:v>
      </x:c>
      <x:c r="D182" s="2"/>
      <x:c r="E182" s="2" t="str">
        <x:v>Reconciled customer orders and delivered unit economics, seasonal NWC, plant/route constraints, basin hazards and applicable taxes</x:v>
      </x:c>
    </x:row>
    <x:row r="183" ht="44" customHeight="1">
      <x:c r="A183" s="2" t="str">
        <x:v>Tuvalu</x:v>
      </x:c>
      <x:c r="B183" s="2" t="n">
        <x:v>9</x:v>
      </x:c>
      <x:c r="C183" s="2" t="str">
        <x:v>Threshold-only case</x:v>
      </x:c>
      <x:c r="D183" s="2"/>
      <x:c r="E183" s="2" t="str">
        <x:v>Reconciled customer orders and delivered unit economics, seasonal NWC, plant/route constraints, basin hazards and applicable taxes</x:v>
      </x:c>
    </x:row>
    <x:row r="184" ht="44" customHeight="1">
      <x:c r="A184" s="2" t="str">
        <x:v>Türkiye</x:v>
      </x:c>
      <x:c r="B184" s="2" t="n">
        <x:v>11</x:v>
      </x:c>
      <x:c r="C184" s="2" t="str">
        <x:v>Threshold-only case</x:v>
      </x:c>
      <x:c r="D184" s="2"/>
      <x:c r="E184" s="2" t="str">
        <x:v>Reconciled customer orders and delivered unit economics, seasonal NWC, plant/route constraints, basin hazards and applicable taxes</x:v>
      </x:c>
    </x:row>
    <x:row r="185" ht="44" customHeight="1">
      <x:c r="A185" s="2" t="str">
        <x:v>Uganda</x:v>
      </x:c>
      <x:c r="B185" s="2" t="n">
        <x:v>11</x:v>
      </x:c>
      <x:c r="C185" s="2" t="str">
        <x:v>Threshold-only case</x:v>
      </x:c>
      <x:c r="D185" s="2"/>
      <x:c r="E185" s="2" t="str">
        <x:v>Reconciled customer orders and delivered unit economics, seasonal NWC, plant/route constraints, basin hazards and applicable taxes</x:v>
      </x:c>
    </x:row>
    <x:row r="186" ht="44" customHeight="1">
      <x:c r="A186" s="2" t="str">
        <x:v>Ukraine</x:v>
      </x:c>
      <x:c r="B186" s="2" t="n">
        <x:v>11</x:v>
      </x:c>
      <x:c r="C186" s="2" t="str">
        <x:v>Threshold-only case</x:v>
      </x:c>
      <x:c r="D186" s="2"/>
      <x:c r="E186" s="2" t="str">
        <x:v>Reconciled customer orders and delivered unit economics, seasonal NWC, plant/route constraints, basin hazards and applicable taxes</x:v>
      </x:c>
    </x:row>
    <x:row r="187" ht="44" customHeight="1">
      <x:c r="A187" s="2" t="str">
        <x:v>United Arab Emirates</x:v>
      </x:c>
      <x:c r="B187" s="2" t="n">
        <x:v>11</x:v>
      </x:c>
      <x:c r="C187" s="2" t="str">
        <x:v>Threshold-only case</x:v>
      </x:c>
      <x:c r="D187" s="2"/>
      <x:c r="E187" s="2" t="str">
        <x:v>Reconciled customer orders and delivered unit economics, seasonal NWC, plant/route constraints, basin hazards and applicable taxes</x:v>
      </x:c>
    </x:row>
    <x:row r="188" ht="44" customHeight="1">
      <x:c r="A188" s="2" t="str">
        <x:v>United Kingdom of Great Britain and Northern Ireland</x:v>
      </x:c>
      <x:c r="B188" s="2" t="n">
        <x:v>11</x:v>
      </x:c>
      <x:c r="C188" s="2" t="str">
        <x:v>Threshold-only case</x:v>
      </x:c>
      <x:c r="D188" s="2"/>
      <x:c r="E188" s="2" t="str">
        <x:v>Reconciled customer orders and delivered unit economics, seasonal NWC, plant/route constraints, basin hazards and applicable taxes</x:v>
      </x:c>
    </x:row>
    <x:row r="189" ht="44" customHeight="1">
      <x:c r="A189" s="2" t="str">
        <x:v>United Republic of Tanzania</x:v>
      </x:c>
      <x:c r="B189" s="2" t="n">
        <x:v>11</x:v>
      </x:c>
      <x:c r="C189" s="2" t="str">
        <x:v>Threshold-only case</x:v>
      </x:c>
      <x:c r="D189" s="2"/>
      <x:c r="E189" s="2" t="str">
        <x:v>Reconciled customer orders and delivered unit economics, seasonal NWC, plant/route constraints, basin hazards and applicable taxes</x:v>
      </x:c>
    </x:row>
    <x:row r="190" ht="44" customHeight="1">
      <x:c r="A190" s="2" t="str">
        <x:v>United States of America</x:v>
      </x:c>
      <x:c r="B190" s="2" t="n">
        <x:v>11</x:v>
      </x:c>
      <x:c r="C190" s="2" t="str">
        <x:v>Threshold-only case</x:v>
      </x:c>
      <x:c r="D190" s="2"/>
      <x:c r="E190" s="2" t="str">
        <x:v>Reconciled customer orders and delivered unit economics, seasonal NWC, plant/route constraints, basin hazards and applicable taxes</x:v>
      </x:c>
    </x:row>
    <x:row r="191" ht="44" customHeight="1">
      <x:c r="A191" s="2" t="str">
        <x:v>Uruguay</x:v>
      </x:c>
      <x:c r="B191" s="2" t="n">
        <x:v>11</x:v>
      </x:c>
      <x:c r="C191" s="2" t="str">
        <x:v>Threshold-only case</x:v>
      </x:c>
      <x:c r="D191" s="2"/>
      <x:c r="E191" s="2" t="str">
        <x:v>Reconciled customer orders and delivered unit economics, seasonal NWC, plant/route constraints, basin hazards and applicable taxes</x:v>
      </x:c>
    </x:row>
    <x:row r="192" ht="44" customHeight="1">
      <x:c r="A192" s="2" t="str">
        <x:v>Uzbekistan</x:v>
      </x:c>
      <x:c r="B192" s="2" t="n">
        <x:v>11</x:v>
      </x:c>
      <x:c r="C192" s="2" t="str">
        <x:v>Threshold-only case</x:v>
      </x:c>
      <x:c r="D192" s="2"/>
      <x:c r="E192" s="2" t="str">
        <x:v>Reconciled customer orders and delivered unit economics, seasonal NWC, plant/route constraints, basin hazards and applicable taxes</x:v>
      </x:c>
    </x:row>
    <x:row r="193" ht="44" customHeight="1">
      <x:c r="A193" s="2" t="str">
        <x:v>Vanuatu</x:v>
      </x:c>
      <x:c r="B193" s="2" t="n">
        <x:v>10</x:v>
      </x:c>
      <x:c r="C193" s="2" t="str">
        <x:v>Threshold-only case</x:v>
      </x:c>
      <x:c r="D193" s="2"/>
      <x:c r="E193" s="2" t="str">
        <x:v>Reconciled customer orders and delivered unit economics, seasonal NWC, plant/route constraints, basin hazards and applicable taxes</x:v>
      </x:c>
    </x:row>
    <x:row r="194" ht="44" customHeight="1">
      <x:c r="A194" s="2" t="str">
        <x:v>Venezuela (Bolivarian Republic of)</x:v>
      </x:c>
      <x:c r="B194" s="2" t="n">
        <x:v>10</x:v>
      </x:c>
      <x:c r="C194" s="2" t="str">
        <x:v>Threshold-only case</x:v>
      </x:c>
      <x:c r="D194" s="2"/>
      <x:c r="E194" s="2" t="str">
        <x:v>Reconciled customer orders and delivered unit economics, seasonal NWC, plant/route constraints, basin hazards and applicable taxes</x:v>
      </x:c>
    </x:row>
    <x:row r="195" ht="44" customHeight="1">
      <x:c r="A195" s="2" t="str">
        <x:v>Viet Nam</x:v>
      </x:c>
      <x:c r="B195" s="2" t="n">
        <x:v>11</x:v>
      </x:c>
      <x:c r="C195" s="2" t="str">
        <x:v>Threshold-only case</x:v>
      </x:c>
      <x:c r="D195" s="2"/>
      <x:c r="E195" s="2" t="str">
        <x:v>Reconciled customer orders and delivered unit economics, seasonal NWC, plant/route constraints, basin hazards and applicable taxes</x:v>
      </x:c>
    </x:row>
    <x:row r="196" ht="44" customHeight="1">
      <x:c r="A196" s="2" t="str">
        <x:v>Yemen</x:v>
      </x:c>
      <x:c r="B196" s="2" t="n">
        <x:v>10</x:v>
      </x:c>
      <x:c r="C196" s="2" t="str">
        <x:v>Threshold-only case</x:v>
      </x:c>
      <x:c r="D196" s="2"/>
      <x:c r="E196" s="2" t="str">
        <x:v>Reconciled customer orders and delivered unit economics, seasonal NWC, plant/route constraints, basin hazards and applicable taxes</x:v>
      </x:c>
    </x:row>
    <x:row r="197" ht="44" customHeight="1">
      <x:c r="A197" s="2" t="str">
        <x:v>Zambia</x:v>
      </x:c>
      <x:c r="B197" s="2" t="n">
        <x:v>11</x:v>
      </x:c>
      <x:c r="C197" s="2" t="str">
        <x:v>Threshold-only case</x:v>
      </x:c>
      <x:c r="D197" s="2"/>
      <x:c r="E197" s="2" t="str">
        <x:v>Reconciled customer orders and delivered unit economics, seasonal NWC, plant/route constraints, basin hazards and applicable taxes</x:v>
      </x:c>
    </x:row>
    <x:row r="198" ht="44" customHeight="1">
      <x:c r="A198" s="2" t="str">
        <x:v>Zimbabwe</x:v>
      </x:c>
      <x:c r="B198" s="2" t="n">
        <x:v>11</x:v>
      </x:c>
      <x:c r="C198" s="2" t="str">
        <x:v>Threshold-only case</x:v>
      </x:c>
      <x:c r="D198" s="2"/>
      <x:c r="E198" s="2" t="str">
        <x:v>Reconciled customer orders and delivered unit economics, seasonal NWC, plant/route constraints, basin hazards and applicable taxes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42" customHeight="1">
      <x:c r="A1" s="5" t="str">
        <x:v>Company Baseline / v1.0.0</x:v>
      </x:c>
      <x:c r="B1" s="2"/>
      <x:c r="C1" s="2"/>
      <x:c r="D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</x:row>
    <x:row r="3" ht="32" customHeight="1">
      <x:c r="A3" s="4" t="str">
        <x:v>Metric</x:v>
      </x:c>
      <x:c r="B3" s="4" t="str">
        <x:v>2024</x:v>
      </x:c>
      <x:c r="C3" s="4" t="str">
        <x:v>2025</x:v>
      </x:c>
      <x:c r="D3" s="4" t="str">
        <x:v>Unit /source</x:v>
      </x:c>
    </x:row>
    <x:row r="4" ht="44" customHeight="1">
      <x:c r="A4" s="2" t="str">
        <x:v>Agri revenue</x:v>
      </x:c>
      <x:c r="B4" s="2" t="n">
        <x:v>24848</x:v>
      </x:c>
      <x:c r="C4" s="2" t="n">
        <x:v>28666</x:v>
      </x:c>
      <x:c r="D4" s="2" t="str">
        <x:v>USD million; CO_AR printed pp. 10–11</x:v>
      </x:c>
    </x:row>
    <x:row r="5" ht="44" customHeight="1">
      <x:c r="A5" s="2" t="str">
        <x:v>Agri EBIT</x:v>
      </x:c>
      <x:c r="B5" s="2" t="n">
        <x:v>765.2</x:v>
      </x:c>
      <x:c r="C5" s="2" t="n">
        <x:v>703.7</x:v>
      </x:c>
      <x:c r="D5" s="2" t="str">
        <x:v>USD million; CO_AR</x:v>
      </x:c>
    </x:row>
    <x:row r="6" ht="44" customHeight="1">
      <x:c r="A6" s="2" t="str">
        <x:v>Sales volume</x:v>
      </x:c>
      <x:c r="B6" s="2" t="n">
        <x:v>45130</x:v>
      </x:c>
      <x:c r="C6" s="2" t="n">
        <x:v>53740</x:v>
      </x:c>
      <x:c r="D6" s="2" t="str">
        <x:v>Thousand tonnes; CO_AR</x:v>
      </x:c>
    </x:row>
    <x:row r="7" ht="44" customHeight="1">
      <x:c r="A7" s="2" t="str">
        <x:v>Derived EBIT margin</x:v>
      </x:c>
      <x:c r="B7" s="8" t="n">
        <x:f>B5/B4</x:f>
        <x:v>0.030795235028976176</x:v>
      </x:c>
      <x:c r="C7" s="8" t="n">
        <x:f>C5/C4</x:f>
        <x:v>0.02454824530803042</x:v>
      </x:c>
      <x:c r="D7" s="2" t="str">
        <x:v>Formula; same entity / period / currency</x:v>
      </x:c>
    </x:row>
    <x:row r="8" ht="44" customHeight="1">
      <x:c r="A8" s="2" t="str">
        <x:v>Handled volume</x:v>
      </x:c>
      <x:c r="B8" s="2"/>
      <x:c r="C8" s="2" t="n">
        <x:v>49474</x:v>
      </x:c>
      <x:c r="D8" s="2" t="str">
        <x:v>Thousand tonnes; different definition</x:v>
      </x:c>
    </x:row>
    <x:row r="9" ht="44" customHeight="1">
      <x:c r="A9" s="2" t="str">
        <x:v>SALIC stake after CFG</x:v>
      </x:c>
      <x:c r="B9" s="2"/>
      <x:c r="C9" s="2" t="n">
        <x:v>0.8181</x:v>
      </x:c>
      <x:c r="D9" s="2" t="str">
        <x:v>30 June 2026;CO_OWN</x:v>
      </x:c>
    </x:row>
    <x:row r="10" ht="44" customHeight="1">
      <x:c r="A10" s="2" t="str">
        <x:v>Olam Group stake</x:v>
      </x:c>
      <x:c r="B10" s="2"/>
      <x:c r="C10" s="2" t="n">
        <x:v>0.1819</x:v>
      </x:c>
      <x:c r="D10" s="2" t="str">
        <x:v>CO_OWN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42" customHeight="1">
      <x:c r="A1" s="5" t="str">
        <x:v>Demand Model / v1.0.0</x:v>
      </x:c>
      <x:c r="B1" s="2"/>
      <x:c r="C1" s="2"/>
      <x:c r="D1" s="2"/>
      <x:c r="E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</x:row>
    <x:row r="3" ht="32" customHeight="1">
      <x:c r="A3" s="4" t="str">
        <x:v>Term /metric</x:v>
      </x:c>
      <x:c r="B3" s="4" t="str">
        <x:v>Estimate</x:v>
      </x:c>
      <x:c r="C3" s="4" t="str">
        <x:v>SE /benchmark</x:v>
      </x:c>
      <x:c r="D3" s="4" t="str">
        <x:v>95%lower</x:v>
      </x:c>
      <x:c r="E3" s="4" t="str">
        <x:v>95%upper</x:v>
      </x:c>
    </x:row>
    <x:row r="4" ht="44" customHeight="1">
      <x:c r="A4" s="2" t="str">
        <x:v>Intercept</x:v>
      </x:c>
      <x:c r="B4" s="2" t="n">
        <x:v>0.018516000640606406</x:v>
      </x:c>
      <x:c r="C4" s="2" t="n">
        <x:v>0.0023122301680442115</x:v>
      </x:c>
      <x:c r="D4" s="2" t="n">
        <x:v>0.01398402951123975</x:v>
      </x:c>
      <x:c r="E4" s="2" t="n">
        <x:v>0.02304797176997306</x:v>
      </x:c>
    </x:row>
    <x:row r="5" ht="44" customHeight="1">
      <x:c r="A5" s="2" t="str">
        <x:v>g_income_ppp</x:v>
      </x:c>
      <x:c r="B5" s="2" t="n">
        <x:v>0.061968956351625956</x:v>
      </x:c>
      <x:c r="C5" s="2" t="n">
        <x:v>0.03749755221516524</x:v>
      </x:c>
      <x:c r="D5" s="2" t="n">
        <x:v>-0.011526245990097925</x:v>
      </x:c>
      <x:c r="E5" s="2" t="n">
        <x:v>0.13546415869334982</x:v>
      </x:c>
    </x:row>
    <x:row r="6" ht="44" customHeight="1">
      <x:c r="A6" s="2" t="str">
        <x:v>du</x:v>
      </x:c>
      <x:c r="B6" s="2" t="n">
        <x:v>0.19449941892062977</x:v>
      </x:c>
      <x:c r="C6" s="2" t="n">
        <x:v>0.40928619971930974</x:v>
      </x:c>
      <x:c r="D6" s="2" t="n">
        <x:v>-0.6077015325292172</x:v>
      </x:c>
      <x:c r="E6" s="2" t="n">
        <x:v>0.9967003703704769</x:v>
      </x:c>
    </x:row>
    <x:row r="7" ht="44" customHeight="1">
      <x:c r="A7" s="2" t="str">
        <x:v>g_cereal_yield</x:v>
      </x:c>
      <x:c r="B7" s="2" t="n">
        <x:v>-0.023314869419778072</x:v>
      </x:c>
      <x:c r="C7" s="2" t="n">
        <x:v>0.019872264291127578</x:v>
      </x:c>
      <x:c r="D7" s="2" t="n">
        <x:v>-0.062264507430388125</x:v>
      </x:c>
      <x:c r="E7" s="2" t="n">
        <x:v>0.015634768590831977</x:v>
      </x:c>
    </x:row>
    <x:row r="8" ht="44" customHeight="1">
      <x:c r="A8" s="2" t="str">
        <x:v>Holdout MAE</x:v>
      </x:c>
      <x:c r="B8" s="2" t="n">
        <x:v>0.048298679438260106</x:v>
      </x:c>
      <x:c r="C8" s="2" t="n">
        <x:v>0.04979376463602411</x:v>
      </x:c>
      <x:c r="D8" s="2"/>
      <x:c r="E8" s="2"/>
    </x:row>
    <x:row r="9" ht="44" customHeight="1">
      <x:c r="A9" s="2" t="str">
        <x:v>In-sample R2</x:v>
      </x:c>
      <x:c r="B9" s="2" t="n">
        <x:v>0.006179198245556017</x:v>
      </x:c>
      <x:c r="C9" s="2"/>
      <x:c r="D9" s="2"/>
      <x:c r="E9" s="2"/>
    </x:row>
    <x:row r="10" ht="44" customHeight="1">
      <x:c r="A10" s="2" t="str">
        <x:v>Selection</x:v>
      </x:c>
      <x:c r="B10" s="2" t="str">
        <x:v>Reject for country investment forecasting. Keep simple benchmarks until product and operating data exist.</x:v>
      </x:c>
      <x:c r="C10" s="2"/>
      <x:c r="D10" s="2"/>
      <x:c r="E10" s="2"/>
    </x:row>
    <x:row r="11" ht="44" customHeight="1">
      <x:c r="A11" s="2" t="str">
        <x:v>Vintage</x:v>
      </x:c>
      <x:c r="B11" s="2" t="str">
        <x:v>Retrospective latest WDI; 2019–2022 holdout; supply, not demand</x:v>
      </x:c>
      <x:c r="C11" s="2"/>
      <x:c r="D11" s="2"/>
      <x:c r="E11" s="2"/>
    </x:row>
  </x:sheetData>
  <x:mergeCells>
    <x:mergeCell ref="A1:E1"/>
    <x:mergeCell ref="A2:E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42" customHeight="1">
      <x:c r="A1" s="5" t="str">
        <x:v>Trade Model / v1.0.0</x:v>
      </x:c>
      <x:c r="B1" s="2"/>
      <x:c r="C1" s="2"/>
    </x:row>
    <x:row r="2" ht="42" customHeight="1">
      <x:c r="A2" s="2" t="str">
        <x:v>Public evidence + chosen examples; no Olam internal investment valuation</x:v>
      </x:c>
      <x:c r="B2" s="2"/>
      <x:c r="C2" s="2"/>
    </x:row>
    <x:row r="3" ht="32" customHeight="1">
      <x:c r="A3" s="4" t="str">
        <x:v>Evidence</x:v>
      </x:c>
      <x:c r="B3" s="4" t="str">
        <x:v>Value</x:v>
      </x:c>
      <x:c r="C3" s="4" t="str">
        <x:v>Limitation</x:v>
      </x:c>
    </x:row>
    <x:row r="4" ht="44" customHeight="1">
      <x:c r="A4" s="2" t="str">
        <x:v>Nigeria 2024 HS1001 CIF</x:v>
      </x:c>
      <x:c r="B4" s="2" t="n">
        <x:v>1047531844.083</x:v>
      </x:c>
      <x:c r="C4" s="2" t="str">
        <x:v>COMTRADE; USD; weight null; reported flag false</x:v>
      </x:c>
    </x:row>
    <x:row r="5" ht="44" customHeight="1">
      <x:c r="A5" s="2" t="str">
        <x:v>PPML gravity</x:v>
      </x:c>
      <x:c r="B5" s="2" t="str">
        <x:v>Not estimated</x:v>
      </x:c>
      <x:c r="C5" s="2" t="str">
        <x:v>Bilateral product / access inputs unavailable</x:v>
      </x:c>
    </x:row>
    <x:row r="6" ht="44" customHeight="1">
      <x:c r="A6" s="2" t="str">
        <x:v>Olam capture</x:v>
      </x:c>
      <x:c r="B6" s="2" t="str">
        <x:v>Unknown</x:v>
      </x:c>
      <x:c r="C6" s="2" t="str">
        <x:v>Contracted orders required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42" customHeight="1">
      <x:c r="A1" s="5" t="str">
        <x:v>Climate Exposure / v1.0.0</x:v>
      </x:c>
      <x:c r="B1" s="2"/>
      <x:c r="C1" s="2"/>
    </x:row>
    <x:row r="2" ht="42" customHeight="1">
      <x:c r="A2" s="2" t="str">
        <x:v>Public evidence + chosen examples; no Olam internal investment valuation</x:v>
      </x:c>
      <x:c r="B2" s="2"/>
      <x:c r="C2" s="2"/>
    </x:row>
    <x:row r="3" ht="32" customHeight="1">
      <x:c r="A3" s="4" t="str">
        <x:v>Layer</x:v>
      </x:c>
      <x:c r="B3" s="4" t="str">
        <x:v>Current evidence</x:v>
      </x:c>
      <x:c r="C3" s="4" t="str">
        <x:v>Missing decision input</x:v>
      </x:c>
    </x:row>
    <x:row r="4" ht="44" customHeight="1">
      <x:c r="A4" s="2" t="str">
        <x:v>Country</x:v>
      </x:c>
      <x:c r="B4" s="2" t="str">
        <x:v>WDI water stress + IPCC mechanisms</x:v>
      </x:c>
      <x:c r="C4" s="2" t="str">
        <x:v>Crop basin / asset coordinates and hazard</x:v>
      </x:c>
    </x:row>
    <x:row r="5" ht="44" customHeight="1">
      <x:c r="A5" s="2" t="str">
        <x:v>Adaptation</x:v>
      </x:c>
      <x:c r="B5" s="2" t="str">
        <x:v>No company effect estimated</x:v>
      </x:c>
      <x:c r="C5" s="2" t="str">
        <x:v>Cost, delivery saved, water and carbon</x:v>
      </x:c>
    </x:row>
    <x:row r="6" ht="44" customHeight="1">
      <x:c r="A6" s="2" t="str">
        <x:v>Transition</x:v>
      </x:c>
      <x:c r="B6" s="2" t="str">
        <x:v>EUDR source / commodity scope</x:v>
      </x:c>
      <x:c r="C6" s="2" t="str">
        <x:v>Current counsel access review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42" customHeight="1">
      <x:c r="A1" s="5" t="str">
        <x:v>Scenario Inputs / v1.0.0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2" customHeight="1">
      <x:c r="A3" s="4" t="str">
        <x:v>ID</x:v>
      </x:c>
      <x:c r="B3" s="4" t="str">
        <x:v>Name</x:v>
      </x:c>
      <x:c r="C3" s="4" t="str">
        <x:v>Volume</x:v>
      </x:c>
      <x:c r="D3" s="4" t="str">
        <x:v>Growth</x:v>
      </x:c>
      <x:c r="E3" s="4" t="str">
        <x:v>Cost</x:v>
      </x:c>
      <x:c r="F3" s="4" t="str">
        <x:v>Price</x:v>
      </x:c>
      <x:c r="G3" s="4" t="str">
        <x:v>Fixed</x:v>
      </x:c>
      <x:c r="H3" s="4" t="str">
        <x:v>Days</x:v>
      </x:c>
      <x:c r="I3" s="4" t="str">
        <x:v>Rate</x:v>
      </x:c>
      <x:c r="J3" s="4" t="str">
        <x:v>Capacity</x:v>
      </x:c>
    </x:row>
    <x:row r="4" ht="44" customHeight="1">
      <x:c r="A4" s="2" t="str">
        <x:v>managed</x:v>
      </x:c>
      <x:c r="B4" s="2" t="str">
        <x:v>Managed transition</x:v>
      </x:c>
      <x:c r="C4" s="6" t="n">
        <x:v>1</x:v>
      </x:c>
      <x:c r="D4" s="6" t="n">
        <x:v>0.015</x:v>
      </x:c>
      <x:c r="E4" s="6" t="n">
        <x:v>1</x:v>
      </x:c>
      <x:c r="F4" s="6" t="n">
        <x:v>1</x:v>
      </x:c>
      <x:c r="G4" s="6" t="n">
        <x:v>1</x:v>
      </x:c>
      <x:c r="H4" s="6" t="n">
        <x:v>0</x:v>
      </x:c>
      <x:c r="I4" s="6" t="n">
        <x:v>0.1</x:v>
      </x:c>
      <x:c r="J4" s="6" t="n">
        <x:v>1</x:v>
      </x:c>
    </x:row>
    <x:row r="5" ht="44" customHeight="1">
      <x:c r="A5" s="2" t="str">
        <x:v>integration</x:v>
      </x:c>
      <x:c r="B5" s="2" t="str">
        <x:v>Productive integration</x:v>
      </x:c>
      <x:c r="C5" s="6" t="n">
        <x:v>1.12</x:v>
      </x:c>
      <x:c r="D5" s="6" t="n">
        <x:v>0.025</x:v>
      </x:c>
      <x:c r="E5" s="6" t="n">
        <x:v>0.985</x:v>
      </x:c>
      <x:c r="F5" s="6" t="n">
        <x:v>1</x:v>
      </x:c>
      <x:c r="G5" s="6" t="n">
        <x:v>0.98</x:v>
      </x:c>
      <x:c r="H5" s="6" t="n">
        <x:v>-5</x:v>
      </x:c>
      <x:c r="I5" s="6" t="n">
        <x:v>0.09</x:v>
      </x:c>
      <x:c r="J5" s="6" t="n">
        <x:v>1</x:v>
      </x:c>
    </x:row>
    <x:row r="6" ht="44" customHeight="1">
      <x:c r="A6" s="2" t="str">
        <x:v>fragmented</x:v>
      </x:c>
      <x:c r="B6" s="2" t="str">
        <x:v>Fragmented trade</x:v>
      </x:c>
      <x:c r="C6" s="6" t="n">
        <x:v>0.9</x:v>
      </x:c>
      <x:c r="D6" s="6" t="n">
        <x:v>0.005</x:v>
      </x:c>
      <x:c r="E6" s="6" t="n">
        <x:v>1.07</x:v>
      </x:c>
      <x:c r="F6" s="6" t="n">
        <x:v>1.04</x:v>
      </x:c>
      <x:c r="G6" s="6" t="n">
        <x:v>1.1</x:v>
      </x:c>
      <x:c r="H6" s="6" t="n">
        <x:v>15</x:v>
      </x:c>
      <x:c r="I6" s="6" t="n">
        <x:v>0.12</x:v>
      </x:c>
      <x:c r="J6" s="6" t="n">
        <x:v>0.95</x:v>
      </x:c>
    </x:row>
    <x:row r="7" ht="44" customHeight="1">
      <x:c r="A7" s="2" t="str">
        <x:v>physical</x:v>
      </x:c>
      <x:c r="B7" s="2" t="str">
        <x:v>Compound physical stress</x:v>
      </x:c>
      <x:c r="C7" s="6" t="n">
        <x:v>0.82</x:v>
      </x:c>
      <x:c r="D7" s="6" t="n">
        <x:v>0.005</x:v>
      </x:c>
      <x:c r="E7" s="6" t="n">
        <x:v>1.15</x:v>
      </x:c>
      <x:c r="F7" s="6" t="n">
        <x:v>1.06</x:v>
      </x:c>
      <x:c r="G7" s="6" t="n">
        <x:v>1.15</x:v>
      </x:c>
      <x:c r="H7" s="6" t="n">
        <x:v>25</x:v>
      </x:c>
      <x:c r="I7" s="6" t="n">
        <x:v>0.12</x:v>
      </x:c>
      <x:c r="J7" s="6" t="n">
        <x:v>0.8</x:v>
      </x:c>
    </x:row>
    <x:row r="8" ht="44" customHeight="1">
      <x:c r="A8" s="2" t="str">
        <x:v>squeeze</x:v>
      </x:c>
      <x:c r="B8" s="2" t="str">
        <x:v>Affordability and debt squeeze</x:v>
      </x:c>
      <x:c r="C8" s="6" t="n">
        <x:v>0.82</x:v>
      </x:c>
      <x:c r="D8" s="6" t="n">
        <x:v>0</x:v>
      </x:c>
      <x:c r="E8" s="6" t="n">
        <x:v>1.04</x:v>
      </x:c>
      <x:c r="F8" s="6" t="n">
        <x:v>0.99</x:v>
      </x:c>
      <x:c r="G8" s="6" t="n">
        <x:v>1.05</x:v>
      </x:c>
      <x:c r="H8" s="6" t="n">
        <x:v>20</x:v>
      </x:c>
      <x:c r="I8" s="6" t="n">
        <x:v>0.14</x:v>
      </x:c>
      <x:c r="J8" s="6" t="n">
        <x:v>1</x:v>
      </x:c>
    </x:row>
    <x:row r="9" ht="44" customHeight="1">
      <x:c r="A9" s="2" t="str">
        <x:v>nutrition</x:v>
      </x:c>
      <x:c r="B9" s="2" t="str">
        <x:v>Nutrition and resource transition</x:v>
      </x:c>
      <x:c r="C9" s="6" t="n">
        <x:v>1.03</x:v>
      </x:c>
      <x:c r="D9" s="6" t="n">
        <x:v>0.01</x:v>
      </x:c>
      <x:c r="E9" s="6" t="n">
        <x:v>1.02</x:v>
      </x:c>
      <x:c r="F9" s="6" t="n">
        <x:v>1.02</x:v>
      </x:c>
      <x:c r="G9" s="6" t="n">
        <x:v>1.06</x:v>
      </x:c>
      <x:c r="H9" s="6" t="n">
        <x:v>5</x:v>
      </x:c>
      <x:c r="I9" s="6" t="n">
        <x:v>0.1</x:v>
      </x:c>
      <x:c r="J9" s="6" t="n">
        <x:v>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55" hidden="0" customWidth="1"/>
  </x:cols>
  <x:sheetData>
    <x:row r="1" ht="42" customHeight="1">
      <x:c r="A1" s="5" t="str">
        <x:v>Assumptions / v1.0.0</x:v>
      </x:c>
      <x:c r="B1" s="2"/>
      <x:c r="C1" s="2"/>
    </x:row>
    <x:row r="2" ht="42" customHeight="1">
      <x:c r="A2" s="2" t="str">
        <x:v>Public evidence + chosen examples; no Olam internal investment valuation</x:v>
      </x:c>
      <x:c r="B2" s="2"/>
      <x:c r="C2" s="2"/>
    </x:row>
    <x:row r="3" ht="32" customHeight="1">
      <x:c r="A3" s="4" t="str">
        <x:v>Input</x:v>
      </x:c>
      <x:c r="B3" s="4" t="str">
        <x:v>Active value</x:v>
      </x:c>
      <x:c r="C3" s="4" t="str">
        <x:v>Status</x:v>
      </x:c>
    </x:row>
    <x:row r="4" ht="44" customHeight="1">
      <x:c r="A4" s="2" t="str">
        <x:v>Mode index</x:v>
      </x:c>
      <x:c r="B4" s="6" t="n">
        <x:v>3</x:v>
      </x:c>
      <x:c r="C4" s="2" t="str">
        <x:v>Chosen index1–3</x:v>
      </x:c>
    </x:row>
    <x:row r="5" ht="44" customHeight="1">
      <x:c r="A5" s="2" t="str">
        <x:v>Scenario index</x:v>
      </x:c>
      <x:c r="B5" s="6" t="n">
        <x:v>1</x:v>
      </x:c>
      <x:c r="C5" s="2" t="str">
        <x:v>Chosen index1–6</x:v>
      </x:c>
    </x:row>
    <x:row r="6" ht="44" customHeight="1">
      <x:c r="A6" s="2" t="str">
        <x:v>Capex $m</x:v>
      </x:c>
      <x:c r="B6" s="7" t="n">
        <x:f>INDEX(Unit_Economics!C4:C6,$B$4)</x:f>
        <x:v>20</x:v>
      </x:c>
      <x:c r="C6" s="2" t="str">
        <x:v>Active selected template</x:v>
      </x:c>
    </x:row>
    <x:row r="7" ht="44" customHeight="1">
      <x:c r="A7" s="2" t="str">
        <x:v>Fixed cash $m</x:v>
      </x:c>
      <x:c r="B7" s="7" t="n">
        <x:f>INDEX(Unit_Economics!D4:D6,$B$4)</x:f>
        <x:v>2</x:v>
      </x:c>
      <x:c r="C7" s="2" t="str">
        <x:v>Chosen</x:v>
      </x:c>
    </x:row>
    <x:row r="8" ht="44" customHeight="1">
      <x:c r="A8" s="2" t="str">
        <x:v>Capacity tonnes</x:v>
      </x:c>
      <x:c r="B8" s="7" t="n">
        <x:f>INDEX(Unit_Economics!E4:E6,$B$4)</x:f>
        <x:v>150000</x:v>
      </x:c>
      <x:c r="C8" s="2" t="str">
        <x:v>Chosen</x:v>
      </x:c>
    </x:row>
    <x:row r="9" ht="44" customHeight="1">
      <x:c r="A9" s="2" t="str">
        <x:v>Unit cost $/t</x:v>
      </x:c>
      <x:c r="B9" s="7" t="n">
        <x:f>INDEX(Unit_Economics!F4:F6,$B$4)</x:f>
        <x:v>340</x:v>
      </x:c>
      <x:c r="C9" s="2" t="str">
        <x:v>Chosen</x:v>
      </x:c>
    </x:row>
    <x:row r="10" ht="44" customHeight="1">
      <x:c r="A10" s="2" t="str">
        <x:v>Price $/t</x:v>
      </x:c>
      <x:c r="B10" s="7" t="n">
        <x:f>INDEX(Unit_Economics!G4:G6,$B$4)</x:f>
        <x:v>400</x:v>
      </x:c>
      <x:c r="C10" s="2" t="str">
        <x:v>Chosen</x:v>
      </x:c>
    </x:row>
    <x:row r="11" ht="44" customHeight="1">
      <x:c r="A11" s="2" t="str">
        <x:v>Initial orders t</x:v>
      </x:c>
      <x:c r="B11" s="7" t="n">
        <x:f>INDEX(Unit_Economics!H4:H6,$B$4)</x:f>
        <x:v>100000</x:v>
      </x:c>
      <x:c r="C11" s="2" t="str">
        <x:v>Chosen</x:v>
      </x:c>
    </x:row>
    <x:row r="12" ht="44" customHeight="1">
      <x:c r="A12" s="2" t="str">
        <x:v>DSO</x:v>
      </x:c>
      <x:c r="B12" s="7" t="n">
        <x:f>INDEX(Unit_Economics!I4:I6,$B$4)</x:f>
        <x:v>35</x:v>
      </x:c>
      <x:c r="C12" s="2" t="str">
        <x:v>Chosen</x:v>
      </x:c>
    </x:row>
    <x:row r="13" ht="44" customHeight="1">
      <x:c r="A13" s="2" t="str">
        <x:v>DIO</x:v>
      </x:c>
      <x:c r="B13" s="7" t="n">
        <x:f>INDEX(Unit_Economics!J4:J6,$B$4)</x:f>
        <x:v>55</x:v>
      </x:c>
      <x:c r="C13" s="2" t="str">
        <x:v>Chosen</x:v>
      </x:c>
    </x:row>
    <x:row r="14" ht="44" customHeight="1">
      <x:c r="A14" s="2" t="str">
        <x:v>DPO</x:v>
      </x:c>
      <x:c r="B14" s="7" t="n">
        <x:f>INDEX(Unit_Economics!K4:K6,$B$4)</x:f>
        <x:v>25</x:v>
      </x:c>
      <x:c r="C14" s="2" t="str">
        <x:v>Chosen</x:v>
      </x:c>
    </x:row>
    <x:row r="15" ht="44" customHeight="1">
      <x:c r="A15" s="2" t="str">
        <x:v>Order factor</x:v>
      </x:c>
      <x:c r="B15" s="7" t="n">
        <x:f>INDEX(Scenario_Inputs!C4:C9,$B$5)</x:f>
        <x:v>1</x:v>
      </x:c>
      <x:c r="C15" s="2" t="str">
        <x:v>Selected world</x:v>
      </x:c>
    </x:row>
    <x:row r="16" ht="44" customHeight="1">
      <x:c r="A16" s="2" t="str">
        <x:v>Order growth</x:v>
      </x:c>
      <x:c r="B16" s="7" t="n">
        <x:f>INDEX(Scenario_Inputs!D4:D9,$B$5)</x:f>
        <x:v>0.015</x:v>
      </x:c>
      <x:c r="C16" s="2" t="str">
        <x:v>Chosen; halved beyond year 10</x:v>
      </x:c>
    </x:row>
    <x:row r="17" ht="44" customHeight="1">
      <x:c r="A17" s="2" t="str">
        <x:v>Cost factor</x:v>
      </x:c>
      <x:c r="B17" s="7" t="n">
        <x:f>INDEX(Scenario_Inputs!E4:E9,$B$5)</x:f>
        <x:v>1</x:v>
      </x:c>
      <x:c r="C17" s="2" t="str">
        <x:v>Selected world</x:v>
      </x:c>
    </x:row>
    <x:row r="18" ht="44" customHeight="1">
      <x:c r="A18" s="2" t="str">
        <x:v>Price factor</x:v>
      </x:c>
      <x:c r="B18" s="7" t="n">
        <x:f>INDEX(Scenario_Inputs!F4:F9,$B$5)</x:f>
        <x:v>1</x:v>
      </x:c>
      <x:c r="C18" s="2" t="str">
        <x:v>Selected world</x:v>
      </x:c>
    </x:row>
    <x:row r="19" ht="44" customHeight="1">
      <x:c r="A19" s="2" t="str">
        <x:v>Fixed factor</x:v>
      </x:c>
      <x:c r="B19" s="7" t="n">
        <x:f>INDEX(Scenario_Inputs!G4:G9,$B$5)</x:f>
        <x:v>1</x:v>
      </x:c>
      <x:c r="C19" s="2" t="str">
        <x:v>Selected world</x:v>
      </x:c>
    </x:row>
    <x:row r="20" ht="44" customHeight="1">
      <x:c r="A20" s="2" t="str">
        <x:v>Cash days addition</x:v>
      </x:c>
      <x:c r="B20" s="7" t="n">
        <x:f>INDEX(Scenario_Inputs!H4:H9,$B$5)</x:f>
        <x:v>0</x:v>
      </x:c>
      <x:c r="C20" s="2" t="str">
        <x:v>Selected world</x:v>
      </x:c>
    </x:row>
    <x:row r="21" ht="44" customHeight="1">
      <x:c r="A21" s="2" t="str">
        <x:v>Real USD hurdle</x:v>
      </x:c>
      <x:c r="B21" s="7" t="n">
        <x:f>INDEX(Scenario_Inputs!I4:I9,$B$5)</x:f>
        <x:v>0.1</x:v>
      </x:c>
      <x:c r="C21" s="2" t="str">
        <x:v>Not WACC</x:v>
      </x:c>
    </x:row>
    <x:row r="22" ht="44" customHeight="1">
      <x:c r="A22" s="2" t="str">
        <x:v>Capacity factor</x:v>
      </x:c>
      <x:c r="B22" s="7" t="n">
        <x:f>INDEX(Scenario_Inputs!J4:J9,$B$5)</x:f>
        <x:v>1</x:v>
      </x:c>
      <x:c r="C22" s="2" t="str">
        <x:v>Selected world</x:v>
      </x:c>
    </x:row>
    <x:row r="23" ht="44" customHeight="1">
      <x:c r="A23" s="2" t="str">
        <x:v>Tax rate</x:v>
      </x:c>
      <x:c r="B23" s="6" t="n">
        <x:v>0.25</x:v>
      </x:c>
      <x:c r="C23" s="2" t="str">
        <x:v>Simplified loss carryforward, not actual country tax</x:v>
      </x:c>
    </x:row>
    <x:row r="24" ht="44" customHeight="1">
      <x:c r="A24" s="2" t="str">
        <x:v>Credit sales fraction</x:v>
      </x:c>
      <x:c r="B24" s="6" t="n">
        <x:v>0.8</x:v>
      </x:c>
      <x:c r="C24" s="2" t="str">
        <x:v>Chosen</x:v>
      </x:c>
    </x:row>
    <x:row r="25" ht="44" customHeight="1">
      <x:c r="A25" s="2" t="str">
        <x:v>Eligible purchases fraction</x:v>
      </x:c>
      <x:c r="B25" s="6" t="n">
        <x:v>0.8</x:v>
      </x:c>
      <x:c r="C25" s="2" t="str">
        <x:v>Chosen</x:v>
      </x:c>
    </x:row>
    <x:row r="26" ht="44" customHeight="1">
      <x:c r="A26" s="2" t="str">
        <x:v>Maintenance fraction</x:v>
      </x:c>
      <x:c r="B26" s="6" t="n">
        <x:v>0.02</x:v>
      </x:c>
      <x:c r="C26" s="2" t="str">
        <x:v>Capitalized annually</x:v>
      </x:c>
    </x:row>
    <x:row r="27" ht="44" customHeight="1">
      <x:c r="A27" s="2" t="str">
        <x:v>Replacement fraction</x:v>
      </x:c>
      <x:c r="B27" s="6" t="n">
        <x:v>0.7</x:v>
      </x:c>
      <x:c r="C27" s="2" t="str">
        <x:v>Years 11 and 21</x:v>
      </x:c>
    </x:row>
    <x:row r="28" ht="44" customHeight="1">
      <x:c r="A28" s="2" t="str">
        <x:v>Final NWC recovery</x:v>
      </x:c>
      <x:c r="B28" s="6" t="n">
        <x:v>0.9</x:v>
      </x:c>
      <x:c r="C28" s="2" t="str">
        <x:v>Year 25 only</x:v>
      </x:c>
    </x:row>
    <x:row r="29" ht="44" customHeight="1">
      <x:c r="A29" s="2" t="str">
        <x:v>Original capex now</x:v>
      </x:c>
      <x:c r="B29" s="6" t="n">
        <x:v>0.6</x:v>
      </x:c>
      <x:c r="C29" s="2" t="str">
        <x:v>Balance year 1</x:v>
      </x:c>
    </x:row>
    <x:row r="30" ht="44" customHeight="1">
      <x:c r="A30" s="2" t="str">
        <x:v>D&amp;A years</x:v>
      </x:c>
      <x:c r="B30" s="6" t="n">
        <x:v>10</x:v>
      </x:c>
      <x:c r="C30" s="2" t="str">
        <x:v>Straight-line capital cohorts</x:v>
      </x:c>
    </x:row>
  </x:sheetData>
  <x:mergeCells>
    <x:mergeCell ref="A1:C1"/>
    <x:mergeCell ref="A2:C2"/>
  </x:mergeCells>
  <x:dataValidations count="2">
    <x:dataValidation type="whole" operator="between" sqref="B4">
      <x:formula1>1</x:formula1>
      <x:formula2>3</x:formula2>
    </x:dataValidation>
    <x:dataValidation type="whole" operator="between" sqref="B5">
      <x:formula1>1</x:formula1>
      <x:formula2>6</x:formula2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42" customHeight="1">
      <x:c r="A1" s="5" t="str">
        <x:v>Unit Economics / v1.0.0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2" customHeight="1">
      <x:c r="A3" s="4" t="str">
        <x:v>ID</x:v>
      </x:c>
      <x:c r="B3" s="4" t="str">
        <x:v>Name</x:v>
      </x:c>
      <x:c r="C3" s="4" t="str">
        <x:v>Capex $m</x:v>
      </x:c>
      <x:c r="D3" s="4" t="str">
        <x:v>Fixed $m</x:v>
      </x:c>
      <x:c r="E3" s="4" t="str">
        <x:v>Capacity t</x:v>
      </x:c>
      <x:c r="F3" s="4" t="str">
        <x:v>Cost $/t</x:v>
      </x:c>
      <x:c r="G3" s="4" t="str">
        <x:v>Price $/t</x:v>
      </x:c>
      <x:c r="H3" s="4" t="str">
        <x:v>Orders t</x:v>
      </x:c>
      <x:c r="I3" s="4" t="str">
        <x:v>DSO</x:v>
      </x:c>
      <x:c r="J3" s="4" t="str">
        <x:v>DIO</x:v>
      </x:c>
      <x:c r="K3" s="4" t="str">
        <x:v>DPO</x:v>
      </x:c>
    </x:row>
    <x:row r="4" ht="44" customHeight="1">
      <x:c r="A4" s="2" t="str">
        <x:v>trade</x:v>
      </x:c>
      <x:c r="B4" s="2" t="str">
        <x:v>Contracted trade</x:v>
      </x:c>
      <x:c r="C4" s="6" t="n">
        <x:v>1</x:v>
      </x:c>
      <x:c r="D4" s="6" t="n">
        <x:v>0.25</x:v>
      </x:c>
      <x:c r="E4" s="6" t="n">
        <x:v>150000</x:v>
      </x:c>
      <x:c r="F4" s="6" t="n">
        <x:v>392</x:v>
      </x:c>
      <x:c r="G4" s="6" t="n">
        <x:v>400</x:v>
      </x:c>
      <x:c r="H4" s="6" t="n">
        <x:v>100000</x:v>
      </x:c>
      <x:c r="I4" s="6" t="n">
        <x:v>20</x:v>
      </x:c>
      <x:c r="J4" s="6" t="n">
        <x:v>25</x:v>
      </x:c>
      <x:c r="K4" s="6" t="n">
        <x:v>20</x:v>
      </x:c>
    </x:row>
    <x:row r="5" ht="44" customHeight="1">
      <x:c r="A5" s="2" t="str">
        <x:v>partner</x:v>
      </x:c>
      <x:c r="B5" s="2" t="str">
        <x:v>Partner processing</x:v>
      </x:c>
      <x:c r="C5" s="6" t="n">
        <x:v>8</x:v>
      </x:c>
      <x:c r="D5" s="6" t="n">
        <x:v>1.2</x:v>
      </x:c>
      <x:c r="E5" s="6" t="n">
        <x:v>120000</x:v>
      </x:c>
      <x:c r="F5" s="6" t="n">
        <x:v>352</x:v>
      </x:c>
      <x:c r="G5" s="6" t="n">
        <x:v>400</x:v>
      </x:c>
      <x:c r="H5" s="6" t="n">
        <x:v>100000</x:v>
      </x:c>
      <x:c r="I5" s="6" t="n">
        <x:v>35</x:v>
      </x:c>
      <x:c r="J5" s="6" t="n">
        <x:v>45</x:v>
      </x:c>
      <x:c r="K5" s="6" t="n">
        <x:v>25</x:v>
      </x:c>
    </x:row>
    <x:row r="6" ht="44" customHeight="1">
      <x:c r="A6" s="2" t="str">
        <x:v>plant</x:v>
      </x:c>
      <x:c r="B6" s="2" t="str">
        <x:v>Owned processing</x:v>
      </x:c>
      <x:c r="C6" s="6" t="n">
        <x:v>20</x:v>
      </x:c>
      <x:c r="D6" s="6" t="n">
        <x:v>2</x:v>
      </x:c>
      <x:c r="E6" s="6" t="n">
        <x:v>150000</x:v>
      </x:c>
      <x:c r="F6" s="6" t="n">
        <x:v>340</x:v>
      </x:c>
      <x:c r="G6" s="6" t="n">
        <x:v>400</x:v>
      </x:c>
      <x:c r="H6" s="6" t="n">
        <x:v>100000</x:v>
      </x:c>
      <x:c r="I6" s="6" t="n">
        <x:v>35</x:v>
      </x:c>
      <x:c r="J6" s="6" t="n">
        <x:v>55</x:v>
      </x:c>
      <x:c r="K6" s="6" t="n">
        <x:v>25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42" customHeight="1">
      <x:c r="A1" s="5" t="str">
        <x:v>Working Capital / v1.0.0</x:v>
      </x:c>
      <x:c r="B1" s="2"/>
      <x:c r="C1" s="2"/>
    </x:row>
    <x:row r="2" ht="42" customHeight="1">
      <x:c r="A2" s="2" t="str">
        <x:v>Public evidence + chosen examples; no Olam internal investment valuation</x:v>
      </x:c>
      <x:c r="B2" s="2"/>
      <x:c r="C2" s="2"/>
    </x:row>
    <x:row r="3" ht="32" customHeight="1">
      <x:c r="A3" s="4" t="str">
        <x:v>Field</x:v>
      </x:c>
      <x:c r="B3" s="4" t="str">
        <x:v>Formula /source</x:v>
      </x:c>
      <x:c r="C3" s="4" t="str">
        <x:v>Convention</x:v>
      </x:c>
    </x:row>
    <x:row r="4" ht="44" customHeight="1">
      <x:c r="A4" s="2" t="str">
        <x:v>AR</x:v>
      </x:c>
      <x:c r="B4" s="2" t="str">
        <x:v>Credit revenue × DSO / 365</x:v>
      </x:c>
      <x:c r="C4" s="2" t="str">
        <x:v>80% credit sales</x:v>
      </x:c>
    </x:row>
    <x:row r="5" ht="44" customHeight="1">
      <x:c r="A5" s="2" t="str">
        <x:v>Inventory</x:v>
      </x:c>
      <x:c r="B5" s="2" t="str">
        <x:v>Variable cost × DIO / 365</x:v>
      </x:c>
      <x:c r="C5" s="2" t="str">
        <x:v>Costs; seasonal monthly need missing</x:v>
      </x:c>
    </x:row>
    <x:row r="6" ht="44" customHeight="1">
      <x:c r="A6" s="2" t="str">
        <x:v>AP</x:v>
      </x:c>
      <x:c r="B6" s="2" t="str">
        <x:v>Eligible purchase cost × DPO / 365</x:v>
      </x:c>
      <x:c r="C6" s="2" t="str">
        <x:v>80% eligible purchase base</x:v>
      </x:c>
    </x:row>
    <x:row r="7" ht="44" customHeight="1">
      <x:c r="A7" s="2" t="str">
        <x:v>NWC</x:v>
      </x:c>
      <x:c r="B7" s="2" t="str">
        <x:v>AR+inventory−AP</x:v>
      </x:c>
      <x:c r="C7" s="2" t="str">
        <x:v>Delta once per period</x:v>
      </x:c>
    </x:row>
    <x:row r="8" ht="44" customHeight="1">
      <x:c r="A8" s="2" t="str">
        <x:v>Closeout</x:v>
      </x:c>
      <x:c r="B8" s="2" t="str">
        <x:v>90% NWC in year 25</x:v>
      </x:c>
      <x:c r="C8" s="2" t="str">
        <x:v>No perpetual value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42" customHeight="1">
      <x:c r="A1" s="5" t="str">
        <x:v>Financing FX / v1.0.0</x:v>
      </x:c>
      <x:c r="B1" s="2"/>
      <x:c r="C1" s="2"/>
    </x:row>
    <x:row r="2" ht="42" customHeight="1">
      <x:c r="A2" s="2" t="str">
        <x:v>Public evidence + chosen examples; no Olam internal investment valuation</x:v>
      </x:c>
      <x:c r="B2" s="2"/>
      <x:c r="C2" s="2"/>
    </x:row>
    <x:row r="3" ht="32" customHeight="1">
      <x:c r="A3" s="4" t="str">
        <x:v>Convention</x:v>
      </x:c>
      <x:c r="B3" s="4" t="str">
        <x:v>Value</x:v>
      </x:c>
      <x:c r="C3" s="4" t="str">
        <x:v>Boundary</x:v>
      </x:c>
    </x:row>
    <x:row r="4" ht="44" customHeight="1">
      <x:c r="A4" s="2" t="str">
        <x:v>Currency</x:v>
      </x:c>
      <x:c r="B4" s="2" t="str">
        <x:v>Constant2026USD</x:v>
      </x:c>
      <x:c r="C4" s="2" t="str">
        <x:v>No local FX translation or hedged cash modeled</x:v>
      </x:c>
    </x:row>
    <x:row r="5" ht="44" customHeight="1">
      <x:c r="A5" s="2" t="str">
        <x:v>Hurdle</x:v>
      </x:c>
      <x:c r="B5" s="2" t="str">
        <x:v>Selected scenario 9–14%</x:v>
      </x:c>
      <x:c r="C5" s="2" t="str">
        <x:v>Chosen real USD, not Olam WACC</x:v>
      </x:c>
    </x:row>
    <x:row r="6" ht="44" customHeight="1">
      <x:c r="A6" s="2" t="str">
        <x:v>FX cost</x:v>
      </x:c>
      <x:c r="B6" s="2" t="str">
        <x:v>USD input price × local / USD</x:v>
      </x:c>
      <x:c r="C6" s="2" t="str">
        <x:v>10% + 10% = 21%, not 20%</x:v>
      </x:c>
    </x:row>
    <x:row r="7" ht="44" customHeight="1">
      <x:c r="A7" s="2" t="str">
        <x:v>Funding</x:v>
      </x:c>
      <x:c r="B7" s="2" t="str">
        <x:v>Peak negative cumulative annual cash</x:v>
      </x:c>
      <x:c r="C7" s="2" t="str">
        <x:v>Monthly seasonal headroom needed</x:v>
      </x:c>
    </x:row>
    <x:row r="8" ht="44" customHeight="1">
      <x:c r="A8" s="2" t="str">
        <x:v>Fisher</x:v>
      </x:c>
      <x:c r="B8" s="2" t="str">
        <x:v>(1+real)(1+inflation)−1</x:v>
      </x:c>
      <x:c r="C8" s="2" t="str">
        <x:v>Consistent nominal cash required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</x:cols>
  <x:sheetData>
    <x:row r="1" ht="42" customHeight="1">
      <x:c r="A1" s="5" t="str">
        <x:v>Country Financials / v1.0.0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32" customHeight="1">
      <x:c r="A3" s="4" t="str">
        <x:v>t</x:v>
      </x:c>
      <x:c r="B3" s="4" t="str">
        <x:v>Year</x:v>
      </x:c>
      <x:c r="C3" s="4" t="str">
        <x:v>Order growth</x:v>
      </x:c>
      <x:c r="D3" s="4" t="str">
        <x:v>Ramp</x:v>
      </x:c>
      <x:c r="E3" s="4" t="str">
        <x:v>Delivered t</x:v>
      </x:c>
      <x:c r="F3" s="4" t="str">
        <x:v>Revenue</x:v>
      </x:c>
      <x:c r="G3" s="4" t="str">
        <x:v>Variable cost</x:v>
      </x:c>
      <x:c r="H3" s="4" t="str">
        <x:v>Fixed cash</x:v>
      </x:c>
      <x:c r="I3" s="4" t="str">
        <x:v>EBITDA</x:v>
      </x:c>
      <x:c r="J3" s="4" t="str">
        <x:v>Original/replacement</x:v>
      </x:c>
      <x:c r="K3" s="4" t="str">
        <x:v>Maintenance</x:v>
      </x:c>
      <x:c r="L3" s="4" t="str">
        <x:v>Capex</x:v>
      </x:c>
      <x:c r="M3" s="4" t="str">
        <x:v>Depreciation</x:v>
      </x:c>
      <x:c r="N3" s="4" t="str">
        <x:v>EBIT</x:v>
      </x:c>
      <x:c r="O3" s="4" t="str">
        <x:v>Prior taxloss</x:v>
      </x:c>
      <x:c r="P3" s="4" t="str">
        <x:v>Cash tax</x:v>
      </x:c>
      <x:c r="Q3" s="4" t="str">
        <x:v>Taxloss balance</x:v>
      </x:c>
      <x:c r="R3" s="4" t="str">
        <x:v>AR</x:v>
      </x:c>
      <x:c r="S3" s="4" t="str">
        <x:v>Inventory</x:v>
      </x:c>
      <x:c r="T3" s="4" t="str">
        <x:v>AP</x:v>
      </x:c>
      <x:c r="U3" s="4" t="str">
        <x:v>NWC</x:v>
      </x:c>
      <x:c r="V3" s="4" t="str">
        <x:v>DeltaNWC</x:v>
      </x:c>
      <x:c r="W3" s="4" t="str">
        <x:v>Closeout</x:v>
      </x:c>
      <x:c r="X3" s="4" t="str">
        <x:v>FCFF</x:v>
      </x:c>
      <x:c r="Y3" s="4" t="str">
        <x:v>Discount factor</x:v>
      </x:c>
      <x:c r="Z3" s="4" t="str">
        <x:v>PV cash</x:v>
      </x:c>
      <x:c r="AA3" s="4" t="str">
        <x:v>Cumulative cash</x:v>
      </x:c>
    </x:row>
    <x:row r="4" ht="44" customHeight="1">
      <x:c r="A4" s="2" t="n">
        <x:f>1</x:f>
        <x:v>1</x:v>
      </x:c>
      <x:c r="B4" s="2" t="n">
        <x:f>2026+A4</x:f>
        <x:v>2027</x:v>
      </x:c>
      <x:c r="C4" s="2" t="n">
        <x:f>(1+Assumptions!$B$16)^MIN(A4-1,9)*(1+Assumptions!$B$16/2)^MAX(0,A4-10)</x:f>
        <x:v>1</x:v>
      </x:c>
      <x:c r="D4" s="2" t="n">
        <x:f>IF(A4=1,0.5,IF(A4=2,0.8,1))</x:f>
        <x:v>0.5</x:v>
      </x:c>
      <x:c r="E4" s="9" t="n">
        <x:f>MIN(Assumptions!$B$11*Assumptions!$B$15*C4*D4,Assumptions!$B$8*Assumptions!$B$22)</x:f>
        <x:v>50000</x:v>
      </x:c>
      <x:c r="F4" s="9" t="n">
        <x:f>E4*Assumptions!$B$10*Assumptions!$B$18/1000000</x:f>
        <x:v>20</x:v>
      </x:c>
      <x:c r="G4" s="9" t="n">
        <x:f>E4*Assumptions!$B$9*Assumptions!$B$17/1000000</x:f>
        <x:v>17</x:v>
      </x:c>
      <x:c r="H4" s="9" t="n">
        <x:f>Assumptions!$B$7*Assumptions!$B$19</x:f>
        <x:v>2</x:v>
      </x:c>
      <x:c r="I4" s="9" t="n">
        <x:f>F4-G4-H4</x:f>
        <x:v>1</x:v>
      </x:c>
      <x:c r="J4" s="9" t="n">
        <x:f>IF(A4=1,Assumptions!$B$6,IF(OR(A4=11,A4=21),Assumptions!$B$6*Assumptions!$B$27,0))</x:f>
        <x:v>20</x:v>
      </x:c>
      <x:c r="K4" s="9" t="n">
        <x:f>Assumptions!$B$6*Assumptions!$B$26</x:f>
        <x:v>0.4</x:v>
      </x:c>
      <x:c r="L4" s="9" t="n">
        <x:f>IF(A4=1,Assumptions!$B$6*(1-Assumptions!$B$29),IF(OR(A4=11,A4=21),J4,0))+K4</x:f>
        <x:v>8.4</x:v>
      </x:c>
      <x:c r="M4" s="9" t="n">
        <x:f>(SUM(J4:J4)+SUM(K4:K4))/Assumptions!$B$30</x:f>
        <x:v>2.04</x:v>
      </x:c>
      <x:c r="N4" s="9" t="n">
        <x:f>I4-M4</x:f>
        <x:v>-1.04</x:v>
      </x:c>
      <x:c r="O4" s="9" t="n">
        <x:f>0</x:f>
        <x:v>0</x:v>
      </x:c>
      <x:c r="P4" s="9" t="n">
        <x:f>MAX(0,N4-O4)*Assumptions!$B$23</x:f>
        <x:v>0</x:v>
      </x:c>
      <x:c r="Q4" s="9" t="n">
        <x:f>MAX(0,O4-N4)</x:f>
        <x:v>1.04</x:v>
      </x:c>
      <x:c r="R4" s="9" t="n">
        <x:f>F4*Assumptions!$B$24*(Assumptions!$B$12+Assumptions!$B$20)/365</x:f>
        <x:v>1.5342465753424657</x:v>
      </x:c>
      <x:c r="S4" s="9" t="n">
        <x:f>G4*(Assumptions!$B$13+Assumptions!$B$20)/365</x:f>
        <x:v>2.5616438356164384</x:v>
      </x:c>
      <x:c r="T4" s="9" t="n">
        <x:f>G4*Assumptions!$B$25*Assumptions!$B$14/365</x:f>
        <x:v>0.9315068493150687</x:v>
      </x:c>
      <x:c r="U4" s="9" t="n">
        <x:f>R4+S4-T4</x:f>
        <x:v>3.1643835616438354</x:v>
      </x:c>
      <x:c r="V4" s="9" t="n">
        <x:f>U4</x:f>
        <x:v>3.1643835616438354</x:v>
      </x:c>
      <x:c r="W4" s="9" t="n">
        <x:f>IF(A4=25,U4*Assumptions!$B$28,0)</x:f>
        <x:v>0</x:v>
      </x:c>
      <x:c r="X4" s="9" t="n">
        <x:f>N4-P4+M4-L4-V4+W4</x:f>
        <x:v>-10.564383561643837</x:v>
      </x:c>
      <x:c r="Y4" s="9" t="n">
        <x:f>(1+Assumptions!$B$21)^A4</x:f>
        <x:v>1.1</x:v>
      </x:c>
      <x:c r="Z4" s="9" t="n">
        <x:f>X4/Y4</x:f>
        <x:v>-9.60398505603985</x:v>
      </x:c>
      <x:c r="AA4" s="9" t="n">
        <x:f>-Assumptions!$B$6*Assumptions!$B$29+X4</x:f>
        <x:v>-22.564383561643837</x:v>
      </x:c>
    </x:row>
    <x:row r="5" ht="44" customHeight="1">
      <x:c r="A5" s="2" t="n">
        <x:f>2</x:f>
        <x:v>2</x:v>
      </x:c>
      <x:c r="B5" s="2" t="n">
        <x:f>2026+A5</x:f>
        <x:v>2028</x:v>
      </x:c>
      <x:c r="C5" s="2" t="n">
        <x:f>(1+Assumptions!$B$16)^MIN(A5-1,9)*(1+Assumptions!$B$16/2)^MAX(0,A5-10)</x:f>
        <x:v>1.015</x:v>
      </x:c>
      <x:c r="D5" s="2" t="n">
        <x:f>IF(A5=1,0.5,IF(A5=2,0.8,1))</x:f>
        <x:v>0.8</x:v>
      </x:c>
      <x:c r="E5" s="9" t="n">
        <x:f>MIN(Assumptions!$B$11*Assumptions!$B$15*C5*D5,Assumptions!$B$8*Assumptions!$B$22)</x:f>
        <x:v>81200</x:v>
      </x:c>
      <x:c r="F5" s="9" t="n">
        <x:f>E5*Assumptions!$B$10*Assumptions!$B$18/1000000</x:f>
        <x:v>32.48</x:v>
      </x:c>
      <x:c r="G5" s="9" t="n">
        <x:f>E5*Assumptions!$B$9*Assumptions!$B$17/1000000</x:f>
        <x:v>27.608</x:v>
      </x:c>
      <x:c r="H5" s="9" t="n">
        <x:f>Assumptions!$B$7*Assumptions!$B$19</x:f>
        <x:v>2</x:v>
      </x:c>
      <x:c r="I5" s="9" t="n">
        <x:f>F5-G5-H5</x:f>
        <x:v>2.8719999999999963</x:v>
      </x:c>
      <x:c r="J5" s="9" t="n">
        <x:f>IF(A5=1,Assumptions!$B$6,IF(OR(A5=11,A5=21),Assumptions!$B$6*Assumptions!$B$27,0))</x:f>
        <x:v>0</x:v>
      </x:c>
      <x:c r="K5" s="9" t="n">
        <x:f>Assumptions!$B$6*Assumptions!$B$26</x:f>
        <x:v>0.4</x:v>
      </x:c>
      <x:c r="L5" s="9" t="n">
        <x:f>IF(A5=1,Assumptions!$B$6*(1-Assumptions!$B$29),IF(OR(A5=11,A5=21),J5,0))+K5</x:f>
        <x:v>0.4</x:v>
      </x:c>
      <x:c r="M5" s="9" t="n">
        <x:f>(SUM(J4:J5)+SUM(K4:K5))/Assumptions!$B$30</x:f>
        <x:v>2.08</x:v>
      </x:c>
      <x:c r="N5" s="9" t="n">
        <x:f>I5-M5</x:f>
        <x:v>0.7919999999999963</x:v>
      </x:c>
      <x:c r="O5" s="9" t="n">
        <x:f>Q4</x:f>
        <x:v>1.04</x:v>
      </x:c>
      <x:c r="P5" s="9" t="n">
        <x:f>MAX(0,N5-O5)*Assumptions!$B$23</x:f>
        <x:v>0</x:v>
      </x:c>
      <x:c r="Q5" s="9" t="n">
        <x:f>MAX(0,O5-N5)</x:f>
        <x:v>0.24800000000000377</x:v>
      </x:c>
      <x:c r="R5" s="9" t="n">
        <x:f>F5*Assumptions!$B$24*(Assumptions!$B$12+Assumptions!$B$20)/365</x:f>
        <x:v>2.4916164383561643</x:v>
      </x:c>
      <x:c r="S5" s="9" t="n">
        <x:f>G5*(Assumptions!$B$13+Assumptions!$B$20)/365</x:f>
        <x:v>4.160109589041096</x:v>
      </x:c>
      <x:c r="T5" s="9" t="n">
        <x:f>G5*Assumptions!$B$25*Assumptions!$B$14/365</x:f>
        <x:v>1.5127671232876714</x:v>
      </x:c>
      <x:c r="U5" s="9" t="n">
        <x:f>R5+S5-T5</x:f>
        <x:v>5.1389589041095896</x:v>
      </x:c>
      <x:c r="V5" s="9" t="n">
        <x:f>U5-U4</x:f>
        <x:v>1.9745753424657542</x:v>
      </x:c>
      <x:c r="W5" s="9" t="n">
        <x:f>IF(A5=25,U5*Assumptions!$B$28,0)</x:f>
        <x:v>0</x:v>
      </x:c>
      <x:c r="X5" s="9" t="n">
        <x:f>N5-P5+M5-L5-V5+W5</x:f>
        <x:v>0.49742465753424225</x:v>
      </x:c>
      <x:c r="Y5" s="9" t="n">
        <x:f>(1+Assumptions!$B$21)^A5</x:f>
        <x:v>1.2100000000000002</x:v>
      </x:c>
      <x:c r="Z5" s="9" t="n">
        <x:f>X5/Y5</x:f>
        <x:v>0.41109475829276215</x:v>
      </x:c>
      <x:c r="AA5" s="9" t="n">
        <x:f>AA4+X5</x:f>
        <x:v>-22.066958904109594</x:v>
      </x:c>
    </x:row>
    <x:row r="6" ht="44" customHeight="1">
      <x:c r="A6" s="2" t="n">
        <x:f>3</x:f>
        <x:v>3</x:v>
      </x:c>
      <x:c r="B6" s="2" t="n">
        <x:f>2026+A6</x:f>
        <x:v>2029</x:v>
      </x:c>
      <x:c r="C6" s="2" t="n">
        <x:f>(1+Assumptions!$B$16)^MIN(A6-1,9)*(1+Assumptions!$B$16/2)^MAX(0,A6-10)</x:f>
        <x:v>1.0302249999999997</x:v>
      </x:c>
      <x:c r="D6" s="2" t="n">
        <x:f>IF(A6=1,0.5,IF(A6=2,0.8,1))</x:f>
        <x:v>1</x:v>
      </x:c>
      <x:c r="E6" s="9" t="n">
        <x:f>MIN(Assumptions!$B$11*Assumptions!$B$15*C6*D6,Assumptions!$B$8*Assumptions!$B$22)</x:f>
        <x:v>103022.49999999997</x:v>
      </x:c>
      <x:c r="F6" s="9" t="n">
        <x:f>E6*Assumptions!$B$10*Assumptions!$B$18/1000000</x:f>
        <x:v>41.20899999999998</x:v>
      </x:c>
      <x:c r="G6" s="9" t="n">
        <x:f>E6*Assumptions!$B$9*Assumptions!$B$17/1000000</x:f>
        <x:v>35.027649999999994</x:v>
      </x:c>
      <x:c r="H6" s="9" t="n">
        <x:f>Assumptions!$B$7*Assumptions!$B$19</x:f>
        <x:v>2</x:v>
      </x:c>
      <x:c r="I6" s="9" t="n">
        <x:f>F6-G6-H6</x:f>
        <x:v>4.181349999999988</x:v>
      </x:c>
      <x:c r="J6" s="9" t="n">
        <x:f>IF(A6=1,Assumptions!$B$6,IF(OR(A6=11,A6=21),Assumptions!$B$6*Assumptions!$B$27,0))</x:f>
        <x:v>0</x:v>
      </x:c>
      <x:c r="K6" s="9" t="n">
        <x:f>Assumptions!$B$6*Assumptions!$B$26</x:f>
        <x:v>0.4</x:v>
      </x:c>
      <x:c r="L6" s="9" t="n">
        <x:f>IF(A6=1,Assumptions!$B$6*(1-Assumptions!$B$29),IF(OR(A6=11,A6=21),J6,0))+K6</x:f>
        <x:v>0.4</x:v>
      </x:c>
      <x:c r="M6" s="9" t="n">
        <x:f>(SUM(J4:J6)+SUM(K4:K6))/Assumptions!$B$30</x:f>
        <x:v>2.12</x:v>
      </x:c>
      <x:c r="N6" s="9" t="n">
        <x:f>I6-M6</x:f>
        <x:v>2.0613499999999876</x:v>
      </x:c>
      <x:c r="O6" s="9" t="n">
        <x:f>Q5</x:f>
        <x:v>0.24800000000000377</x:v>
      </x:c>
      <x:c r="P6" s="9" t="n">
        <x:f>MAX(0,N6-O6)*Assumptions!$B$23</x:f>
        <x:v>0.45333749999999595</x:v>
      </x:c>
      <x:c r="Q6" s="9" t="n">
        <x:f>MAX(0,O6-N6)</x:f>
        <x:v>0</x:v>
      </x:c>
      <x:c r="R6" s="9" t="n">
        <x:f>F6*Assumptions!$B$24*(Assumptions!$B$12+Assumptions!$B$20)/365</x:f>
        <x:v>3.161238356164382</x:v>
      </x:c>
      <x:c r="S6" s="9" t="n">
        <x:f>G6*(Assumptions!$B$13+Assumptions!$B$20)/365</x:f>
        <x:v>5.27813904109589</x:v>
      </x:c>
      <x:c r="T6" s="9" t="n">
        <x:f>G6*Assumptions!$B$25*Assumptions!$B$14/365</x:f>
        <x:v>1.9193232876712325</x:v>
      </x:c>
      <x:c r="U6" s="9" t="n">
        <x:f>R6+S6-T6</x:f>
        <x:v>6.520054109589038</x:v>
      </x:c>
      <x:c r="V6" s="9" t="n">
        <x:f>U6-U5</x:f>
        <x:v>1.3810952054794488</x:v>
      </x:c>
      <x:c r="W6" s="9" t="n">
        <x:f>IF(A6=25,U6*Assumptions!$B$28,0)</x:f>
        <x:v>0</x:v>
      </x:c>
      <x:c r="X6" s="9" t="n">
        <x:f>N6-P6+M6-L6-V6+W6</x:f>
        <x:v>1.946917294520543</x:v>
      </x:c>
      <x:c r="Y6" s="9" t="n">
        <x:f>(1+Assumptions!$B$21)^A6</x:f>
        <x:v>1.3310000000000004</x:v>
      </x:c>
      <x:c r="Z6" s="9" t="n">
        <x:f>X6/Y6</x:f>
        <x:v>1.4627477795045398</x:v>
      </x:c>
      <x:c r="AA6" s="9" t="n">
        <x:f>AA5+X6</x:f>
        <x:v>-20.12004160958905</x:v>
      </x:c>
    </x:row>
    <x:row r="7" ht="44" customHeight="1">
      <x:c r="A7" s="2" t="n">
        <x:f>4</x:f>
        <x:v>4</x:v>
      </x:c>
      <x:c r="B7" s="2" t="n">
        <x:f>2026+A7</x:f>
        <x:v>2030</x:v>
      </x:c>
      <x:c r="C7" s="2" t="n">
        <x:f>(1+Assumptions!$B$16)^MIN(A7-1,9)*(1+Assumptions!$B$16/2)^MAX(0,A7-10)</x:f>
        <x:v>1.0456783749999996</x:v>
      </x:c>
      <x:c r="D7" s="2" t="n">
        <x:f>IF(A7=1,0.5,IF(A7=2,0.8,1))</x:f>
        <x:v>1</x:v>
      </x:c>
      <x:c r="E7" s="9" t="n">
        <x:f>MIN(Assumptions!$B$11*Assumptions!$B$15*C7*D7,Assumptions!$B$8*Assumptions!$B$22)</x:f>
        <x:v>104567.83749999997</x:v>
      </x:c>
      <x:c r="F7" s="9" t="n">
        <x:f>E7*Assumptions!$B$10*Assumptions!$B$18/1000000</x:f>
        <x:v>41.827134999999984</x:v>
      </x:c>
      <x:c r="G7" s="9" t="n">
        <x:f>E7*Assumptions!$B$9*Assumptions!$B$17/1000000</x:f>
        <x:v>35.55306474999998</x:v>
      </x:c>
      <x:c r="H7" s="9" t="n">
        <x:f>Assumptions!$B$7*Assumptions!$B$19</x:f>
        <x:v>2</x:v>
      </x:c>
      <x:c r="I7" s="9" t="n">
        <x:f>F7-G7-H7</x:f>
        <x:v>4.274070250000001</x:v>
      </x:c>
      <x:c r="J7" s="9" t="n">
        <x:f>IF(A7=1,Assumptions!$B$6,IF(OR(A7=11,A7=21),Assumptions!$B$6*Assumptions!$B$27,0))</x:f>
        <x:v>0</x:v>
      </x:c>
      <x:c r="K7" s="9" t="n">
        <x:f>Assumptions!$B$6*Assumptions!$B$26</x:f>
        <x:v>0.4</x:v>
      </x:c>
      <x:c r="L7" s="9" t="n">
        <x:f>IF(A7=1,Assumptions!$B$6*(1-Assumptions!$B$29),IF(OR(A7=11,A7=21),J7,0))+K7</x:f>
        <x:v>0.4</x:v>
      </x:c>
      <x:c r="M7" s="9" t="n">
        <x:f>(SUM(J4:J7)+SUM(K4:K7))/Assumptions!$B$30</x:f>
        <x:v>2.16</x:v>
      </x:c>
      <x:c r="N7" s="9" t="n">
        <x:f>I7-M7</x:f>
        <x:v>2.114070250000001</x:v>
      </x:c>
      <x:c r="O7" s="9" t="n">
        <x:f>Q6</x:f>
        <x:v>0</x:v>
      </x:c>
      <x:c r="P7" s="9" t="n">
        <x:f>MAX(0,N7-O7)*Assumptions!$B$23</x:f>
        <x:v>0.5285175625000003</x:v>
      </x:c>
      <x:c r="Q7" s="9" t="n">
        <x:f>MAX(0,O7-N7)</x:f>
        <x:v>0</x:v>
      </x:c>
      <x:c r="R7" s="9" t="n">
        <x:f>F7*Assumptions!$B$24*(Assumptions!$B$12+Assumptions!$B$20)/365</x:f>
        <x:v>3.208656931506848</x:v>
      </x:c>
      <x:c r="S7" s="9" t="n">
        <x:f>G7*(Assumptions!$B$13+Assumptions!$B$20)/365</x:f>
        <x:v>5.357311126712326</x:v>
      </x:c>
      <x:c r="T7" s="9" t="n">
        <x:f>G7*Assumptions!$B$25*Assumptions!$B$14/365</x:f>
        <x:v>1.9481131369863003</x:v>
      </x:c>
      <x:c r="U7" s="9" t="n">
        <x:f>R7+S7-T7</x:f>
        <x:v>6.617854921232873</x:v>
      </x:c>
      <x:c r="V7" s="9" t="n">
        <x:f>U7-U6</x:f>
        <x:v>0.09780081164383425</x:v>
      </x:c>
      <x:c r="W7" s="9" t="n">
        <x:f>IF(A7=25,U7*Assumptions!$B$28,0)</x:f>
        <x:v>0</x:v>
      </x:c>
      <x:c r="X7" s="9" t="n">
        <x:f>N7-P7+M7-L7-V7+W7</x:f>
        <x:v>3.2477518758561668</x:v>
      </x:c>
      <x:c r="Y7" s="9" t="n">
        <x:f>(1+Assumptions!$B$21)^A7</x:f>
        <x:v>1.4641000000000004</x:v>
      </x:c>
      <x:c r="Z7" s="9" t="n">
        <x:f>X7/Y7</x:f>
        <x:v>2.21825823089691</x:v>
      </x:c>
      <x:c r="AA7" s="9" t="n">
        <x:f>AA6+X7</x:f>
        <x:v>-16.872289733732885</x:v>
      </x:c>
    </x:row>
    <x:row r="8" ht="44" customHeight="1">
      <x:c r="A8" s="2" t="n">
        <x:f>5</x:f>
        <x:v>5</x:v>
      </x:c>
      <x:c r="B8" s="2" t="n">
        <x:f>2026+A8</x:f>
        <x:v>2031</x:v>
      </x:c>
      <x:c r="C8" s="2" t="n">
        <x:f>(1+Assumptions!$B$16)^MIN(A8-1,9)*(1+Assumptions!$B$16/2)^MAX(0,A8-10)</x:f>
        <x:v>1.0613635506249997</x:v>
      </x:c>
      <x:c r="D8" s="2" t="n">
        <x:f>IF(A8=1,0.5,IF(A8=2,0.8,1))</x:f>
        <x:v>1</x:v>
      </x:c>
      <x:c r="E8" s="9" t="n">
        <x:f>MIN(Assumptions!$B$11*Assumptions!$B$15*C8*D8,Assumptions!$B$8*Assumptions!$B$22)</x:f>
        <x:v>106136.35506249996</x:v>
      </x:c>
      <x:c r="F8" s="9" t="n">
        <x:f>E8*Assumptions!$B$10*Assumptions!$B$18/1000000</x:f>
        <x:v>42.45454202499998</x:v>
      </x:c>
      <x:c r="G8" s="9" t="n">
        <x:f>E8*Assumptions!$B$9*Assumptions!$B$17/1000000</x:f>
        <x:v>36.08636072124999</x:v>
      </x:c>
      <x:c r="H8" s="9" t="n">
        <x:f>Assumptions!$B$7*Assumptions!$B$19</x:f>
        <x:v>2</x:v>
      </x:c>
      <x:c r="I8" s="9" t="n">
        <x:f>F8-G8-H8</x:f>
        <x:v>4.368181303749992</x:v>
      </x:c>
      <x:c r="J8" s="9" t="n">
        <x:f>IF(A8=1,Assumptions!$B$6,IF(OR(A8=11,A8=21),Assumptions!$B$6*Assumptions!$B$27,0))</x:f>
        <x:v>0</x:v>
      </x:c>
      <x:c r="K8" s="9" t="n">
        <x:f>Assumptions!$B$6*Assumptions!$B$26</x:f>
        <x:v>0.4</x:v>
      </x:c>
      <x:c r="L8" s="9" t="n">
        <x:f>IF(A8=1,Assumptions!$B$6*(1-Assumptions!$B$29),IF(OR(A8=11,A8=21),J8,0))+K8</x:f>
        <x:v>0.4</x:v>
      </x:c>
      <x:c r="M8" s="9" t="n">
        <x:f>(SUM(J4:J8)+SUM(K4:K8))/Assumptions!$B$30</x:f>
        <x:v>2.2</x:v>
      </x:c>
      <x:c r="N8" s="9" t="n">
        <x:f>I8-M8</x:f>
        <x:v>2.168181303749992</x:v>
      </x:c>
      <x:c r="O8" s="9" t="n">
        <x:f>Q7</x:f>
        <x:v>0</x:v>
      </x:c>
      <x:c r="P8" s="9" t="n">
        <x:f>MAX(0,N8-O8)*Assumptions!$B$23</x:f>
        <x:v>0.542045325937498</x:v>
      </x:c>
      <x:c r="Q8" s="9" t="n">
        <x:f>MAX(0,O8-N8)</x:f>
        <x:v>0</x:v>
      </x:c>
      <x:c r="R8" s="9" t="n">
        <x:f>F8*Assumptions!$B$24*(Assumptions!$B$12+Assumptions!$B$20)/365</x:f>
        <x:v>3.2567867854794508</x:v>
      </x:c>
      <x:c r="S8" s="9" t="n">
        <x:f>G8*(Assumptions!$B$13+Assumptions!$B$20)/365</x:f>
        <x:v>5.437670793613012</x:v>
      </x:c>
      <x:c r="T8" s="9" t="n">
        <x:f>G8*Assumptions!$B$25*Assumptions!$B$14/365</x:f>
        <x:v>1.9773348340410954</x:v>
      </x:c>
      <x:c r="U8" s="9" t="n">
        <x:f>R8+S8-T8</x:f>
        <x:v>6.717122745051367</x:v>
      </x:c>
      <x:c r="V8" s="9" t="n">
        <x:f>U8-U7</x:f>
        <x:v>0.09926782381849453</x:v>
      </x:c>
      <x:c r="W8" s="9" t="n">
        <x:f>IF(A8=25,U8*Assumptions!$B$28,0)</x:f>
        <x:v>0</x:v>
      </x:c>
      <x:c r="X8" s="9" t="n">
        <x:f>N8-P8+M8-L8-V8+W8</x:f>
        <x:v>3.3268681539939995</x:v>
      </x:c>
      <x:c r="Y8" s="9" t="n">
        <x:f>(1+Assumptions!$B$21)^A8</x:f>
        <x:v>1.6105100000000006</x:v>
      </x:c>
      <x:c r="Z8" s="9" t="n">
        <x:f>X8/Y8</x:f>
        <x:v>2.0657233758213227</x:v>
      </x:c>
      <x:c r="AA8" s="9" t="n">
        <x:f>AA7+X8</x:f>
        <x:v>-13.545421579738885</x:v>
      </x:c>
    </x:row>
    <x:row r="9" ht="44" customHeight="1">
      <x:c r="A9" s="2" t="n">
        <x:f>6</x:f>
        <x:v>6</x:v>
      </x:c>
      <x:c r="B9" s="2" t="n">
        <x:f>2026+A9</x:f>
        <x:v>2032</x:v>
      </x:c>
      <x:c r="C9" s="2" t="n">
        <x:f>(1+Assumptions!$B$16)^MIN(A9-1,9)*(1+Assumptions!$B$16/2)^MAX(0,A9-10)</x:f>
        <x:v>1.0772840038843745</x:v>
      </x:c>
      <x:c r="D9" s="2" t="n">
        <x:f>IF(A9=1,0.5,IF(A9=2,0.8,1))</x:f>
        <x:v>1</x:v>
      </x:c>
      <x:c r="E9" s="9" t="n">
        <x:f>MIN(Assumptions!$B$11*Assumptions!$B$15*C9*D9,Assumptions!$B$8*Assumptions!$B$22)</x:f>
        <x:v>107728.40038843745</x:v>
      </x:c>
      <x:c r="F9" s="9" t="n">
        <x:f>E9*Assumptions!$B$10*Assumptions!$B$18/1000000</x:f>
        <x:v>43.09136015537498</x:v>
      </x:c>
      <x:c r="G9" s="9" t="n">
        <x:f>E9*Assumptions!$B$9*Assumptions!$B$17/1000000</x:f>
        <x:v>36.62765613206873</x:v>
      </x:c>
      <x:c r="H9" s="9" t="n">
        <x:f>Assumptions!$B$7*Assumptions!$B$19</x:f>
        <x:v>2</x:v>
      </x:c>
      <x:c r="I9" s="9" t="n">
        <x:f>F9-G9-H9</x:f>
        <x:v>4.463704023306249</x:v>
      </x:c>
      <x:c r="J9" s="9" t="n">
        <x:f>IF(A9=1,Assumptions!$B$6,IF(OR(A9=11,A9=21),Assumptions!$B$6*Assumptions!$B$27,0))</x:f>
        <x:v>0</x:v>
      </x:c>
      <x:c r="K9" s="9" t="n">
        <x:f>Assumptions!$B$6*Assumptions!$B$26</x:f>
        <x:v>0.4</x:v>
      </x:c>
      <x:c r="L9" s="9" t="n">
        <x:f>IF(A9=1,Assumptions!$B$6*(1-Assumptions!$B$29),IF(OR(A9=11,A9=21),J9,0))+K9</x:f>
        <x:v>0.4</x:v>
      </x:c>
      <x:c r="M9" s="9" t="n">
        <x:f>(SUM(J4:J9)+SUM(K4:K9))/Assumptions!$B$30</x:f>
        <x:v>2.2399999999999998</x:v>
      </x:c>
      <x:c r="N9" s="9" t="n">
        <x:f>I9-M9</x:f>
        <x:v>2.2237040233062495</x:v>
      </x:c>
      <x:c r="O9" s="9" t="n">
        <x:f>Q8</x:f>
        <x:v>0</x:v>
      </x:c>
      <x:c r="P9" s="9" t="n">
        <x:f>MAX(0,N9-O9)*Assumptions!$B$23</x:f>
        <x:v>0.5559260058265624</x:v>
      </x:c>
      <x:c r="Q9" s="9" t="n">
        <x:f>MAX(0,O9-N9)</x:f>
        <x:v>0</x:v>
      </x:c>
      <x:c r="R9" s="9" t="n">
        <x:f>F9*Assumptions!$B$24*(Assumptions!$B$12+Assumptions!$B$20)/365</x:f>
        <x:v>3.3056385872616425</x:v>
      </x:c>
      <x:c r="S9" s="9" t="n">
        <x:f>G9*(Assumptions!$B$13+Assumptions!$B$20)/365</x:f>
        <x:v>5.519235855517206</x:v>
      </x:c>
      <x:c r="T9" s="9" t="n">
        <x:f>G9*Assumptions!$B$25*Assumptions!$B$14/365</x:f>
        <x:v>2.0069948565517115</x:v>
      </x:c>
      <x:c r="U9" s="9" t="n">
        <x:f>R9+S9-T9</x:f>
        <x:v>6.817879586227136</x:v>
      </x:c>
      <x:c r="V9" s="9" t="n">
        <x:f>U9-U8</x:f>
        <x:v>0.10075684117576866</x:v>
      </x:c>
      <x:c r="W9" s="9" t="n">
        <x:f>IF(A9=25,U9*Assumptions!$B$28,0)</x:f>
        <x:v>0</x:v>
      </x:c>
      <x:c r="X9" s="9" t="n">
        <x:f>N9-P9+M9-L9-V9+W9</x:f>
        <x:v>3.4070211763039184</x:v>
      </x:c>
      <x:c r="Y9" s="9" t="n">
        <x:f>(1+Assumptions!$B$21)^A9</x:f>
        <x:v>1.7715610000000008</x:v>
      </x:c>
      <x:c r="Z9" s="9" t="n">
        <x:f>X9/Y9</x:f>
        <x:v>1.9231746331647157</x:v>
      </x:c>
      <x:c r="AA9" s="9" t="n">
        <x:f>AA8+X9</x:f>
        <x:v>-10.138400403434968</x:v>
      </x:c>
    </x:row>
    <x:row r="10" ht="44" customHeight="1">
      <x:c r="A10" s="2" t="n">
        <x:f>7</x:f>
        <x:v>7</x:v>
      </x:c>
      <x:c r="B10" s="2" t="n">
        <x:f>2026+A10</x:f>
        <x:v>2033</x:v>
      </x:c>
      <x:c r="C10" s="2" t="n">
        <x:f>(1+Assumptions!$B$16)^MIN(A10-1,9)*(1+Assumptions!$B$16/2)^MAX(0,A10-10)</x:f>
        <x:v>1.09344326394264</x:v>
      </x:c>
      <x:c r="D10" s="2" t="n">
        <x:f>IF(A10=1,0.5,IF(A10=2,0.8,1))</x:f>
        <x:v>1</x:v>
      </x:c>
      <x:c r="E10" s="9" t="n">
        <x:f>MIN(Assumptions!$B$11*Assumptions!$B$15*C10*D10,Assumptions!$B$8*Assumptions!$B$22)</x:f>
        <x:v>109344.32639426399</x:v>
      </x:c>
      <x:c r="F10" s="9" t="n">
        <x:f>E10*Assumptions!$B$10*Assumptions!$B$18/1000000</x:f>
        <x:v>43.737730557705596</x:v>
      </x:c>
      <x:c r="G10" s="9" t="n">
        <x:f>E10*Assumptions!$B$9*Assumptions!$B$17/1000000</x:f>
        <x:v>37.177070974049755</x:v>
      </x:c>
      <x:c r="H10" s="9" t="n">
        <x:f>Assumptions!$B$7*Assumptions!$B$19</x:f>
        <x:v>2</x:v>
      </x:c>
      <x:c r="I10" s="9" t="n">
        <x:f>F10-G10-H10</x:f>
        <x:v>4.560659583655841</x:v>
      </x:c>
      <x:c r="J10" s="9" t="n">
        <x:f>IF(A10=1,Assumptions!$B$6,IF(OR(A10=11,A10=21),Assumptions!$B$6*Assumptions!$B$27,0))</x:f>
        <x:v>0</x:v>
      </x:c>
      <x:c r="K10" s="9" t="n">
        <x:f>Assumptions!$B$6*Assumptions!$B$26</x:f>
        <x:v>0.4</x:v>
      </x:c>
      <x:c r="L10" s="9" t="n">
        <x:f>IF(A10=1,Assumptions!$B$6*(1-Assumptions!$B$29),IF(OR(A10=11,A10=21),J10,0))+K10</x:f>
        <x:v>0.4</x:v>
      </x:c>
      <x:c r="M10" s="9" t="n">
        <x:f>(SUM(J4:J10)+SUM(K4:K10))/Assumptions!$B$30</x:f>
        <x:v>2.2800000000000002</x:v>
      </x:c>
      <x:c r="N10" s="9" t="n">
        <x:f>I10-M10</x:f>
        <x:v>2.280659583655841</x:v>
      </x:c>
      <x:c r="O10" s="9" t="n">
        <x:f>Q9</x:f>
        <x:v>0</x:v>
      </x:c>
      <x:c r="P10" s="9" t="n">
        <x:f>MAX(0,N10-O10)*Assumptions!$B$23</x:f>
        <x:v>0.5701648959139602</x:v>
      </x:c>
      <x:c r="Q10" s="9" t="n">
        <x:f>MAX(0,O10-N10)</x:f>
        <x:v>0</x:v>
      </x:c>
      <x:c r="R10" s="9" t="n">
        <x:f>F10*Assumptions!$B$24*(Assumptions!$B$12+Assumptions!$B$20)/365</x:f>
        <x:v>3.3552231660705663</x:v>
      </x:c>
      <x:c r="S10" s="9" t="n">
        <x:f>G10*(Assumptions!$B$13+Assumptions!$B$20)/365</x:f>
        <x:v>5.602024393349963</x:v>
      </x:c>
      <x:c r="T10" s="9" t="n">
        <x:f>G10*Assumptions!$B$25*Assumptions!$B$14/365</x:f>
        <x:v>2.0370997793999863</x:v>
      </x:c>
      <x:c r="U10" s="9" t="n">
        <x:f>R10+S10-T10</x:f>
        <x:v>6.920147780020544</x:v>
      </x:c>
      <x:c r="V10" s="9" t="n">
        <x:f>U10-U9</x:f>
        <x:v>0.10226819379340846</x:v>
      </x:c>
      <x:c r="W10" s="9" t="n">
        <x:f>IF(A10=25,U10*Assumptions!$B$28,0)</x:f>
        <x:v>0</x:v>
      </x:c>
      <x:c r="X10" s="9" t="n">
        <x:f>N10-P10+M10-L10-V10+W10</x:f>
        <x:v>3.488226493948473</x:v>
      </x:c>
      <x:c r="Y10" s="9" t="n">
        <x:f>(1+Assumptions!$B$21)^A10</x:f>
        <x:v>1.9487171000000012</x:v>
      </x:c>
      <x:c r="Z10" s="9" t="n">
        <x:f>X10/Y10</x:f>
        <x:v>1.790011743597093</x:v>
      </x:c>
      <x:c r="AA10" s="9" t="n">
        <x:f>AA9+X10</x:f>
        <x:v>-6.650173909486496</x:v>
      </x:c>
    </x:row>
    <x:row r="11" ht="44" customHeight="1">
      <x:c r="A11" s="2" t="n">
        <x:f>8</x:f>
        <x:v>8</x:v>
      </x:c>
      <x:c r="B11" s="2" t="n">
        <x:f>2026+A11</x:f>
        <x:v>2034</x:v>
      </x:c>
      <x:c r="C11" s="2" t="n">
        <x:f>(1+Assumptions!$B$16)^MIN(A11-1,9)*(1+Assumptions!$B$16/2)^MAX(0,A11-10)</x:f>
        <x:v>1.1098449129017796</x:v>
      </x:c>
      <x:c r="D11" s="2" t="n">
        <x:f>IF(A11=1,0.5,IF(A11=2,0.8,1))</x:f>
        <x:v>1</x:v>
      </x:c>
      <x:c r="E11" s="9" t="n">
        <x:f>MIN(Assumptions!$B$11*Assumptions!$B$15*C11*D11,Assumptions!$B$8*Assumptions!$B$22)</x:f>
        <x:v>110984.49129017796</x:v>
      </x:c>
      <x:c r="F11" s="9" t="n">
        <x:f>E11*Assumptions!$B$10*Assumptions!$B$18/1000000</x:f>
        <x:v>44.393796516071184</x:v>
      </x:c>
      <x:c r="G11" s="9" t="n">
        <x:f>E11*Assumptions!$B$9*Assumptions!$B$17/1000000</x:f>
        <x:v>37.7347270386605</x:v>
      </x:c>
      <x:c r="H11" s="9" t="n">
        <x:f>Assumptions!$B$7*Assumptions!$B$19</x:f>
        <x:v>2</x:v>
      </x:c>
      <x:c r="I11" s="9" t="n">
        <x:f>F11-G11-H11</x:f>
        <x:v>4.659069477410682</x:v>
      </x:c>
      <x:c r="J11" s="9" t="n">
        <x:f>IF(A11=1,Assumptions!$B$6,IF(OR(A11=11,A11=21),Assumptions!$B$6*Assumptions!$B$27,0))</x:f>
        <x:v>0</x:v>
      </x:c>
      <x:c r="K11" s="9" t="n">
        <x:f>Assumptions!$B$6*Assumptions!$B$26</x:f>
        <x:v>0.4</x:v>
      </x:c>
      <x:c r="L11" s="9" t="n">
        <x:f>IF(A11=1,Assumptions!$B$6*(1-Assumptions!$B$29),IF(OR(A11=11,A11=21),J11,0))+K11</x:f>
        <x:v>0.4</x:v>
      </x:c>
      <x:c r="M11" s="9" t="n">
        <x:f>(SUM(J4:J11)+SUM(K4:K11))/Assumptions!$B$30</x:f>
        <x:v>2.32</x:v>
      </x:c>
      <x:c r="N11" s="9" t="n">
        <x:f>I11-M11</x:f>
        <x:v>2.3390694774106824</x:v>
      </x:c>
      <x:c r="O11" s="9" t="n">
        <x:f>Q10</x:f>
        <x:v>0</x:v>
      </x:c>
      <x:c r="P11" s="9" t="n">
        <x:f>MAX(0,N11-O11)*Assumptions!$B$23</x:f>
        <x:v>0.5847673693526706</x:v>
      </x:c>
      <x:c r="Q11" s="9" t="n">
        <x:f>MAX(0,O11-N11)</x:f>
        <x:v>0</x:v>
      </x:c>
      <x:c r="R11" s="9" t="n">
        <x:f>F11*Assumptions!$B$24*(Assumptions!$B$12+Assumptions!$B$20)/365</x:f>
        <x:v>3.405551513561625</x:v>
      </x:c>
      <x:c r="S11" s="9" t="n">
        <x:f>G11*(Assumptions!$B$13+Assumptions!$B$20)/365</x:f>
        <x:v>5.686054759250212</x:v>
      </x:c>
      <x:c r="T11" s="9" t="n">
        <x:f>G11*Assumptions!$B$25*Assumptions!$B$14/365</x:f>
        <x:v>2.0676562760909865</x:v>
      </x:c>
      <x:c r="U11" s="9" t="n">
        <x:f>R11+S11-T11</x:f>
        <x:v>7.023949996720852</x:v>
      </x:c>
      <x:c r="V11" s="9" t="n">
        <x:f>U11-U10</x:f>
        <x:v>0.10380221670030743</x:v>
      </x:c>
      <x:c r="W11" s="9" t="n">
        <x:f>IF(A11=25,U11*Assumptions!$B$28,0)</x:f>
        <x:v>0</x:v>
      </x:c>
      <x:c r="X11" s="9" t="n">
        <x:f>N11-P11+M11-L11-V11+W11</x:f>
        <x:v>3.5704998913577044</x:v>
      </x:c>
      <x:c r="Y11" s="9" t="n">
        <x:f>(1+Assumptions!$B$21)^A11</x:f>
        <x:v>2.1435888100000016</x:v>
      </x:c>
      <x:c r="Z11" s="9" t="n">
        <x:f>X11/Y11</x:f>
        <x:v>1.6656645503564191</x:v>
      </x:c>
      <x:c r="AA11" s="9" t="n">
        <x:f>AA10+X11</x:f>
        <x:v>-3.079674018128791</x:v>
      </x:c>
    </x:row>
    <x:row r="12" ht="44" customHeight="1">
      <x:c r="A12" s="2" t="n">
        <x:f>9</x:f>
        <x:v>9</x:v>
      </x:c>
      <x:c r="B12" s="2" t="n">
        <x:f>2026+A12</x:f>
        <x:v>2035</x:v>
      </x:c>
      <x:c r="C12" s="2" t="n">
        <x:f>(1+Assumptions!$B$16)^MIN(A12-1,9)*(1+Assumptions!$B$16/2)^MAX(0,A12-10)</x:f>
        <x:v>1.1264925865953062</x:v>
      </x:c>
      <x:c r="D12" s="2" t="n">
        <x:f>IF(A12=1,0.5,IF(A12=2,0.8,1))</x:f>
        <x:v>1</x:v>
      </x:c>
      <x:c r="E12" s="9" t="n">
        <x:f>MIN(Assumptions!$B$11*Assumptions!$B$15*C12*D12,Assumptions!$B$8*Assumptions!$B$22)</x:f>
        <x:v>112649.25865953062</x:v>
      </x:c>
      <x:c r="F12" s="9" t="n">
        <x:f>E12*Assumptions!$B$10*Assumptions!$B$18/1000000</x:f>
        <x:v>45.05970346381225</x:v>
      </x:c>
      <x:c r="G12" s="9" t="n">
        <x:f>E12*Assumptions!$B$9*Assumptions!$B$17/1000000</x:f>
        <x:v>38.30074794424041</x:v>
      </x:c>
      <x:c r="H12" s="9" t="n">
        <x:f>Assumptions!$B$7*Assumptions!$B$19</x:f>
        <x:v>2</x:v>
      </x:c>
      <x:c r="I12" s="9" t="n">
        <x:f>F12-G12-H12</x:f>
        <x:v>4.758955519571835</x:v>
      </x:c>
      <x:c r="J12" s="9" t="n">
        <x:f>IF(A12=1,Assumptions!$B$6,IF(OR(A12=11,A12=21),Assumptions!$B$6*Assumptions!$B$27,0))</x:f>
        <x:v>0</x:v>
      </x:c>
      <x:c r="K12" s="9" t="n">
        <x:f>Assumptions!$B$6*Assumptions!$B$26</x:f>
        <x:v>0.4</x:v>
      </x:c>
      <x:c r="L12" s="9" t="n">
        <x:f>IF(A12=1,Assumptions!$B$6*(1-Assumptions!$B$29),IF(OR(A12=11,A12=21),J12,0))+K12</x:f>
        <x:v>0.4</x:v>
      </x:c>
      <x:c r="M12" s="9" t="n">
        <x:f>(SUM(J4:J12)+SUM(K4:K12))/Assumptions!$B$30</x:f>
        <x:v>2.3600000000000003</x:v>
      </x:c>
      <x:c r="N12" s="9" t="n">
        <x:f>I12-M12</x:f>
        <x:v>2.3989555195718344</x:v>
      </x:c>
      <x:c r="O12" s="9" t="n">
        <x:f>Q11</x:f>
        <x:v>0</x:v>
      </x:c>
      <x:c r="P12" s="9" t="n">
        <x:f>MAX(0,N12-O12)*Assumptions!$B$23</x:f>
        <x:v>0.5997388798929586</x:v>
      </x:c>
      <x:c r="Q12" s="9" t="n">
        <x:f>MAX(0,O12-N12)</x:f>
        <x:v>0</x:v>
      </x:c>
      <x:c r="R12" s="9" t="n">
        <x:f>F12*Assumptions!$B$24*(Assumptions!$B$12+Assumptions!$B$20)/365</x:f>
        <x:v>3.4566347862650493</x:v>
      </x:c>
      <x:c r="S12" s="9" t="n">
        <x:f>G12*(Assumptions!$B$13+Assumptions!$B$20)/365</x:f>
        <x:v>5.771345580638966</x:v>
      </x:c>
      <x:c r="T12" s="9" t="n">
        <x:f>G12*Assumptions!$B$25*Assumptions!$B$14/365</x:f>
        <x:v>2.0986711202323516</x:v>
      </x:c>
      <x:c r="U12" s="9" t="n">
        <x:f>R12+S12-T12</x:f>
        <x:v>7.129309246671664</x:v>
      </x:c>
      <x:c r="V12" s="9" t="n">
        <x:f>U12-U11</x:f>
        <x:v>0.10535924995081203</x:v>
      </x:c>
      <x:c r="W12" s="9" t="n">
        <x:f>IF(A12=25,U12*Assumptions!$B$28,0)</x:f>
        <x:v>0</x:v>
      </x:c>
      <x:c r="X12" s="9" t="n">
        <x:f>N12-P12+M12-L12-V12+W12</x:f>
        <x:v>3.653857389728064</x:v>
      </x:c>
      <x:c r="Y12" s="9" t="n">
        <x:f>(1+Assumptions!$B$21)^A12</x:f>
        <x:v>2.357947691000002</x:v>
      </x:c>
      <x:c r="Z12" s="9" t="n">
        <x:f>X12/Y12</x:f>
        <x:v>1.5495922168563752</x:v>
      </x:c>
      <x:c r="AA12" s="9" t="n">
        <x:f>AA11+X12</x:f>
        <x:v>0.5741833715992728</x:v>
      </x:c>
    </x:row>
    <x:row r="13" ht="44" customHeight="1">
      <x:c r="A13" s="2" t="n">
        <x:f>10</x:f>
        <x:v>10</x:v>
      </x:c>
      <x:c r="B13" s="2" t="n">
        <x:f>2026+A13</x:f>
        <x:v>2036</x:v>
      </x:c>
      <x:c r="C13" s="2" t="n">
        <x:f>(1+Assumptions!$B$16)^MIN(A13-1,9)*(1+Assumptions!$B$16/2)^MAX(0,A13-10)</x:f>
        <x:v>1.1433899753942356</x:v>
      </x:c>
      <x:c r="D13" s="2" t="n">
        <x:f>IF(A13=1,0.5,IF(A13=2,0.8,1))</x:f>
        <x:v>1</x:v>
      </x:c>
      <x:c r="E13" s="9" t="n">
        <x:f>MIN(Assumptions!$B$11*Assumptions!$B$15*C13*D13,Assumptions!$B$8*Assumptions!$B$22)</x:f>
        <x:v>114338.99753942357</x:v>
      </x:c>
      <x:c r="F13" s="9" t="n">
        <x:f>E13*Assumptions!$B$10*Assumptions!$B$18/1000000</x:f>
        <x:v>45.73559901576943</x:v>
      </x:c>
      <x:c r="G13" s="9" t="n">
        <x:f>E13*Assumptions!$B$9*Assumptions!$B$17/1000000</x:f>
        <x:v>38.87525916340401</x:v>
      </x:c>
      <x:c r="H13" s="9" t="n">
        <x:f>Assumptions!$B$7*Assumptions!$B$19</x:f>
        <x:v>2</x:v>
      </x:c>
      <x:c r="I13" s="9" t="n">
        <x:f>F13-G13-H13</x:f>
        <x:v>4.860339852365421</x:v>
      </x:c>
      <x:c r="J13" s="9" t="n">
        <x:f>IF(A13=1,Assumptions!$B$6,IF(OR(A13=11,A13=21),Assumptions!$B$6*Assumptions!$B$27,0))</x:f>
        <x:v>0</x:v>
      </x:c>
      <x:c r="K13" s="9" t="n">
        <x:f>Assumptions!$B$6*Assumptions!$B$26</x:f>
        <x:v>0.4</x:v>
      </x:c>
      <x:c r="L13" s="9" t="n">
        <x:f>IF(A13=1,Assumptions!$B$6*(1-Assumptions!$B$29),IF(OR(A13=11,A13=21),J13,0))+K13</x:f>
        <x:v>0.4</x:v>
      </x:c>
      <x:c r="M13" s="9" t="n">
        <x:f>(SUM(J4:J13)+SUM(K4:K13))/Assumptions!$B$30</x:f>
        <x:v>2.4</x:v>
      </x:c>
      <x:c r="N13" s="9" t="n">
        <x:f>I13-M13</x:f>
        <x:v>2.4603398523654207</x:v>
      </x:c>
      <x:c r="O13" s="9" t="n">
        <x:f>Q12</x:f>
        <x:v>0</x:v>
      </x:c>
      <x:c r="P13" s="9" t="n">
        <x:f>MAX(0,N13-O13)*Assumptions!$B$23</x:f>
        <x:v>0.6150849630913552</x:v>
      </x:c>
      <x:c r="Q13" s="9" t="n">
        <x:f>MAX(0,O13-N13)</x:f>
        <x:v>0</x:v>
      </x:c>
      <x:c r="R13" s="9" t="n">
        <x:f>F13*Assumptions!$B$24*(Assumptions!$B$12+Assumptions!$B$20)/365</x:f>
        <x:v>3.508484308059025</x:v>
      </x:c>
      <x:c r="S13" s="9" t="n">
        <x:f>G13*(Assumptions!$B$13+Assumptions!$B$20)/365</x:f>
        <x:v>5.857915764348549</x:v>
      </x:c>
      <x:c r="T13" s="9" t="n">
        <x:f>G13*Assumptions!$B$25*Assumptions!$B$14/365</x:f>
        <x:v>2.130151187035836</x:v>
      </x:c>
      <x:c r="U13" s="9" t="n">
        <x:f>R13+S13-T13</x:f>
        <x:v>7.236248885371738</x:v>
      </x:c>
      <x:c r="V13" s="9" t="n">
        <x:f>U13-U12</x:f>
        <x:v>0.10693963870007472</x:v>
      </x:c>
      <x:c r="W13" s="9" t="n">
        <x:f>IF(A13=25,U13*Assumptions!$B$28,0)</x:f>
        <x:v>0</x:v>
      </x:c>
      <x:c r="X13" s="9" t="n">
        <x:f>N13-P13+M13-L13-V13+W13</x:f>
        <x:v>3.7383152505739905</x:v>
      </x:c>
      <x:c r="Y13" s="9" t="n">
        <x:f>(1+Assumptions!$B$21)^A13</x:f>
        <x:v>2.5937424601000023</x:v>
      </x:c>
      <x:c r="Z13" s="9" t="n">
        <x:f>X13/Y13</x:f>
        <x:v>1.4412823586308792</x:v>
      </x:c>
      <x:c r="AA13" s="9" t="n">
        <x:f>AA12+X13</x:f>
        <x:v>4.312498622173264</x:v>
      </x:c>
    </x:row>
    <x:row r="14" ht="44" customHeight="1">
      <x:c r="A14" s="2" t="n">
        <x:f>11</x:f>
        <x:v>11</x:v>
      </x:c>
      <x:c r="B14" s="2" t="n">
        <x:f>2026+A14</x:f>
        <x:v>2037</x:v>
      </x:c>
      <x:c r="C14" s="2" t="n">
        <x:f>(1+Assumptions!$B$16)^MIN(A14-1,9)*(1+Assumptions!$B$16/2)^MAX(0,A14-10)</x:f>
        <x:v>1.1519654002096924</x:v>
      </x:c>
      <x:c r="D14" s="2" t="n">
        <x:f>IF(A14=1,0.5,IF(A14=2,0.8,1))</x:f>
        <x:v>1</x:v>
      </x:c>
      <x:c r="E14" s="9" t="n">
        <x:f>MIN(Assumptions!$B$11*Assumptions!$B$15*C14*D14,Assumptions!$B$8*Assumptions!$B$22)</x:f>
        <x:v>115196.54002096925</x:v>
      </x:c>
      <x:c r="F14" s="9" t="n">
        <x:f>E14*Assumptions!$B$10*Assumptions!$B$18/1000000</x:f>
        <x:v>46.0786160083877</x:v>
      </x:c>
      <x:c r="G14" s="9" t="n">
        <x:f>E14*Assumptions!$B$9*Assumptions!$B$17/1000000</x:f>
        <x:v>39.166823607129544</x:v>
      </x:c>
      <x:c r="H14" s="9" t="n">
        <x:f>Assumptions!$B$7*Assumptions!$B$19</x:f>
        <x:v>2</x:v>
      </x:c>
      <x:c r="I14" s="9" t="n">
        <x:f>F14-G14-H14</x:f>
        <x:v>4.911792401258154</x:v>
      </x:c>
      <x:c r="J14" s="9" t="n">
        <x:f>IF(A14=1,Assumptions!$B$6,IF(OR(A14=11,A14=21),Assumptions!$B$6*Assumptions!$B$27,0))</x:f>
        <x:v>14</x:v>
      </x:c>
      <x:c r="K14" s="9" t="n">
        <x:f>Assumptions!$B$6*Assumptions!$B$26</x:f>
        <x:v>0.4</x:v>
      </x:c>
      <x:c r="L14" s="9" t="n">
        <x:f>IF(A14=1,Assumptions!$B$6*(1-Assumptions!$B$29),IF(OR(A14=11,A14=21),J14,0))+K14</x:f>
        <x:v>14.4</x:v>
      </x:c>
      <x:c r="M14" s="9" t="n">
        <x:f>(SUM(J5:J14)+SUM(K5:K14))/Assumptions!$B$30</x:f>
        <x:v>1.8</x:v>
      </x:c>
      <x:c r="N14" s="9" t="n">
        <x:f>I14-M14</x:f>
        <x:v>3.111792401258154</x:v>
      </x:c>
      <x:c r="O14" s="9" t="n">
        <x:f>Q13</x:f>
        <x:v>0</x:v>
      </x:c>
      <x:c r="P14" s="9" t="n">
        <x:f>MAX(0,N14-O14)*Assumptions!$B$23</x:f>
        <x:v>0.7779481003145385</x:v>
      </x:c>
      <x:c r="Q14" s="9" t="n">
        <x:f>MAX(0,O14-N14)</x:f>
        <x:v>0</x:v>
      </x:c>
      <x:c r="R14" s="9" t="n">
        <x:f>F14*Assumptions!$B$24*(Assumptions!$B$12+Assumptions!$B$20)/365</x:f>
        <x:v>3.534797940369467</x:v>
      </x:c>
      <x:c r="S14" s="9" t="n">
        <x:f>G14*(Assumptions!$B$13+Assumptions!$B$20)/365</x:f>
        <x:v>5.901850132581164</x:v>
      </x:c>
      <x:c r="T14" s="9" t="n">
        <x:f>G14*Assumptions!$B$25*Assumptions!$B$14/365</x:f>
        <x:v>2.1461273209386054</x:v>
      </x:c>
      <x:c r="U14" s="9" t="n">
        <x:f>R14+S14-T14</x:f>
        <x:v>7.290520752012027</x:v>
      </x:c>
      <x:c r="V14" s="9" t="n">
        <x:f>U14-U13</x:f>
        <x:v>0.05427186664028838</x:v>
      </x:c>
      <x:c r="W14" s="9" t="n">
        <x:f>IF(A14=25,U14*Assumptions!$B$28,0)</x:f>
        <x:v>0</x:v>
      </x:c>
      <x:c r="X14" s="9" t="n">
        <x:f>N14-P14+M14-L14-V14+W14</x:f>
        <x:v>-10.320427565696672</x:v>
      </x:c>
      <x:c r="Y14" s="9" t="n">
        <x:f>(1+Assumptions!$B$21)^A14</x:f>
        <x:v>2.8531167061100025</x:v>
      </x:c>
      <x:c r="Z14" s="9" t="n">
        <x:f>X14/Y14</x:f>
        <x:v>-3.6172469018162787</x:v>
      </x:c>
      <x:c r="AA14" s="9" t="n">
        <x:f>AA13+X14</x:f>
        <x:v>-6.0079289435234084</x:v>
      </x:c>
    </x:row>
    <x:row r="15" ht="44" customHeight="1">
      <x:c r="A15" s="2" t="n">
        <x:f>12</x:f>
        <x:v>12</x:v>
      </x:c>
      <x:c r="B15" s="2" t="n">
        <x:f>2026+A15</x:f>
        <x:v>2038</x:v>
      </x:c>
      <x:c r="C15" s="2" t="n">
        <x:f>(1+Assumptions!$B$16)^MIN(A15-1,9)*(1+Assumptions!$B$16/2)^MAX(0,A15-10)</x:f>
        <x:v>1.1606051407112652</x:v>
      </x:c>
      <x:c r="D15" s="2" t="n">
        <x:f>IF(A15=1,0.5,IF(A15=2,0.8,1))</x:f>
        <x:v>1</x:v>
      </x:c>
      <x:c r="E15" s="9" t="n">
        <x:f>MIN(Assumptions!$B$11*Assumptions!$B$15*C15*D15,Assumptions!$B$8*Assumptions!$B$22)</x:f>
        <x:v>116060.51407112651</x:v>
      </x:c>
      <x:c r="F15" s="9" t="n">
        <x:f>E15*Assumptions!$B$10*Assumptions!$B$18/1000000</x:f>
        <x:v>46.4242056284506</x:v>
      </x:c>
      <x:c r="G15" s="9" t="n">
        <x:f>E15*Assumptions!$B$9*Assumptions!$B$17/1000000</x:f>
        <x:v>39.46057478418301</x:v>
      </x:c>
      <x:c r="H15" s="9" t="n">
        <x:f>Assumptions!$B$7*Assumptions!$B$19</x:f>
        <x:v>2</x:v>
      </x:c>
      <x:c r="I15" s="9" t="n">
        <x:f>F15-G15-H15</x:f>
        <x:v>4.963630844267591</x:v>
      </x:c>
      <x:c r="J15" s="9" t="n">
        <x:f>IF(A15=1,Assumptions!$B$6,IF(OR(A15=11,A15=21),Assumptions!$B$6*Assumptions!$B$27,0))</x:f>
        <x:v>0</x:v>
      </x:c>
      <x:c r="K15" s="9" t="n">
        <x:f>Assumptions!$B$6*Assumptions!$B$26</x:f>
        <x:v>0.4</x:v>
      </x:c>
      <x:c r="L15" s="9" t="n">
        <x:f>IF(A15=1,Assumptions!$B$6*(1-Assumptions!$B$29),IF(OR(A15=11,A15=21),J15,0))+K15</x:f>
        <x:v>0.4</x:v>
      </x:c>
      <x:c r="M15" s="9" t="n">
        <x:f>(SUM(J6:J15)+SUM(K6:K15))/Assumptions!$B$30</x:f>
        <x:v>1.8</x:v>
      </x:c>
      <x:c r="N15" s="9" t="n">
        <x:f>I15-M15</x:f>
        <x:v>3.1636308442675913</x:v>
      </x:c>
      <x:c r="O15" s="9" t="n">
        <x:f>Q14</x:f>
        <x:v>0</x:v>
      </x:c>
      <x:c r="P15" s="9" t="n">
        <x:f>MAX(0,N15-O15)*Assumptions!$B$23</x:f>
        <x:v>0.7909077110668978</x:v>
      </x:c>
      <x:c r="Q15" s="9" t="n">
        <x:f>MAX(0,O15-N15)</x:f>
        <x:v>0</x:v>
      </x:c>
      <x:c r="R15" s="9" t="n">
        <x:f>F15*Assumptions!$B$24*(Assumptions!$B$12+Assumptions!$B$20)/365</x:f>
        <x:v>3.5613089249222374</x:v>
      </x:c>
      <x:c r="S15" s="9" t="n">
        <x:f>G15*(Assumptions!$B$13+Assumptions!$B$20)/365</x:f>
        <x:v>5.946114008575521</x:v>
      </x:c>
      <x:c r="T15" s="9" t="n">
        <x:f>G15*Assumptions!$B$25*Assumptions!$B$14/365</x:f>
        <x:v>2.1622232758456446</x:v>
      </x:c>
      <x:c r="U15" s="9" t="n">
        <x:f>R15+S15-T15</x:f>
        <x:v>7.345199657652115</x:v>
      </x:c>
      <x:c r="V15" s="9" t="n">
        <x:f>U15-U14</x:f>
        <x:v>0.05467890564008826</x:v>
      </x:c>
      <x:c r="W15" s="9" t="n">
        <x:f>IF(A15=25,U15*Assumptions!$B$28,0)</x:f>
        <x:v>0</x:v>
      </x:c>
      <x:c r="X15" s="9" t="n">
        <x:f>N15-P15+M15-L15-V15+W15</x:f>
        <x:v>3.7180442275606054</x:v>
      </x:c>
      <x:c r="Y15" s="9" t="n">
        <x:f>(1+Assumptions!$B$21)^A15</x:f>
        <x:v>3.138428376721003</x:v>
      </x:c>
      <x:c r="Z15" s="9" t="n">
        <x:f>X15/Y15</x:f>
        <x:v>1.1846834725109066</x:v>
      </x:c>
      <x:c r="AA15" s="9" t="n">
        <x:f>AA14+X15</x:f>
        <x:v>-2.289884715962803</x:v>
      </x:c>
    </x:row>
    <x:row r="16" ht="44" customHeight="1">
      <x:c r="A16" s="2" t="n">
        <x:f>13</x:f>
        <x:v>13</x:v>
      </x:c>
      <x:c r="B16" s="2" t="n">
        <x:f>2026+A16</x:f>
        <x:v>2039</x:v>
      </x:c>
      <x:c r="C16" s="2" t="n">
        <x:f>(1+Assumptions!$B$16)^MIN(A16-1,9)*(1+Assumptions!$B$16/2)^MAX(0,A16-10)</x:f>
        <x:v>1.1693096792665998</x:v>
      </x:c>
      <x:c r="D16" s="2" t="n">
        <x:f>IF(A16=1,0.5,IF(A16=2,0.8,1))</x:f>
        <x:v>1</x:v>
      </x:c>
      <x:c r="E16" s="9" t="n">
        <x:f>MIN(Assumptions!$B$11*Assumptions!$B$15*C16*D16,Assumptions!$B$8*Assumptions!$B$22)</x:f>
        <x:v>116930.96792665999</x:v>
      </x:c>
      <x:c r="F16" s="9" t="n">
        <x:f>E16*Assumptions!$B$10*Assumptions!$B$18/1000000</x:f>
        <x:v>46.772387170664</x:v>
      </x:c>
      <x:c r="G16" s="9" t="n">
        <x:f>E16*Assumptions!$B$9*Assumptions!$B$17/1000000</x:f>
        <x:v>39.756529095064394</x:v>
      </x:c>
      <x:c r="H16" s="9" t="n">
        <x:f>Assumptions!$B$7*Assumptions!$B$19</x:f>
        <x:v>2</x:v>
      </x:c>
      <x:c r="I16" s="9" t="n">
        <x:f>F16-G16-H16</x:f>
        <x:v>5.015858075599603</x:v>
      </x:c>
      <x:c r="J16" s="9" t="n">
        <x:f>IF(A16=1,Assumptions!$B$6,IF(OR(A16=11,A16=21),Assumptions!$B$6*Assumptions!$B$27,0))</x:f>
        <x:v>0</x:v>
      </x:c>
      <x:c r="K16" s="9" t="n">
        <x:f>Assumptions!$B$6*Assumptions!$B$26</x:f>
        <x:v>0.4</x:v>
      </x:c>
      <x:c r="L16" s="9" t="n">
        <x:f>IF(A16=1,Assumptions!$B$6*(1-Assumptions!$B$29),IF(OR(A16=11,A16=21),J16,0))+K16</x:f>
        <x:v>0.4</x:v>
      </x:c>
      <x:c r="M16" s="9" t="n">
        <x:f>(SUM(J7:J16)+SUM(K7:K16))/Assumptions!$B$30</x:f>
        <x:v>1.8</x:v>
      </x:c>
      <x:c r="N16" s="9" t="n">
        <x:f>I16-M16</x:f>
        <x:v>3.215858075599603</x:v>
      </x:c>
      <x:c r="O16" s="9" t="n">
        <x:f>Q15</x:f>
        <x:v>0</x:v>
      </x:c>
      <x:c r="P16" s="9" t="n">
        <x:f>MAX(0,N16-O16)*Assumptions!$B$23</x:f>
        <x:v>0.8039645188999007</x:v>
      </x:c>
      <x:c r="Q16" s="9" t="n">
        <x:f>MAX(0,O16-N16)</x:f>
        <x:v>0</x:v>
      </x:c>
      <x:c r="R16" s="9" t="n">
        <x:f>F16*Assumptions!$B$24*(Assumptions!$B$12+Assumptions!$B$20)/365</x:f>
        <x:v>3.588018741859156</x:v>
      </x:c>
      <x:c r="S16" s="9" t="n">
        <x:f>G16*(Assumptions!$B$13+Assumptions!$B$20)/365</x:f>
        <x:v>5.99070986363984</x:v>
      </x:c>
      <x:c r="T16" s="9" t="n">
        <x:f>G16*Assumptions!$B$25*Assumptions!$B$14/365</x:f>
        <x:v>2.1784399504144876</x:v>
      </x:c>
      <x:c r="U16" s="9" t="n">
        <x:f>R16+S16-T16</x:f>
        <x:v>7.400288655084509</x:v>
      </x:c>
      <x:c r="V16" s="9" t="n">
        <x:f>U16-U15</x:f>
        <x:v>0.05508899743239404</x:v>
      </x:c>
      <x:c r="W16" s="9" t="n">
        <x:f>IF(A16=25,U16*Assumptions!$B$28,0)</x:f>
        <x:v>0</x:v>
      </x:c>
      <x:c r="X16" s="9" t="n">
        <x:f>N16-P16+M16-L16-V16+W16</x:f>
        <x:v>3.7568045592673083</x:v>
      </x:c>
      <x:c r="Y16" s="9" t="n">
        <x:f>(1+Assumptions!$B$21)^A16</x:f>
        <x:v>3.452271214393104</x:v>
      </x:c>
      <x:c r="Z16" s="9" t="n">
        <x:f>X16/Y16</x:f>
        <x:v>1.0882124624521252</x:v>
      </x:c>
      <x:c r="AA16" s="9" t="n">
        <x:f>AA15+X16</x:f>
        <x:v>1.4669198433045052</x:v>
      </x:c>
    </x:row>
    <x:row r="17" ht="44" customHeight="1">
      <x:c r="A17" s="2" t="n">
        <x:f>14</x:f>
        <x:v>14</x:v>
      </x:c>
      <x:c r="B17" s="2" t="n">
        <x:f>2026+A17</x:f>
        <x:v>2040</x:v>
      </x:c>
      <x:c r="C17" s="2" t="n">
        <x:f>(1+Assumptions!$B$16)^MIN(A17-1,9)*(1+Assumptions!$B$16/2)^MAX(0,A17-10)</x:f>
        <x:v>1.1780795018610992</x:v>
      </x:c>
      <x:c r="D17" s="2" t="n">
        <x:f>IF(A17=1,0.5,IF(A17=2,0.8,1))</x:f>
        <x:v>1</x:v>
      </x:c>
      <x:c r="E17" s="9" t="n">
        <x:f>MIN(Assumptions!$B$11*Assumptions!$B$15*C17*D17,Assumptions!$B$8*Assumptions!$B$22)</x:f>
        <x:v>117807.95018610993</x:v>
      </x:c>
      <x:c r="F17" s="9" t="n">
        <x:f>E17*Assumptions!$B$10*Assumptions!$B$18/1000000</x:f>
        <x:v>47.12318007444397</x:v>
      </x:c>
      <x:c r="G17" s="9" t="n">
        <x:f>E17*Assumptions!$B$9*Assumptions!$B$17/1000000</x:f>
        <x:v>40.05470306327738</x:v>
      </x:c>
      <x:c r="H17" s="9" t="n">
        <x:f>Assumptions!$B$7*Assumptions!$B$19</x:f>
        <x:v>2</x:v>
      </x:c>
      <x:c r="I17" s="9" t="n">
        <x:f>F17-G17-H17</x:f>
        <x:v>5.068477011166593</x:v>
      </x:c>
      <x:c r="J17" s="9" t="n">
        <x:f>IF(A17=1,Assumptions!$B$6,IF(OR(A17=11,A17=21),Assumptions!$B$6*Assumptions!$B$27,0))</x:f>
        <x:v>0</x:v>
      </x:c>
      <x:c r="K17" s="9" t="n">
        <x:f>Assumptions!$B$6*Assumptions!$B$26</x:f>
        <x:v>0.4</x:v>
      </x:c>
      <x:c r="L17" s="9" t="n">
        <x:f>IF(A17=1,Assumptions!$B$6*(1-Assumptions!$B$29),IF(OR(A17=11,A17=21),J17,0))+K17</x:f>
        <x:v>0.4</x:v>
      </x:c>
      <x:c r="M17" s="9" t="n">
        <x:f>(SUM(J8:J17)+SUM(K8:K17))/Assumptions!$B$30</x:f>
        <x:v>1.8</x:v>
      </x:c>
      <x:c r="N17" s="9" t="n">
        <x:f>I17-M17</x:f>
        <x:v>3.268477011166593</x:v>
      </x:c>
      <x:c r="O17" s="9" t="n">
        <x:f>Q16</x:f>
        <x:v>0</x:v>
      </x:c>
      <x:c r="P17" s="9" t="n">
        <x:f>MAX(0,N17-O17)*Assumptions!$B$23</x:f>
        <x:v>0.8171192527916482</x:v>
      </x:c>
      <x:c r="Q17" s="9" t="n">
        <x:f>MAX(0,O17-N17)</x:f>
        <x:v>0</x:v>
      </x:c>
      <x:c r="R17" s="9" t="n">
        <x:f>F17*Assumptions!$B$24*(Assumptions!$B$12+Assumptions!$B$20)/365</x:f>
        <x:v>3.6149288824230994</x:v>
      </x:c>
      <x:c r="S17" s="9" t="n">
        <x:f>G17*(Assumptions!$B$13+Assumptions!$B$20)/365</x:f>
        <x:v>6.0356401876171395</x:v>
      </x:c>
      <x:c r="T17" s="9" t="n">
        <x:f>G17*Assumptions!$B$25*Assumptions!$B$14/365</x:f>
        <x:v>2.1947782500425963</x:v>
      </x:c>
      <x:c r="U17" s="9" t="n">
        <x:f>R17+S17-T17</x:f>
        <x:v>7.4557908199976435</x:v>
      </x:c>
      <x:c r="V17" s="9" t="n">
        <x:f>U17-U16</x:f>
        <x:v>0.05550216491313442</x:v>
      </x:c>
      <x:c r="W17" s="9" t="n">
        <x:f>IF(A17=25,U17*Assumptions!$B$28,0)</x:f>
        <x:v>0</x:v>
      </x:c>
      <x:c r="X17" s="9" t="n">
        <x:f>N17-P17+M17-L17-V17+W17</x:f>
        <x:v>3.7958555934618103</x:v>
      </x:c>
      <x:c r="Y17" s="9" t="n">
        <x:f>(1+Assumptions!$B$21)^A17</x:f>
        <x:v>3.7974983358324144</x:v>
      </x:c>
      <x:c r="Z17" s="9" t="n">
        <x:f>X17/Y17</x:f>
        <x:v>0.9995674145910471</x:v>
      </x:c>
      <x:c r="AA17" s="9" t="n">
        <x:f>AA16+X17</x:f>
        <x:v>5.262775436766315</x:v>
      </x:c>
    </x:row>
    <x:row r="18" ht="44" customHeight="1">
      <x:c r="A18" s="2" t="n">
        <x:f>15</x:f>
        <x:v>15</x:v>
      </x:c>
      <x:c r="B18" s="2" t="n">
        <x:f>2026+A18</x:f>
        <x:v>2041</x:v>
      </x:c>
      <x:c r="C18" s="2" t="n">
        <x:f>(1+Assumptions!$B$16)^MIN(A18-1,9)*(1+Assumptions!$B$16/2)^MAX(0,A18-10)</x:f>
        <x:v>1.1869150981250576</x:v>
      </x:c>
      <x:c r="D18" s="2" t="n">
        <x:f>IF(A18=1,0.5,IF(A18=2,0.8,1))</x:f>
        <x:v>1</x:v>
      </x:c>
      <x:c r="E18" s="9" t="n">
        <x:f>MIN(Assumptions!$B$11*Assumptions!$B$15*C18*D18,Assumptions!$B$8*Assumptions!$B$22)</x:f>
        <x:v>118691.50981250576</x:v>
      </x:c>
      <x:c r="F18" s="9" t="n">
        <x:f>E18*Assumptions!$B$10*Assumptions!$B$18/1000000</x:f>
        <x:v>47.4766039250023</x:v>
      </x:c>
      <x:c r="G18" s="9" t="n">
        <x:f>E18*Assumptions!$B$9*Assumptions!$B$17/1000000</x:f>
        <x:v>40.35511333625196</x:v>
      </x:c>
      <x:c r="H18" s="9" t="n">
        <x:f>Assumptions!$B$7*Assumptions!$B$19</x:f>
        <x:v>2</x:v>
      </x:c>
      <x:c r="I18" s="9" t="n">
        <x:f>F18-G18-H18</x:f>
        <x:v>5.121490588750341</x:v>
      </x:c>
      <x:c r="J18" s="9" t="n">
        <x:f>IF(A18=1,Assumptions!$B$6,IF(OR(A18=11,A18=21),Assumptions!$B$6*Assumptions!$B$27,0))</x:f>
        <x:v>0</x:v>
      </x:c>
      <x:c r="K18" s="9" t="n">
        <x:f>Assumptions!$B$6*Assumptions!$B$26</x:f>
        <x:v>0.4</x:v>
      </x:c>
      <x:c r="L18" s="9" t="n">
        <x:f>IF(A18=1,Assumptions!$B$6*(1-Assumptions!$B$29),IF(OR(A18=11,A18=21),J18,0))+K18</x:f>
        <x:v>0.4</x:v>
      </x:c>
      <x:c r="M18" s="9" t="n">
        <x:f>(SUM(J9:J18)+SUM(K9:K18))/Assumptions!$B$30</x:f>
        <x:v>1.8</x:v>
      </x:c>
      <x:c r="N18" s="9" t="n">
        <x:f>I18-M18</x:f>
        <x:v>3.3214905887503408</x:v>
      </x:c>
      <x:c r="O18" s="9" t="n">
        <x:f>Q17</x:f>
        <x:v>0</x:v>
      </x:c>
      <x:c r="P18" s="9" t="n">
        <x:f>MAX(0,N18-O18)*Assumptions!$B$23</x:f>
        <x:v>0.8303726471875852</x:v>
      </x:c>
      <x:c r="Q18" s="9" t="n">
        <x:f>MAX(0,O18-N18)</x:f>
        <x:v>0</x:v>
      </x:c>
      <x:c r="R18" s="9" t="n">
        <x:f>F18*Assumptions!$B$24*(Assumptions!$B$12+Assumptions!$B$20)/365</x:f>
        <x:v>3.6420408490412726</x:v>
      </x:c>
      <x:c r="S18" s="9" t="n">
        <x:f>G18*(Assumptions!$B$13+Assumptions!$B$20)/365</x:f>
        <x:v>6.080907489024269</x:v>
      </x:c>
      <x:c r="T18" s="9" t="n">
        <x:f>G18*Assumptions!$B$25*Assumptions!$B$14/365</x:f>
        <x:v>2.211239086917916</x:v>
      </x:c>
      <x:c r="U18" s="9" t="n">
        <x:f>R18+S18-T18</x:f>
        <x:v>7.511709251147627</x:v>
      </x:c>
      <x:c r="V18" s="9" t="n">
        <x:f>U18-U17</x:f>
        <x:v>0.055918431149983405</x:v>
      </x:c>
      <x:c r="W18" s="9" t="n">
        <x:f>IF(A18=25,U18*Assumptions!$B$28,0)</x:f>
        <x:v>0</x:v>
      </x:c>
      <x:c r="X18" s="9" t="n">
        <x:f>N18-P18+M18-L18-V18+W18</x:f>
        <x:v>3.8351995104127723</x:v>
      </x:c>
      <x:c r="Y18" s="9" t="n">
        <x:f>(1+Assumptions!$B$21)^A18</x:f>
        <x:v>4.177248169415656</x:v>
      </x:c>
      <x:c r="Z18" s="9" t="n">
        <x:f>X18/Y18</x:f>
        <x:v>0.9181162705373255</x:v>
      </x:c>
      <x:c r="AA18" s="9" t="n">
        <x:f>AA17+X18</x:f>
        <x:v>9.097974947179088</x:v>
      </x:c>
    </x:row>
    <x:row r="19" ht="44" customHeight="1">
      <x:c r="A19" s="2" t="n">
        <x:f>16</x:f>
        <x:v>16</x:v>
      </x:c>
      <x:c r="B19" s="2" t="n">
        <x:f>2026+A19</x:f>
        <x:v>2042</x:v>
      </x:c>
      <x:c r="C19" s="2" t="n">
        <x:f>(1+Assumptions!$B$16)^MIN(A19-1,9)*(1+Assumptions!$B$16/2)^MAX(0,A19-10)</x:f>
        <x:v>1.1958169613609957</x:v>
      </x:c>
      <x:c r="D19" s="2" t="n">
        <x:f>IF(A19=1,0.5,IF(A19=2,0.8,1))</x:f>
        <x:v>1</x:v>
      </x:c>
      <x:c r="E19" s="9" t="n">
        <x:f>MIN(Assumptions!$B$11*Assumptions!$B$15*C19*D19,Assumptions!$B$8*Assumptions!$B$22)</x:f>
        <x:v>119581.69613609956</x:v>
      </x:c>
      <x:c r="F19" s="9" t="n">
        <x:f>E19*Assumptions!$B$10*Assumptions!$B$18/1000000</x:f>
        <x:v>47.83267845443983</x:v>
      </x:c>
      <x:c r="G19" s="9" t="n">
        <x:f>E19*Assumptions!$B$9*Assumptions!$B$17/1000000</x:f>
        <x:v>40.65777668627385</x:v>
      </x:c>
      <x:c r="H19" s="9" t="n">
        <x:f>Assumptions!$B$7*Assumptions!$B$19</x:f>
        <x:v>2</x:v>
      </x:c>
      <x:c r="I19" s="9" t="n">
        <x:f>F19-G19-H19</x:f>
        <x:v>5.174901768165981</x:v>
      </x:c>
      <x:c r="J19" s="9" t="n">
        <x:f>IF(A19=1,Assumptions!$B$6,IF(OR(A19=11,A19=21),Assumptions!$B$6*Assumptions!$B$27,0))</x:f>
        <x:v>0</x:v>
      </x:c>
      <x:c r="K19" s="9" t="n">
        <x:f>Assumptions!$B$6*Assumptions!$B$26</x:f>
        <x:v>0.4</x:v>
      </x:c>
      <x:c r="L19" s="9" t="n">
        <x:f>IF(A19=1,Assumptions!$B$6*(1-Assumptions!$B$29),IF(OR(A19=11,A19=21),J19,0))+K19</x:f>
        <x:v>0.4</x:v>
      </x:c>
      <x:c r="M19" s="9" t="n">
        <x:f>(SUM(J10:J19)+SUM(K10:K19))/Assumptions!$B$30</x:f>
        <x:v>1.8</x:v>
      </x:c>
      <x:c r="N19" s="9" t="n">
        <x:f>I19-M19</x:f>
        <x:v>3.374901768165981</x:v>
      </x:c>
      <x:c r="O19" s="9" t="n">
        <x:f>Q18</x:f>
        <x:v>0</x:v>
      </x:c>
      <x:c r="P19" s="9" t="n">
        <x:f>MAX(0,N19-O19)*Assumptions!$B$23</x:f>
        <x:v>0.8437254420414952</x:v>
      </x:c>
      <x:c r="Q19" s="9" t="n">
        <x:f>MAX(0,O19-N19)</x:f>
        <x:v>0</x:v>
      </x:c>
      <x:c r="R19" s="9" t="n">
        <x:f>F19*Assumptions!$B$24*(Assumptions!$B$12+Assumptions!$B$20)/365</x:f>
        <x:v>3.669356155409083</x:v>
      </x:c>
      <x:c r="S19" s="9" t="n">
        <x:f>G19*(Assumptions!$B$13+Assumptions!$B$20)/365</x:f>
        <x:v>6.12651429519195</x:v>
      </x:c>
      <x:c r="T19" s="9" t="n">
        <x:f>G19*Assumptions!$B$25*Assumptions!$B$14/365</x:f>
        <x:v>2.2278233800698004</x:v>
      </x:c>
      <x:c r="U19" s="9" t="n">
        <x:f>R19+S19-T19</x:f>
        <x:v>7.568047070531232</x:v>
      </x:c>
      <x:c r="V19" s="9" t="n">
        <x:f>U19-U18</x:f>
        <x:v>0.05633781938360549</x:v>
      </x:c>
      <x:c r="W19" s="9" t="n">
        <x:f>IF(A19=25,U19*Assumptions!$B$28,0)</x:f>
        <x:v>0</x:v>
      </x:c>
      <x:c r="X19" s="9" t="n">
        <x:f>N19-P19+M19-L19-V19+W19</x:f>
        <x:v>3.8748385067408804</x:v>
      </x:c>
      <x:c r="Y19" s="9" t="n">
        <x:f>(1+Assumptions!$B$21)^A19</x:f>
        <x:v>4.594972986357222</x:v>
      </x:c>
      <x:c r="Z19" s="9" t="n">
        <x:f>X19/Y19</x:f>
        <x:v>0.8432777555484072</x:v>
      </x:c>
      <x:c r="AA19" s="9" t="n">
        <x:f>AA18+X19</x:f>
        <x:v>12.972813453919969</x:v>
      </x:c>
    </x:row>
    <x:row r="20" ht="44" customHeight="1">
      <x:c r="A20" s="2" t="n">
        <x:f>17</x:f>
        <x:v>17</x:v>
      </x:c>
      <x:c r="B20" s="2" t="n">
        <x:f>2026+A20</x:f>
        <x:v>2043</x:v>
      </x:c>
      <x:c r="C20" s="2" t="n">
        <x:f>(1+Assumptions!$B$16)^MIN(A20-1,9)*(1+Assumptions!$B$16/2)^MAX(0,A20-10)</x:f>
        <x:v>1.2047855885712033</x:v>
      </x:c>
      <x:c r="D20" s="2" t="n">
        <x:f>IF(A20=1,0.5,IF(A20=2,0.8,1))</x:f>
        <x:v>1</x:v>
      </x:c>
      <x:c r="E20" s="9" t="n">
        <x:f>MIN(Assumptions!$B$11*Assumptions!$B$15*C20*D20,Assumptions!$B$8*Assumptions!$B$22)</x:f>
        <x:v>120478.55885712033</x:v>
      </x:c>
      <x:c r="F20" s="9" t="n">
        <x:f>E20*Assumptions!$B$10*Assumptions!$B$18/1000000</x:f>
        <x:v>48.191423542848135</x:v>
      </x:c>
      <x:c r="G20" s="9" t="n">
        <x:f>E20*Assumptions!$B$9*Assumptions!$B$17/1000000</x:f>
        <x:v>40.96271001142091</x:v>
      </x:c>
      <x:c r="H20" s="9" t="n">
        <x:f>Assumptions!$B$7*Assumptions!$B$19</x:f>
        <x:v>2</x:v>
      </x:c>
      <x:c r="I20" s="9" t="n">
        <x:f>F20-G20-H20</x:f>
        <x:v>5.228713531427225</x:v>
      </x:c>
      <x:c r="J20" s="9" t="n">
        <x:f>IF(A20=1,Assumptions!$B$6,IF(OR(A20=11,A20=21),Assumptions!$B$6*Assumptions!$B$27,0))</x:f>
        <x:v>0</x:v>
      </x:c>
      <x:c r="K20" s="9" t="n">
        <x:f>Assumptions!$B$6*Assumptions!$B$26</x:f>
        <x:v>0.4</x:v>
      </x:c>
      <x:c r="L20" s="9" t="n">
        <x:f>IF(A20=1,Assumptions!$B$6*(1-Assumptions!$B$29),IF(OR(A20=11,A20=21),J20,0))+K20</x:f>
        <x:v>0.4</x:v>
      </x:c>
      <x:c r="M20" s="9" t="n">
        <x:f>(SUM(J11:J20)+SUM(K11:K20))/Assumptions!$B$30</x:f>
        <x:v>1.8</x:v>
      </x:c>
      <x:c r="N20" s="9" t="n">
        <x:f>I20-M20</x:f>
        <x:v>3.428713531427225</x:v>
      </x:c>
      <x:c r="O20" s="9" t="n">
        <x:f>Q19</x:f>
        <x:v>0</x:v>
      </x:c>
      <x:c r="P20" s="9" t="n">
        <x:f>MAX(0,N20-O20)*Assumptions!$B$23</x:f>
        <x:v>0.8571783828568063</x:v>
      </x:c>
      <x:c r="Q20" s="9" t="n">
        <x:f>MAX(0,O20-N20)</x:f>
        <x:v>0</x:v>
      </x:c>
      <x:c r="R20" s="9" t="n">
        <x:f>F20*Assumptions!$B$24*(Assumptions!$B$12+Assumptions!$B$20)/365</x:f>
        <x:v>3.696876326574652</x:v>
      </x:c>
      <x:c r="S20" s="9" t="n">
        <x:f>G20*(Assumptions!$B$13+Assumptions!$B$20)/365</x:f>
        <x:v>6.17246315240589</x:v>
      </x:c>
      <x:c r="T20" s="9" t="n">
        <x:f>G20*Assumptions!$B$25*Assumptions!$B$14/365</x:f>
        <x:v>2.2445320554203243</x:v>
      </x:c>
      <x:c r="U20" s="9" t="n">
        <x:f>R20+S20-T20</x:f>
        <x:v>7.624807423560219</x:v>
      </x:c>
      <x:c r="V20" s="9" t="n">
        <x:f>U20-U19</x:f>
        <x:v>0.05676035302898619</x:v>
      </x:c>
      <x:c r="W20" s="9" t="n">
        <x:f>IF(A20=25,U20*Assumptions!$B$28,0)</x:f>
        <x:v>0</x:v>
      </x:c>
      <x:c r="X20" s="9" t="n">
        <x:f>N20-P20+M20-L20-V20+W20</x:f>
        <x:v>3.9147747955414327</x:v>
      </x:c>
      <x:c r="Y20" s="9" t="n">
        <x:f>(1+Assumptions!$B$21)^A20</x:f>
        <x:v>5.054470284992945</x:v>
      </x:c>
      <x:c r="Z20" s="9" t="n">
        <x:f>X20/Y20</x:f>
        <x:v>0.7745173232424882</x:v>
      </x:c>
      <x:c r="AA20" s="9" t="n">
        <x:f>AA19+X20</x:f>
        <x:v>16.887588249461402</x:v>
      </x:c>
    </x:row>
    <x:row r="21" ht="44" customHeight="1">
      <x:c r="A21" s="2" t="n">
        <x:f>18</x:f>
        <x:v>18</x:v>
      </x:c>
      <x:c r="B21" s="2" t="n">
        <x:f>2026+A21</x:f>
        <x:v>2044</x:v>
      </x:c>
      <x:c r="C21" s="2" t="n">
        <x:f>(1+Assumptions!$B$16)^MIN(A21-1,9)*(1+Assumptions!$B$16/2)^MAX(0,A21-10)</x:f>
        <x:v>1.2138214804854872</x:v>
      </x:c>
      <x:c r="D21" s="2" t="n">
        <x:f>IF(A21=1,0.5,IF(A21=2,0.8,1))</x:f>
        <x:v>1</x:v>
      </x:c>
      <x:c r="E21" s="9" t="n">
        <x:f>MIN(Assumptions!$B$11*Assumptions!$B$15*C21*D21,Assumptions!$B$8*Assumptions!$B$22)</x:f>
        <x:v>121382.14804854873</x:v>
      </x:c>
      <x:c r="F21" s="9" t="n">
        <x:f>E21*Assumptions!$B$10*Assumptions!$B$18/1000000</x:f>
        <x:v>48.552859219419496</x:v>
      </x:c>
      <x:c r="G21" s="9" t="n">
        <x:f>E21*Assumptions!$B$9*Assumptions!$B$17/1000000</x:f>
        <x:v>41.26993033650657</x:v>
      </x:c>
      <x:c r="H21" s="9" t="n">
        <x:f>Assumptions!$B$7*Assumptions!$B$19</x:f>
        <x:v>2</x:v>
      </x:c>
      <x:c r="I21" s="9" t="n">
        <x:f>F21-G21-H21</x:f>
        <x:v>5.282928882912927</x:v>
      </x:c>
      <x:c r="J21" s="9" t="n">
        <x:f>IF(A21=1,Assumptions!$B$6,IF(OR(A21=11,A21=21),Assumptions!$B$6*Assumptions!$B$27,0))</x:f>
        <x:v>0</x:v>
      </x:c>
      <x:c r="K21" s="9" t="n">
        <x:f>Assumptions!$B$6*Assumptions!$B$26</x:f>
        <x:v>0.4</x:v>
      </x:c>
      <x:c r="L21" s="9" t="n">
        <x:f>IF(A21=1,Assumptions!$B$6*(1-Assumptions!$B$29),IF(OR(A21=11,A21=21),J21,0))+K21</x:f>
        <x:v>0.4</x:v>
      </x:c>
      <x:c r="M21" s="9" t="n">
        <x:f>(SUM(J12:J21)+SUM(K12:K21))/Assumptions!$B$30</x:f>
        <x:v>1.8</x:v>
      </x:c>
      <x:c r="N21" s="9" t="n">
        <x:f>I21-M21</x:f>
        <x:v>3.482928882912927</x:v>
      </x:c>
      <x:c r="O21" s="9" t="n">
        <x:f>Q20</x:f>
        <x:v>0</x:v>
      </x:c>
      <x:c r="P21" s="9" t="n">
        <x:f>MAX(0,N21-O21)*Assumptions!$B$23</x:f>
        <x:v>0.8707322207282318</x:v>
      </x:c>
      <x:c r="Q21" s="9" t="n">
        <x:f>MAX(0,O21-N21)</x:f>
        <x:v>0</x:v>
      </x:c>
      <x:c r="R21" s="9" t="n">
        <x:f>F21*Assumptions!$B$24*(Assumptions!$B$12+Assumptions!$B$20)/365</x:f>
        <x:v>3.7246028990239615</x:v>
      </x:c>
      <x:c r="S21" s="9" t="n">
        <x:f>G21*(Assumptions!$B$13+Assumptions!$B$20)/365</x:f>
        <x:v>6.218756626048935</x:v>
      </x:c>
      <x:c r="T21" s="9" t="n">
        <x:f>G21*Assumptions!$B$25*Assumptions!$B$14/365</x:f>
        <x:v>2.2613660458359766</x:v>
      </x:c>
      <x:c r="U21" s="9" t="n">
        <x:f>R21+S21-T21</x:f>
        <x:v>7.68199347923692</x:v>
      </x:c>
      <x:c r="V21" s="9" t="n">
        <x:f>U21-U20</x:f>
        <x:v>0.05718605567670121</x:v>
      </x:c>
      <x:c r="W21" s="9" t="n">
        <x:f>IF(A21=25,U21*Assumptions!$B$28,0)</x:f>
        <x:v>0</x:v>
      </x:c>
      <x:c r="X21" s="9" t="n">
        <x:f>N21-P21+M21-L21-V21+W21</x:f>
        <x:v>3.9550106065079937</x:v>
      </x:c>
      <x:c r="Y21" s="9" t="n">
        <x:f>(1+Assumptions!$B$21)^A21</x:f>
        <x:v>5.55991731349224</x:v>
      </x:c>
      <x:c r="Z21" s="9" t="n">
        <x:f>X21/Y21</x:f>
        <x:v>0.7113434217646327</x:v>
      </x:c>
      <x:c r="AA21" s="9" t="n">
        <x:f>AA20+X21</x:f>
        <x:v>20.842598855969396</x:v>
      </x:c>
    </x:row>
    <x:row r="22" ht="44" customHeight="1">
      <x:c r="A22" s="2" t="n">
        <x:f>19</x:f>
        <x:v>19</x:v>
      </x:c>
      <x:c r="B22" s="2" t="n">
        <x:f>2026+A22</x:f>
        <x:v>2045</x:v>
      </x:c>
      <x:c r="C22" s="2" t="n">
        <x:f>(1+Assumptions!$B$16)^MIN(A22-1,9)*(1+Assumptions!$B$16/2)^MAX(0,A22-10)</x:f>
        <x:v>1.2229251415891285</x:v>
      </x:c>
      <x:c r="D22" s="2" t="n">
        <x:f>IF(A22=1,0.5,IF(A22=2,0.8,1))</x:f>
        <x:v>1</x:v>
      </x:c>
      <x:c r="E22" s="9" t="n">
        <x:f>MIN(Assumptions!$B$11*Assumptions!$B$15*C22*D22,Assumptions!$B$8*Assumptions!$B$22)</x:f>
        <x:v>122292.51415891285</x:v>
      </x:c>
      <x:c r="F22" s="9" t="n">
        <x:f>E22*Assumptions!$B$10*Assumptions!$B$18/1000000</x:f>
        <x:v>48.917005663565135</x:v>
      </x:c>
      <x:c r="G22" s="9" t="n">
        <x:f>E22*Assumptions!$B$9*Assumptions!$B$17/1000000</x:f>
        <x:v>41.57945481403037</x:v>
      </x:c>
      <x:c r="H22" s="9" t="n">
        <x:f>Assumptions!$B$7*Assumptions!$B$19</x:f>
        <x:v>2</x:v>
      </x:c>
      <x:c r="I22" s="9" t="n">
        <x:f>F22-G22-H22</x:f>
        <x:v>5.3375508495347646</x:v>
      </x:c>
      <x:c r="J22" s="9" t="n">
        <x:f>IF(A22=1,Assumptions!$B$6,IF(OR(A22=11,A22=21),Assumptions!$B$6*Assumptions!$B$27,0))</x:f>
        <x:v>0</x:v>
      </x:c>
      <x:c r="K22" s="9" t="n">
        <x:f>Assumptions!$B$6*Assumptions!$B$26</x:f>
        <x:v>0.4</x:v>
      </x:c>
      <x:c r="L22" s="9" t="n">
        <x:f>IF(A22=1,Assumptions!$B$6*(1-Assumptions!$B$29),IF(OR(A22=11,A22=21),J22,0))+K22</x:f>
        <x:v>0.4</x:v>
      </x:c>
      <x:c r="M22" s="9" t="n">
        <x:f>(SUM(J13:J22)+SUM(K13:K22))/Assumptions!$B$30</x:f>
        <x:v>1.8</x:v>
      </x:c>
      <x:c r="N22" s="9" t="n">
        <x:f>I22-M22</x:f>
        <x:v>3.5375508495347647</x:v>
      </x:c>
      <x:c r="O22" s="9" t="n">
        <x:f>Q21</x:f>
        <x:v>0</x:v>
      </x:c>
      <x:c r="P22" s="9" t="n">
        <x:f>MAX(0,N22-O22)*Assumptions!$B$23</x:f>
        <x:v>0.8843877123836912</x:v>
      </x:c>
      <x:c r="Q22" s="9" t="n">
        <x:f>MAX(0,O22-N22)</x:f>
        <x:v>0</x:v>
      </x:c>
      <x:c r="R22" s="9" t="n">
        <x:f>F22*Assumptions!$B$24*(Assumptions!$B$12+Assumptions!$B$20)/365</x:f>
        <x:v>3.7525374207666404</x:v>
      </x:c>
      <x:c r="S22" s="9" t="n">
        <x:f>G22*(Assumptions!$B$13+Assumptions!$B$20)/365</x:f>
        <x:v>6.2653973007443025</x:v>
      </x:c>
      <x:c r="T22" s="9" t="n">
        <x:f>G22*Assumptions!$B$25*Assumptions!$B$14/365</x:f>
        <x:v>2.2783262911797464</x:v>
      </x:c>
      <x:c r="U22" s="9" t="n">
        <x:f>R22+S22-T22</x:f>
        <x:v>7.739608430331197</x:v>
      </x:c>
      <x:c r="V22" s="9" t="n">
        <x:f>U22-U21</x:f>
        <x:v>0.05761495109427717</x:v>
      </x:c>
      <x:c r="W22" s="9" t="n">
        <x:f>IF(A22=25,U22*Assumptions!$B$28,0)</x:f>
        <x:v>0</x:v>
      </x:c>
      <x:c r="X22" s="9" t="n">
        <x:f>N22-P22+M22-L22-V22+W22</x:f>
        <x:v>3.995548186056796</x:v>
      </x:c>
      <x:c r="Y22" s="9" t="n">
        <x:f>(1+Assumptions!$B$21)^A22</x:f>
        <x:v>6.115909044841464</x:v>
      </x:c>
      <x:c r="Z22" s="9" t="n">
        <x:f>X22/Y22</x:f>
        <x:v>0.6533040561528443</x:v>
      </x:c>
      <x:c r="AA22" s="9" t="n">
        <x:f>AA21+X22</x:f>
        <x:v>24.838147042026193</x:v>
      </x:c>
    </x:row>
    <x:row r="23" ht="44" customHeight="1">
      <x:c r="A23" s="2" t="n">
        <x:f>20</x:f>
        <x:v>20</x:v>
      </x:c>
      <x:c r="B23" s="2" t="n">
        <x:f>2026+A23</x:f>
        <x:v>2046</x:v>
      </x:c>
      <x:c r="C23" s="2" t="n">
        <x:f>(1+Assumptions!$B$16)^MIN(A23-1,9)*(1+Assumptions!$B$16/2)^MAX(0,A23-10)</x:f>
        <x:v>1.2320970801510471</x:v>
      </x:c>
      <x:c r="D23" s="2" t="n">
        <x:f>IF(A23=1,0.5,IF(A23=2,0.8,1))</x:f>
        <x:v>1</x:v>
      </x:c>
      <x:c r="E23" s="9" t="n">
        <x:f>MIN(Assumptions!$B$11*Assumptions!$B$15*C23*D23,Assumptions!$B$8*Assumptions!$B$22)</x:f>
        <x:v>123209.70801510471</x:v>
      </x:c>
      <x:c r="F23" s="9" t="n">
        <x:f>E23*Assumptions!$B$10*Assumptions!$B$18/1000000</x:f>
        <x:v>49.283883206041885</x:v>
      </x:c>
      <x:c r="G23" s="9" t="n">
        <x:f>E23*Assumptions!$B$9*Assumptions!$B$17/1000000</x:f>
        <x:v>41.8913007251356</x:v>
      </x:c>
      <x:c r="H23" s="9" t="n">
        <x:f>Assumptions!$B$7*Assumptions!$B$19</x:f>
        <x:v>2</x:v>
      </x:c>
      <x:c r="I23" s="9" t="n">
        <x:f>F23-G23-H23</x:f>
        <x:v>5.392582480906285</x:v>
      </x:c>
      <x:c r="J23" s="9" t="n">
        <x:f>IF(A23=1,Assumptions!$B$6,IF(OR(A23=11,A23=21),Assumptions!$B$6*Assumptions!$B$27,0))</x:f>
        <x:v>0</x:v>
      </x:c>
      <x:c r="K23" s="9" t="n">
        <x:f>Assumptions!$B$6*Assumptions!$B$26</x:f>
        <x:v>0.4</x:v>
      </x:c>
      <x:c r="L23" s="9" t="n">
        <x:f>IF(A23=1,Assumptions!$B$6*(1-Assumptions!$B$29),IF(OR(A23=11,A23=21),J23,0))+K23</x:f>
        <x:v>0.4</x:v>
      </x:c>
      <x:c r="M23" s="9" t="n">
        <x:f>(SUM(J14:J23)+SUM(K14:K23))/Assumptions!$B$30</x:f>
        <x:v>1.8</x:v>
      </x:c>
      <x:c r="N23" s="9" t="n">
        <x:f>I23-M23</x:f>
        <x:v>3.5925824809062847</x:v>
      </x:c>
      <x:c r="O23" s="9" t="n">
        <x:f>Q22</x:f>
        <x:v>0</x:v>
      </x:c>
      <x:c r="P23" s="9" t="n">
        <x:f>MAX(0,N23-O23)*Assumptions!$B$23</x:f>
        <x:v>0.8981456202265712</x:v>
      </x:c>
      <x:c r="Q23" s="9" t="n">
        <x:f>MAX(0,O23-N23)</x:f>
        <x:v>0</x:v>
      </x:c>
      <x:c r="R23" s="9" t="n">
        <x:f>F23*Assumptions!$B$24*(Assumptions!$B$12+Assumptions!$B$20)/365</x:f>
        <x:v>3.7806814514223914</x:v>
      </x:c>
      <x:c r="S23" s="9" t="n">
        <x:f>G23*(Assumptions!$B$13+Assumptions!$B$20)/365</x:f>
        <x:v>6.312387780499885</x:v>
      </x:c>
      <x:c r="T23" s="9" t="n">
        <x:f>G23*Assumptions!$B$25*Assumptions!$B$14/365</x:f>
        <x:v>2.2954137383635946</x:v>
      </x:c>
      <x:c r="U23" s="9" t="n">
        <x:f>R23+S23-T23</x:f>
        <x:v>7.797655493558683</x:v>
      </x:c>
      <x:c r="V23" s="9" t="n">
        <x:f>U23-U22</x:f>
        <x:v>0.05804706322748565</x:v>
      </x:c>
      <x:c r="W23" s="9" t="n">
        <x:f>IF(A23=25,U23*Assumptions!$B$28,0)</x:f>
        <x:v>0</x:v>
      </x:c>
      <x:c r="X23" s="9" t="n">
        <x:f>N23-P23+M23-L23-V23+W23</x:f>
        <x:v>4.036389797452228</x:v>
      </x:c>
      <x:c r="Y23" s="9" t="n">
        <x:f>(1+Assumptions!$B$21)^A23</x:f>
        <x:v>6.727499949325611</x:v>
      </x:c>
      <x:c r="Z23" s="9" t="n">
        <x:f>X23/Y23</x:f>
        <x:v>0.5999836236129367</x:v>
      </x:c>
      <x:c r="AA23" s="9" t="n">
        <x:f>AA22+X23</x:f>
        <x:v>28.87453683947842</x:v>
      </x:c>
    </x:row>
    <x:row r="24" ht="44" customHeight="1">
      <x:c r="A24" s="2" t="n">
        <x:f>21</x:f>
        <x:v>21</x:v>
      </x:c>
      <x:c r="B24" s="2" t="n">
        <x:f>2026+A24</x:f>
        <x:v>2047</x:v>
      </x:c>
      <x:c r="C24" s="2" t="n">
        <x:f>(1+Assumptions!$B$16)^MIN(A24-1,9)*(1+Assumptions!$B$16/2)^MAX(0,A24-10)</x:f>
        <x:v>1.24133780825218</x:v>
      </x:c>
      <x:c r="D24" s="2" t="n">
        <x:f>IF(A24=1,0.5,IF(A24=2,0.8,1))</x:f>
        <x:v>1</x:v>
      </x:c>
      <x:c r="E24" s="9" t="n">
        <x:f>MIN(Assumptions!$B$11*Assumptions!$B$15*C24*D24,Assumptions!$B$8*Assumptions!$B$22)</x:f>
        <x:v>124133.780825218</x:v>
      </x:c>
      <x:c r="F24" s="9" t="n">
        <x:f>E24*Assumptions!$B$10*Assumptions!$B$18/1000000</x:f>
        <x:v>49.6535123300872</x:v>
      </x:c>
      <x:c r="G24" s="9" t="n">
        <x:f>E24*Assumptions!$B$9*Assumptions!$B$17/1000000</x:f>
        <x:v>42.20548548057412</x:v>
      </x:c>
      <x:c r="H24" s="9" t="n">
        <x:f>Assumptions!$B$7*Assumptions!$B$19</x:f>
        <x:v>2</x:v>
      </x:c>
      <x:c r="I24" s="9" t="n">
        <x:f>F24-G24-H24</x:f>
        <x:v>5.448026849513084</x:v>
      </x:c>
      <x:c r="J24" s="9" t="n">
        <x:f>IF(A24=1,Assumptions!$B$6,IF(OR(A24=11,A24=21),Assumptions!$B$6*Assumptions!$B$27,0))</x:f>
        <x:v>14</x:v>
      </x:c>
      <x:c r="K24" s="9" t="n">
        <x:f>Assumptions!$B$6*Assumptions!$B$26</x:f>
        <x:v>0.4</x:v>
      </x:c>
      <x:c r="L24" s="9" t="n">
        <x:f>IF(A24=1,Assumptions!$B$6*(1-Assumptions!$B$29),IF(OR(A24=11,A24=21),J24,0))+K24</x:f>
        <x:v>14.4</x:v>
      </x:c>
      <x:c r="M24" s="9" t="n">
        <x:f>(SUM(J15:J24)+SUM(K15:K24))/Assumptions!$B$30</x:f>
        <x:v>1.8</x:v>
      </x:c>
      <x:c r="N24" s="9" t="n">
        <x:f>I24-M24</x:f>
        <x:v>3.6480268495130845</x:v>
      </x:c>
      <x:c r="O24" s="9" t="n">
        <x:f>Q23</x:f>
        <x:v>0</x:v>
      </x:c>
      <x:c r="P24" s="9" t="n">
        <x:f>MAX(0,N24-O24)*Assumptions!$B$23</x:f>
        <x:v>0.9120067123782711</x:v>
      </x:c>
      <x:c r="Q24" s="9" t="n">
        <x:f>MAX(0,O24-N24)</x:f>
        <x:v>0</x:v>
      </x:c>
      <x:c r="R24" s="9" t="n">
        <x:f>F24*Assumptions!$B$24*(Assumptions!$B$12+Assumptions!$B$20)/365</x:f>
        <x:v>3.80903656230806</x:v>
      </x:c>
      <x:c r="S24" s="9" t="n">
        <x:f>G24*(Assumptions!$B$13+Assumptions!$B$20)/365</x:f>
        <x:v>6.3597306888536345</x:v>
      </x:c>
      <x:c r="T24" s="9" t="n">
        <x:f>G24*Assumptions!$B$25*Assumptions!$B$14/365</x:f>
        <x:v>2.3126293414013217</x:v>
      </x:c>
      <x:c r="U24" s="9" t="n">
        <x:f>R24+S24-T24</x:f>
        <x:v>7.856137909760373</x:v>
      </x:c>
      <x:c r="V24" s="9" t="n">
        <x:f>U24-U23</x:f>
        <x:v>0.05848241620169059</x:v>
      </x:c>
      <x:c r="W24" s="9" t="n">
        <x:f>IF(A24=25,U24*Assumptions!$B$28,0)</x:f>
        <x:v>0</x:v>
      </x:c>
      <x:c r="X24" s="9" t="n">
        <x:f>N24-P24+M24-L24-V24+W24</x:f>
        <x:v>-9.922462279066877</x:v>
      </x:c>
      <x:c r="Y24" s="9" t="n">
        <x:f>(1+Assumptions!$B$21)^A24</x:f>
        <x:v>7.400249944258173</x:v>
      </x:c>
      <x:c r="Z24" s="9" t="n">
        <x:f>X24/Y24</x:f>
        <x:v>-1.3408279928120104</x:v>
      </x:c>
      <x:c r="AA24" s="9" t="n">
        <x:f>AA23+X24</x:f>
        <x:v>18.952074560411543</x:v>
      </x:c>
    </x:row>
    <x:row r="25" ht="44" customHeight="1">
      <x:c r="A25" s="2" t="n">
        <x:f>22</x:f>
        <x:v>22</x:v>
      </x:c>
      <x:c r="B25" s="2" t="n">
        <x:f>2026+A25</x:f>
        <x:v>2048</x:v>
      </x:c>
      <x:c r="C25" s="2" t="n">
        <x:f>(1+Assumptions!$B$16)^MIN(A25-1,9)*(1+Assumptions!$B$16/2)^MAX(0,A25-10)</x:f>
        <x:v>1.2506478418140714</x:v>
      </x:c>
      <x:c r="D25" s="2" t="n">
        <x:f>IF(A25=1,0.5,IF(A25=2,0.8,1))</x:f>
        <x:v>1</x:v>
      </x:c>
      <x:c r="E25" s="9" t="n">
        <x:f>MIN(Assumptions!$B$11*Assumptions!$B$15*C25*D25,Assumptions!$B$8*Assumptions!$B$22)</x:f>
        <x:v>125064.78418140714</x:v>
      </x:c>
      <x:c r="F25" s="9" t="n">
        <x:f>E25*Assumptions!$B$10*Assumptions!$B$18/1000000</x:f>
        <x:v>50.02591367256286</x:v>
      </x:c>
      <x:c r="G25" s="9" t="n">
        <x:f>E25*Assumptions!$B$9*Assumptions!$B$17/1000000</x:f>
        <x:v>42.52202662167843</x:v>
      </x:c>
      <x:c r="H25" s="9" t="n">
        <x:f>Assumptions!$B$7*Assumptions!$B$19</x:f>
        <x:v>2</x:v>
      </x:c>
      <x:c r="I25" s="9" t="n">
        <x:f>F25-G25-H25</x:f>
        <x:v>5.50388705088443</x:v>
      </x:c>
      <x:c r="J25" s="9" t="n">
        <x:f>IF(A25=1,Assumptions!$B$6,IF(OR(A25=11,A25=21),Assumptions!$B$6*Assumptions!$B$27,0))</x:f>
        <x:v>0</x:v>
      </x:c>
      <x:c r="K25" s="9" t="n">
        <x:f>Assumptions!$B$6*Assumptions!$B$26</x:f>
        <x:v>0.4</x:v>
      </x:c>
      <x:c r="L25" s="9" t="n">
        <x:f>IF(A25=1,Assumptions!$B$6*(1-Assumptions!$B$29),IF(OR(A25=11,A25=21),J25,0))+K25</x:f>
        <x:v>0.4</x:v>
      </x:c>
      <x:c r="M25" s="9" t="n">
        <x:f>(SUM(J16:J25)+SUM(K16:K25))/Assumptions!$B$30</x:f>
        <x:v>1.8</x:v>
      </x:c>
      <x:c r="N25" s="9" t="n">
        <x:f>I25-M25</x:f>
        <x:v>3.70388705088443</x:v>
      </x:c>
      <x:c r="O25" s="9" t="n">
        <x:f>Q24</x:f>
        <x:v>0</x:v>
      </x:c>
      <x:c r="P25" s="9" t="n">
        <x:f>MAX(0,N25-O25)*Assumptions!$B$23</x:f>
        <x:v>0.9259717627211075</x:v>
      </x:c>
      <x:c r="Q25" s="9" t="n">
        <x:f>MAX(0,O25-N25)</x:f>
        <x:v>0</x:v>
      </x:c>
      <x:c r="R25" s="9" t="n">
        <x:f>F25*Assumptions!$B$24*(Assumptions!$B$12+Assumptions!$B$20)/365</x:f>
        <x:v>3.8376043365253705</x:v>
      </x:c>
      <x:c r="S25" s="9" t="n">
        <x:f>G25*(Assumptions!$B$13+Assumptions!$B$20)/365</x:f>
        <x:v>6.407428669020037</x:v>
      </x:c>
      <x:c r="T25" s="9" t="n">
        <x:f>G25*Assumptions!$B$25*Assumptions!$B$14/365</x:f>
        <x:v>2.3299740614618316</x:v>
      </x:c>
      <x:c r="U25" s="9" t="n">
        <x:f>R25+S25-T25</x:f>
        <x:v>7.915058944083576</x:v>
      </x:c>
      <x:c r="V25" s="9" t="n">
        <x:f>U25-U24</x:f>
        <x:v>0.058921034323202726</x:v>
      </x:c>
      <x:c r="W25" s="9" t="n">
        <x:f>IF(A25=25,U25*Assumptions!$B$28,0)</x:f>
        <x:v>0</x:v>
      </x:c>
      <x:c r="X25" s="9" t="n">
        <x:f>N25-P25+M25-L25-V25+W25</x:f>
        <x:v>4.118994253840119</x:v>
      </x:c>
      <x:c r="Y25" s="9" t="n">
        <x:f>(1+Assumptions!$B$21)^A25</x:f>
        <x:v>8.14027493868399</x:v>
      </x:c>
      <x:c r="Z25" s="9" t="n">
        <x:f>X25/Y25</x:f>
        <x:v>0.5060018592573512</x:v>
      </x:c>
      <x:c r="AA25" s="9" t="n">
        <x:f>AA24+X25</x:f>
        <x:v>23.07106881425166</x:v>
      </x:c>
    </x:row>
    <x:row r="26" ht="44" customHeight="1">
      <x:c r="A26" s="2" t="n">
        <x:f>23</x:f>
        <x:v>23</x:v>
      </x:c>
      <x:c r="B26" s="2" t="n">
        <x:f>2026+A26</x:f>
        <x:v>2049</x:v>
      </x:c>
      <x:c r="C26" s="2" t="n">
        <x:f>(1+Assumptions!$B$16)^MIN(A26-1,9)*(1+Assumptions!$B$16/2)^MAX(0,A26-10)</x:f>
        <x:v>1.260027700627677</x:v>
      </x:c>
      <x:c r="D26" s="2" t="n">
        <x:f>IF(A26=1,0.5,IF(A26=2,0.8,1))</x:f>
        <x:v>1</x:v>
      </x:c>
      <x:c r="E26" s="9" t="n">
        <x:f>MIN(Assumptions!$B$11*Assumptions!$B$15*C26*D26,Assumptions!$B$8*Assumptions!$B$22)</x:f>
        <x:v>126002.7700627677</x:v>
      </x:c>
      <x:c r="F26" s="9" t="n">
        <x:f>E26*Assumptions!$B$10*Assumptions!$B$18/1000000</x:f>
        <x:v>50.40110802510708</x:v>
      </x:c>
      <x:c r="G26" s="9" t="n">
        <x:f>E26*Assumptions!$B$9*Assumptions!$B$17/1000000</x:f>
        <x:v>42.84094182134101</x:v>
      </x:c>
      <x:c r="H26" s="9" t="n">
        <x:f>Assumptions!$B$7*Assumptions!$B$19</x:f>
        <x:v>2</x:v>
      </x:c>
      <x:c r="I26" s="9" t="n">
        <x:f>F26-G26-H26</x:f>
        <x:v>5.560166203766066</x:v>
      </x:c>
      <x:c r="J26" s="9" t="n">
        <x:f>IF(A26=1,Assumptions!$B$6,IF(OR(A26=11,A26=21),Assumptions!$B$6*Assumptions!$B$27,0))</x:f>
        <x:v>0</x:v>
      </x:c>
      <x:c r="K26" s="9" t="n">
        <x:f>Assumptions!$B$6*Assumptions!$B$26</x:f>
        <x:v>0.4</x:v>
      </x:c>
      <x:c r="L26" s="9" t="n">
        <x:f>IF(A26=1,Assumptions!$B$6*(1-Assumptions!$B$29),IF(OR(A26=11,A26=21),J26,0))+K26</x:f>
        <x:v>0.4</x:v>
      </x:c>
      <x:c r="M26" s="9" t="n">
        <x:f>(SUM(J17:J26)+SUM(K17:K26))/Assumptions!$B$30</x:f>
        <x:v>1.8</x:v>
      </x:c>
      <x:c r="N26" s="9" t="n">
        <x:f>I26-M26</x:f>
        <x:v>3.760166203766066</x:v>
      </x:c>
      <x:c r="O26" s="9" t="n">
        <x:f>Q25</x:f>
        <x:v>0</x:v>
      </x:c>
      <x:c r="P26" s="9" t="n">
        <x:f>MAX(0,N26-O26)*Assumptions!$B$23</x:f>
        <x:v>0.9400415509415165</x:v>
      </x:c>
      <x:c r="Q26" s="9" t="n">
        <x:f>MAX(0,O26-N26)</x:f>
        <x:v>0</x:v>
      </x:c>
      <x:c r="R26" s="9" t="n">
        <x:f>F26*Assumptions!$B$24*(Assumptions!$B$12+Assumptions!$B$20)/365</x:f>
        <x:v>3.86638636904931</x:v>
      </x:c>
      <x:c r="S26" s="9" t="n">
        <x:f>G26*(Assumptions!$B$13+Assumptions!$B$20)/365</x:f>
        <x:v>6.455484384037687</x:v>
      </x:c>
      <x:c r="T26" s="9" t="n">
        <x:f>G26*Assumptions!$B$25*Assumptions!$B$14/365</x:f>
        <x:v>2.3474488669227953</x:v>
      </x:c>
      <x:c r="U26" s="9" t="n">
        <x:f>R26+S26-T26</x:f>
        <x:v>7.974421886164203</x:v>
      </x:c>
      <x:c r="V26" s="9" t="n">
        <x:f>U26-U25</x:f>
        <x:v>0.05936294208062698</x:v>
      </x:c>
      <x:c r="W26" s="9" t="n">
        <x:f>IF(A26=25,U26*Assumptions!$B$28,0)</x:f>
        <x:v>0</x:v>
      </x:c>
      <x:c r="X26" s="9" t="n">
        <x:f>N26-P26+M26-L26-V26+W26</x:f>
        <x:v>4.160761710743922</x:v>
      </x:c>
      <x:c r="Y26" s="9" t="n">
        <x:f>(1+Assumptions!$B$21)^A26</x:f>
        <x:v>8.95430243255239</x:v>
      </x:c>
      <x:c r="Z26" s="9" t="n">
        <x:f>X26/Y26</x:f>
        <x:v>0.4646662028767229</x:v>
      </x:c>
      <x:c r="AA26" s="9" t="n">
        <x:f>AA25+X26</x:f>
        <x:v>27.231830524995583</x:v>
      </x:c>
    </x:row>
    <x:row r="27" ht="44" customHeight="1">
      <x:c r="A27" s="2" t="n">
        <x:f>24</x:f>
        <x:v>24</x:v>
      </x:c>
      <x:c r="B27" s="2" t="n">
        <x:f>2026+A27</x:f>
        <x:v>2050</x:v>
      </x:c>
      <x:c r="C27" s="2" t="n">
        <x:f>(1+Assumptions!$B$16)^MIN(A27-1,9)*(1+Assumptions!$B$16/2)^MAX(0,A27-10)</x:f>
        <x:v>1.2694779083823848</x:v>
      </x:c>
      <x:c r="D27" s="2" t="n">
        <x:f>IF(A27=1,0.5,IF(A27=2,0.8,1))</x:f>
        <x:v>1</x:v>
      </x:c>
      <x:c r="E27" s="9" t="n">
        <x:f>MIN(Assumptions!$B$11*Assumptions!$B$15*C27*D27,Assumptions!$B$8*Assumptions!$B$22)</x:f>
        <x:v>126947.79083823848</x:v>
      </x:c>
      <x:c r="F27" s="9" t="n">
        <x:f>E27*Assumptions!$B$10*Assumptions!$B$18/1000000</x:f>
        <x:v>50.77911633529539</x:v>
      </x:c>
      <x:c r="G27" s="9" t="n">
        <x:f>E27*Assumptions!$B$9*Assumptions!$B$17/1000000</x:f>
        <x:v>43.162248885001084</x:v>
      </x:c>
      <x:c r="H27" s="9" t="n">
        <x:f>Assumptions!$B$7*Assumptions!$B$19</x:f>
        <x:v>2</x:v>
      </x:c>
      <x:c r="I27" s="9" t="n">
        <x:f>F27-G27-H27</x:f>
        <x:v>5.616867450294308</x:v>
      </x:c>
      <x:c r="J27" s="9" t="n">
        <x:f>IF(A27=1,Assumptions!$B$6,IF(OR(A27=11,A27=21),Assumptions!$B$6*Assumptions!$B$27,0))</x:f>
        <x:v>0</x:v>
      </x:c>
      <x:c r="K27" s="9" t="n">
        <x:f>Assumptions!$B$6*Assumptions!$B$26</x:f>
        <x:v>0.4</x:v>
      </x:c>
      <x:c r="L27" s="9" t="n">
        <x:f>IF(A27=1,Assumptions!$B$6*(1-Assumptions!$B$29),IF(OR(A27=11,A27=21),J27,0))+K27</x:f>
        <x:v>0.4</x:v>
      </x:c>
      <x:c r="M27" s="9" t="n">
        <x:f>(SUM(J18:J27)+SUM(K18:K27))/Assumptions!$B$30</x:f>
        <x:v>1.8</x:v>
      </x:c>
      <x:c r="N27" s="9" t="n">
        <x:f>I27-M27</x:f>
        <x:v>3.816867450294308</x:v>
      </x:c>
      <x:c r="O27" s="9" t="n">
        <x:f>Q26</x:f>
        <x:v>0</x:v>
      </x:c>
      <x:c r="P27" s="9" t="n">
        <x:f>MAX(0,N27-O27)*Assumptions!$B$23</x:f>
        <x:v>0.954216862573577</x:v>
      </x:c>
      <x:c r="Q27" s="9" t="n">
        <x:f>MAX(0,O27-N27)</x:f>
        <x:v>0</x:v>
      </x:c>
      <x:c r="R27" s="9" t="n">
        <x:f>F27*Assumptions!$B$24*(Assumptions!$B$12+Assumptions!$B$20)/365</x:f>
        <x:v>3.8953842668171808</x:v>
      </x:c>
      <x:c r="S27" s="9" t="n">
        <x:f>G27*(Assumptions!$B$13+Assumptions!$B$20)/365</x:f>
        <x:v>6.503900516917971</x:v>
      </x:c>
      <x:c r="T27" s="9" t="n">
        <x:f>G27*Assumptions!$B$25*Assumptions!$B$14/365</x:f>
        <x:v>2.3650547334247167</x:v>
      </x:c>
      <x:c r="U27" s="9" t="n">
        <x:f>R27+S27-T27</x:f>
        <x:v>8.034230050310434</x:v>
      </x:c>
      <x:c r="V27" s="9" t="n">
        <x:f>U27-U26</x:f>
        <x:v>0.059808164146231135</x:v>
      </x:c>
      <x:c r="W27" s="9" t="n">
        <x:f>IF(A27=25,U27*Assumptions!$B$28,0)</x:f>
        <x:v>0</x:v>
      </x:c>
      <x:c r="X27" s="9" t="n">
        <x:f>N27-P27+M27-L27-V27+W27</x:f>
        <x:v>4.202842423574499</x:v>
      </x:c>
      <x:c r="Y27" s="9" t="n">
        <x:f>(1+Assumptions!$B$21)^A27</x:f>
        <x:v>9.84973267580763</x:v>
      </x:c>
      <x:c r="Z27" s="9" t="n">
        <x:f>X27/Y27</x:f>
        <x:v>0.4266960903311913</x:v>
      </x:c>
      <x:c r="AA27" s="9" t="n">
        <x:f>AA26+X27</x:f>
        <x:v>31.434672948570082</x:v>
      </x:c>
    </x:row>
    <x:row r="28" ht="44" customHeight="1">
      <x:c r="A28" s="2" t="n">
        <x:f>25</x:f>
        <x:v>25</x:v>
      </x:c>
      <x:c r="B28" s="2" t="n">
        <x:f>2026+A28</x:f>
        <x:v>2051</x:v>
      </x:c>
      <x:c r="C28" s="2" t="n">
        <x:f>(1+Assumptions!$B$16)^MIN(A28-1,9)*(1+Assumptions!$B$16/2)^MAX(0,A28-10)</x:f>
        <x:v>1.2789989926952525</x:v>
      </x:c>
      <x:c r="D28" s="2" t="n">
        <x:f>IF(A28=1,0.5,IF(A28=2,0.8,1))</x:f>
        <x:v>1</x:v>
      </x:c>
      <x:c r="E28" s="9" t="n">
        <x:f>MIN(Assumptions!$B$11*Assumptions!$B$15*C28*D28,Assumptions!$B$8*Assumptions!$B$22)</x:f>
        <x:v>127899.89926952525</x:v>
      </x:c>
      <x:c r="F28" s="9" t="n">
        <x:f>E28*Assumptions!$B$10*Assumptions!$B$18/1000000</x:f>
        <x:v>51.1599597078101</x:v>
      </x:c>
      <x:c r="G28" s="9" t="n">
        <x:f>E28*Assumptions!$B$9*Assumptions!$B$17/1000000</x:f>
        <x:v>43.48596575163858</x:v>
      </x:c>
      <x:c r="H28" s="9" t="n">
        <x:f>Assumptions!$B$7*Assumptions!$B$19</x:f>
        <x:v>2</x:v>
      </x:c>
      <x:c r="I28" s="9" t="n">
        <x:f>F28-G28-H28</x:f>
        <x:v>5.673993956171522</x:v>
      </x:c>
      <x:c r="J28" s="9" t="n">
        <x:f>IF(A28=1,Assumptions!$B$6,IF(OR(A28=11,A28=21),Assumptions!$B$6*Assumptions!$B$27,0))</x:f>
        <x:v>0</x:v>
      </x:c>
      <x:c r="K28" s="9" t="n">
        <x:f>Assumptions!$B$6*Assumptions!$B$26</x:f>
        <x:v>0.4</x:v>
      </x:c>
      <x:c r="L28" s="9" t="n">
        <x:f>IF(A28=1,Assumptions!$B$6*(1-Assumptions!$B$29),IF(OR(A28=11,A28=21),J28,0))+K28</x:f>
        <x:v>0.4</x:v>
      </x:c>
      <x:c r="M28" s="9" t="n">
        <x:f>(SUM(J19:J28)+SUM(K19:K28))/Assumptions!$B$30</x:f>
        <x:v>1.8</x:v>
      </x:c>
      <x:c r="N28" s="9" t="n">
        <x:f>I28-M28</x:f>
        <x:v>3.873993956171522</x:v>
      </x:c>
      <x:c r="O28" s="9" t="n">
        <x:f>Q27</x:f>
        <x:v>0</x:v>
      </x:c>
      <x:c r="P28" s="9" t="n">
        <x:f>MAX(0,N28-O28)*Assumptions!$B$23</x:f>
        <x:v>0.9684984890428805</x:v>
      </x:c>
      <x:c r="Q28" s="9" t="n">
        <x:f>MAX(0,O28-N28)</x:f>
        <x:v>0</x:v>
      </x:c>
      <x:c r="R28" s="9" t="n">
        <x:f>F28*Assumptions!$B$24*(Assumptions!$B$12+Assumptions!$B$20)/365</x:f>
        <x:v>3.92459964881831</x:v>
      </x:c>
      <x:c r="S28" s="9" t="n">
        <x:f>G28*(Assumptions!$B$13+Assumptions!$B$20)/365</x:f>
        <x:v>6.552679770794855</x:v>
      </x:c>
      <x:c r="T28" s="9" t="n">
        <x:f>G28*Assumptions!$B$25*Assumptions!$B$14/365</x:f>
        <x:v>2.3827926439254017</x:v>
      </x:c>
      <x:c r="U28" s="9" t="n">
        <x:f>R28+S28-T28</x:f>
        <x:v>8.094486775687763</x:v>
      </x:c>
      <x:c r="V28" s="9" t="n">
        <x:f>U28-U27</x:f>
        <x:v>0.060256725377328735</x:v>
      </x:c>
      <x:c r="W28" s="9" t="n">
        <x:f>IF(A28=25,U28*Assumptions!$B$28,0)</x:f>
        <x:v>7.285038098118987</x:v>
      </x:c>
      <x:c r="X28" s="9" t="n">
        <x:f>N28-P28+M28-L28-V28+W28</x:f>
        <x:v>11.5302768398703</x:v>
      </x:c>
      <x:c r="Y28" s="9" t="n">
        <x:f>(1+Assumptions!$B$21)^A28</x:f>
        <x:v>10.834705943388395</x:v>
      </x:c>
      <x:c r="Z28" s="9" t="n">
        <x:f>X28/Y28</x:f>
        <x:v>1.0641984101937128</x:v>
      </x:c>
      <x:c r="AA28" s="9" t="n">
        <x:f>AA27+X28</x:f>
        <x:v>42.96494978844038</x:v>
      </x:c>
    </x:row>
    <x:row r="31">
      <x:c r="A31" t="str">
        <x:v>NPV (realUSDm)</x:v>
      </x:c>
      <x:c r="B31" t="n">
        <x:f>-Assumptions!B6*Assumptions!B29+SUM(Z4:Z28)</x:f>
        <x:v>-1.7999419404754295</x:v>
      </x:c>
    </x:row>
    <x:row r="32">
      <x:c r="A32" t="str">
        <x:v>Peak annual funding</x:v>
      </x:c>
      <x:c r="B32" t="n">
        <x:f>MAX(Assumptions!B6*Assumptions!B29,-MIN(AA4:AA28))</x:f>
        <x:v>22.564383561643837</x:v>
      </x:c>
    </x:row>
    <x:row r="33">
      <x:c r="A33" t="str">
        <x:v>Capacity test (0=pass)</x:v>
      </x:c>
      <x:c r="B33" t="n">
        <x:f>MAX(0,MAX(E4:E28)-Assumptions!B8*Assumptions!B22)</x:f>
        <x:v>0</x:v>
      </x:c>
    </x:row>
    <x:row r="34">
      <x:c r="A34" t="str">
        <x:v>FCFF accounting residual</x:v>
      </x:c>
      <x:c r="B34" t="n">
        <x:f>SUM(X4:X28)-(SUM(N4:N28)-SUM(P4:P28)+SUM(M4:M28)-SUM(L4:L28)-SUM(V4:V28)+SUM(W4:W28))</x:f>
        <x:v>7.105427357601002e-15</x:v>
      </x:c>
    </x:row>
  </x:sheetData>
  <x:mergeCells>
    <x:mergeCell ref="A1:AA1"/>
    <x:mergeCell ref="A2:AA2"/>
  </x:mergeCells>
  <x:pageMargins left="0.7" right="0.7" top="0.75" bottom="0.75" header="0.3" footer="0.3"/>
  <x:drawing xmlns:r="http://schemas.openxmlformats.org/officeDocument/2006/relationships" r:id="R61ac5e21d066441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42" customHeight="1">
      <x:c r="A1" s="5" t="str">
        <x:v>Sensitivity / v1.0.0</x:v>
      </x:c>
      <x:c r="B1" s="2"/>
      <x:c r="C1" s="2"/>
      <x:c r="D1" s="2"/>
      <x:c r="E1" s="2"/>
      <x:c r="F1" s="2"/>
      <x:c r="G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  <x:c r="F2" s="2"/>
      <x:c r="G2" s="2"/>
    </x:row>
    <x:row r="3" ht="32" customHeight="1">
      <x:c r="A3" s="4" t="str">
        <x:v>Mode</x:v>
      </x:c>
      <x:c r="B3" s="4" t="str">
        <x:v>World</x:v>
      </x:c>
      <x:c r="C3" s="4" t="str">
        <x:v>Cached NPV $m</x:v>
      </x:c>
      <x:c r="D3" s="4" t="str">
        <x:v>Peak funding $m</x:v>
      </x:c>
      <x:c r="E3" s="4" t="str">
        <x:v>Operating break-even t</x:v>
      </x:c>
      <x:c r="F3" s="4" t="str">
        <x:v>Investment orders t</x:v>
      </x:c>
      <x:c r="G3" s="4" t="str">
        <x:v>Run stamp</x:v>
      </x:c>
    </x:row>
    <x:row r="4" ht="44" customHeight="1">
      <x:c r="A4" s="2" t="str">
        <x:v>trade</x:v>
      </x:c>
      <x:c r="B4" s="2" t="str">
        <x:v>managed</x:v>
      </x:c>
      <x:c r="C4" s="2" t="n">
        <x:v>0.35768624230170054</x:v>
      </x:c>
      <x:c r="D4" s="2" t="n">
        <x:v>2.9413770000000037</x:v>
      </x:c>
      <x:c r="E4" s="2" t="n">
        <x:v>31250</x:v>
      </x:c>
      <x:c r="F4" s="2" t="n">
        <x:v>89195.8345259654</x:v>
      </x:c>
      <x:c r="G4" s="2" t="d">
        <x:v>2026-10-07T20:19:48.823Z</x:v>
      </x:c>
    </x:row>
    <x:row r="5" ht="44" customHeight="1">
      <x:c r="A5" s="2" t="str">
        <x:v>trade</x:v>
      </x:c>
      <x:c r="B5" s="2" t="str">
        <x:v>integration</x:v>
      </x:c>
      <x:c r="C5" s="2" t="n">
        <x:v>7.869359046008329</x:v>
      </x:c>
      <x:c r="D5" s="2" t="n">
        <x:v>1.5686896712328786</x:v>
      </x:c>
      <x:c r="E5" s="2" t="n">
        <x:v>17651.296829971187</x:v>
      </x:c>
      <x:c r="F5" s="2" t="n">
        <x:v>27991.67630528343</x:v>
      </x:c>
      <x:c r="G5" s="2" t="d">
        <x:v>2026-10-07T20:19:48.823Z</x:v>
      </x:c>
    </x:row>
    <x:row r="6" ht="44" customHeight="1">
      <x:c r="A6" s="2" t="str">
        <x:v>trade</x:v>
      </x:c>
      <x:c r="B6" s="2" t="str">
        <x:v>fragmented</x:v>
      </x:c>
      <x:c r="C6" s="2" t="n">
        <x:v>-10.136255746401934</x:v>
      </x:c>
      <x:c r="D6" s="2" t="n">
        <x:v>22.84820444735882</x:v>
      </x:c>
      <x:c r="E6" s="2"/>
      <x:c r="F6" s="2"/>
      <x:c r="G6" s="2" t="d">
        <x:v>2026-10-07T20:19:48.823Z</x:v>
      </x:c>
    </x:row>
    <x:row r="7" ht="44" customHeight="1">
      <x:c r="A7" s="2" t="str">
        <x:v>trade</x:v>
      </x:c>
      <x:c r="B7" s="2" t="str">
        <x:v>physical</x:v>
      </x:c>
      <x:c r="C7" s="2" t="n">
        <x:v>-25.560849591724317</x:v>
      </x:c>
      <x:c r="D7" s="2" t="n">
        <x:v>70.94921425008118</x:v>
      </x:c>
      <x:c r="E7" s="2"/>
      <x:c r="F7" s="2"/>
      <x:c r="G7" s="2" t="d">
        <x:v>2026-10-07T20:19:48.823Z</x:v>
      </x:c>
    </x:row>
    <x:row r="8" ht="44" customHeight="1">
      <x:c r="A8" s="2" t="str">
        <x:v>trade</x:v>
      </x:c>
      <x:c r="B8" s="2" t="str">
        <x:v>squeeze</x:v>
      </x:c>
      <x:c r="C8" s="2" t="n">
        <x:v>-13.357503120599379</x:v>
      </x:c>
      <x:c r="D8" s="2" t="n">
        <x:v>36.99873139726028</x:v>
      </x:c>
      <x:c r="E8" s="2"/>
      <x:c r="F8" s="2"/>
      <x:c r="G8" s="2" t="d">
        <x:v>2026-10-07T20:19:48.823Z</x:v>
      </x:c>
    </x:row>
    <x:row r="9" ht="44" customHeight="1">
      <x:c r="A9" s="2" t="str">
        <x:v>trade</x:v>
      </x:c>
      <x:c r="B9" s="2" t="str">
        <x:v>nutrition</x:v>
      </x:c>
      <x:c r="C9" s="2" t="n">
        <x:v>-0.5433706314193101</x:v>
      </x:c>
      <x:c r="D9" s="2" t="n">
        <x:v>4.071070447090416</x:v>
      </x:c>
      <x:c r="E9" s="2" t="n">
        <x:v>32475.490196078557</x:v>
      </x:c>
      <x:c r="F9" s="2" t="n">
        <x:v>121633.64390198824</x:v>
      </x:c>
      <x:c r="G9" s="2" t="d">
        <x:v>2026-10-07T20:19:48.823Z</x:v>
      </x:c>
    </x:row>
    <x:row r="10" ht="44" customHeight="1">
      <x:c r="A10" s="2" t="str">
        <x:v>partner</x:v>
      </x:c>
      <x:c r="B10" s="2" t="str">
        <x:v>managed</x:v>
      </x:c>
      <x:c r="C10" s="2" t="n">
        <x:v>10.817370364399231</x:v>
      </x:c>
      <x:c r="D10" s="2" t="n">
        <x:v>9.795726027397262</x:v>
      </x:c>
      <x:c r="E10" s="2" t="n">
        <x:v>25000</x:v>
      </x:c>
      <x:c r="F10" s="2" t="n">
        <x:v>62437.7886229557</x:v>
      </x:c>
      <x:c r="G10" s="2" t="d">
        <x:v>2026-10-07T20:19:48.823Z</x:v>
      </x:c>
    </x:row>
    <x:row r="11" ht="44" customHeight="1">
      <x:c r="A11" s="2" t="str">
        <x:v>partner</x:v>
      </x:c>
      <x:c r="B11" s="2" t="str">
        <x:v>integration</x:v>
      </x:c>
      <x:c r="C11" s="2" t="n">
        <x:v>20.592951494337385</x:v>
      </x:c>
      <x:c r="D11" s="2" t="n">
        <x:v>9.137024657534244</x:v>
      </x:c>
      <x:c r="E11" s="2" t="n">
        <x:v>22072.07207207206</x:v>
      </x:c>
      <x:c r="F11" s="2" t="n">
        <x:v>42554.41685771852</x:v>
      </x:c>
      <x:c r="G11" s="2" t="d">
        <x:v>2026-10-07T20:19:48.823Z</x:v>
      </x:c>
    </x:row>
    <x:row r="12" ht="44" customHeight="1">
      <x:c r="A12" s="2" t="str">
        <x:v>partner</x:v>
      </x:c>
      <x:c r="B12" s="2" t="str">
        <x:v>fragmented</x:v>
      </x:c>
      <x:c r="C12" s="2" t="n">
        <x:v>-3.5847305871200685</x:v>
      </x:c>
      <x:c r="D12" s="2" t="n">
        <x:v>12.709059419178088</x:v>
      </x:c>
      <x:c r="E12" s="2" t="n">
        <x:v>33536.585365853694</x:v>
      </x:c>
      <x:c r="F12" s="2" t="n">
        <x:v>151350.81667983875</x:v>
      </x:c>
      <x:c r="G12" s="2" t="d">
        <x:v>2026-10-07T20:19:48.823Z</x:v>
      </x:c>
    </x:row>
    <x:row r="13" ht="44" customHeight="1">
      <x:c r="A13" s="2" t="str">
        <x:v>partner</x:v>
      </x:c>
      <x:c r="B13" s="2" t="str">
        <x:v>physical</x:v>
      </x:c>
      <x:c r="C13" s="2" t="n">
        <x:v>-17.395001416781703</x:v>
      </x:c>
      <x:c r="D13" s="2" t="n">
        <x:v>27.95674091083143</x:v>
      </x:c>
      <x:c r="E13" s="2" t="n">
        <x:v>71874.99999999983</x:v>
      </x:c>
      <x:c r="F13" s="2"/>
      <x:c r="G13" s="2" t="d">
        <x:v>2026-10-07T20:19:48.823Z</x:v>
      </x:c>
    </x:row>
    <x:row r="14" ht="44" customHeight="1">
      <x:c r="A14" s="2" t="str">
        <x:v>partner</x:v>
      </x:c>
      <x:c r="B14" s="2" t="str">
        <x:v>squeeze</x:v>
      </x:c>
      <x:c r="C14" s="2" t="n">
        <x:v>-9.82494869860839</x:v>
      </x:c>
      <x:c r="D14" s="2" t="n">
        <x:v>14.232439232876722</x:v>
      </x:c>
      <x:c r="E14" s="2" t="n">
        <x:v>42112.2994652407</x:v>
      </x:c>
      <x:c r="F14" s="2"/>
      <x:c r="G14" s="2" t="d">
        <x:v>2026-10-07T20:19:48.823Z</x:v>
      </x:c>
    </x:row>
    <x:row r="15" ht="44" customHeight="1">
      <x:c r="A15" s="2" t="str">
        <x:v>partner</x:v>
      </x:c>
      <x:c r="B15" s="2" t="str">
        <x:v>nutrition</x:v>
      </x:c>
      <x:c r="C15" s="2" t="n">
        <x:v>10.071104437961292</x:v>
      </x:c>
      <x:c r="D15" s="2" t="n">
        <x:v>10.38084</x:v>
      </x:c>
      <x:c r="E15" s="2" t="n">
        <x:v>25980.392156862756</x:v>
      </x:c>
      <x:c r="F15" s="2" t="n">
        <x:v>64972.55435624967</x:v>
      </x:c>
      <x:c r="G15" s="2" t="d">
        <x:v>2026-10-07T20:19:48.823Z</x:v>
      </x:c>
    </x:row>
    <x:row r="16" ht="44" customHeight="1">
      <x:c r="A16" s="2" t="str">
        <x:v>plant</x:v>
      </x:c>
      <x:c r="B16" s="2" t="str">
        <x:v>managed</x:v>
      </x:c>
      <x:c r="C16" s="2" t="n">
        <x:v>-1.7999419404754313</x:v>
      </x:c>
      <x:c r="D16" s="2" t="n">
        <x:v>22.564383561643837</x:v>
      </x:c>
      <x:c r="E16" s="2" t="n">
        <x:v>33333.333333333336</x:v>
      </x:c>
      <x:c r="F16" s="2" t="n">
        <x:v>104862.13464493981</x:v>
      </x:c>
      <x:c r="G16" s="2" t="d">
        <x:v>2026-10-07T20:19:48.823Z</x:v>
      </x:c>
    </x:row>
    <x:row r="17" ht="44" customHeight="1">
      <x:c r="A17" s="2" t="str">
        <x:v>plant</x:v>
      </x:c>
      <x:c r="B17" s="2" t="str">
        <x:v>integration</x:v>
      </x:c>
      <x:c r="C17" s="2" t="n">
        <x:v>13.879461780773948</x:v>
      </x:c>
      <x:c r="D17" s="2" t="n">
        <x:v>21.728734246575343</x:v>
      </x:c>
      <x:c r="E17" s="2" t="n">
        <x:v>30107.52688172042</x:v>
      </x:c>
      <x:c r="F17" s="2" t="n">
        <x:v>73631.61307311719</x:v>
      </x:c>
      <x:c r="G17" s="2" t="d">
        <x:v>2026-10-07T20:19:48.823Z</x:v>
      </x:c>
    </x:row>
    <x:row r="18" ht="44" customHeight="1">
      <x:c r="A18" s="2" t="str">
        <x:v>plant</x:v>
      </x:c>
      <x:c r="B18" s="2" t="str">
        <x:v>fragmented</x:v>
      </x:c>
      <x:c r="C18" s="2" t="n">
        <x:v>-17.20394764958582</x:v>
      </x:c>
      <x:c r="D18" s="2" t="n">
        <x:v>25.97873621917809</x:v>
      </x:c>
      <x:c r="E18" s="2" t="n">
        <x:v>42145.59386973181</x:v>
      </x:c>
      <x:c r="F18" s="2"/>
      <x:c r="G18" s="2" t="d">
        <x:v>2026-10-07T20:19:48.823Z</x:v>
      </x:c>
    </x:row>
    <x:row r="19" ht="44" customHeight="1">
      <x:c r="A19" s="2" t="str">
        <x:v>plant</x:v>
      </x:c>
      <x:c r="B19" s="2" t="str">
        <x:v>physical</x:v>
      </x:c>
      <x:c r="C19" s="2" t="n">
        <x:v>-33.292163663292115</x:v>
      </x:c>
      <x:c r="D19" s="2" t="n">
        <x:v>57.89763621465281</x:v>
      </x:c>
      <x:c r="E19" s="2" t="n">
        <x:v>69696.96969696958</x:v>
      </x:c>
      <x:c r="F19" s="2"/>
      <x:c r="G19" s="2" t="d">
        <x:v>2026-10-07T20:19:48.823Z</x:v>
      </x:c>
    </x:row>
    <x:row r="20" ht="44" customHeight="1">
      <x:c r="A20" s="2" t="str">
        <x:v>plant</x:v>
      </x:c>
      <x:c r="B20" s="2" t="str">
        <x:v>squeeze</x:v>
      </x:c>
      <x:c r="C20" s="2" t="n">
        <x:v>-24.952075111496065</x:v>
      </x:c>
      <x:c r="D20" s="2" t="n">
        <x:v>38.204532602739775</x:v>
      </x:c>
      <x:c r="E20" s="2" t="n">
        <x:v>49528.30188679248</x:v>
      </x:c>
      <x:c r="F20" s="2"/>
      <x:c r="G20" s="2" t="d">
        <x:v>2026-10-07T20:19:48.823Z</x:v>
      </x:c>
    </x:row>
    <x:row r="21" ht="44" customHeight="1">
      <x:c r="A21" s="2" t="str">
        <x:v>plant</x:v>
      </x:c>
      <x:c r="B21" s="2" t="str">
        <x:v>nutrition</x:v>
      </x:c>
      <x:c r="C21" s="2" t="n">
        <x:v>-2.8782641183332043</x:v>
      </x:c>
      <x:c r="D21" s="2" t="n">
        <x:v>23.1676301369863</x:v>
      </x:c>
      <x:c r="E21" s="2" t="n">
        <x:v>34640.522875817</x:v>
      </x:c>
      <x:c r="F21" s="2" t="n">
        <x:v>107844.84544675304</x:v>
      </x:c>
      <x:c r="G21" s="2" t="d">
        <x:v>2026-10-07T20:19:48.823Z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42" customHeight="1">
      <x:c r="A1" s="5" t="str">
        <x:v>Simulation / v1.0.0</x:v>
      </x:c>
      <x:c r="B1" s="2"/>
      <x:c r="C1" s="2"/>
      <x:c r="D1" s="2"/>
      <x:c r="E1" s="2"/>
      <x:c r="F1" s="2"/>
      <x:c r="G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  <x:c r="F2" s="2"/>
      <x:c r="G2" s="2"/>
    </x:row>
    <x:row r="3" ht="32" customHeight="1">
      <x:c r="A3" s="4" t="str">
        <x:v>Runs</x:v>
      </x:c>
      <x:c r="B3" s="4" t="str">
        <x:v>p10 NPV</x:v>
      </x:c>
      <x:c r="C3" s="4" t="str">
        <x:v>p50 NPV</x:v>
      </x:c>
      <x:c r="D3" s="4" t="str">
        <x:v>p90 NPV</x:v>
      </x:c>
      <x:c r="E3" s="4" t="str">
        <x:v>Loss VaR95</x:v>
      </x:c>
      <x:c r="F3" s="4" t="str">
        <x:v>Loss CVaR95</x:v>
      </x:c>
      <x:c r="G3" s="4" t="str">
        <x:v>Status</x:v>
      </x:c>
    </x:row>
    <x:row r="4" ht="44" customHeight="1">
      <x:c r="A4" s="2" t="n">
        <x:v>2500</x:v>
      </x:c>
      <x:c r="B4" s="2" t="n">
        <x:v>-18.906832371713023</x:v>
      </x:c>
      <x:c r="C4" s="2" t="n">
        <x:v>-1.6547747253083456</x:v>
      </x:c>
      <x:c r="D4" s="2" t="n">
        <x:v>21.524399860093865</x:v>
      </x:c>
      <x:c r="E4" s="2" t="n">
        <x:v>24.100939258727312</x:v>
      </x:c>
      <x:c r="F4" s="2" t="n">
        <x:v>29.141724356900287</x:v>
      </x:c>
      <x:c r="G4" s="2" t="str">
        <x:v>Cached chosen generator; seed 20261008</x:v>
      </x:c>
    </x:row>
    <x:row r="5" ht="44" customHeight="1">
      <x:c r="A5" s="2" t="n">
        <x:v>5000</x:v>
      </x:c>
      <x:c r="B5" s="2" t="n">
        <x:v>-19.164751548616387</x:v>
      </x:c>
      <x:c r="C5" s="2" t="n">
        <x:v>-1.8860735098864962</x:v>
      </x:c>
      <x:c r="D5" s="2" t="n">
        <x:v>21.472661493946738</x:v>
      </x:c>
      <x:c r="E5" s="2" t="n">
        <x:v>24.163714722217883</x:v>
      </x:c>
      <x:c r="F5" s="2" t="n">
        <x:v>28.984594740217727</x:v>
      </x:c>
      <x:c r="G5" s="2" t="str">
        <x:v>Cached chosen generator; seed 20261008</x:v>
      </x:c>
    </x:row>
    <x:row r="6" ht="44" customHeight="1">
      <x:c r="A6" s="2" t="n">
        <x:v>10000</x:v>
      </x:c>
      <x:c r="B6" s="2" t="n">
        <x:v>-19.270312655889544</x:v>
      </x:c>
      <x:c r="C6" s="2" t="n">
        <x:v>-1.6547747253083456</x:v>
      </x:c>
      <x:c r="D6" s="2" t="n">
        <x:v>21.484353235769948</x:v>
      </x:c>
      <x:c r="E6" s="2" t="n">
        <x:v>24.54454163430493</x:v>
      </x:c>
      <x:c r="F6" s="2" t="n">
        <x:v>29.251547633706362</x:v>
      </x:c>
      <x:c r="G6" s="2" t="str">
        <x:v>Cached chosen generator; seed 20261008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42" customHeight="1">
      <x:c r="A1" s="5" t="str">
        <x:v>Portfolio / v1.0.0</x:v>
      </x:c>
      <x:c r="B1" s="2"/>
      <x:c r="C1" s="2"/>
      <x:c r="D1" s="2"/>
      <x:c r="E1" s="2"/>
      <x:c r="F1" s="2"/>
      <x:c r="G1" s="2"/>
      <x:c r="H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  <x:c r="F2" s="2"/>
      <x:c r="G2" s="2"/>
      <x:c r="H2" s="2"/>
    </x:row>
    <x:row r="3" ht="32" customHeight="1">
      <x:c r="A3" s="4" t="str">
        <x:v>Action</x:v>
      </x:c>
      <x:c r="B3" s="4" t="str">
        <x:v>managed</x:v>
      </x:c>
      <x:c r="C3" s="4" t="str">
        <x:v>integration</x:v>
      </x:c>
      <x:c r="D3" s="4" t="str">
        <x:v>fragmented</x:v>
      </x:c>
      <x:c r="E3" s="4" t="str">
        <x:v>physical</x:v>
      </x:c>
      <x:c r="F3" s="4" t="str">
        <x:v>squeeze</x:v>
      </x:c>
      <x:c r="G3" s="4" t="str">
        <x:v>nutrition</x:v>
      </x:c>
      <x:c r="H3" s="4" t="str">
        <x:v>Worst regret</x:v>
      </x:c>
    </x:row>
    <x:row r="4" ht="44" customHeight="1">
      <x:c r="A4" s="2" t="str">
        <x:v>Wait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14</x:v>
      </x:c>
    </x:row>
    <x:row r="5" ht="44" customHeight="1">
      <x:c r="A5" s="2" t="str">
        <x:v>Large owned plant</x:v>
      </x:c>
      <x:c r="B5" s="2" t="n">
        <x:v>9</x:v>
      </x:c>
      <x:c r="C5" s="2" t="n">
        <x:v>14</x:v>
      </x:c>
      <x:c r="D5" s="2" t="n">
        <x:v>-2</x:v>
      </x:c>
      <x:c r="E5" s="2" t="n">
        <x:v>-8</x:v>
      </x:c>
      <x:c r="F5" s="2" t="n">
        <x:v>-4</x:v>
      </x:c>
      <x:c r="G5" s="2" t="n">
        <x:v>3</x:v>
      </x:c>
      <x:c r="H5" s="2" t="n">
        <x:v>8</x:v>
      </x:c>
    </x:row>
    <x:row r="6" ht="44" customHeight="1">
      <x:c r="A6" s="2" t="str">
        <x:v>Partner processing</x:v>
      </x:c>
      <x:c r="B6" s="2" t="n">
        <x:v>6</x:v>
      </x:c>
      <x:c r="C6" s="2" t="n">
        <x:v>10</x:v>
      </x:c>
      <x:c r="D6" s="2" t="n">
        <x:v>2</x:v>
      </x:c>
      <x:c r="E6" s="2" t="n">
        <x:v>-1</x:v>
      </x:c>
      <x:c r="F6" s="2" t="n">
        <x:v>1</x:v>
      </x:c>
      <x:c r="G6" s="2" t="n">
        <x:v>5</x:v>
      </x:c>
      <x:c r="H6" s="2" t="n">
        <x:v>4</x:v>
      </x:c>
    </x:row>
    <x:row r="7" ht="44" customHeight="1">
      <x:c r="A7" s="2" t="str">
        <x:v>Capped contracted trade</x:v>
      </x:c>
      <x:c r="B7" s="2" t="n">
        <x:v>4</x:v>
      </x:c>
      <x:c r="C7" s="2" t="n">
        <x:v>7</x:v>
      </x:c>
      <x:c r="D7" s="2" t="n">
        <x:v>1</x:v>
      </x:c>
      <x:c r="E7" s="2" t="n">
        <x:v>0</x:v>
      </x:c>
      <x:c r="F7" s="2" t="n">
        <x:v>2</x:v>
      </x:c>
      <x:c r="G7" s="2" t="n">
        <x:v>4</x:v>
      </x:c>
      <x:c r="H7" s="2" t="n">
        <x:v>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42" customHeight="1">
      <x:c r="A1" s="5" t="str">
        <x:v>Marketing Pilots / v1.0.0</x:v>
      </x:c>
      <x:c r="B1" s="2"/>
      <x:c r="C1" s="2"/>
    </x:row>
    <x:row r="2" ht="42" customHeight="1">
      <x:c r="A2" s="2" t="str">
        <x:v>Public evidence + chosen examples; no Olam internal investment valuation</x:v>
      </x:c>
      <x:c r="B2" s="2"/>
      <x:c r="C2" s="2"/>
    </x:row>
    <x:row r="3" ht="32" customHeight="1">
      <x:c r="A3" s="4" t="str">
        <x:v>Phase</x:v>
      </x:c>
      <x:c r="B3" s="4" t="str">
        <x:v>Deliverable</x:v>
      </x:c>
      <x:c r="C3" s="4" t="str">
        <x:v>Economic test</x:v>
      </x:c>
    </x:row>
    <x:row r="4" ht="44" customHeight="1">
      <x:c r="A4" s="2" t="str">
        <x:v>1–15</x:v>
      </x:c>
      <x:c r="B4" s="2" t="str">
        <x:v>Baseline/data</x:v>
      </x:c>
      <x:c r="C4" s="2" t="str">
        <x:v>Finance reconciliation</x:v>
      </x:c>
    </x:row>
    <x:row r="5" ht="44" customHeight="1">
      <x:c r="A5" s="2" t="str">
        <x:v>16–30</x:v>
      </x:c>
      <x:c r="B5" s="2" t="str">
        <x:v>Counterfactual/power</x:v>
      </x:c>
      <x:c r="C5" s="2" t="str">
        <x:v>Variance, clusters, minimum economic effect</x:v>
      </x:c>
    </x:row>
    <x:row r="6" ht="44" customHeight="1">
      <x:c r="A6" s="2" t="str">
        <x:v>31–60</x:v>
      </x:c>
      <x:c r="B6" s="2" t="str">
        <x:v>Execute</x:v>
      </x:c>
      <x:c r="C6" s="2" t="str">
        <x:v>Compliance, paid orders, service, cash</x:v>
      </x:c>
    </x:row>
    <x:row r="7" ht="44" customHeight="1">
      <x:c r="A7" s="2" t="str">
        <x:v>61–75</x:v>
      </x:c>
      <x:c r="B7" s="2" t="str">
        <x:v>Repeat/transfer</x:v>
      </x:c>
      <x:c r="C7" s="2" t="str">
        <x:v>Sustained contribution and local cash</x:v>
      </x:c>
    </x:row>
    <x:row r="8" ht="44" customHeight="1">
      <x:c r="A8" s="2" t="str">
        <x:v>76–90</x:v>
      </x:c>
      <x:c r="B8" s="2" t="str">
        <x:v>Decision</x:v>
      </x:c>
      <x:c r="C8" s="2" t="str">
        <x:v>Expand/resize/wait/stop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42" customHeight="1">
      <x:c r="A1" s="5" t="str">
        <x:v>Information Value / v1.0.0</x:v>
      </x:c>
      <x:c r="B1" s="2"/>
      <x:c r="C1" s="2"/>
    </x:row>
    <x:row r="2" ht="42" customHeight="1">
      <x:c r="A2" s="2" t="str">
        <x:v>Public evidence + chosen examples; no Olam internal investment valuation</x:v>
      </x:c>
      <x:c r="B2" s="2"/>
      <x:c r="C2" s="2"/>
    </x:row>
    <x:row r="3" ht="32" customHeight="1">
      <x:c r="A3" s="4" t="str">
        <x:v>Input</x:v>
      </x:c>
      <x:c r="B3" s="4" t="str">
        <x:v>Value</x:v>
      </x:c>
      <x:c r="C3" s="4" t="str">
        <x:v>Chosen example</x:v>
      </x:c>
    </x:row>
    <x:row r="4" ht="44" customHeight="1">
      <x:c r="A4" s="2" t="str">
        <x:v>Good-state probability</x:v>
      </x:c>
      <x:c r="B4" s="2" t="n">
        <x:v>0.5</x:v>
      </x:c>
      <x:c r="C4" s="2" t="str">
        <x:v>Uncalibrated</x:v>
      </x:c>
    </x:row>
    <x:row r="5" ht="44" customHeight="1">
      <x:c r="A5" s="2" t="str">
        <x:v>Good investment NPV</x:v>
      </x:c>
      <x:c r="B5" s="2" t="n">
        <x:v>10</x:v>
      </x:c>
      <x:c r="C5" s="2" t="str">
        <x:v>USDm</x:v>
      </x:c>
    </x:row>
    <x:row r="6" ht="44" customHeight="1">
      <x:c r="A6" s="2" t="str">
        <x:v>Bad investment NPV</x:v>
      </x:c>
      <x:c r="B6" s="2" t="n">
        <x:v>-8</x:v>
      </x:c>
      <x:c r="C6" s="2" t="str">
        <x:v>USDm</x:v>
      </x:c>
    </x:row>
    <x:row r="7" ht="44" customHeight="1">
      <x:c r="A7" s="2" t="str">
        <x:v>Study cost</x:v>
      </x:c>
      <x:c r="B7" s="2" t="n">
        <x:v>1</x:v>
      </x:c>
      <x:c r="C7" s="2" t="str">
        <x:v>USDm</x:v>
      </x:c>
    </x:row>
    <x:row r="8" ht="44" customHeight="1">
      <x:c r="A8" s="2" t="str">
        <x:v>Delay cost</x:v>
      </x:c>
      <x:c r="B8" s="2" t="n">
        <x:v>0.5</x:v>
      </x:c>
      <x:c r="C8" s="2" t="str">
        <x:v>USDm</x:v>
      </x:c>
    </x:row>
    <x:row r="9" ht="44" customHeight="1">
      <x:c r="A9" s="2" t="str">
        <x:v>Best prior EV</x:v>
      </x:c>
      <x:c r="B9" s="2" t="n">
        <x:f>MAX(0,B4*B5+(1-B4)*B6)</x:f>
        <x:v>1</x:v>
      </x:c>
      <x:c r="C9" s="2" t="str">
        <x:v>Invest versus wait = 0</x:v>
      </x:c>
    </x:row>
    <x:row r="10" ht="44" customHeight="1">
      <x:c r="A10" s="2" t="str">
        <x:v>Perfect information EV</x:v>
      </x:c>
      <x:c r="B10" s="2" t="n">
        <x:f>B4*MAX(0,B5)+(1-B4)*MAX(0,B6)</x:f>
        <x:v>5</x:v>
      </x:c>
      <x:c r="C10" s="2" t="str">
        <x:v>Upper bound</x:v>
      </x:c>
    </x:row>
    <x:row r="11" ht="44" customHeight="1">
      <x:c r="A11" s="2" t="str">
        <x:v>Net information value</x:v>
      </x:c>
      <x:c r="B11" s="2" t="n">
        <x:f>B10-B9-B7-B8</x:f>
        <x:v>2.5</x:v>
      </x:c>
      <x:c r="C11" s="2" t="str">
        <x:v>No double counting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42" customHeight="1">
      <x:c r="A1" s="5" t="str">
        <x:v>Decision Triggers / v1.0.0</x:v>
      </x:c>
      <x:c r="B1" s="2"/>
      <x:c r="C1" s="2"/>
    </x:row>
    <x:row r="2" ht="42" customHeight="1">
      <x:c r="A2" s="2" t="str">
        <x:v>Public evidence + chosen examples; no Olam internal investment valuation</x:v>
      </x:c>
      <x:c r="B2" s="2"/>
      <x:c r="C2" s="2"/>
    </x:row>
    <x:row r="3" ht="32" customHeight="1">
      <x:c r="A3" s="4" t="str">
        <x:v>Gate</x:v>
      </x:c>
      <x:c r="B3" s="4" t="str">
        <x:v>Owner</x:v>
      </x:c>
      <x:c r="C3" s="4" t="str">
        <x:v>Required release</x:v>
      </x:c>
    </x:row>
    <x:row r="4" ht="44" customHeight="1">
      <x:c r="A4" s="2" t="str">
        <x:v>G0 perimeter</x:v>
      </x:c>
      <x:c r="B4" s="2" t="str">
        <x:v>Strategy / Finance</x:v>
      </x:c>
      <x:c r="C4" s="2" t="str">
        <x:v>Right entity, period and currency</x:v>
      </x:c>
    </x:row>
    <x:row r="5" ht="44" customHeight="1">
      <x:c r="A5" s="2" t="str">
        <x:v>G1 access</x:v>
      </x:c>
      <x:c r="B5" s="2" t="str">
        <x:v>Legal</x:v>
      </x:c>
      <x:c r="C5" s="2" t="str">
        <x:v>HS, sanctions, rights and licensing</x:v>
      </x:c>
    </x:row>
    <x:row r="6" ht="44" customHeight="1">
      <x:c r="A6" s="2" t="str">
        <x:v>G2 customer</x:v>
      </x:c>
      <x:c r="B6" s="2" t="str">
        <x:v>Marketing</x:v>
      </x:c>
      <x:c r="C6" s="2" t="str">
        <x:v>Paid repeat and usable output</x:v>
      </x:c>
    </x:row>
    <x:row r="7" ht="44" customHeight="1">
      <x:c r="A7" s="2" t="str">
        <x:v>G3 contribution</x:v>
      </x:c>
      <x:c r="B7" s="2" t="str">
        <x:v>Finance</x:v>
      </x:c>
      <x:c r="C7" s="2" t="str">
        <x:v>Full incremental service / cost</x:v>
      </x:c>
    </x:row>
    <x:row r="8" ht="44" customHeight="1">
      <x:c r="A8" s="2" t="str">
        <x:v>G4 capacity</x:v>
      </x:c>
      <x:c r="B8" s="2" t="str">
        <x:v>Operations</x:v>
      </x:c>
      <x:c r="C8" s="2" t="str">
        <x:v>Yield, uptime, delivered constraints</x:v>
      </x:c>
    </x:row>
    <x:row r="9" ht="44" customHeight="1">
      <x:c r="A9" s="2" t="str">
        <x:v>G5 resilience</x:v>
      </x:c>
      <x:c r="B9" s="2" t="str">
        <x:v>Supply chain</x:v>
      </x:c>
      <x:c r="C9" s="2" t="str">
        <x:v>Common-exposure response</x:v>
      </x:c>
    </x:row>
    <x:row r="10" ht="44" customHeight="1">
      <x:c r="A10" s="2" t="str">
        <x:v>G6 cash</x:v>
      </x:c>
      <x:c r="B10" s="2" t="str">
        <x:v>Treasury</x:v>
      </x:c>
      <x:c r="C10" s="2" t="str">
        <x:v>Seasonal headroom and funded downside</x:v>
      </x:c>
    </x:row>
    <x:row r="11" ht="44" customHeight="1">
      <x:c r="A11" s="2" t="str">
        <x:v>G7 replication</x:v>
      </x:c>
      <x:c r="B11" s="2" t="str">
        <x:v>IC / country</x:v>
      </x:c>
      <x:c r="C11" s="2" t="str">
        <x:v>Transferable validated mechanism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2" customHeight="1">
      <x:c r="A1" s="5" t="str">
        <x:v>Chart Data / v1.0.0</x:v>
      </x:c>
      <x:c r="B1" s="2"/>
      <x:c r="C1" s="2"/>
      <x:c r="D1" s="2"/>
      <x:c r="E1" s="2"/>
      <x:c r="F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  <x:c r="F2" s="2"/>
    </x:row>
    <x:row r="3" ht="32" customHeight="1">
      <x:c r="A3" s="4" t="str">
        <x:v>Slide</x:v>
      </x:c>
      <x:c r="B3" s="4" t="str">
        <x:v>Chart</x:v>
      </x:c>
      <x:c r="C3" s="4" t="str">
        <x:v>Category</x:v>
      </x:c>
      <x:c r="D3" s="4" t="str">
        <x:v>Series1</x:v>
      </x:c>
      <x:c r="E3" s="4" t="str">
        <x:v>Series2</x:v>
      </x:c>
      <x:c r="F3" s="4" t="str">
        <x:v>Series3</x:v>
      </x:c>
    </x:row>
    <x:row r="4" ht="44" customHeight="1">
      <x:c r="A4" s="2" t="n">
        <x:v>7</x:v>
      </x:c>
      <x:c r="B4" s="2" t="str">
        <x:v>UN medium population projection, million</x:v>
      </x:c>
      <x:c r="C4" s="2" t="str">
        <x:v>Nigeria</x:v>
      </x:c>
      <x:c r="D4" s="2" t="n">
        <x:v>242.431832</x:v>
      </x:c>
      <x:c r="E4" s="2" t="n">
        <x:v>363.523611</x:v>
      </x:c>
      <x:c r="F4" s="2"/>
    </x:row>
    <x:row r="5" ht="44" customHeight="1">
      <x:c r="A5" s="2" t="n">
        <x:v>7</x:v>
      </x:c>
      <x:c r="B5" s="2" t="str">
        <x:v>UN medium population projection, million</x:v>
      </x:c>
      <x:c r="C5" s="2" t="str">
        <x:v>India</x:v>
      </x:c>
      <x:c r="D5" s="2" t="n">
        <x:v>1476.625576</x:v>
      </x:c>
      <x:c r="E5" s="2" t="n">
        <x:v>1683.220886</x:v>
      </x:c>
      <x:c r="F5" s="2"/>
    </x:row>
    <x:row r="6" ht="44" customHeight="1">
      <x:c r="A6" s="2" t="n">
        <x:v>7</x:v>
      </x:c>
      <x:c r="B6" s="2" t="str">
        <x:v>UN medium population projection, million</x:v>
      </x:c>
      <x:c r="C6" s="2" t="str">
        <x:v>China</x:v>
      </x:c>
      <x:c r="D6" s="2" t="n">
        <x:v>1412.914089</x:v>
      </x:c>
      <x:c r="E6" s="2" t="n">
        <x:v>1249.692538</x:v>
      </x:c>
      <x:c r="F6" s="2"/>
    </x:row>
    <x:row r="7" ht="44" customHeight="1">
      <x:c r="A7" s="2" t="n">
        <x:v>7</x:v>
      </x:c>
      <x:c r="B7" s="2" t="str">
        <x:v>UN medium population projection, million</x:v>
      </x:c>
      <x:c r="C7" s="2" t="str">
        <x:v>Japan</x:v>
      </x:c>
      <x:c r="D7" s="2" t="n">
        <x:v>122.427731</x:v>
      </x:c>
      <x:c r="E7" s="2" t="n">
        <x:v>104.452458</x:v>
      </x:c>
      <x:c r="F7" s="2"/>
    </x:row>
    <x:row r="8" ht="44" customHeight="1">
      <x:c r="A8" s="2" t="n">
        <x:v>16</x:v>
      </x:c>
      <x:c r="B8" s="2" t="str">
        <x:v>Normalized NPV across six worlds, USD million</x:v>
      </x:c>
      <x:c r="C8" s="2" t="str">
        <x:v>Managed transition</x:v>
      </x:c>
      <x:c r="D8" s="2" t="n">
        <x:v>0.357686</x:v>
      </x:c>
      <x:c r="E8" s="2" t="n">
        <x:v>10.81737</x:v>
      </x:c>
      <x:c r="F8" s="2" t="n">
        <x:v>-1.799942</x:v>
      </x:c>
    </x:row>
    <x:row r="9" ht="44" customHeight="1">
      <x:c r="A9" s="2" t="n">
        <x:v>16</x:v>
      </x:c>
      <x:c r="B9" s="2" t="str">
        <x:v>Normalized NPV across six worlds, USD million</x:v>
      </x:c>
      <x:c r="C9" s="2" t="str">
        <x:v>Productive integration</x:v>
      </x:c>
      <x:c r="D9" s="2" t="n">
        <x:v>7.869359</x:v>
      </x:c>
      <x:c r="E9" s="2" t="n">
        <x:v>20.592951</x:v>
      </x:c>
      <x:c r="F9" s="2" t="n">
        <x:v>13.879462</x:v>
      </x:c>
    </x:row>
    <x:row r="10" ht="44" customHeight="1">
      <x:c r="A10" s="2" t="n">
        <x:v>16</x:v>
      </x:c>
      <x:c r="B10" s="2" t="str">
        <x:v>Normalized NPV across six worlds, USD million</x:v>
      </x:c>
      <x:c r="C10" s="2" t="str">
        <x:v>Fragmented trade</x:v>
      </x:c>
      <x:c r="D10" s="2" t="n">
        <x:v>-10.136256</x:v>
      </x:c>
      <x:c r="E10" s="2" t="n">
        <x:v>-3.584731</x:v>
      </x:c>
      <x:c r="F10" s="2" t="n">
        <x:v>-17.203948</x:v>
      </x:c>
    </x:row>
    <x:row r="11" ht="44" customHeight="1">
      <x:c r="A11" s="2" t="n">
        <x:v>16</x:v>
      </x:c>
      <x:c r="B11" s="2" t="str">
        <x:v>Normalized NPV across six worlds, USD million</x:v>
      </x:c>
      <x:c r="C11" s="2" t="str">
        <x:v>Compound physical stress</x:v>
      </x:c>
      <x:c r="D11" s="2" t="n">
        <x:v>-25.56085</x:v>
      </x:c>
      <x:c r="E11" s="2" t="n">
        <x:v>-17.395001</x:v>
      </x:c>
      <x:c r="F11" s="2" t="n">
        <x:v>-33.292164</x:v>
      </x:c>
    </x:row>
    <x:row r="12" ht="44" customHeight="1">
      <x:c r="A12" s="2" t="n">
        <x:v>16</x:v>
      </x:c>
      <x:c r="B12" s="2" t="str">
        <x:v>Normalized NPV across six worlds, USD million</x:v>
      </x:c>
      <x:c r="C12" s="2" t="str">
        <x:v>Affordability and debt squeeze</x:v>
      </x:c>
      <x:c r="D12" s="2" t="n">
        <x:v>-13.357503</x:v>
      </x:c>
      <x:c r="E12" s="2" t="n">
        <x:v>-9.824949</x:v>
      </x:c>
      <x:c r="F12" s="2" t="n">
        <x:v>-24.952075</x:v>
      </x:c>
    </x:row>
    <x:row r="13" ht="44" customHeight="1">
      <x:c r="A13" s="2" t="n">
        <x:v>16</x:v>
      </x:c>
      <x:c r="B13" s="2" t="str">
        <x:v>Normalized NPV across six worlds, USD million</x:v>
      </x:c>
      <x:c r="C13" s="2" t="str">
        <x:v>Nutrition and resource transition</x:v>
      </x:c>
      <x:c r="D13" s="2" t="n">
        <x:v>-0.543371</x:v>
      </x:c>
      <x:c r="E13" s="2" t="n">
        <x:v>10.071104</x:v>
      </x:c>
      <x:c r="F13" s="2" t="n">
        <x:v>-2.878264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50" hidden="0" customWidth="1"/>
    <x:col min="3" max="3" width="50" hidden="0" customWidth="1"/>
    <x:col min="4" max="4" width="50" hidden="0" customWidth="1"/>
    <x:col min="5" max="5" width="50" hidden="0" customWidth="1"/>
    <x:col min="6" max="6" width="23" hidden="0" customWidth="1"/>
    <x:col min="7" max="7" width="23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</x:cols>
  <x:sheetData>
    <x:row r="1" ht="42" customHeight="1">
      <x:c r="A1" s="5" t="str">
        <x:v>Calculation Audit / v1.0.0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42" customHeight="1">
      <x:c r="A2" s="2" t="str">
        <x:v>Public evidence + chosen examples; no Olam internal investment valuation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70" customHeight="1">
      <x:c r="A3" s="4" t="str">
        <x:v>ID</x:v>
      </x:c>
      <x:c r="B3" s="4" t="str">
        <x:v>Question</x:v>
      </x:c>
      <x:c r="C3" s="4" t="str">
        <x:v>Formula</x:v>
      </x:c>
      <x:c r="D3" s="4" t="str">
        <x:v>Substitution</x:v>
      </x:c>
      <x:c r="E3" s="4" t="str">
        <x:v>Result</x:v>
      </x:c>
      <x:c r="F3" s="4" t="str">
        <x:v>Units</x:v>
      </x:c>
      <x:c r="G3" s="4" t="str">
        <x:v>Inputs</x:v>
      </x:c>
      <x:c r="H3" s="4" t="str">
        <x:v>Sources</x:v>
      </x:c>
      <x:c r="I3" s="4" t="str">
        <x:v>Assumptions</x:v>
      </x:c>
      <x:c r="J3" s="4" t="str">
        <x:v>Workbook</x:v>
      </x:c>
      <x:c r="K3" s="4" t="str">
        <x:v>Code</x:v>
      </x:c>
      <x:c r="L3" s="4" t="str">
        <x:v>Slide</x:v>
      </x:c>
      <x:c r="M3" s="4" t="str">
        <x:v>Limit</x:v>
      </x:c>
    </x:row>
    <x:row r="4" ht="70" customHeight="1">
      <x:c r="A4" s="2" t="str">
        <x:v>C-E01</x:v>
      </x:c>
      <x:c r="B4" s="2" t="str">
        <x:v>Reported margin</x:v>
      </x:c>
      <x:c r="C4" s="2" t="str">
        <x:v>EBIT / revenue × 100</x:v>
      </x:c>
      <x:c r="D4" s="2" t="str">
        <x:v>703.7 / 28,666 × 100 = 2.4548%</x:v>
      </x:c>
      <x:c r="E4" s="2" t="str">
        <x:v>2.45% derived EBIT margin</x:v>
      </x:c>
      <x:c r="F4" s="2" t="str">
        <x:v>As explicitly stated in substitution</x:v>
      </x:c>
      <x:c r="G4" s="2" t="str">
        <x:v>I-E01</x:v>
      </x:c>
      <x:c r="H4" s="2" t="str">
        <x:v>CO_AR</x:v>
      </x:c>
      <x:c r="I4" s="2" t="str"/>
      <x:c r="J4" s="2" t="str">
        <x:v>Calculation_Audit</x:v>
      </x:c>
      <x:c r="K4" s="2" t="str">
        <x:v>scripts/olam-package.py: examples</x:v>
      </x:c>
      <x:c r="L4" s="2" t="str">
        <x:v>4</x:v>
      </x:c>
      <x:c r="M4" s="2" t="str">
        <x:v>Using rounded revenue of USD28.7bn gives 2.4519%; keep the same entity, period and currency.</x:v>
      </x:c>
    </x:row>
    <x:row r="5" ht="70" customHeight="1">
      <x:c r="A5" s="2" t="str">
        <x:v>C-E02</x:v>
      </x:c>
      <x:c r="B5" s="2" t="str">
        <x:v>Demand to delivered sales</x:v>
      </x:c>
      <x:c r="C5" s="2" t="str">
        <x:v>Population × demand per person × access × capture, capped by delivery</x:v>
      </x:c>
      <x:c r="D5" s="2" t="str">
        <x:v>1m people × 0.1t × 50% access × 20% capture = 10,000t orders; min(10,000, 8,000, 7,000) = 7,000t.</x:v>
      </x:c>
      <x:c r="E5" s="2" t="str">
        <x:v>7,000 delivered tonnes</x:v>
      </x:c>
      <x:c r="F5" s="2" t="str">
        <x:v>As explicitly stated in substitution</x:v>
      </x:c>
      <x:c r="G5" s="2" t="str">
        <x:v>I-E02</x:v>
      </x:c>
      <x:c r="H5" s="2" t="str">
        <x:v>Chosen teaching inputs</x:v>
      </x:c>
      <x:c r="I5" s="2" t="str">
        <x:v>A_EXAMPLE</x:v>
      </x:c>
      <x:c r="J5" s="2" t="str">
        <x:v>Calculation_Audit</x:v>
      </x:c>
      <x:c r="K5" s="2" t="str">
        <x:v>scripts/olam-package.py: examples</x:v>
      </x:c>
      <x:c r="L5" s="2" t="str">
        <x:v>23</x:v>
      </x:c>
      <x:c r="M5" s="2" t="str">
        <x:v>Demand, access and capture are chosen inputs. Unmet orders cannot count as revenue.</x:v>
      </x:c>
    </x:row>
    <x:row r="6" ht="70" customHeight="1">
      <x:c r="A6" s="2" t="str">
        <x:v>C-E03</x:v>
      </x:c>
      <x:c r="B6" s="2" t="str">
        <x:v>Volume, revenue and EBITDA</x:v>
      </x:c>
      <x:c r="C6" s="2" t="str">
        <x:v>Volume × net price; volume × unit cost; contribution less fixed cash cost</x:v>
      </x:c>
      <x:c r="D6" s="2" t="str">
        <x:v>100,000t × USD400/t = USD40m revenue; costs = USD34m; contribution = USD6m; less USD2m fixed cost = USD4m EBITDA.</x:v>
      </x:c>
      <x:c r="E6" s="2" t="str">
        <x:v>USD4m EBITDA</x:v>
      </x:c>
      <x:c r="F6" s="2" t="str">
        <x:v>As explicitly stated in substitution</x:v>
      </x:c>
      <x:c r="G6" s="2" t="str">
        <x:v>I-E03</x:v>
      </x:c>
      <x:c r="H6" s="2" t="str">
        <x:v>Chosen teaching inputs</x:v>
      </x:c>
      <x:c r="I6" s="2" t="str">
        <x:v>A_EXAMPLE</x:v>
      </x:c>
      <x:c r="J6" s="2" t="str">
        <x:v>Calculation_Audit</x:v>
      </x:c>
      <x:c r="K6" s="2" t="str">
        <x:v>scripts/olam-package.py: examples</x:v>
      </x:c>
      <x:c r="L6" s="2" t="str">
        <x:v>41</x:v>
      </x:c>
      <x:c r="M6" s="2" t="str">
        <x:v>EBITDA omits cash tax, capital spending and working cash. These are chosen saleable-volume and net-price inputs.</x:v>
      </x:c>
    </x:row>
    <x:row r="7" ht="70" customHeight="1">
      <x:c r="A7" s="2" t="str">
        <x:v>C-E04</x:v>
      </x:c>
      <x:c r="B7" s="2" t="str">
        <x:v>Yield and by-products</x:v>
      </x:c>
      <x:c r="C7" s="2" t="str">
        <x:v>Input = main output / yield; output, by-product and loss sum to input</x:v>
      </x:c>
      <x:c r="D7" s="2" t="str">
        <x:v>100,000t output / 90% yield = 111,111t input; 6% by-product = 6,667t; 4% loss = 4,444t.</x:v>
      </x:c>
      <x:c r="E7" s="2" t="str">
        <x:v>111,111 tonnes of input</x:v>
      </x:c>
      <x:c r="F7" s="2" t="str">
        <x:v>As explicitly stated in substitution</x:v>
      </x:c>
      <x:c r="G7" s="2" t="str">
        <x:v>I-E04</x:v>
      </x:c>
      <x:c r="H7" s="2" t="str">
        <x:v>Chosen teaching inputs</x:v>
      </x:c>
      <x:c r="I7" s="2" t="str">
        <x:v>A_EXAMPLE</x:v>
      </x:c>
      <x:c r="J7" s="2" t="str">
        <x:v>Calculation_Audit</x:v>
      </x:c>
      <x:c r="K7" s="2" t="str">
        <x:v>scripts/olam-package.py: examples</x:v>
      </x:c>
      <x:c r="L7" s="2" t="str">
        <x:v>42</x:v>
      </x:c>
      <x:c r="M7" s="2" t="str">
        <x:v>By-products may earn revenue. Their quality, price and conversion cost need evidence.</x:v>
      </x:c>
    </x:row>
    <x:row r="8" ht="70" customHeight="1">
      <x:c r="A8" s="2" t="str">
        <x:v>C-E05</x:v>
      </x:c>
      <x:c r="B8" s="2" t="str">
        <x:v>Customer cost per usable output</x:v>
      </x:c>
      <x:c r="C8" s="2" t="str">
        <x:v>Purchase and preparation cost / usable output</x:v>
      </x:c>
      <x:c r="D8" s="2" t="str">
        <x:v>Offer A: (USD30 + USD5) / 45kg = USD0.7778/kg. Offer B: (USD32 + USD4) / 48kg = USD0.7500/kg.</x:v>
      </x:c>
      <x:c r="E8" s="2" t="str">
        <x:v>B costs 3.57% less per usable kg</x:v>
      </x:c>
      <x:c r="F8" s="2" t="str">
        <x:v>As explicitly stated in substitution</x:v>
      </x:c>
      <x:c r="G8" s="2" t="str">
        <x:v>I-E05</x:v>
      </x:c>
      <x:c r="H8" s="2" t="str">
        <x:v>Chosen teaching inputs</x:v>
      </x:c>
      <x:c r="I8" s="2" t="str">
        <x:v>A_EXAMPLE</x:v>
      </x:c>
      <x:c r="J8" s="2" t="str">
        <x:v>Calculation_Audit</x:v>
      </x:c>
      <x:c r="K8" s="2" t="str">
        <x:v>scripts/olam-package.py: examples</x:v>
      </x:c>
      <x:c r="L8" s="2" t="str">
        <x:v>8</x:v>
      </x:c>
      <x:c r="M8" s="2" t="str">
        <x:v>Chosen flour-like inputs. Paid adoption also depends on cash, trust and availability.</x:v>
      </x:c>
    </x:row>
    <x:row r="9" ht="70" customHeight="1">
      <x:c r="A9" s="2" t="str">
        <x:v>C-E06</x:v>
      </x:c>
      <x:c r="B9" s="2" t="str">
        <x:v>Pack cash and cost per meal</x:v>
      </x:c>
      <x:c r="C9" s="2" t="str">
        <x:v>Cash ticket differs from cost per use; assume 100g dry input per meal</x:v>
      </x:c>
      <x:c r="D9" s="2" t="str">
        <x:v>Small: (₦600 + ₦100 prep) / 5 meals = ₦140/meal. Large: (₦2,000 + ₦400 prep) / 20 meals = ₦120/meal.</x:v>
      </x:c>
      <x:c r="E9" s="2" t="str">
        <x:v>Small cash ticket ₦600; large pack 14.29% cheaper per meal</x:v>
      </x:c>
      <x:c r="F9" s="2" t="str">
        <x:v>As explicitly stated in substitution</x:v>
      </x:c>
      <x:c r="G9" s="2" t="str">
        <x:v>I-E06</x:v>
      </x:c>
      <x:c r="H9" s="2" t="str">
        <x:v>Chosen teaching inputs</x:v>
      </x:c>
      <x:c r="I9" s="2" t="str">
        <x:v>A_EXAMPLE</x:v>
      </x:c>
      <x:c r="J9" s="2" t="str">
        <x:v>Calculation_Audit</x:v>
      </x:c>
      <x:c r="K9" s="2" t="str">
        <x:v>scripts/olam-package.py: examples</x:v>
      </x:c>
      <x:c r="L9" s="2" t="str">
        <x:v>8</x:v>
      </x:c>
      <x:c r="M9" s="2" t="str">
        <x:v>Chosen Nigerian cash units and serving size. The large pack needs more upfront cash.</x:v>
      </x:c>
    </x:row>
    <x:row r="10" ht="70" customHeight="1">
      <x:c r="A10" s="2" t="str">
        <x:v>C-E07</x:v>
      </x:c>
      <x:c r="B10" s="2" t="str">
        <x:v>Percent versus percentage points</x:v>
      </x:c>
      <x:c r="C10" s="2" t="str">
        <x:v>Distinguish absolute percentage-point change from relative percentage change</x:v>
      </x:c>
      <x:c r="D10" s="2" t="str">
        <x:v>10% − 8% = 2 percentage points. Relative increase = (10 − 8) / 8 = 25%.</x:v>
      </x:c>
      <x:c r="E10" s="2" t="str">
        <x:v>2 percentage points; 25% relative increase</x:v>
      </x:c>
      <x:c r="F10" s="2" t="str">
        <x:v>As explicitly stated in substitution</x:v>
      </x:c>
      <x:c r="G10" s="2" t="str">
        <x:v>I-E07</x:v>
      </x:c>
      <x:c r="H10" s="2" t="str">
        <x:v>Chosen teaching inputs</x:v>
      </x:c>
      <x:c r="I10" s="2" t="str">
        <x:v>A_EXAMPLE</x:v>
      </x:c>
      <x:c r="J10" s="2" t="str">
        <x:v>Calculation_Audit</x:v>
      </x:c>
      <x:c r="K10" s="2" t="str">
        <x:v>scripts/olam-package.py: examples</x:v>
      </x:c>
      <x:c r="L10" s="2" t="str">
        <x:v>45</x:v>
      </x:c>
      <x:c r="M10" s="2" t="str">
        <x:v>A margin change is not the same measure as revenue growth.</x:v>
      </x:c>
    </x:row>
    <x:row r="11" ht="70" customHeight="1">
      <x:c r="A11" s="2" t="str">
        <x:v>C-E08</x:v>
      </x:c>
      <x:c r="B11" s="2" t="str">
        <x:v>Profit to free cash</x:v>
      </x:c>
      <x:c r="C11" s="2" t="str">
        <x:v>EBIT less tax, plus D&amp;A, less maintenance/growth capex and change in NWC</x:v>
      </x:c>
      <x:c r="D11" s="2" t="str">
        <x:v>EBITDA 4 − D&amp;A 1 = EBIT 3; tax = 0.75. FCFF = 3 − 0.75 + 1 − 0.6 − 0.4 − 1 = 1.25 (USDm).</x:v>
      </x:c>
      <x:c r="E11" s="2" t="str">
        <x:v>USD1.25m free cash flow</x:v>
      </x:c>
      <x:c r="F11" s="2" t="str">
        <x:v>As explicitly stated in substitution</x:v>
      </x:c>
      <x:c r="G11" s="2" t="str">
        <x:v>I-E08</x:v>
      </x:c>
      <x:c r="H11" s="2" t="str">
        <x:v>Chosen teaching inputs</x:v>
      </x:c>
      <x:c r="I11" s="2" t="str">
        <x:v>A_EXAMPLE</x:v>
      </x:c>
      <x:c r="J11" s="2" t="str">
        <x:v>Calculation_Audit</x:v>
      </x:c>
      <x:c r="K11" s="2" t="str">
        <x:v>scripts/olam-package.py: examples</x:v>
      </x:c>
      <x:c r="L11" s="2" t="str">
        <x:v>46</x:v>
      </x:c>
      <x:c r="M11" s="2" t="str">
        <x:v>Assume no prior tax losses, 25% tax, USD0.6m maintenance and USD0.4m growth capex.</x:v>
      </x:c>
    </x:row>
    <x:row r="12" ht="70" customHeight="1">
      <x:c r="A12" s="2" t="str">
        <x:v>C-E09</x:v>
      </x:c>
      <x:c r="B12" s="2" t="str">
        <x:v>Working-capital release</x:v>
      </x:c>
      <x:c r="C12" s="2" t="str">
        <x:v>Revenue basis for receivables; cost basis for inventory; DPO unchanged</x:v>
      </x:c>
      <x:c r="D12" s="2" t="str">
        <x:v>AR: USD40m × 5 / 365 = USD0.547945m. Inventory: USD34m × 7 / 365 = USD0.652055m. Total = USD1.20m.</x:v>
      </x:c>
      <x:c r="E12" s="2" t="str">
        <x:v>USD1.20m once-only cash release</x:v>
      </x:c>
      <x:c r="F12" s="2" t="str">
        <x:v>As explicitly stated in substitution</x:v>
      </x:c>
      <x:c r="G12" s="2" t="str">
        <x:v>I-E09</x:v>
      </x:c>
      <x:c r="H12" s="2" t="str">
        <x:v>Chosen teaching inputs</x:v>
      </x:c>
      <x:c r="I12" s="2" t="str">
        <x:v>A_EXAMPLE</x:v>
      </x:c>
      <x:c r="J12" s="2" t="str">
        <x:v>Calculation_Audit</x:v>
      </x:c>
      <x:c r="K12" s="2" t="str">
        <x:v>scripts/olam-package.py: examples</x:v>
      </x:c>
      <x:c r="L12" s="2" t="str">
        <x:v>24</x:v>
      </x:c>
      <x:c r="M12" s="2" t="str">
        <x:v>All sales are credit in this example. The transition release is not recurring annual profit.</x:v>
      </x:c>
    </x:row>
    <x:row r="13" ht="70" customHeight="1">
      <x:c r="A13" s="2" t="str">
        <x:v>C-E10</x:v>
      </x:c>
      <x:c r="B13" s="2" t="str">
        <x:v>Inherited Nigeria screen</x:v>
      </x:c>
      <x:c r="C13" s="2" t="str">
        <x:v>Inherited additive uplift and sales-day proxy; ramped three-year DCF</x:v>
      </x:c>
      <x:c r="D13" s="2" t="str">
        <x:v>100 × (2% + 2%) × 8% + 0.7 + 0.6 − 0.4 − 0.45 − 0.30 = 0.47; 100 × 7 / 365 = 1.9178 (NGNbn).</x:v>
      </x:c>
      <x:c r="E13" s="2" t="str">
        <x:v>NPV −NGN2.0645bn; zero-NPV uplift NGN1.9928bn/year</x:v>
      </x:c>
      <x:c r="F13" s="2" t="str">
        <x:v>As explicitly stated in substitution</x:v>
      </x:c>
      <x:c r="G13" s="2" t="str">
        <x:v>I-E10</x:v>
      </x:c>
      <x:c r="H13" s="2" t="str">
        <x:v>BASELINE</x:v>
      </x:c>
      <x:c r="I13" s="2" t="str">
        <x:v>A_EXAMPLE</x:v>
      </x:c>
      <x:c r="J13" s="2" t="str">
        <x:v>Calculation_Audit</x:v>
      </x:c>
      <x:c r="K13" s="2" t="str">
        <x:v>scripts/olam-package.py: examples</x:v>
      </x:c>
      <x:c r="L13" s="2" t="str">
        <x:v>20</x:v>
      </x:c>
      <x:c r="M13" s="2" t="str">
        <x:v>NGN4.2bn initial capital; 28% hurdle; 50/80/100% benefit ramp. Tax, replacement and actual cash bases are absent.</x:v>
      </x:c>
    </x:row>
    <x:row r="14" ht="70" customHeight="1">
      <x:c r="A14" s="2" t="str">
        <x:v>C-E11</x:v>
      </x:c>
      <x:c r="B14" s="2" t="str">
        <x:v>FX and commodity interaction</x:v>
      </x:c>
      <x:c r="C14" s="2" t="str">
        <x:v>Local imported cost = USD commodity price × local currency per USD</x:v>
      </x:c>
      <x:c r="D14" s="2" t="str">
        <x:v>USD100 × ₦1,000/USD = ₦100,000. With both factors +10%: USD110 × ₦1,100 = ₦121,000, or +21%.</x:v>
      </x:c>
      <x:c r="E14" s="2" t="str">
        <x:v>21% combined input-cost increase</x:v>
      </x:c>
      <x:c r="F14" s="2" t="str">
        <x:v>As explicitly stated in substitution</x:v>
      </x:c>
      <x:c r="G14" s="2" t="str">
        <x:v>I-E11</x:v>
      </x:c>
      <x:c r="H14" s="2" t="str">
        <x:v>Chosen teaching inputs</x:v>
      </x:c>
      <x:c r="I14" s="2" t="str">
        <x:v>A_EXAMPLE</x:v>
      </x:c>
      <x:c r="J14" s="2" t="str">
        <x:v>Calculation_Audit</x:v>
      </x:c>
      <x:c r="K14" s="2" t="str">
        <x:v>scripts/olam-package.py: examples</x:v>
      </x:c>
      <x:c r="L14" s="2" t="str">
        <x:v>22</x:v>
      </x:c>
      <x:c r="M14" s="2" t="str">
        <x:v>Both shocks hit the same procurement base. Hedge effects need documented contracts.</x:v>
      </x:c>
    </x:row>
    <x:row r="15" ht="70" customHeight="1">
      <x:c r="A15" s="2" t="str">
        <x:v>C-E12</x:v>
      </x:c>
      <x:c r="B15" s="2" t="str">
        <x:v>Finite NPV and commissioning</x:v>
      </x:c>
      <x:c r="C15" s="2" t="str">
        <x:v>Discount each dated free cash flow; do not compare only undiscounted totals</x:v>
      </x:c>
      <x:c r="D15" s="2" t="str">
        <x:v>NPV = −5 + 2/1.10 + 2/1.10² + 2/1.10³ = −0.0263 (USDm).</x:v>
      </x:c>
      <x:c r="E15" s="2" t="str">
        <x:v>NPV −USD0.0263m</x:v>
      </x:c>
      <x:c r="F15" s="2" t="str">
        <x:v>As explicitly stated in substitution</x:v>
      </x:c>
      <x:c r="G15" s="2" t="str">
        <x:v>I-E12</x:v>
      </x:c>
      <x:c r="H15" s="2" t="str">
        <x:v>Chosen teaching inputs</x:v>
      </x:c>
      <x:c r="I15" s="2" t="str">
        <x:v>A_EXAMPLE</x:v>
      </x:c>
      <x:c r="J15" s="2" t="str">
        <x:v>Calculation_Audit</x:v>
      </x:c>
      <x:c r="K15" s="2" t="str">
        <x:v>scripts/olam-package.py: examples</x:v>
      </x:c>
      <x:c r="L15" s="2" t="str">
        <x:v>50</x:v>
      </x:c>
      <x:c r="M15" s="2" t="str">
        <x:v>No terminal value. Staging USD3m now and USD2m in year 1, with cash in years 2–4, gives −USD0.2966m.</x:v>
      </x:c>
    </x:row>
    <x:row r="16" ht="70" customHeight="1">
      <x:c r="A16" s="2" t="str">
        <x:v>C-E13</x:v>
      </x:c>
      <x:c r="B16" s="2" t="str">
        <x:v>Real and nominal consistency</x:v>
      </x:c>
      <x:c r="C16" s="2" t="str">
        <x:v>Consistent inflation of both cash and discount rate preserves NPV</x:v>
      </x:c>
      <x:c r="D16" s="2" t="str">
        <x:v>(1.10 × 1.05) − 1 = 15.5% nominal hurdle. Year 1: 2.10 / 1.155 = 2.00 / 1.10.</x:v>
      </x:c>
      <x:c r="E16" s="2" t="str">
        <x:v>Real and nominal three-year NPVs both −USD0.0263m</x:v>
      </x:c>
      <x:c r="F16" s="2" t="str">
        <x:v>As explicitly stated in substitution</x:v>
      </x:c>
      <x:c r="G16" s="2" t="str">
        <x:v>I-E13</x:v>
      </x:c>
      <x:c r="H16" s="2" t="str">
        <x:v>Chosen teaching inputs</x:v>
      </x:c>
      <x:c r="I16" s="2" t="str">
        <x:v>A_EXAMPLE</x:v>
      </x:c>
      <x:c r="J16" s="2" t="str">
        <x:v>Calculation_Audit</x:v>
      </x:c>
      <x:c r="K16" s="2" t="str">
        <x:v>scripts/olam-package.py: examples</x:v>
      </x:c>
      <x:c r="L16" s="2" t="str">
        <x:v>51</x:v>
      </x:c>
      <x:c r="M16" s="2" t="str">
        <x:v>Nominal cash grows by 5% inflation and is discounted at 15.5%. Project and currency risk require separate care.</x:v>
      </x:c>
    </x:row>
    <x:row r="17" ht="70" customHeight="1">
      <x:c r="A17" s="2" t="str">
        <x:v>C-E14</x:v>
      </x:c>
      <x:c r="B17" s="2" t="str">
        <x:v>Operating versus investment break-even</x:v>
      </x:c>
      <x:c r="C17" s="2" t="str">
        <x:v>Operating break-even pays fixed cash cost; investment break-even also pays capital</x:v>
      </x:c>
      <x:c r="D17" s="2" t="str">
        <x:v>USD2m / (USD400 − USD340 per tonne) = 33,333t; / 150,000t capacity = 22.22% utilization.</x:v>
      </x:c>
      <x:c r="E17" s="2" t="str">
        <x:v>Operating 33,333t; investment boundary 104,862 initial order tonnes</x:v>
      </x:c>
      <x:c r="F17" s="2" t="str">
        <x:v>As explicitly stated in substitution</x:v>
      </x:c>
      <x:c r="G17" s="2" t="str">
        <x:v>I-E14</x:v>
      </x:c>
      <x:c r="H17" s="2" t="str">
        <x:v>Chosen teaching inputs</x:v>
      </x:c>
      <x:c r="I17" s="2" t="str">
        <x:v>A_EXAMPLE</x:v>
      </x:c>
      <x:c r="J17" s="2" t="str">
        <x:v>Calculation_Audit</x:v>
      </x:c>
      <x:c r="K17" s="2" t="str">
        <x:v>scripts/olam-package.py: examples</x:v>
      </x:c>
      <x:c r="L17" s="2" t="str">
        <x:v>52</x:v>
      </x:c>
      <x:c r="M17" s="2" t="str">
        <x:v>Full NPV includes ramp, tax, replacement, working cash and the finite horizon.</x:v>
      </x:c>
    </x:row>
    <x:row r="18" ht="70" customHeight="1">
      <x:c r="A18" s="2" t="str">
        <x:v>C-E15</x:v>
      </x:c>
      <x:c r="B18" s="2" t="str">
        <x:v>Scenario weights are not likelihood</x:v>
      </x:c>
      <x:c r="C18" s="2" t="str">
        <x:v>Weighted average = sum of chosen weight × conditional NPV</x:v>
      </x:c>
      <x:c r="D18" s="2" t="str">
        <x:v>Chosen NPVs [10, −8, 2] and weights [0.5, 0.3, 0.2]: 5 − 2.4 + 0.4 = USD3m.</x:v>
      </x:c>
      <x:c r="E18" s="2" t="str">
        <x:v>USD3m judgement-weighted mean</x:v>
      </x:c>
      <x:c r="F18" s="2" t="str">
        <x:v>As explicitly stated in substitution</x:v>
      </x:c>
      <x:c r="G18" s="2" t="str">
        <x:v>I-E15</x:v>
      </x:c>
      <x:c r="H18" s="2" t="str">
        <x:v>Chosen teaching inputs</x:v>
      </x:c>
      <x:c r="I18" s="2" t="str">
        <x:v>A_EXAMPLE</x:v>
      </x:c>
      <x:c r="J18" s="2" t="str">
        <x:v>Calculation_Audit</x:v>
      </x:c>
      <x:c r="K18" s="2" t="str">
        <x:v>scripts/olam-package.py: examples</x:v>
      </x:c>
      <x:c r="L18" s="2" t="str">
        <x:v>53</x:v>
      </x:c>
      <x:c r="M18" s="2" t="str">
        <x:v>The central USD10m case is not a calibrated most-likely future. The adverse loss can breach funding.</x:v>
      </x:c>
    </x:row>
    <x:row r="19" ht="70" customHeight="1">
      <x:c r="A19" s="2" t="str">
        <x:v>C-E16</x:v>
      </x:c>
      <x:c r="B19" s="2" t="str">
        <x:v>Loss-tail VaR and CVaR</x:v>
      </x:c>
      <x:c r="C19" s="2" t="str">
        <x:v>Loss = max(0, −NPV); a quantile differs from the mean of a chosen tail</x:v>
      </x:c>
      <x:c r="D19" s="2" t="str">
        <x:v>NPVs [−8, −4, 0, 2, 6] imply losses [0, 0, 0, 4, 8]. Nearest-rank VaR80 = 4; worst-20% CVaR80 = 8 (USDm).</x:v>
      </x:c>
      <x:c r="E19" s="2" t="str">
        <x:v>Loss VaR80 USD4m; tail CVaR80 USD8m</x:v>
      </x:c>
      <x:c r="F19" s="2" t="str">
        <x:v>As explicitly stated in substitution</x:v>
      </x:c>
      <x:c r="G19" s="2" t="str">
        <x:v>I-E16</x:v>
      </x:c>
      <x:c r="H19" s="2" t="str">
        <x:v>CVAR</x:v>
      </x:c>
      <x:c r="I19" s="2" t="str">
        <x:v>A_EXAMPLE</x:v>
      </x:c>
      <x:c r="J19" s="2" t="str">
        <x:v>Calculation_Audit</x:v>
      </x:c>
      <x:c r="K19" s="2" t="str">
        <x:v>scripts/olam-package.py: examples</x:v>
      </x:c>
      <x:c r="L19" s="2" t="str">
        <x:v>54</x:v>
      </x:c>
      <x:c r="M19" s="2" t="str">
        <x:v>Declare discrete tie treatment: mean(loss ≥ VaR) would be USD6m here, a different convention.</x:v>
      </x:c>
    </x:row>
    <x:row r="20" ht="70" customHeight="1">
      <x:c r="A20" s="2" t="str">
        <x:v>C-E17</x:v>
      </x:c>
      <x:c r="B20" s="2" t="str">
        <x:v>Common-exposure diversification</x:v>
      </x:c>
      <x:c r="C20" s="2" t="str">
        <x:v>Equal individual average losses can conceal different joint tail exposures</x:v>
      </x:c>
      <x:c r="D20" s="2" t="str">
        <x:v>Each source loses USD10m with chosen probability 0.2. A shared port produces joint loss USD20m with probability 0.2; independent joint probability is 0.04.</x:v>
      </x:c>
      <x:c r="E20" s="2" t="str">
        <x:v>Expected total loss USD4m in both; joint tail differs</x:v>
      </x:c>
      <x:c r="F20" s="2" t="str">
        <x:v>As explicitly stated in substitution</x:v>
      </x:c>
      <x:c r="G20" s="2" t="str">
        <x:v>I-E17</x:v>
      </x:c>
      <x:c r="H20" s="2" t="str">
        <x:v>Chosen teaching inputs</x:v>
      </x:c>
      <x:c r="I20" s="2" t="str">
        <x:v>A_EXAMPLE</x:v>
      </x:c>
      <x:c r="J20" s="2" t="str">
        <x:v>Calculation_Audit</x:v>
      </x:c>
      <x:c r="K20" s="2" t="str">
        <x:v>scripts/olam-package.py: examples</x:v>
      </x:c>
      <x:c r="L20" s="2" t="str">
        <x:v>27</x:v>
      </x:c>
      <x:c r="M20" s="2" t="str">
        <x:v>Chosen probabilities illustrate dependence. Country flags do not remove a shared crop season or port.</x:v>
      </x:c>
    </x:row>
    <x:row r="21" ht="70" customHeight="1">
      <x:c r="A21" s="2" t="str">
        <x:v>C-E18</x:v>
      </x:c>
      <x:c r="B21" s="2" t="str">
        <x:v>Difference in differences</x:v>
      </x:c>
      <x:c r="C21" s="2" t="str">
        <x:v>Subtract the counterfactual change from the treated change</x:v>
      </x:c>
      <x:c r="D21" s="2" t="str">
        <x:v>Treated sales: 100 → 130. Control: 100 → 110. DiD = (130 − 100) − (110 − 100) = 20.</x:v>
      </x:c>
      <x:c r="E21" s="2" t="str">
        <x:v>20 illustrative incremental eligible sales units</x:v>
      </x:c>
      <x:c r="F21" s="2" t="str">
        <x:v>As explicitly stated in substitution</x:v>
      </x:c>
      <x:c r="G21" s="2" t="str">
        <x:v>I-E18</x:v>
      </x:c>
      <x:c r="H21" s="2" t="str">
        <x:v>DID</x:v>
      </x:c>
      <x:c r="I21" s="2" t="str">
        <x:v>A_EXAMPLE</x:v>
      </x:c>
      <x:c r="J21" s="2" t="str">
        <x:v>Calculation_Audit</x:v>
      </x:c>
      <x:c r="K21" s="2" t="str">
        <x:v>scripts/olam-package.py: examples</x:v>
      </x:c>
      <x:c r="L21" s="2" t="str">
        <x:v>31</x:v>
      </x:c>
      <x:c r="M21" s="2" t="str">
        <x:v>Parallel trends and no material spillovers are required. Four chosen means cannot support an estimated interval.</x:v>
      </x:c>
    </x:row>
    <x:row r="22" ht="70" customHeight="1">
      <x:c r="A22" s="2" t="str">
        <x:v>C-E19</x:v>
      </x:c>
      <x:c r="B22" s="2" t="str">
        <x:v>Incremental ROMI</x:v>
      </x:c>
      <x:c r="C22" s="2" t="str">
        <x:v>Net incremental contribution after marketing / marketing spend</x:v>
      </x:c>
      <x:c r="D22" s="2" t="str">
        <x:v>Incremental contribution 120 − service 20 − trade 10 − cannibalisation 10 = 80. Marketing spend 40. Net ROMI = (80 − 40)/40 = 100%.</x:v>
      </x:c>
      <x:c r="E22" s="2" t="str">
        <x:v>100% net ROMI; contribution/spend is 2.0 times</x:v>
      </x:c>
      <x:c r="F22" s="2" t="str">
        <x:v>As explicitly stated in substitution</x:v>
      </x:c>
      <x:c r="G22" s="2" t="str">
        <x:v>I-E19</x:v>
      </x:c>
      <x:c r="H22" s="2" t="str">
        <x:v>Chosen teaching inputs</x:v>
      </x:c>
      <x:c r="I22" s="2" t="str">
        <x:v>A_EXAMPLE</x:v>
      </x:c>
      <x:c r="J22" s="2" t="str">
        <x:v>Calculation_Audit</x:v>
      </x:c>
      <x:c r="K22" s="2" t="str">
        <x:v>scripts/olam-package.py: examples</x:v>
      </x:c>
      <x:c r="L22" s="2" t="str">
        <x:v>31</x:v>
      </x:c>
      <x:c r="M22" s="2" t="str">
        <x:v>All inputs are chosen currency-thousands. Use a paid-sales counterfactual and full incremental costs.</x:v>
      </x:c>
    </x:row>
    <x:row r="23" ht="70" customHeight="1">
      <x:c r="A23" s="2" t="str">
        <x:v>C-E20</x:v>
      </x:c>
      <x:c r="B23" s="2" t="str">
        <x:v>Decision value of information</x:v>
      </x:c>
      <x:c r="C23" s="2" t="str">
        <x:v>Optimal decision value after information less before information, study and delay costs</x:v>
      </x:c>
      <x:c r="D23" s="2" t="str">
        <x:v>Good state p=0.5: investment NPV 10; bad state p=0.5: −8; wait 0. Best prior EV=1; perfect-information EV=5; less study 1 and delay 0.5 gives net gain 2.5.</x:v>
      </x:c>
      <x:c r="E23" s="2" t="str">
        <x:v>USD2.5m net perfect-information ceiling</x:v>
      </x:c>
      <x:c r="F23" s="2" t="str">
        <x:v>As explicitly stated in substitution</x:v>
      </x:c>
      <x:c r="G23" s="2" t="str">
        <x:v>I-E20</x:v>
      </x:c>
      <x:c r="H23" s="2" t="str">
        <x:v>Chosen teaching inputs</x:v>
      </x:c>
      <x:c r="I23" s="2" t="str">
        <x:v>A_EXAMPLE</x:v>
      </x:c>
      <x:c r="J23" s="2" t="str">
        <x:v>Calculation_Audit</x:v>
      </x:c>
      <x:c r="K23" s="2" t="str">
        <x:v>scripts/olam-package.py: examples</x:v>
      </x:c>
      <x:c r="L23" s="2" t="str">
        <x:v>28</x:v>
      </x:c>
      <x:c r="M23" s="2" t="str">
        <x:v>A perfect study is an upper bound. Do not add its benefit again to a policy that already includes learning.</x:v>
      </x:c>
    </x:row>
    <x:row r="24" ht="70" customHeight="1">
      <x:c r="A24" s="2" t="str">
        <x:v>C-E21</x:v>
      </x:c>
      <x:c r="B24" s="2" t="str">
        <x:v>Reverse stress</x:v>
      </x:c>
      <x:c r="C24" s="2" t="str">
        <x:v>Solve the full NPV root and monitor the mechanism that moves it</x:v>
      </x:c>
      <x:c r="D24" s="2" t="str">
        <x:v>The managed owned template reaches zero NPV at 104,862 initial annual order tonnes. The current 100,000t base needs 4.86% more initial orders.</x:v>
      </x:c>
      <x:c r="E24" s="2" t="str">
        <x:v>About 4.86% more initial orders needed</x:v>
      </x:c>
      <x:c r="F24" s="2" t="str">
        <x:v>As explicitly stated in substitution</x:v>
      </x:c>
      <x:c r="G24" s="2" t="str">
        <x:v>I-E21</x:v>
      </x:c>
      <x:c r="H24" s="2" t="str">
        <x:v>Chosen teaching inputs</x:v>
      </x:c>
      <x:c r="I24" s="2" t="str">
        <x:v>A_EXAMPLE</x:v>
      </x:c>
      <x:c r="J24" s="2" t="str">
        <x:v>Calculation_Audit</x:v>
      </x:c>
      <x:c r="K24" s="2" t="str">
        <x:v>scripts/olam-package.py: examples</x:v>
      </x:c>
      <x:c r="L24" s="2" t="str">
        <x:v>59</x:v>
      </x:c>
      <x:c r="M24" s="2" t="str">
        <x:v>The threshold depends on cost, hurdle, tax and capacity; volume cannot repair a negative unit contribution.</x:v>
      </x:c>
    </x:row>
    <x:row r="25" ht="70" customHeight="1">
      <x:c r="A25" s="2" t="str">
        <x:v>C-E22</x:v>
      </x:c>
      <x:c r="B25" s="2" t="str">
        <x:v>Size ranking can reverse</x:v>
      </x:c>
      <x:c r="C25" s="2" t="str">
        <x:v>Delivered units × unit contribution less fixed cost, then full cash-flow valuation</x:v>
      </x:c>
      <x:c r="D25" s="2" t="str">
        <x:v>Country A: demand 200kt, capture 50kt, unit contribution USD20, fixed USD0.7m → EBITDA USD0.3m. B: demand 100kt, capture 40kt, contribution USD40 → USD0.9m.</x:v>
      </x:c>
      <x:c r="E25" s="2" t="str">
        <x:v>B has 3 times EBITDA despite half the category size</x:v>
      </x:c>
      <x:c r="F25" s="2" t="str">
        <x:v>As explicitly stated in substitution</x:v>
      </x:c>
      <x:c r="G25" s="2" t="str">
        <x:v>I-E22</x:v>
      </x:c>
      <x:c r="H25" s="2" t="str">
        <x:v>Chosen teaching inputs</x:v>
      </x:c>
      <x:c r="I25" s="2" t="str">
        <x:v>A_EXAMPLE</x:v>
      </x:c>
      <x:c r="J25" s="2" t="str">
        <x:v>Calculation_Audit</x:v>
      </x:c>
      <x:c r="K25" s="2" t="str">
        <x:v>scripts/olam-package.py: examples</x:v>
      </x:c>
      <x:c r="L25" s="2" t="str">
        <x:v>60</x:v>
      </x:c>
      <x:c r="M25" s="2" t="str">
        <x:v>A and B are fictional teaching cases. Chosen capex USD5m vs USD2m and NWC USD2m vs USD0.5m further favour testing B.</x:v>
      </x:c>
    </x:row>
    <x:row r="26" ht="70" customHeight="1">
      <x:c r="A26" s="2" t="str">
        <x:v>C-LEGACY</x:v>
      </x:c>
      <x:c r="B26" s="2" t="str">
        <x:v>C-LEGACY</x:v>
      </x:c>
      <x:c r="C26" s="2" t="str">
        <x:v>Inherited normalized Nigeria arithmetic</x:v>
      </x:c>
      <x:c r="D26" s="2" t="str">
        <x:v>See named executable code and full output JSON</x:v>
      </x:c>
      <x:c r="E26" s="2" t="str">
        <x:v>NGN−2.0645129269bn NPV;1.9927903115bn requiredannualuplift</x:v>
      </x:c>
      <x:c r="F26" s="2" t="str">
        <x:v>Explicit in output</x:v>
      </x:c>
      <x:c r="G26" s="2" t="str">
        <x:v>I_TEMPLATE /I_SCENARIO</x:v>
      </x:c>
      <x:c r="H26" s="2" t="str">
        <x:v>BASELINE</x:v>
      </x:c>
      <x:c r="I26" s="2" t="str">
        <x:v>A_TEMPLATE;A_SCENARIO;A_TAX;A_RATE;A_NWC;A_OUTER;A_CAPEX;A_PILOT;A_STRESS;A_EXAMPLE;A_PRIOR;A_LEGACY</x:v>
      </x:c>
      <x:c r="J26" s="2" t="str">
        <x:v>Calculation_Audit /Country_Financials /Simulation</x:v>
      </x:c>
      <x:c r="K26" s="2" t="str">
        <x:v>src/lib/olamNigeriaDecisionModel.ts</x:v>
      </x:c>
      <x:c r="L26" s="2" t="str">
        <x:v>3;20</x:v>
      </x:c>
      <x:c r="M26" s="2" t="str">
        <x:v>Conditional, not company forecast</x:v>
      </x:c>
    </x:row>
    <x:row r="27" ht="70" customHeight="1">
      <x:c r="A27" s="2" t="str">
        <x:v>C-CPM</x:v>
      </x:c>
      <x:c r="B27" s="2" t="str">
        <x:v>C-CPM</x:v>
      </x:c>
      <x:c r="C27" s="2" t="str">
        <x:v>(35.8−15.5)/35.8</x:v>
      </x:c>
      <x:c r="D27" s="2" t="str">
        <x:v>See named executable code and full output JSON</x:v>
      </x:c>
      <x:c r="E27" s="2" t="str">
        <x:v>56.7039% lowerCPM</x:v>
      </x:c>
      <x:c r="F27" s="2" t="str">
        <x:v>Explicit in output</x:v>
      </x:c>
      <x:c r="G27" s="2" t="str">
        <x:v>I_TEMPLATE /I_SCENARIO</x:v>
      </x:c>
      <x:c r="H27" s="2" t="str">
        <x:v>Chosen assumptions /specified primary datasets</x:v>
      </x:c>
      <x:c r="I27" s="2" t="str">
        <x:v>A_TEMPLATE;A_SCENARIO;A_TAX;A_RATE;A_NWC;A_OUTER;A_CAPEX;A_PILOT;A_STRESS;A_EXAMPLE;A_PRIOR;A_LEGACY</x:v>
      </x:c>
      <x:c r="J27" s="2" t="str">
        <x:v>Calculation_Audit /Country_Financials /Simulation</x:v>
      </x:c>
      <x:c r="K27" s="2" t="str">
        <x:v>src/data/resume.ts</x:v>
      </x:c>
      <x:c r="L27" s="2" t="str">
        <x:v>34</x:v>
      </x:c>
      <x:c r="M27" s="2" t="str">
        <x:v>Conditional, not company forecast</x:v>
      </x:c>
    </x:row>
    <x:row r="28" ht="70" customHeight="1">
      <x:c r="A28" s="2" t="str">
        <x:v>C-COVERAGE</x:v>
      </x:c>
      <x:c r="B28" s="2" t="str">
        <x:v>C-COVERAGE</x:v>
      </x:c>
      <x:c r="C28" s="2" t="str">
        <x:v>195×6×7</x:v>
      </x:c>
      <x:c r="D28" s="2" t="str">
        <x:v>See named executable code and full output JSON</x:v>
      </x:c>
      <x:c r="E28" s="2" t="str">
        <x:v>8,190 rows;162countriesall11macros</x:v>
      </x:c>
      <x:c r="F28" s="2" t="str">
        <x:v>Explicit in output</x:v>
      </x:c>
      <x:c r="G28" s="2" t="str">
        <x:v>I_TEMPLATE /I_SCENARIO</x:v>
      </x:c>
      <x:c r="H28" s="2" t="str">
        <x:v>Chosen assumptions /specified primary datasets</x:v>
      </x:c>
      <x:c r="I28" s="2" t="str">
        <x:v>A_TEMPLATE;A_SCENARIO;A_TAX;A_RATE;A_NWC;A_OUTER;A_CAPEX;A_PILOT;A_STRESS;A_EXAMPLE;A_PRIOR;A_LEGACY</x:v>
      </x:c>
      <x:c r="J28" s="2" t="str">
        <x:v>Calculation_Audit /Country_Financials /Simulation</x:v>
      </x:c>
      <x:c r="K28" s="2" t="str">
        <x:v>scripts/olam-analyse.py</x:v>
      </x:c>
      <x:c r="L28" s="2" t="str">
        <x:v>12</x:v>
      </x:c>
      <x:c r="M28" s="2" t="str">
        <x:v>Conditional, not company forecast</x:v>
      </x:c>
    </x:row>
    <x:row r="29" ht="70" customHeight="1">
      <x:c r="A29" s="2" t="str">
        <x:v>C-TRADE-NGA</x:v>
      </x:c>
      <x:c r="B29" s="2" t="str">
        <x:v>C-TRADE-NGA</x:v>
      </x:c>
      <x:c r="C29" s="2" t="str">
        <x:v>Read CIFvalue only; noquantitycalculation</x:v>
      </x:c>
      <x:c r="D29" s="2" t="str">
        <x:v>See named executable code and full output JSON</x:v>
      </x:c>
      <x:c r="E29" s="2" t="str">
        <x:v>USD1,047,531,844.083CIF; netweightnull</x:v>
      </x:c>
      <x:c r="F29" s="2" t="str">
        <x:v>Explicit in output</x:v>
      </x:c>
      <x:c r="G29" s="2" t="str">
        <x:v>I_TEMPLATE /I_SCENARIO</x:v>
      </x:c>
      <x:c r="H29" s="2" t="str">
        <x:v>Chosen assumptions /specified primary datasets</x:v>
      </x:c>
      <x:c r="I29" s="2" t="str">
        <x:v>A_TEMPLATE;A_SCENARIO;A_TAX;A_RATE;A_NWC;A_OUTER;A_CAPEX;A_PILOT;A_STRESS;A_EXAMPLE;A_PRIOR;A_LEGACY</x:v>
      </x:c>
      <x:c r="J29" s="2" t="str">
        <x:v>Calculation_Audit /Country_Financials /Simulation</x:v>
      </x:c>
      <x:c r="K29" s="2" t="str">
        <x:v>scripts/olam-retrieve.py</x:v>
      </x:c>
      <x:c r="L29" s="2" t="str">
        <x:v>10</x:v>
      </x:c>
      <x:c r="M29" s="2" t="str">
        <x:v>Conditional, not company forecast</x:v>
      </x:c>
    </x:row>
    <x:row r="30" ht="70" customHeight="1">
      <x:c r="A30" s="2" t="str">
        <x:v>C-OLS</x:v>
      </x:c>
      <x:c r="B30" s="2" t="str">
        <x:v>C-OLS</x:v>
      </x:c>
      <x:c r="C30" s="2" t="str">
        <x:v>Laggedgrowth OLS;countryclusterCR1;holdout</x:v>
      </x:c>
      <x:c r="D30" s="2" t="str">
        <x:v>See named executable code and full output JSON</x:v>
      </x:c>
      <x:c r="E30" s="2" t="str">
        <x:v>train2856;holdout680;MAE.04829868</x:v>
      </x:c>
      <x:c r="F30" s="2" t="str">
        <x:v>Explicit in output</x:v>
      </x:c>
      <x:c r="G30" s="2" t="str">
        <x:v>I_TEMPLATE /I_SCENARIO</x:v>
      </x:c>
      <x:c r="H30" s="2" t="str">
        <x:v>Chosen assumptions /specified primary datasets</x:v>
      </x:c>
      <x:c r="I30" s="2" t="str">
        <x:v>A_TEMPLATE;A_SCENARIO;A_TAX;A_RATE;A_NWC;A_OUTER;A_CAPEX;A_PILOT;A_STRESS;A_EXAMPLE;A_PRIOR;A_LEGACY</x:v>
      </x:c>
      <x:c r="J30" s="2" t="str">
        <x:v>Calculation_Audit /Country_Financials /Simulation</x:v>
      </x:c>
      <x:c r="K30" s="2" t="str">
        <x:v>scripts/olam-analyse.py</x:v>
      </x:c>
      <x:c r="L30" s="2" t="str">
        <x:v>30;66;67</x:v>
      </x:c>
      <x:c r="M30" s="2" t="str">
        <x:v>Conditional, not company forecast</x:v>
      </x:c>
    </x:row>
    <x:row r="31" ht="70" customHeight="1">
      <x:c r="A31" s="2" t="str">
        <x:v>C-STRESS</x:v>
      </x:c>
      <x:c r="B31" s="2" t="str">
        <x:v>C-STRESS</x:v>
      </x:c>
      <x:c r="C31" s="2" t="str">
        <x:v>10,000chosenlatentfactordraws;fullcash</x:v>
      </x:c>
      <x:c r="D31" s="2" t="str">
        <x:v>See named executable code and full output JSON</x:v>
      </x:c>
      <x:c r="E31" s="2" t="str">
        <x:v>{"p10_npv": -19.270312655889544, "median_npv": -1.6547747253083456, "p90_npv": 21.484353235769948, "loss_VaR95": 24.54454163430493, "loss_CVaR95": 29.251547633706362}</x:v>
      </x:c>
      <x:c r="F31" s="2" t="str">
        <x:v>Explicit in output</x:v>
      </x:c>
      <x:c r="G31" s="2" t="str">
        <x:v>I_TEMPLATE /I_SCENARIO</x:v>
      </x:c>
      <x:c r="H31" s="2" t="str">
        <x:v>Chosen assumptions /specified primary datasets</x:v>
      </x:c>
      <x:c r="I31" s="2" t="str">
        <x:v>A_TEMPLATE;A_SCENARIO;A_TAX;A_RATE;A_NWC;A_OUTER;A_CAPEX;A_PILOT;A_STRESS;A_EXAMPLE;A_PRIOR;A_LEGACY</x:v>
      </x:c>
      <x:c r="J31" s="2" t="str">
        <x:v>Calculation_Audit /Country_Financials /Simulation</x:v>
      </x:c>
      <x:c r="K31" s="2" t="str">
        <x:v>scripts/olam-analyse.py</x:v>
      </x:c>
      <x:c r="L31" s="2" t="str">
        <x:v>26</x:v>
      </x:c>
      <x:c r="M31" s="2" t="str">
        <x:v>Conditional, not company forecast</x:v>
      </x:c>
    </x:row>
    <x:row r="32" ht="70" customHeight="1">
      <x:c r="A32" s="2" t="str">
        <x:v>C-REGRET</x:v>
      </x:c>
      <x:c r="B32" s="2" t="str">
        <x:v>C-REGRET</x:v>
      </x:c>
      <x:c r="C32" s="2" t="str">
        <x:v>min action max world(bestvalue−actionvalue)</x:v>
      </x:c>
      <x:c r="D32" s="2" t="str">
        <x:v>See named executable code and full output JSON</x:v>
      </x:c>
      <x:c r="E32" s="2" t="str">
        <x:v>Partner chosen;worstregret4 vsowned8</x:v>
      </x:c>
      <x:c r="F32" s="2" t="str">
        <x:v>Explicit in output</x:v>
      </x:c>
      <x:c r="G32" s="2" t="str">
        <x:v>I_TEMPLATE /I_SCENARIO</x:v>
      </x:c>
      <x:c r="H32" s="2" t="str">
        <x:v>Chosen assumptions /specified primary datasets</x:v>
      </x:c>
      <x:c r="I32" s="2" t="str">
        <x:v>A_TEMPLATE;A_SCENARIO;A_TAX;A_RATE;A_NWC;A_OUTER;A_CAPEX;A_PILOT;A_STRESS;A_EXAMPLE;A_PRIOR;A_LEGACY</x:v>
      </x:c>
      <x:c r="J32" s="2" t="str">
        <x:v>Calculation_Audit /Country_Financials /Simulation</x:v>
      </x:c>
      <x:c r="K32" s="2" t="str">
        <x:v>scripts/olam-analyse.py</x:v>
      </x:c>
      <x:c r="L32" s="2" t="str">
        <x:v>27;28;29</x:v>
      </x:c>
      <x:c r="M32" s="2" t="str">
        <x:v>Conditional, not company forecast</x:v>
      </x:c>
    </x:row>
    <x:row r="33" ht="70" customHeight="1">
      <x:c r="A33" s="2" t="str">
        <x:v>C-SCENARIOS</x:v>
      </x:c>
      <x:c r="B33" s="2" t="str">
        <x:v>C-SCENARIOS</x:v>
      </x:c>
      <x:c r="C33" s="2" t="str">
        <x:v>Chosen coherent driver vectors</x:v>
      </x:c>
      <x:c r="D33" s="2" t="str">
        <x:v>See named executable code and full output JSON</x:v>
      </x:c>
      <x:c r="E33" s="2" t="str">
        <x:v>6worlds,unweighted</x:v>
      </x:c>
      <x:c r="F33" s="2" t="str">
        <x:v>Explicit in output</x:v>
      </x:c>
      <x:c r="G33" s="2" t="str">
        <x:v>I_TEMPLATE /I_SCENARIO</x:v>
      </x:c>
      <x:c r="H33" s="2" t="str">
        <x:v>Chosen assumptions /specified primary datasets</x:v>
      </x:c>
      <x:c r="I33" s="2" t="str">
        <x:v>A_TEMPLATE;A_SCENARIO;A_TAX;A_RATE;A_NWC;A_OUTER;A_CAPEX;A_PILOT;A_STRESS;A_EXAMPLE;A_PRIOR;A_LEGACY</x:v>
      </x:c>
      <x:c r="J33" s="2" t="str">
        <x:v>Calculation_Audit /Country_Financials /Simulation</x:v>
      </x:c>
      <x:c r="K33" s="2" t="str">
        <x:v>scripts/olam-analyse.py</x:v>
      </x:c>
      <x:c r="L33" s="2" t="str">
        <x:v>15</x:v>
      </x:c>
      <x:c r="M33" s="2" t="str">
        <x:v>Conditional, not company forecast</x:v>
      </x:c>
    </x:row>
    <x:row r="34" ht="70" customHeight="1">
      <x:c r="A34" s="2" t="str">
        <x:v>C-THRESHOLD</x:v>
      </x:c>
      <x:c r="B34" s="2" t="str">
        <x:v>C-THRESHOLD</x:v>
      </x:c>
      <x:c r="C34" s="2" t="str">
        <x:v>Brent rootNPV(order)=0</x:v>
      </x:c>
      <x:c r="D34" s="2" t="str">
        <x:v>See named executable code and full output JSON</x:v>
      </x:c>
      <x:c r="E34" s="2" t="str">
        <x:v>Conditionalroots;nullifcapacitycappedvalue&lt;0</x:v>
      </x:c>
      <x:c r="F34" s="2" t="str">
        <x:v>Explicit in output</x:v>
      </x:c>
      <x:c r="G34" s="2" t="str">
        <x:v>I_TEMPLATE /I_SCENARIO</x:v>
      </x:c>
      <x:c r="H34" s="2" t="str">
        <x:v>Chosen assumptions /specified primary datasets</x:v>
      </x:c>
      <x:c r="I34" s="2" t="str">
        <x:v>A_TEMPLATE;A_SCENARIO;A_TAX;A_RATE;A_NWC;A_OUTER;A_CAPEX;A_PILOT;A_STRESS;A_EXAMPLE;A_PRIOR;A_LEGACY</x:v>
      </x:c>
      <x:c r="J34" s="2" t="str">
        <x:v>Calculation_Audit /Country_Financials /Simulation</x:v>
      </x:c>
      <x:c r="K34" s="2" t="str">
        <x:v>scripts/olam-analyse.py</x:v>
      </x:c>
      <x:c r="L34" s="2" t="str">
        <x:v>17;26</x:v>
      </x:c>
      <x:c r="M34" s="2" t="str">
        <x:v>Conditional, not company forecast</x:v>
      </x:c>
    </x:row>
    <x:row r="35" ht="70" customHeight="1">
      <x:c r="A35" s="2" t="str">
        <x:v>C-DCF</x:v>
      </x:c>
      <x:c r="B35" s="2" t="str">
        <x:v>C-DCF</x:v>
      </x:c>
      <x:c r="C35" s="2" t="str">
        <x:v>25annual FCFF atrealUSD hurdle</x:v>
      </x:c>
      <x:c r="D35" s="2" t="str">
        <x:v>See named executable code and full output JSON</x:v>
      </x:c>
      <x:c r="E35" s="2" t="str">
        <x:v>18mode/worldcases;notcountryvalues</x:v>
      </x:c>
      <x:c r="F35" s="2" t="str">
        <x:v>Explicit in output</x:v>
      </x:c>
      <x:c r="G35" s="2" t="str">
        <x:v>I_TEMPLATE /I_SCENARIO</x:v>
      </x:c>
      <x:c r="H35" s="2" t="str">
        <x:v>Chosen assumptions /specified primary datasets</x:v>
      </x:c>
      <x:c r="I35" s="2" t="str">
        <x:v>A_TEMPLATE;A_SCENARIO;A_TAX;A_RATE;A_NWC;A_OUTER;A_CAPEX;A_PILOT;A_STRESS;A_EXAMPLE;A_PRIOR;A_LEGACY</x:v>
      </x:c>
      <x:c r="J35" s="2" t="str">
        <x:v>Calculation_Audit /Country_Financials /Simulation</x:v>
      </x:c>
      <x:c r="K35" s="2" t="str">
        <x:v>scripts/olam-analyse.py</x:v>
      </x:c>
      <x:c r="L35" s="2" t="str">
        <x:v>16</x:v>
      </x:c>
      <x:c r="M35" s="2" t="str">
        <x:v>Conditional, not company forecast</x:v>
      </x:c>
    </x:row>
    <x:row r="36" ht="70" customHeight="1">
      <x:c r="A36" s="2" t="str">
        <x:v>C-DCF-trade-managed</x:v>
      </x:c>
      <x:c r="B36" s="2" t="str">
        <x:v>Full normalizedproject cash</x:v>
      </x:c>
      <x:c r="C36" s="2" t="str">
        <x:v>FCFF=EBIT−tax+D&amp;A−capex−ΔNWC+closeout;NPV=Σdiscountedcash</x:v>
      </x:c>
      <x:c r="D36" s="2" t="str">
        <x:v>{"mode": "trade", "scenario": "managed", "npv": 0.35768624230170054, "peak_funding": 2.9413770000000037, "operating_break_even_tonnes": 31250.0, "investment_break_even_orders": 89195.8345259654, "within_capacity": true, "calculation_id": "C-DCF-trade-managed"}</x:v>
      </x:c>
      <x:c r="E36" s="2" t="str">
        <x:v>0.36</x:v>
      </x:c>
      <x:c r="F36" s="2" t="str">
        <x:v>Real2026USD million</x:v>
      </x:c>
      <x:c r="G36" s="2" t="str">
        <x:v>I_TEMPLATE_trade;I_SCENARIO_managed</x:v>
      </x:c>
      <x:c r="H36" s="2" t="str">
        <x:v>Chosen illustrative inputs</x:v>
      </x:c>
      <x:c r="I36" s="2" t="str">
        <x:v>A_TEMPLATE;A_SCENARIO;A_RATE;A_TAX;A_NWC;A_CAPEX;A_OUTER</x:v>
      </x:c>
      <x:c r="J36" s="2" t="str">
        <x:v>Country_Financials (activecase);Sensitivity (cached)</x:v>
      </x:c>
      <x:c r="K36" s="2" t="str">
        <x:v>scripts/olam-analyse.py:cash_model</x:v>
      </x:c>
      <x:c r="L36" s="2" t="str">
        <x:v>Modeloutput /countryatlas</x:v>
      </x:c>
      <x:c r="M36" s="2" t="str">
        <x:v>No country calibration</x:v>
      </x:c>
    </x:row>
    <x:row r="37" ht="70" customHeight="1">
      <x:c r="A37" s="2" t="str">
        <x:v>C-DCF-trade-integration</x:v>
      </x:c>
      <x:c r="B37" s="2" t="str">
        <x:v>Full normalizedproject cash</x:v>
      </x:c>
      <x:c r="C37" s="2" t="str">
        <x:v>FCFF=EBIT−tax+D&amp;A−capex−ΔNWC+closeout;NPV=Σdiscountedcash</x:v>
      </x:c>
      <x:c r="D37" s="2" t="str">
        <x:v>{"mode": "trade", "scenario": "integration", "npv": 7.869359046008329, "peak_funding": 1.5686896712328786, "operating_break_even_tonnes": 17651.296829971187, "investment_break_even_orders": 27991.67630528343, "within_capacity": true, "calculation_id": "C-DCF-trade-integration"}</x:v>
      </x:c>
      <x:c r="E37" s="2" t="str">
        <x:v>7.87</x:v>
      </x:c>
      <x:c r="F37" s="2" t="str">
        <x:v>Real2026USD million</x:v>
      </x:c>
      <x:c r="G37" s="2" t="str">
        <x:v>I_TEMPLATE_trade;I_SCENARIO_integration</x:v>
      </x:c>
      <x:c r="H37" s="2" t="str">
        <x:v>Chosen illustrative inputs</x:v>
      </x:c>
      <x:c r="I37" s="2" t="str">
        <x:v>A_TEMPLATE;A_SCENARIO;A_RATE;A_TAX;A_NWC;A_CAPEX;A_OUTER</x:v>
      </x:c>
      <x:c r="J37" s="2" t="str">
        <x:v>Country_Financials (activecase);Sensitivity (cached)</x:v>
      </x:c>
      <x:c r="K37" s="2" t="str">
        <x:v>scripts/olam-analyse.py:cash_model</x:v>
      </x:c>
      <x:c r="L37" s="2" t="str">
        <x:v>Modeloutput /countryatlas</x:v>
      </x:c>
      <x:c r="M37" s="2" t="str">
        <x:v>No country calibration</x:v>
      </x:c>
    </x:row>
    <x:row r="38" ht="70" customHeight="1">
      <x:c r="A38" s="2" t="str">
        <x:v>C-DCF-trade-fragmented</x:v>
      </x:c>
      <x:c r="B38" s="2" t="str">
        <x:v>Full normalizedproject cash</x:v>
      </x:c>
      <x:c r="C38" s="2" t="str">
        <x:v>FCFF=EBIT−tax+D&amp;A−capex−ΔNWC+closeout;NPV=Σdiscountedcash</x:v>
      </x:c>
      <x:c r="D38" s="2" t="str">
        <x:v>{"mode": "trade", "scenario": "fragmented", "npv": -10.136255746401934, "peak_funding": 22.84820444735882, "operating_break_even_tonnes": null, "investment_break_even_orders": null, "within_capacity": false, "calculation_id": "C-DCF-trade-fragmented"}</x:v>
      </x:c>
      <x:c r="E38" s="2" t="str">
        <x:v>-10.14</x:v>
      </x:c>
      <x:c r="F38" s="2" t="str">
        <x:v>Real2026USD million</x:v>
      </x:c>
      <x:c r="G38" s="2" t="str">
        <x:v>I_TEMPLATE_trade;I_SCENARIO_fragmented</x:v>
      </x:c>
      <x:c r="H38" s="2" t="str">
        <x:v>Chosen illustrative inputs</x:v>
      </x:c>
      <x:c r="I38" s="2" t="str">
        <x:v>A_TEMPLATE;A_SCENARIO;A_RATE;A_TAX;A_NWC;A_CAPEX;A_OUTER</x:v>
      </x:c>
      <x:c r="J38" s="2" t="str">
        <x:v>Country_Financials (activecase);Sensitivity (cached)</x:v>
      </x:c>
      <x:c r="K38" s="2" t="str">
        <x:v>scripts/olam-analyse.py:cash_model</x:v>
      </x:c>
      <x:c r="L38" s="2" t="str">
        <x:v>Modeloutput /countryatlas</x:v>
      </x:c>
      <x:c r="M38" s="2" t="str">
        <x:v>No country calibration</x:v>
      </x:c>
    </x:row>
    <x:row r="39" ht="70" customHeight="1">
      <x:c r="A39" s="2" t="str">
        <x:v>C-DCF-trade-physical</x:v>
      </x:c>
      <x:c r="B39" s="2" t="str">
        <x:v>Full normalizedproject cash</x:v>
      </x:c>
      <x:c r="C39" s="2" t="str">
        <x:v>FCFF=EBIT−tax+D&amp;A−capex−ΔNWC+closeout;NPV=Σdiscountedcash</x:v>
      </x:c>
      <x:c r="D39" s="2" t="str">
        <x:v>{"mode": "trade", "scenario": "physical", "npv": -25.560849591724317, "peak_funding": 70.94921425008118, "operating_break_even_tonnes": null, "investment_break_even_orders": null, "within_capacity": false, "calculation_id": "C-DCF-trade-physical"}</x:v>
      </x:c>
      <x:c r="E39" s="2" t="str">
        <x:v>-25.56</x:v>
      </x:c>
      <x:c r="F39" s="2" t="str">
        <x:v>Real2026USD million</x:v>
      </x:c>
      <x:c r="G39" s="2" t="str">
        <x:v>I_TEMPLATE_trade;I_SCENARIO_physical</x:v>
      </x:c>
      <x:c r="H39" s="2" t="str">
        <x:v>Chosen illustrative inputs</x:v>
      </x:c>
      <x:c r="I39" s="2" t="str">
        <x:v>A_TEMPLATE;A_SCENARIO;A_RATE;A_TAX;A_NWC;A_CAPEX;A_OUTER</x:v>
      </x:c>
      <x:c r="J39" s="2" t="str">
        <x:v>Country_Financials (activecase);Sensitivity (cached)</x:v>
      </x:c>
      <x:c r="K39" s="2" t="str">
        <x:v>scripts/olam-analyse.py:cash_model</x:v>
      </x:c>
      <x:c r="L39" s="2" t="str">
        <x:v>Modeloutput /countryatlas</x:v>
      </x:c>
      <x:c r="M39" s="2" t="str">
        <x:v>No country calibration</x:v>
      </x:c>
    </x:row>
    <x:row r="40" ht="70" customHeight="1">
      <x:c r="A40" s="2" t="str">
        <x:v>C-DCF-trade-squeeze</x:v>
      </x:c>
      <x:c r="B40" s="2" t="str">
        <x:v>Full normalizedproject cash</x:v>
      </x:c>
      <x:c r="C40" s="2" t="str">
        <x:v>FCFF=EBIT−tax+D&amp;A−capex−ΔNWC+closeout;NPV=Σdiscountedcash</x:v>
      </x:c>
      <x:c r="D40" s="2" t="str">
        <x:v>{"mode": "trade", "scenario": "squeeze", "npv": -13.357503120599379, "peak_funding": 36.99873139726028, "operating_break_even_tonnes": null, "investment_break_even_orders": null, "within_capacity": false, "calculation_id": "C-DCF-trade-squeeze"}</x:v>
      </x:c>
      <x:c r="E40" s="2" t="str">
        <x:v>-13.36</x:v>
      </x:c>
      <x:c r="F40" s="2" t="str">
        <x:v>Real2026USD million</x:v>
      </x:c>
      <x:c r="G40" s="2" t="str">
        <x:v>I_TEMPLATE_trade;I_SCENARIO_squeeze</x:v>
      </x:c>
      <x:c r="H40" s="2" t="str">
        <x:v>Chosen illustrative inputs</x:v>
      </x:c>
      <x:c r="I40" s="2" t="str">
        <x:v>A_TEMPLATE;A_SCENARIO;A_RATE;A_TAX;A_NWC;A_CAPEX;A_OUTER</x:v>
      </x:c>
      <x:c r="J40" s="2" t="str">
        <x:v>Country_Financials (activecase);Sensitivity (cached)</x:v>
      </x:c>
      <x:c r="K40" s="2" t="str">
        <x:v>scripts/olam-analyse.py:cash_model</x:v>
      </x:c>
      <x:c r="L40" s="2" t="str">
        <x:v>Modeloutput /countryatlas</x:v>
      </x:c>
      <x:c r="M40" s="2" t="str">
        <x:v>No country calibration</x:v>
      </x:c>
    </x:row>
    <x:row r="41" ht="70" customHeight="1">
      <x:c r="A41" s="2" t="str">
        <x:v>C-DCF-trade-nutrition</x:v>
      </x:c>
      <x:c r="B41" s="2" t="str">
        <x:v>Full normalizedproject cash</x:v>
      </x:c>
      <x:c r="C41" s="2" t="str">
        <x:v>FCFF=EBIT−tax+D&amp;A−capex−ΔNWC+closeout;NPV=Σdiscountedcash</x:v>
      </x:c>
      <x:c r="D41" s="2" t="str">
        <x:v>{"mode": "trade", "scenario": "nutrition", "npv": -0.5433706314193101, "peak_funding": 4.071070447090416, "operating_break_even_tonnes": 32475.490196078557, "investment_break_even_orders": 121633.64390198824, "within_capacity": true, "calculation_id": "C-DCF-trade-nutrition"}</x:v>
      </x:c>
      <x:c r="E41" s="2" t="str">
        <x:v>-0.54</x:v>
      </x:c>
      <x:c r="F41" s="2" t="str">
        <x:v>Real2026USD million</x:v>
      </x:c>
      <x:c r="G41" s="2" t="str">
        <x:v>I_TEMPLATE_trade;I_SCENARIO_nutrition</x:v>
      </x:c>
      <x:c r="H41" s="2" t="str">
        <x:v>Chosen illustrative inputs</x:v>
      </x:c>
      <x:c r="I41" s="2" t="str">
        <x:v>A_TEMPLATE;A_SCENARIO;A_RATE;A_TAX;A_NWC;A_CAPEX;A_OUTER</x:v>
      </x:c>
      <x:c r="J41" s="2" t="str">
        <x:v>Country_Financials (activecase);Sensitivity (cached)</x:v>
      </x:c>
      <x:c r="K41" s="2" t="str">
        <x:v>scripts/olam-analyse.py:cash_model</x:v>
      </x:c>
      <x:c r="L41" s="2" t="str">
        <x:v>Modeloutput /countryatlas</x:v>
      </x:c>
      <x:c r="M41" s="2" t="str">
        <x:v>No country calibration</x:v>
      </x:c>
    </x:row>
    <x:row r="42" ht="70" customHeight="1">
      <x:c r="A42" s="2" t="str">
        <x:v>C-DCF-partner-managed</x:v>
      </x:c>
      <x:c r="B42" s="2" t="str">
        <x:v>Full normalizedproject cash</x:v>
      </x:c>
      <x:c r="C42" s="2" t="str">
        <x:v>FCFF=EBIT−tax+D&amp;A−capex−ΔNWC+closeout;NPV=Σdiscountedcash</x:v>
      </x:c>
      <x:c r="D42" s="2" t="str">
        <x:v>{"mode": "partner", "scenario": "managed", "npv": 10.817370364399231, "peak_funding": 9.795726027397262, "operating_break_even_tonnes": 25000.0, "investment_break_even_orders": 62437.7886229557, "within_capacity": true, "calculation_id": "C-DCF-partner-managed"}</x:v>
      </x:c>
      <x:c r="E42" s="2" t="str">
        <x:v>10.82</x:v>
      </x:c>
      <x:c r="F42" s="2" t="str">
        <x:v>Real2026USD million</x:v>
      </x:c>
      <x:c r="G42" s="2" t="str">
        <x:v>I_TEMPLATE_partner;I_SCENARIO_managed</x:v>
      </x:c>
      <x:c r="H42" s="2" t="str">
        <x:v>Chosen illustrative inputs</x:v>
      </x:c>
      <x:c r="I42" s="2" t="str">
        <x:v>A_TEMPLATE;A_SCENARIO;A_RATE;A_TAX;A_NWC;A_CAPEX;A_OUTER</x:v>
      </x:c>
      <x:c r="J42" s="2" t="str">
        <x:v>Country_Financials (activecase);Sensitivity (cached)</x:v>
      </x:c>
      <x:c r="K42" s="2" t="str">
        <x:v>scripts/olam-analyse.py:cash_model</x:v>
      </x:c>
      <x:c r="L42" s="2" t="str">
        <x:v>Modeloutput /countryatlas</x:v>
      </x:c>
      <x:c r="M42" s="2" t="str">
        <x:v>No country calibration</x:v>
      </x:c>
    </x:row>
    <x:row r="43" ht="70" customHeight="1">
      <x:c r="A43" s="2" t="str">
        <x:v>C-DCF-partner-integration</x:v>
      </x:c>
      <x:c r="B43" s="2" t="str">
        <x:v>Full normalizedproject cash</x:v>
      </x:c>
      <x:c r="C43" s="2" t="str">
        <x:v>FCFF=EBIT−tax+D&amp;A−capex−ΔNWC+closeout;NPV=Σdiscountedcash</x:v>
      </x:c>
      <x:c r="D43" s="2" t="str">
        <x:v>{"mode": "partner", "scenario": "integration", "npv": 20.592951494337385, "peak_funding": 9.137024657534244, "operating_break_even_tonnes": 22072.07207207206, "investment_break_even_orders": 42554.41685771852, "within_capacity": true, "calculation_id": "C-DCF-partner-integration"}</x:v>
      </x:c>
      <x:c r="E43" s="2" t="str">
        <x:v>20.59</x:v>
      </x:c>
      <x:c r="F43" s="2" t="str">
        <x:v>Real2026USD million</x:v>
      </x:c>
      <x:c r="G43" s="2" t="str">
        <x:v>I_TEMPLATE_partner;I_SCENARIO_integration</x:v>
      </x:c>
      <x:c r="H43" s="2" t="str">
        <x:v>Chosen illustrative inputs</x:v>
      </x:c>
      <x:c r="I43" s="2" t="str">
        <x:v>A_TEMPLATE;A_SCENARIO;A_RATE;A_TAX;A_NWC;A_CAPEX;A_OUTER</x:v>
      </x:c>
      <x:c r="J43" s="2" t="str">
        <x:v>Country_Financials (activecase);Sensitivity (cached)</x:v>
      </x:c>
      <x:c r="K43" s="2" t="str">
        <x:v>scripts/olam-analyse.py:cash_model</x:v>
      </x:c>
      <x:c r="L43" s="2" t="str">
        <x:v>Modeloutput /countryatlas</x:v>
      </x:c>
      <x:c r="M43" s="2" t="str">
        <x:v>No country calibration</x:v>
      </x:c>
    </x:row>
    <x:row r="44" ht="70" customHeight="1">
      <x:c r="A44" s="2" t="str">
        <x:v>C-DCF-partner-fragmented</x:v>
      </x:c>
      <x:c r="B44" s="2" t="str">
        <x:v>Full normalizedproject cash</x:v>
      </x:c>
      <x:c r="C44" s="2" t="str">
        <x:v>FCFF=EBIT−tax+D&amp;A−capex−ΔNWC+closeout;NPV=Σdiscountedcash</x:v>
      </x:c>
      <x:c r="D44" s="2" t="str">
        <x:v>{"mode": "partner", "scenario": "fragmented", "npv": -3.5847305871200685, "peak_funding": 12.709059419178088, "operating_break_even_tonnes": 33536.585365853694, "investment_break_even_orders": 151350.81667983875, "within_capacity": true, "calculation_id": "C-DCF-partner-fragmented"}</x:v>
      </x:c>
      <x:c r="E44" s="2" t="str">
        <x:v>-3.58</x:v>
      </x:c>
      <x:c r="F44" s="2" t="str">
        <x:v>Real2026USD million</x:v>
      </x:c>
      <x:c r="G44" s="2" t="str">
        <x:v>I_TEMPLATE_partner;I_SCENARIO_fragmented</x:v>
      </x:c>
      <x:c r="H44" s="2" t="str">
        <x:v>Chosen illustrative inputs</x:v>
      </x:c>
      <x:c r="I44" s="2" t="str">
        <x:v>A_TEMPLATE;A_SCENARIO;A_RATE;A_TAX;A_NWC;A_CAPEX;A_OUTER</x:v>
      </x:c>
      <x:c r="J44" s="2" t="str">
        <x:v>Country_Financials (activecase);Sensitivity (cached)</x:v>
      </x:c>
      <x:c r="K44" s="2" t="str">
        <x:v>scripts/olam-analyse.py:cash_model</x:v>
      </x:c>
      <x:c r="L44" s="2" t="str">
        <x:v>Modeloutput /countryatlas</x:v>
      </x:c>
      <x:c r="M44" s="2" t="str">
        <x:v>No country calibration</x:v>
      </x:c>
    </x:row>
    <x:row r="45" ht="70" customHeight="1">
      <x:c r="A45" s="2" t="str">
        <x:v>C-DCF-partner-physical</x:v>
      </x:c>
      <x:c r="B45" s="2" t="str">
        <x:v>Full normalizedproject cash</x:v>
      </x:c>
      <x:c r="C45" s="2" t="str">
        <x:v>FCFF=EBIT−tax+D&amp;A−capex−ΔNWC+closeout;NPV=Σdiscountedcash</x:v>
      </x:c>
      <x:c r="D45" s="2" t="str">
        <x:v>{"mode": "partner", "scenario": "physical", "npv": -17.395001416781703, "peak_funding": 27.95674091083143, "operating_break_even_tonnes": 71874.99999999983, "investment_break_even_orders": null, "within_capacity": false, "calculation_id": "C-DCF-partner-physical"}</x:v>
      </x:c>
      <x:c r="E45" s="2" t="str">
        <x:v>-17.40</x:v>
      </x:c>
      <x:c r="F45" s="2" t="str">
        <x:v>Real2026USD million</x:v>
      </x:c>
      <x:c r="G45" s="2" t="str">
        <x:v>I_TEMPLATE_partner;I_SCENARIO_physical</x:v>
      </x:c>
      <x:c r="H45" s="2" t="str">
        <x:v>Chosen illustrative inputs</x:v>
      </x:c>
      <x:c r="I45" s="2" t="str">
        <x:v>A_TEMPLATE;A_SCENARIO;A_RATE;A_TAX;A_NWC;A_CAPEX;A_OUTER</x:v>
      </x:c>
      <x:c r="J45" s="2" t="str">
        <x:v>Country_Financials (activecase);Sensitivity (cached)</x:v>
      </x:c>
      <x:c r="K45" s="2" t="str">
        <x:v>scripts/olam-analyse.py:cash_model</x:v>
      </x:c>
      <x:c r="L45" s="2" t="str">
        <x:v>Modeloutput /countryatlas</x:v>
      </x:c>
      <x:c r="M45" s="2" t="str">
        <x:v>No country calibration</x:v>
      </x:c>
    </x:row>
    <x:row r="46" ht="70" customHeight="1">
      <x:c r="A46" s="2" t="str">
        <x:v>C-DCF-partner-squeeze</x:v>
      </x:c>
      <x:c r="B46" s="2" t="str">
        <x:v>Full normalizedproject cash</x:v>
      </x:c>
      <x:c r="C46" s="2" t="str">
        <x:v>FCFF=EBIT−tax+D&amp;A−capex−ΔNWC+closeout;NPV=Σdiscountedcash</x:v>
      </x:c>
      <x:c r="D46" s="2" t="str">
        <x:v>{"mode": "partner", "scenario": "squeeze", "npv": -9.82494869860839, "peak_funding": 14.232439232876722, "operating_break_even_tonnes": 42112.2994652407, "investment_break_even_orders": null, "within_capacity": false, "calculation_id": "C-DCF-partner-squeeze"}</x:v>
      </x:c>
      <x:c r="E46" s="2" t="str">
        <x:v>-9.82</x:v>
      </x:c>
      <x:c r="F46" s="2" t="str">
        <x:v>Real2026USD million</x:v>
      </x:c>
      <x:c r="G46" s="2" t="str">
        <x:v>I_TEMPLATE_partner;I_SCENARIO_squeeze</x:v>
      </x:c>
      <x:c r="H46" s="2" t="str">
        <x:v>Chosen illustrative inputs</x:v>
      </x:c>
      <x:c r="I46" s="2" t="str">
        <x:v>A_TEMPLATE;A_SCENARIO;A_RATE;A_TAX;A_NWC;A_CAPEX;A_OUTER</x:v>
      </x:c>
      <x:c r="J46" s="2" t="str">
        <x:v>Country_Financials (activecase);Sensitivity (cached)</x:v>
      </x:c>
      <x:c r="K46" s="2" t="str">
        <x:v>scripts/olam-analyse.py:cash_model</x:v>
      </x:c>
      <x:c r="L46" s="2" t="str">
        <x:v>Modeloutput /countryatlas</x:v>
      </x:c>
      <x:c r="M46" s="2" t="str">
        <x:v>No country calibration</x:v>
      </x:c>
    </x:row>
    <x:row r="47" ht="70" customHeight="1">
      <x:c r="A47" s="2" t="str">
        <x:v>C-DCF-partner-nutrition</x:v>
      </x:c>
      <x:c r="B47" s="2" t="str">
        <x:v>Full normalizedproject cash</x:v>
      </x:c>
      <x:c r="C47" s="2" t="str">
        <x:v>FCFF=EBIT−tax+D&amp;A−capex−ΔNWC+closeout;NPV=Σdiscountedcash</x:v>
      </x:c>
      <x:c r="D47" s="2" t="str">
        <x:v>{"mode": "partner", "scenario": "nutrition", "npv": 10.071104437961292, "peak_funding": 10.38084, "operating_break_even_tonnes": 25980.392156862756, "investment_break_even_orders": 64972.55435624967, "within_capacity": true, "calculation_id": "C-DCF-partner-nutrition"}</x:v>
      </x:c>
      <x:c r="E47" s="2" t="str">
        <x:v>10.07</x:v>
      </x:c>
      <x:c r="F47" s="2" t="str">
        <x:v>Real2026USD million</x:v>
      </x:c>
      <x:c r="G47" s="2" t="str">
        <x:v>I_TEMPLATE_partner;I_SCENARIO_nutrition</x:v>
      </x:c>
      <x:c r="H47" s="2" t="str">
        <x:v>Chosen illustrative inputs</x:v>
      </x:c>
      <x:c r="I47" s="2" t="str">
        <x:v>A_TEMPLATE;A_SCENARIO;A_RATE;A_TAX;A_NWC;A_CAPEX;A_OUTER</x:v>
      </x:c>
      <x:c r="J47" s="2" t="str">
        <x:v>Country_Financials (activecase);Sensitivity (cached)</x:v>
      </x:c>
      <x:c r="K47" s="2" t="str">
        <x:v>scripts/olam-analyse.py:cash_model</x:v>
      </x:c>
      <x:c r="L47" s="2" t="str">
        <x:v>Modeloutput /countryatlas</x:v>
      </x:c>
      <x:c r="M47" s="2" t="str">
        <x:v>No country calibration</x:v>
      </x:c>
    </x:row>
    <x:row r="48" ht="70" customHeight="1">
      <x:c r="A48" s="2" t="str">
        <x:v>C-DCF-plant-managed</x:v>
      </x:c>
      <x:c r="B48" s="2" t="str">
        <x:v>Full normalizedproject cash</x:v>
      </x:c>
      <x:c r="C48" s="2" t="str">
        <x:v>FCFF=EBIT−tax+D&amp;A−capex−ΔNWC+closeout;NPV=Σdiscountedcash</x:v>
      </x:c>
      <x:c r="D48" s="2" t="str">
        <x:v>{"mode": "plant", "scenario": "managed", "npv": -1.7999419404754313, "peak_funding": 22.564383561643837, "operating_break_even_tonnes": 33333.333333333336, "investment_break_even_orders": 104862.13464493981, "within_capacity": true, "calculation_id": "C-DCF-plant-managed"}</x:v>
      </x:c>
      <x:c r="E48" s="2" t="str">
        <x:v>-1.80</x:v>
      </x:c>
      <x:c r="F48" s="2" t="str">
        <x:v>Real2026USD million</x:v>
      </x:c>
      <x:c r="G48" s="2" t="str">
        <x:v>I_TEMPLATE_plant;I_SCENARIO_managed</x:v>
      </x:c>
      <x:c r="H48" s="2" t="str">
        <x:v>Chosen illustrative inputs</x:v>
      </x:c>
      <x:c r="I48" s="2" t="str">
        <x:v>A_TEMPLATE;A_SCENARIO;A_RATE;A_TAX;A_NWC;A_CAPEX;A_OUTER</x:v>
      </x:c>
      <x:c r="J48" s="2" t="str">
        <x:v>Country_Financials (activecase);Sensitivity (cached)</x:v>
      </x:c>
      <x:c r="K48" s="2" t="str">
        <x:v>scripts/olam-analyse.py:cash_model</x:v>
      </x:c>
      <x:c r="L48" s="2" t="str">
        <x:v>Modeloutput /countryatlas</x:v>
      </x:c>
      <x:c r="M48" s="2" t="str">
        <x:v>No country calibration</x:v>
      </x:c>
    </x:row>
    <x:row r="49" ht="70" customHeight="1">
      <x:c r="A49" s="2" t="str">
        <x:v>C-DCF-plant-integration</x:v>
      </x:c>
      <x:c r="B49" s="2" t="str">
        <x:v>Full normalizedproject cash</x:v>
      </x:c>
      <x:c r="C49" s="2" t="str">
        <x:v>FCFF=EBIT−tax+D&amp;A−capex−ΔNWC+closeout;NPV=Σdiscountedcash</x:v>
      </x:c>
      <x:c r="D49" s="2" t="str">
        <x:v>{"mode": "plant", "scenario": "integration", "npv": 13.879461780773948, "peak_funding": 21.728734246575343, "operating_break_even_tonnes": 30107.52688172042, "investment_break_even_orders": 73631.61307311719, "within_capacity": true, "calculation_id": "C-DCF-plant-integration"}</x:v>
      </x:c>
      <x:c r="E49" s="2" t="str">
        <x:v>13.88</x:v>
      </x:c>
      <x:c r="F49" s="2" t="str">
        <x:v>Real2026USD million</x:v>
      </x:c>
      <x:c r="G49" s="2" t="str">
        <x:v>I_TEMPLATE_plant;I_SCENARIO_integration</x:v>
      </x:c>
      <x:c r="H49" s="2" t="str">
        <x:v>Chosen illustrative inputs</x:v>
      </x:c>
      <x:c r="I49" s="2" t="str">
        <x:v>A_TEMPLATE;A_SCENARIO;A_RATE;A_TAX;A_NWC;A_CAPEX;A_OUTER</x:v>
      </x:c>
      <x:c r="J49" s="2" t="str">
        <x:v>Country_Financials (activecase);Sensitivity (cached)</x:v>
      </x:c>
      <x:c r="K49" s="2" t="str">
        <x:v>scripts/olam-analyse.py:cash_model</x:v>
      </x:c>
      <x:c r="L49" s="2" t="str">
        <x:v>Modeloutput /countryatlas</x:v>
      </x:c>
      <x:c r="M49" s="2" t="str">
        <x:v>No country calibration</x:v>
      </x:c>
    </x:row>
    <x:row r="50" ht="70" customHeight="1">
      <x:c r="A50" s="2" t="str">
        <x:v>C-DCF-plant-fragmented</x:v>
      </x:c>
      <x:c r="B50" s="2" t="str">
        <x:v>Full normalizedproject cash</x:v>
      </x:c>
      <x:c r="C50" s="2" t="str">
        <x:v>FCFF=EBIT−tax+D&amp;A−capex−ΔNWC+closeout;NPV=Σdiscountedcash</x:v>
      </x:c>
      <x:c r="D50" s="2" t="str">
        <x:v>{"mode": "plant", "scenario": "fragmented", "npv": -17.20394764958582, "peak_funding": 25.97873621917809, "operating_break_even_tonnes": 42145.59386973181, "investment_break_even_orders": null, "within_capacity": false, "calculation_id": "C-DCF-plant-fragmented"}</x:v>
      </x:c>
      <x:c r="E50" s="2" t="str">
        <x:v>-17.20</x:v>
      </x:c>
      <x:c r="F50" s="2" t="str">
        <x:v>Real2026USD million</x:v>
      </x:c>
      <x:c r="G50" s="2" t="str">
        <x:v>I_TEMPLATE_plant;I_SCENARIO_fragmented</x:v>
      </x:c>
      <x:c r="H50" s="2" t="str">
        <x:v>Chosen illustrative inputs</x:v>
      </x:c>
      <x:c r="I50" s="2" t="str">
        <x:v>A_TEMPLATE;A_SCENARIO;A_RATE;A_TAX;A_NWC;A_CAPEX;A_OUTER</x:v>
      </x:c>
      <x:c r="J50" s="2" t="str">
        <x:v>Country_Financials (activecase);Sensitivity (cached)</x:v>
      </x:c>
      <x:c r="K50" s="2" t="str">
        <x:v>scripts/olam-analyse.py:cash_model</x:v>
      </x:c>
      <x:c r="L50" s="2" t="str">
        <x:v>Modeloutput /countryatlas</x:v>
      </x:c>
      <x:c r="M50" s="2" t="str">
        <x:v>No country calibration</x:v>
      </x:c>
    </x:row>
    <x:row r="51" ht="70" customHeight="1">
      <x:c r="A51" s="2" t="str">
        <x:v>C-DCF-plant-physical</x:v>
      </x:c>
      <x:c r="B51" s="2" t="str">
        <x:v>Full normalizedproject cash</x:v>
      </x:c>
      <x:c r="C51" s="2" t="str">
        <x:v>FCFF=EBIT−tax+D&amp;A−capex−ΔNWC+closeout;NPV=Σdiscountedcash</x:v>
      </x:c>
      <x:c r="D51" s="2" t="str">
        <x:v>{"mode": "plant", "scenario": "physical", "npv": -33.292163663292115, "peak_funding": 57.89763621465281, "operating_break_even_tonnes": 69696.96969696958, "investment_break_even_orders": null, "within_capacity": false, "calculation_id": "C-DCF-plant-physical"}</x:v>
      </x:c>
      <x:c r="E51" s="2" t="str">
        <x:v>-33.29</x:v>
      </x:c>
      <x:c r="F51" s="2" t="str">
        <x:v>Real2026USD million</x:v>
      </x:c>
      <x:c r="G51" s="2" t="str">
        <x:v>I_TEMPLATE_plant;I_SCENARIO_physical</x:v>
      </x:c>
      <x:c r="H51" s="2" t="str">
        <x:v>Chosen illustrative inputs</x:v>
      </x:c>
      <x:c r="I51" s="2" t="str">
        <x:v>A_TEMPLATE;A_SCENARIO;A_RATE;A_TAX;A_NWC;A_CAPEX;A_OUTER</x:v>
      </x:c>
      <x:c r="J51" s="2" t="str">
        <x:v>Country_Financials (activecase);Sensitivity (cached)</x:v>
      </x:c>
      <x:c r="K51" s="2" t="str">
        <x:v>scripts/olam-analyse.py:cash_model</x:v>
      </x:c>
      <x:c r="L51" s="2" t="str">
        <x:v>Modeloutput /countryatlas</x:v>
      </x:c>
      <x:c r="M51" s="2" t="str">
        <x:v>No country calibration</x:v>
      </x:c>
    </x:row>
    <x:row r="52" ht="70" customHeight="1">
      <x:c r="A52" s="2" t="str">
        <x:v>C-DCF-plant-squeeze</x:v>
      </x:c>
      <x:c r="B52" s="2" t="str">
        <x:v>Full normalizedproject cash</x:v>
      </x:c>
      <x:c r="C52" s="2" t="str">
        <x:v>FCFF=EBIT−tax+D&amp;A−capex−ΔNWC+closeout;NPV=Σdiscountedcash</x:v>
      </x:c>
      <x:c r="D52" s="2" t="str">
        <x:v>{"mode": "plant", "scenario": "squeeze", "npv": -24.952075111496065, "peak_funding": 38.204532602739775, "operating_break_even_tonnes": 49528.30188679248, "investment_break_even_orders": null, "within_capacity": false, "calculation_id": "C-DCF-plant-squeeze"}</x:v>
      </x:c>
      <x:c r="E52" s="2" t="str">
        <x:v>-24.95</x:v>
      </x:c>
      <x:c r="F52" s="2" t="str">
        <x:v>Real2026USD million</x:v>
      </x:c>
      <x:c r="G52" s="2" t="str">
        <x:v>I_TEMPLATE_plant;I_SCENARIO_squeeze</x:v>
      </x:c>
      <x:c r="H52" s="2" t="str">
        <x:v>Chosen illustrative inputs</x:v>
      </x:c>
      <x:c r="I52" s="2" t="str">
        <x:v>A_TEMPLATE;A_SCENARIO;A_RATE;A_TAX;A_NWC;A_CAPEX;A_OUTER</x:v>
      </x:c>
      <x:c r="J52" s="2" t="str">
        <x:v>Country_Financials (activecase);Sensitivity (cached)</x:v>
      </x:c>
      <x:c r="K52" s="2" t="str">
        <x:v>scripts/olam-analyse.py:cash_model</x:v>
      </x:c>
      <x:c r="L52" s="2" t="str">
        <x:v>Modeloutput /countryatlas</x:v>
      </x:c>
      <x:c r="M52" s="2" t="str">
        <x:v>No country calibration</x:v>
      </x:c>
    </x:row>
    <x:row r="53" ht="70" customHeight="1">
      <x:c r="A53" s="2" t="str">
        <x:v>C-DCF-plant-nutrition</x:v>
      </x:c>
      <x:c r="B53" s="2" t="str">
        <x:v>Full normalizedproject cash</x:v>
      </x:c>
      <x:c r="C53" s="2" t="str">
        <x:v>FCFF=EBIT−tax+D&amp;A−capex−ΔNWC+closeout;NPV=Σdiscountedcash</x:v>
      </x:c>
      <x:c r="D53" s="2" t="str">
        <x:v>{"mode": "plant", "scenario": "nutrition", "npv": -2.8782641183332043, "peak_funding": 23.1676301369863, "operating_break_even_tonnes": 34640.522875817, "investment_break_even_orders": 107844.84544675304, "within_capacity": true, "calculation_id": "C-DCF-plant-nutrition"}</x:v>
      </x:c>
      <x:c r="E53" s="2" t="str">
        <x:v>-2.88</x:v>
      </x:c>
      <x:c r="F53" s="2" t="str">
        <x:v>Real2026USD million</x:v>
      </x:c>
      <x:c r="G53" s="2" t="str">
        <x:v>I_TEMPLATE_plant;I_SCENARIO_nutrition</x:v>
      </x:c>
      <x:c r="H53" s="2" t="str">
        <x:v>Chosen illustrative inputs</x:v>
      </x:c>
      <x:c r="I53" s="2" t="str">
        <x:v>A_TEMPLATE;A_SCENARIO;A_RATE;A_TAX;A_NWC;A_CAPEX;A_OUTER</x:v>
      </x:c>
      <x:c r="J53" s="2" t="str">
        <x:v>Country_Financials (activecase);Sensitivity (cached)</x:v>
      </x:c>
      <x:c r="K53" s="2" t="str">
        <x:v>scripts/olam-analyse.py:cash_model</x:v>
      </x:c>
      <x:c r="L53" s="2" t="str">
        <x:v>Modeloutput /countryatlas</x:v>
      </x:c>
      <x:c r="M53" s="2" t="str">
        <x:v>No country calibration</x:v>
      </x:c>
    </x:row>
    <x:row r="54" ht="70" customHeight="1">
      <x:c r="A54" s="2" t="str">
        <x:v>C-POP-AFG</x:v>
      </x:c>
      <x:c r="B54" s="2" t="str">
        <x:v>Population projectionpath</x:v>
      </x:c>
      <x:c r="C54" s="2" t="str">
        <x:v>WPP thousands×1000;2051/2026−1</x:v>
      </x:c>
      <x:c r="D54" s="2" t="str">
        <x:v>{"2026": 45047069.0, "2030": 50039402.0, "2035": 56647232.0, "2040": 63347870.0, "2045": 70021200.0, "2050": 76885135.0, "2051": 78155052.0}</x:v>
      </x:c>
      <x:c r="E54" s="2" t="str">
        <x:v>0.7349641993355882</x:v>
      </x:c>
      <x:c r="F54" s="2" t="str">
        <x:v>Persons /fractionchange</x:v>
      </x:c>
      <x:c r="G54" s="2" t="str">
        <x:v>UN_WPP_AFG</x:v>
      </x:c>
      <x:c r="H54" s="2" t="str">
        <x:v>UN_WPP</x:v>
      </x:c>
      <x:c r="I54" s="2" t="str"/>
      <x:c r="J54" s="2" t="str">
        <x:v>Countries</x:v>
      </x:c>
      <x:c r="K54" s="2" t="str">
        <x:v>scripts/olam-analyse.py</x:v>
      </x:c>
      <x:c r="L54" s="2" t="str">
        <x:v>7 /atlas</x:v>
      </x:c>
      <x:c r="M54" s="2" t="str">
        <x:v>No category demand inference</x:v>
      </x:c>
    </x:row>
    <x:row r="55" ht="70" customHeight="1">
      <x:c r="A55" s="2" t="str">
        <x:v>C-POP-ALB</x:v>
      </x:c>
      <x:c r="B55" s="2" t="str">
        <x:v>Population projectionpath</x:v>
      </x:c>
      <x:c r="C55" s="2" t="str">
        <x:v>WPP thousands×1000;2051/2026−1</x:v>
      </x:c>
      <x:c r="D55" s="2" t="str">
        <x:v>{"2026": 2751025.0, "2030": 2671885.0, "2035": 2570580.0, "2040": 2461866.0, "2045": 2351280.0, "2050": 2240166.0, "2051": 2218012.0}</x:v>
      </x:c>
      <x:c r="E55" s="2" t="str">
        <x:v>-0.19375069292354663</x:v>
      </x:c>
      <x:c r="F55" s="2" t="str">
        <x:v>Persons /fractionchange</x:v>
      </x:c>
      <x:c r="G55" s="2" t="str">
        <x:v>UN_WPP_ALB</x:v>
      </x:c>
      <x:c r="H55" s="2" t="str">
        <x:v>UN_WPP</x:v>
      </x:c>
      <x:c r="I55" s="2" t="str"/>
      <x:c r="J55" s="2" t="str">
        <x:v>Countries</x:v>
      </x:c>
      <x:c r="K55" s="2" t="str">
        <x:v>scripts/olam-analyse.py</x:v>
      </x:c>
      <x:c r="L55" s="2" t="str">
        <x:v>7 /atlas</x:v>
      </x:c>
      <x:c r="M55" s="2" t="str">
        <x:v>No category demand inference</x:v>
      </x:c>
    </x:row>
    <x:row r="56" ht="70" customHeight="1">
      <x:c r="A56" s="2" t="str">
        <x:v>C-POP-DZA</x:v>
      </x:c>
      <x:c r="B56" s="2" t="str">
        <x:v>Population projectionpath</x:v>
      </x:c>
      <x:c r="C56" s="2" t="str">
        <x:v>WPP thousands×1000;2051/2026−1</x:v>
      </x:c>
      <x:c r="D56" s="2" t="str">
        <x:v>{"2026": 48028334.0, "2030": 50154166.0, "2035": 52516789.0, "2040": 54873476.0, "2045": 57290156.0, "2050": 59565554.0, "2051": 59975606.0}</x:v>
      </x:c>
      <x:c r="E56" s="2" t="str">
        <x:v>0.2487546621958614</x:v>
      </x:c>
      <x:c r="F56" s="2" t="str">
        <x:v>Persons /fractionchange</x:v>
      </x:c>
      <x:c r="G56" s="2" t="str">
        <x:v>UN_WPP_DZA</x:v>
      </x:c>
      <x:c r="H56" s="2" t="str">
        <x:v>UN_WPP</x:v>
      </x:c>
      <x:c r="I56" s="2" t="str"/>
      <x:c r="J56" s="2" t="str">
        <x:v>Countries</x:v>
      </x:c>
      <x:c r="K56" s="2" t="str">
        <x:v>scripts/olam-analyse.py</x:v>
      </x:c>
      <x:c r="L56" s="2" t="str">
        <x:v>7 /atlas</x:v>
      </x:c>
      <x:c r="M56" s="2" t="str">
        <x:v>No category demand inference</x:v>
      </x:c>
    </x:row>
    <x:row r="57" ht="70" customHeight="1">
      <x:c r="A57" s="2" t="str">
        <x:v>C-POP-AND</x:v>
      </x:c>
      <x:c r="B57" s="2" t="str">
        <x:v>Population projectionpath</x:v>
      </x:c>
      <x:c r="C57" s="2" t="str">
        <x:v>WPP thousands×1000;2051/2026−1</x:v>
      </x:c>
      <x:c r="D57" s="2" t="str">
        <x:v>{"2026": 83753.0, "2030": 85681.0, "2035": 86174.0, "2040": 85668.0, "2045": 84294.0, "2050": 82195.0, "2051": 81668.0}</x:v>
      </x:c>
      <x:c r="E57" s="2" t="str">
        <x:v>-0.02489463064009645</x:v>
      </x:c>
      <x:c r="F57" s="2" t="str">
        <x:v>Persons /fractionchange</x:v>
      </x:c>
      <x:c r="G57" s="2" t="str">
        <x:v>UN_WPP_AND</x:v>
      </x:c>
      <x:c r="H57" s="2" t="str">
        <x:v>UN_WPP</x:v>
      </x:c>
      <x:c r="I57" s="2" t="str"/>
      <x:c r="J57" s="2" t="str">
        <x:v>Countries</x:v>
      </x:c>
      <x:c r="K57" s="2" t="str">
        <x:v>scripts/olam-analyse.py</x:v>
      </x:c>
      <x:c r="L57" s="2" t="str">
        <x:v>7 /atlas</x:v>
      </x:c>
      <x:c r="M57" s="2" t="str">
        <x:v>No category demand inference</x:v>
      </x:c>
    </x:row>
    <x:row r="58" ht="70" customHeight="1">
      <x:c r="A58" s="2" t="str">
        <x:v>C-POP-AGO</x:v>
      </x:c>
      <x:c r="B58" s="2" t="str">
        <x:v>Population projectionpath</x:v>
      </x:c>
      <x:c r="C58" s="2" t="str">
        <x:v>WPP thousands×1000;2051/2026−1</x:v>
      </x:c>
      <x:c r="D58" s="2" t="str">
        <x:v>{"2026": 40215179.0, "2030": 45160458.0, "2035": 51821718.0, "2040": 58965321.0, "2045": 66464329.0, "2050": 74295394.0, "2051": 75892826.0}</x:v>
      </x:c>
      <x:c r="E58" s="2" t="str">
        <x:v>0.887168673301193</x:v>
      </x:c>
      <x:c r="F58" s="2" t="str">
        <x:v>Persons /fractionchange</x:v>
      </x:c>
      <x:c r="G58" s="2" t="str">
        <x:v>UN_WPP_AGO</x:v>
      </x:c>
      <x:c r="H58" s="2" t="str">
        <x:v>UN_WPP</x:v>
      </x:c>
      <x:c r="I58" s="2" t="str"/>
      <x:c r="J58" s="2" t="str">
        <x:v>Countries</x:v>
      </x:c>
      <x:c r="K58" s="2" t="str">
        <x:v>scripts/olam-analyse.py</x:v>
      </x:c>
      <x:c r="L58" s="2" t="str">
        <x:v>7 /atlas</x:v>
      </x:c>
      <x:c r="M58" s="2" t="str">
        <x:v>No category demand inference</x:v>
      </x:c>
    </x:row>
    <x:row r="59" ht="70" customHeight="1">
      <x:c r="A59" s="2" t="str">
        <x:v>C-POP-ATG</x:v>
      </x:c>
      <x:c r="B59" s="2" t="str">
        <x:v>Population projectionpath</x:v>
      </x:c>
      <x:c r="C59" s="2" t="str">
        <x:v>WPP thousands×1000;2051/2026−1</x:v>
      </x:c>
      <x:c r="D59" s="2" t="str">
        <x:v>{"2026": 94626.0, "2030": 96000.0, "2035": 97007.0, "2040": 97133.0, "2045": 96419.0, "2050": 95055.0, "2051": 94710.0}</x:v>
      </x:c>
      <x:c r="E59" s="2" t="str">
        <x:v>0.0008877052818463405</x:v>
      </x:c>
      <x:c r="F59" s="2" t="str">
        <x:v>Persons /fractionchange</x:v>
      </x:c>
      <x:c r="G59" s="2" t="str">
        <x:v>UN_WPP_ATG</x:v>
      </x:c>
      <x:c r="H59" s="2" t="str">
        <x:v>UN_WPP</x:v>
      </x:c>
      <x:c r="I59" s="2" t="str"/>
      <x:c r="J59" s="2" t="str">
        <x:v>Countries</x:v>
      </x:c>
      <x:c r="K59" s="2" t="str">
        <x:v>scripts/olam-analyse.py</x:v>
      </x:c>
      <x:c r="L59" s="2" t="str">
        <x:v>7 /atlas</x:v>
      </x:c>
      <x:c r="M59" s="2" t="str">
        <x:v>No category demand inference</x:v>
      </x:c>
    </x:row>
    <x:row r="60" ht="70" customHeight="1">
      <x:c r="A60" s="2" t="str">
        <x:v>C-POP-ARG</x:v>
      </x:c>
      <x:c r="B60" s="2" t="str">
        <x:v>Population projectionpath</x:v>
      </x:c>
      <x:c r="C60" s="2" t="str">
        <x:v>WPP thousands×1000;2051/2026−1</x:v>
      </x:c>
      <x:c r="D60" s="2" t="str">
        <x:v>{"2026": 46003734.0, "2030": 46585022.0, "2035": 47251994.0, "2040": 47817645.0, "2045": 48191841.0, "2050": 48308944.0, "2051": 48297098.0}</x:v>
      </x:c>
      <x:c r="E60" s="2" t="str">
        <x:v>0.049851692473484865</x:v>
      </x:c>
      <x:c r="F60" s="2" t="str">
        <x:v>Persons /fractionchange</x:v>
      </x:c>
      <x:c r="G60" s="2" t="str">
        <x:v>UN_WPP_ARG</x:v>
      </x:c>
      <x:c r="H60" s="2" t="str">
        <x:v>UN_WPP</x:v>
      </x:c>
      <x:c r="I60" s="2" t="str"/>
      <x:c r="J60" s="2" t="str">
        <x:v>Countries</x:v>
      </x:c>
      <x:c r="K60" s="2" t="str">
        <x:v>scripts/olam-analyse.py</x:v>
      </x:c>
      <x:c r="L60" s="2" t="str">
        <x:v>7 /atlas</x:v>
      </x:c>
      <x:c r="M60" s="2" t="str">
        <x:v>No category demand inference</x:v>
      </x:c>
    </x:row>
    <x:row r="61" ht="70" customHeight="1">
      <x:c r="A61" s="2" t="str">
        <x:v>C-POP-ARM</x:v>
      </x:c>
      <x:c r="B61" s="2" t="str">
        <x:v>Population projectionpath</x:v>
      </x:c>
      <x:c r="C61" s="2" t="str">
        <x:v>WPP thousands×1000;2051/2026−1</x:v>
      </x:c>
      <x:c r="D61" s="2" t="str">
        <x:v>{"2026": 2930915.0, "2030": 2851291.0, "2035": 2756725.0, "2040": 2665523.0, "2045": 2579220.0, "2050": 2495207.0, "2051": 2478352.0}</x:v>
      </x:c>
      <x:c r="E61" s="2" t="str">
        <x:v>-0.15441014154282873</x:v>
      </x:c>
      <x:c r="F61" s="2" t="str">
        <x:v>Persons /fractionchange</x:v>
      </x:c>
      <x:c r="G61" s="2" t="str">
        <x:v>UN_WPP_ARM</x:v>
      </x:c>
      <x:c r="H61" s="2" t="str">
        <x:v>UN_WPP</x:v>
      </x:c>
      <x:c r="I61" s="2" t="str"/>
      <x:c r="J61" s="2" t="str">
        <x:v>Countries</x:v>
      </x:c>
      <x:c r="K61" s="2" t="str">
        <x:v>scripts/olam-analyse.py</x:v>
      </x:c>
      <x:c r="L61" s="2" t="str">
        <x:v>7 /atlas</x:v>
      </x:c>
      <x:c r="M61" s="2" t="str">
        <x:v>No category demand inference</x:v>
      </x:c>
    </x:row>
    <x:row r="62" ht="70" customHeight="1">
      <x:c r="A62" s="2" t="str">
        <x:v>C-POP-AUS</x:v>
      </x:c>
      <x:c r="B62" s="2" t="str">
        <x:v>Population projectionpath</x:v>
      </x:c>
      <x:c r="C62" s="2" t="str">
        <x:v>WPP thousands×1000;2051/2026−1</x:v>
      </x:c>
      <x:c r="D62" s="2" t="str">
        <x:v>{"2026": 27227096.0, "2030": 28188539.0, "2035": 29296168.0, "2040": 30357450.0, "2045": 31431123.0, "2050": 32506969.0, "2051": 32716087.0}</x:v>
      </x:c>
      <x:c r="E62" s="2" t="str">
        <x:v>0.2016003102203776</x:v>
      </x:c>
      <x:c r="F62" s="2" t="str">
        <x:v>Persons /fractionchange</x:v>
      </x:c>
      <x:c r="G62" s="2" t="str">
        <x:v>UN_WPP_AUS</x:v>
      </x:c>
      <x:c r="H62" s="2" t="str">
        <x:v>UN_WPP</x:v>
      </x:c>
      <x:c r="I62" s="2" t="str"/>
      <x:c r="J62" s="2" t="str">
        <x:v>Countries</x:v>
      </x:c>
      <x:c r="K62" s="2" t="str">
        <x:v>scripts/olam-analyse.py</x:v>
      </x:c>
      <x:c r="L62" s="2" t="str">
        <x:v>7 /atlas</x:v>
      </x:c>
      <x:c r="M62" s="2" t="str">
        <x:v>No category demand inference</x:v>
      </x:c>
    </x:row>
    <x:row r="63" ht="70" customHeight="1">
      <x:c r="A63" s="2" t="str">
        <x:v>C-POP-AUT</x:v>
      </x:c>
      <x:c r="B63" s="2" t="str">
        <x:v>Population projectionpath</x:v>
      </x:c>
      <x:c r="C63" s="2" t="str">
        <x:v>WPP thousands×1000;2051/2026−1</x:v>
      </x:c>
      <x:c r="D63" s="2" t="str">
        <x:v>{"2026": 9107266.0, "2030": 9080346.0, "2035": 9014208.0, "2040": 8934061.0, "2045": 8844730.0, "2050": 8724332.0, "2051": 8696685.0}</x:v>
      </x:c>
      <x:c r="E63" s="2" t="str">
        <x:v>-0.04508279433147111</x:v>
      </x:c>
      <x:c r="F63" s="2" t="str">
        <x:v>Persons /fractionchange</x:v>
      </x:c>
      <x:c r="G63" s="2" t="str">
        <x:v>UN_WPP_AUT</x:v>
      </x:c>
      <x:c r="H63" s="2" t="str">
        <x:v>UN_WPP</x:v>
      </x:c>
      <x:c r="I63" s="2" t="str"/>
      <x:c r="J63" s="2" t="str">
        <x:v>Countries</x:v>
      </x:c>
      <x:c r="K63" s="2" t="str">
        <x:v>scripts/olam-analyse.py</x:v>
      </x:c>
      <x:c r="L63" s="2" t="str">
        <x:v>7 /atlas</x:v>
      </x:c>
      <x:c r="M63" s="2" t="str">
        <x:v>No category demand inference</x:v>
      </x:c>
    </x:row>
    <x:row r="64" ht="70" customHeight="1">
      <x:c r="A64" s="2" t="str">
        <x:v>C-POP-AZE</x:v>
      </x:c>
      <x:c r="B64" s="2" t="str">
        <x:v>Population projectionpath</x:v>
      </x:c>
      <x:c r="C64" s="2" t="str">
        <x:v>WPP thousands×1000;2051/2026−1</x:v>
      </x:c>
      <x:c r="D64" s="2" t="str">
        <x:v>{"2026": 10454855.0, "2030": 10665380.0, "2035": 10898665.0, "2040": 11081335.0, "2045": 11188800.0, "2050": 11224923.0, "2051": 11224460.0}</x:v>
      </x:c>
      <x:c r="E64" s="2" t="str">
        <x:v>0.07361221174277399</x:v>
      </x:c>
      <x:c r="F64" s="2" t="str">
        <x:v>Persons /fractionchange</x:v>
      </x:c>
      <x:c r="G64" s="2" t="str">
        <x:v>UN_WPP_AZE</x:v>
      </x:c>
      <x:c r="H64" s="2" t="str">
        <x:v>UN_WPP</x:v>
      </x:c>
      <x:c r="I64" s="2" t="str"/>
      <x:c r="J64" s="2" t="str">
        <x:v>Countries</x:v>
      </x:c>
      <x:c r="K64" s="2" t="str">
        <x:v>scripts/olam-analyse.py</x:v>
      </x:c>
      <x:c r="L64" s="2" t="str">
        <x:v>7 /atlas</x:v>
      </x:c>
      <x:c r="M64" s="2" t="str">
        <x:v>No category demand inference</x:v>
      </x:c>
    </x:row>
    <x:row r="65" ht="70" customHeight="1">
      <x:c r="A65" s="2" t="str">
        <x:v>C-POP-BHS</x:v>
      </x:c>
      <x:c r="B65" s="2" t="str">
        <x:v>Population projectionpath</x:v>
      </x:c>
      <x:c r="C65" s="2" t="str">
        <x:v>WPP thousands×1000;2051/2026−1</x:v>
      </x:c>
      <x:c r="D65" s="2" t="str">
        <x:v>{"2026": 404628.0, "2030": 410267.0, "2035": 415978.0, "2040": 420346.0, "2045": 423262.0, "2050": 424265.0, "2051": 424211.0}</x:v>
      </x:c>
      <x:c r="E65" s="2" t="str">
        <x:v>0.04839754045691347</x:v>
      </x:c>
      <x:c r="F65" s="2" t="str">
        <x:v>Persons /fractionchange</x:v>
      </x:c>
      <x:c r="G65" s="2" t="str">
        <x:v>UN_WPP_BHS</x:v>
      </x:c>
      <x:c r="H65" s="2" t="str">
        <x:v>UN_WPP</x:v>
      </x:c>
      <x:c r="I65" s="2" t="str"/>
      <x:c r="J65" s="2" t="str">
        <x:v>Countries</x:v>
      </x:c>
      <x:c r="K65" s="2" t="str">
        <x:v>scripts/olam-analyse.py</x:v>
      </x:c>
      <x:c r="L65" s="2" t="str">
        <x:v>7 /atlas</x:v>
      </x:c>
      <x:c r="M65" s="2" t="str">
        <x:v>No category demand inference</x:v>
      </x:c>
    </x:row>
    <x:row r="66" ht="70" customHeight="1">
      <x:c r="A66" s="2" t="str">
        <x:v>C-POP-BHR</x:v>
      </x:c>
      <x:c r="B66" s="2" t="str">
        <x:v>Population projectionpath</x:v>
      </x:c>
      <x:c r="C66" s="2" t="str">
        <x:v>WPP thousands×1000;2051/2026−1</x:v>
      </x:c>
      <x:c r="D66" s="2" t="str">
        <x:v>{"2026": 1675572.0, "2030": 1765209.0, "2035": 1856537.0, "2040": 1951233.0, "2045": 2046472.0, "2050": 2139465.0, "2051": 2157875.0}</x:v>
      </x:c>
      <x:c r="E66" s="2" t="str">
        <x:v>0.28784379304500196</x:v>
      </x:c>
      <x:c r="F66" s="2" t="str">
        <x:v>Persons /fractionchange</x:v>
      </x:c>
      <x:c r="G66" s="2" t="str">
        <x:v>UN_WPP_BHR</x:v>
      </x:c>
      <x:c r="H66" s="2" t="str">
        <x:v>UN_WPP</x:v>
      </x:c>
      <x:c r="I66" s="2" t="str"/>
      <x:c r="J66" s="2" t="str">
        <x:v>Countries</x:v>
      </x:c>
      <x:c r="K66" s="2" t="str">
        <x:v>scripts/olam-analyse.py</x:v>
      </x:c>
      <x:c r="L66" s="2" t="str">
        <x:v>7 /atlas</x:v>
      </x:c>
      <x:c r="M66" s="2" t="str">
        <x:v>No category demand inference</x:v>
      </x:c>
    </x:row>
    <x:row r="67" ht="70" customHeight="1">
      <x:c r="A67" s="2" t="str">
        <x:v>C-POP-BGD</x:v>
      </x:c>
      <x:c r="B67" s="2" t="str">
        <x:v>Population projectionpath</x:v>
      </x:c>
      <x:c r="C67" s="2" t="str">
        <x:v>WPP thousands×1000;2051/2026−1</x:v>
      </x:c>
      <x:c r="D67" s="2" t="str">
        <x:v>{"2026": 177818044.0, "2030": 186072407.0, "2035": 195130372.0, "2040": 202589429.0, "2045": 209029594.0, "2050": 214709097.0, "2051": 215750555.0}</x:v>
      </x:c>
      <x:c r="E67" s="2" t="str">
        <x:v>0.21332205746228983</x:v>
      </x:c>
      <x:c r="F67" s="2" t="str">
        <x:v>Persons /fractionchange</x:v>
      </x:c>
      <x:c r="G67" s="2" t="str">
        <x:v>UN_WPP_BGD</x:v>
      </x:c>
      <x:c r="H67" s="2" t="str">
        <x:v>UN_WPP</x:v>
      </x:c>
      <x:c r="I67" s="2" t="str"/>
      <x:c r="J67" s="2" t="str">
        <x:v>Countries</x:v>
      </x:c>
      <x:c r="K67" s="2" t="str">
        <x:v>scripts/olam-analyse.py</x:v>
      </x:c>
      <x:c r="L67" s="2" t="str">
        <x:v>7 /atlas</x:v>
      </x:c>
      <x:c r="M67" s="2" t="str">
        <x:v>No category demand inference</x:v>
      </x:c>
    </x:row>
    <x:row r="68" ht="70" customHeight="1">
      <x:c r="A68" s="2" t="str">
        <x:v>C-POP-BRB</x:v>
      </x:c>
      <x:c r="B68" s="2" t="str">
        <x:v>Population projectionpath</x:v>
      </x:c>
      <x:c r="C68" s="2" t="str">
        <x:v>WPP thousands×1000;2051/2026−1</x:v>
      </x:c>
      <x:c r="D68" s="2" t="str">
        <x:v>{"2026": 282724.0, "2030": 282490.0, "2035": 280342.0, "2040": 276346.0, "2045": 270774.0, "2050": 264216.0, "2051": 262867.0}</x:v>
      </x:c>
      <x:c r="E68" s="2" t="str">
        <x:v>-0.07023457506260522</x:v>
      </x:c>
      <x:c r="F68" s="2" t="str">
        <x:v>Persons /fractionchange</x:v>
      </x:c>
      <x:c r="G68" s="2" t="str">
        <x:v>UN_WPP_BRB</x:v>
      </x:c>
      <x:c r="H68" s="2" t="str">
        <x:v>UN_WPP</x:v>
      </x:c>
      <x:c r="I68" s="2" t="str"/>
      <x:c r="J68" s="2" t="str">
        <x:v>Countries</x:v>
      </x:c>
      <x:c r="K68" s="2" t="str">
        <x:v>scripts/olam-analyse.py</x:v>
      </x:c>
      <x:c r="L68" s="2" t="str">
        <x:v>7 /atlas</x:v>
      </x:c>
      <x:c r="M68" s="2" t="str">
        <x:v>No category demand inference</x:v>
      </x:c>
    </x:row>
    <x:row r="69" ht="70" customHeight="1">
      <x:c r="A69" s="2" t="str">
        <x:v>C-POP-BLR</x:v>
      </x:c>
      <x:c r="B69" s="2" t="str">
        <x:v>Population projectionpath</x:v>
      </x:c>
      <x:c r="C69" s="2" t="str">
        <x:v>WPP thousands×1000;2051/2026−1</x:v>
      </x:c>
      <x:c r="D69" s="2" t="str">
        <x:v>{"2026": 8937018.0, "2030": 8687632.0, "2035": 8372271.000000001, "2040": 8064466.0, "2045": 7763466.0, "2050": 7453546.0, "2051": 7388575.0}</x:v>
      </x:c>
      <x:c r="E69" s="2" t="str">
        <x:v>-0.1732617076523736</x:v>
      </x:c>
      <x:c r="F69" s="2" t="str">
        <x:v>Persons /fractionchange</x:v>
      </x:c>
      <x:c r="G69" s="2" t="str">
        <x:v>UN_WPP_BLR</x:v>
      </x:c>
      <x:c r="H69" s="2" t="str">
        <x:v>UN_WPP</x:v>
      </x:c>
      <x:c r="I69" s="2" t="str"/>
      <x:c r="J69" s="2" t="str">
        <x:v>Countries</x:v>
      </x:c>
      <x:c r="K69" s="2" t="str">
        <x:v>scripts/olam-analyse.py</x:v>
      </x:c>
      <x:c r="L69" s="2" t="str">
        <x:v>7 /atlas</x:v>
      </x:c>
      <x:c r="M69" s="2" t="str">
        <x:v>No category demand inference</x:v>
      </x:c>
    </x:row>
    <x:row r="70" ht="70" customHeight="1">
      <x:c r="A70" s="2" t="str">
        <x:v>C-POP-BEL</x:v>
      </x:c>
      <x:c r="B70" s="2" t="str">
        <x:v>Population projectionpath</x:v>
      </x:c>
      <x:c r="C70" s="2" t="str">
        <x:v>WPP thousands×1000;2051/2026−1</x:v>
      </x:c>
      <x:c r="D70" s="2" t="str">
        <x:v>{"2026": 11774642.0, "2030": 11824141.0, "2035": 11863585.0, "2040": 11892204.0, "2045": 11900984.0, "2050": 11870906.0, "2051": 11859003.0}</x:v>
      </x:c>
      <x:c r="E70" s="2" t="str">
        <x:v>0.007164633965092149</x:v>
      </x:c>
      <x:c r="F70" s="2" t="str">
        <x:v>Persons /fractionchange</x:v>
      </x:c>
      <x:c r="G70" s="2" t="str">
        <x:v>UN_WPP_BEL</x:v>
      </x:c>
      <x:c r="H70" s="2" t="str">
        <x:v>UN_WPP</x:v>
      </x:c>
      <x:c r="I70" s="2" t="str"/>
      <x:c r="J70" s="2" t="str">
        <x:v>Countries</x:v>
      </x:c>
      <x:c r="K70" s="2" t="str">
        <x:v>scripts/olam-analyse.py</x:v>
      </x:c>
      <x:c r="L70" s="2" t="str">
        <x:v>7 /atlas</x:v>
      </x:c>
      <x:c r="M70" s="2" t="str">
        <x:v>No category demand inference</x:v>
      </x:c>
    </x:row>
    <x:row r="71" ht="70" customHeight="1">
      <x:c r="A71" s="2" t="str">
        <x:v>C-POP-BLZ</x:v>
      </x:c>
      <x:c r="B71" s="2" t="str">
        <x:v>Population projectionpath</x:v>
      </x:c>
      <x:c r="C71" s="2" t="str">
        <x:v>WPP thousands×1000;2051/2026−1</x:v>
      </x:c>
      <x:c r="D71" s="2" t="str">
        <x:v>{"2026": 428644.0, "2030": 449839.0, "2035": 473132.0, "2040": 491595.0, "2045": 505700.0, "2050": 516626.99999999994, "2051": 518385.99999999994}</x:v>
      </x:c>
      <x:c r="E71" s="2" t="str">
        <x:v>0.2093625479418817</x:v>
      </x:c>
      <x:c r="F71" s="2" t="str">
        <x:v>Persons /fractionchange</x:v>
      </x:c>
      <x:c r="G71" s="2" t="str">
        <x:v>UN_WPP_BLZ</x:v>
      </x:c>
      <x:c r="H71" s="2" t="str">
        <x:v>UN_WPP</x:v>
      </x:c>
      <x:c r="I71" s="2" t="str"/>
      <x:c r="J71" s="2" t="str">
        <x:v>Countries</x:v>
      </x:c>
      <x:c r="K71" s="2" t="str">
        <x:v>scripts/olam-analyse.py</x:v>
      </x:c>
      <x:c r="L71" s="2" t="str">
        <x:v>7 /atlas</x:v>
      </x:c>
      <x:c r="M71" s="2" t="str">
        <x:v>No category demand inference</x:v>
      </x:c>
    </x:row>
    <x:row r="72" ht="70" customHeight="1">
      <x:c r="A72" s="2" t="str">
        <x:v>C-POP-BEN</x:v>
      </x:c>
      <x:c r="B72" s="2" t="str">
        <x:v>Population projectionpath</x:v>
      </x:c>
      <x:c r="C72" s="2" t="str">
        <x:v>WPP thousands×1000;2051/2026−1</x:v>
      </x:c>
      <x:c r="D72" s="2" t="str">
        <x:v>{"2026": 15170419.0, "2030": 16618822.0, "2035": 18492631.0, "2040": 20445760.0, "2045": 22443646.0, "2050": 24433809.0, "2051": 24827844.0}</x:v>
      </x:c>
      <x:c r="E72" s="2" t="str">
        <x:v>0.6365957987053621</x:v>
      </x:c>
      <x:c r="F72" s="2" t="str">
        <x:v>Persons /fractionchange</x:v>
      </x:c>
      <x:c r="G72" s="2" t="str">
        <x:v>UN_WPP_BEN</x:v>
      </x:c>
      <x:c r="H72" s="2" t="str">
        <x:v>UN_WPP</x:v>
      </x:c>
      <x:c r="I72" s="2" t="str"/>
      <x:c r="J72" s="2" t="str">
        <x:v>Countries</x:v>
      </x:c>
      <x:c r="K72" s="2" t="str">
        <x:v>scripts/olam-analyse.py</x:v>
      </x:c>
      <x:c r="L72" s="2" t="str">
        <x:v>7 /atlas</x:v>
      </x:c>
      <x:c r="M72" s="2" t="str">
        <x:v>No category demand inference</x:v>
      </x:c>
    </x:row>
    <x:row r="73" ht="70" customHeight="1">
      <x:c r="A73" s="2" t="str">
        <x:v>C-POP-BTN</x:v>
      </x:c>
      <x:c r="B73" s="2" t="str">
        <x:v>Population projectionpath</x:v>
      </x:c>
      <x:c r="C73" s="2" t="str">
        <x:v>WPP thousands×1000;2051/2026−1</x:v>
      </x:c>
      <x:c r="D73" s="2" t="str">
        <x:v>{"2026": 802214.0, "2030": 820694.0, "2035": 843202.0, "2040": 862129.0, "2045": 876173.0, "2050": 882340.0, "2051": 883389.0}</x:v>
      </x:c>
      <x:c r="E73" s="2" t="str">
        <x:v>0.10118871024439868</x:v>
      </x:c>
      <x:c r="F73" s="2" t="str">
        <x:v>Persons /fractionchange</x:v>
      </x:c>
      <x:c r="G73" s="2" t="str">
        <x:v>UN_WPP_BTN</x:v>
      </x:c>
      <x:c r="H73" s="2" t="str">
        <x:v>UN_WPP</x:v>
      </x:c>
      <x:c r="I73" s="2" t="str"/>
      <x:c r="J73" s="2" t="str">
        <x:v>Countries</x:v>
      </x:c>
      <x:c r="K73" s="2" t="str">
        <x:v>scripts/olam-analyse.py</x:v>
      </x:c>
      <x:c r="L73" s="2" t="str">
        <x:v>7 /atlas</x:v>
      </x:c>
      <x:c r="M73" s="2" t="str">
        <x:v>No category demand inference</x:v>
      </x:c>
    </x:row>
    <x:row r="74" ht="70" customHeight="1">
      <x:c r="A74" s="2" t="str">
        <x:v>C-POP-BOL</x:v>
      </x:c>
      <x:c r="B74" s="2" t="str">
        <x:v>Population projectionpath</x:v>
      </x:c>
      <x:c r="C74" s="2" t="str">
        <x:v>WPP thousands×1000;2051/2026−1</x:v>
      </x:c>
      <x:c r="D74" s="2" t="str">
        <x:v>{"2026": 12749291.0, "2030": 13405564.0, "2035": 14183823.0, "2040": 14899397.0, "2045": 15542791.0, "2050": 16110162.0, "2051": 16214293.0}</x:v>
      </x:c>
      <x:c r="E74" s="2" t="str">
        <x:v>0.27177997584336255</x:v>
      </x:c>
      <x:c r="F74" s="2" t="str">
        <x:v>Persons /fractionchange</x:v>
      </x:c>
      <x:c r="G74" s="2" t="str">
        <x:v>UN_WPP_BOL</x:v>
      </x:c>
      <x:c r="H74" s="2" t="str">
        <x:v>UN_WPP</x:v>
      </x:c>
      <x:c r="I74" s="2" t="str"/>
      <x:c r="J74" s="2" t="str">
        <x:v>Countries</x:v>
      </x:c>
      <x:c r="K74" s="2" t="str">
        <x:v>scripts/olam-analyse.py</x:v>
      </x:c>
      <x:c r="L74" s="2" t="str">
        <x:v>7 /atlas</x:v>
      </x:c>
      <x:c r="M74" s="2" t="str">
        <x:v>No category demand inference</x:v>
      </x:c>
    </x:row>
    <x:row r="75" ht="70" customHeight="1">
      <x:c r="A75" s="2" t="str">
        <x:v>C-POP-BIH</x:v>
      </x:c>
      <x:c r="B75" s="2" t="str">
        <x:v>Population projectionpath</x:v>
      </x:c>
      <x:c r="C75" s="2" t="str">
        <x:v>WPP thousands×1000;2051/2026−1</x:v>
      </x:c>
      <x:c r="D75" s="2" t="str">
        <x:v>{"2026": 3114242.0, "2030": 3013974.0, "2035": 2881542.0, "2040": 2745010.0, "2045": 2599927.0, "2050": 2455167.0, "2051": 2426282.0}</x:v>
      </x:c>
      <x:c r="E75" s="2" t="str">
        <x:v>-0.22090768797029903</x:v>
      </x:c>
      <x:c r="F75" s="2" t="str">
        <x:v>Persons /fractionchange</x:v>
      </x:c>
      <x:c r="G75" s="2" t="str">
        <x:v>UN_WPP_BIH</x:v>
      </x:c>
      <x:c r="H75" s="2" t="str">
        <x:v>UN_WPP</x:v>
      </x:c>
      <x:c r="I75" s="2" t="str"/>
      <x:c r="J75" s="2" t="str">
        <x:v>Countries</x:v>
      </x:c>
      <x:c r="K75" s="2" t="str">
        <x:v>scripts/olam-analyse.py</x:v>
      </x:c>
      <x:c r="L75" s="2" t="str">
        <x:v>7 /atlas</x:v>
      </x:c>
      <x:c r="M75" s="2" t="str">
        <x:v>No category demand inference</x:v>
      </x:c>
    </x:row>
    <x:row r="76" ht="70" customHeight="1">
      <x:c r="A76" s="2" t="str">
        <x:v>C-POP-BWA</x:v>
      </x:c>
      <x:c r="B76" s="2" t="str">
        <x:v>Population projectionpath</x:v>
      </x:c>
      <x:c r="C76" s="2" t="str">
        <x:v>WPP thousands×1000;2051/2026−1</x:v>
      </x:c>
      <x:c r="D76" s="2" t="str">
        <x:v>{"2026": 2603388.0, "2030": 2765918.0, "2035": 2954414.0, "2040": 3126640.0, "2045": 3285301.0, "2050": 3437430.0, "2051": 3465409.0}</x:v>
      </x:c>
      <x:c r="E76" s="2" t="str">
        <x:v>0.33111507005486707</x:v>
      </x:c>
      <x:c r="F76" s="2" t="str">
        <x:v>Persons /fractionchange</x:v>
      </x:c>
      <x:c r="G76" s="2" t="str">
        <x:v>UN_WPP_BWA</x:v>
      </x:c>
      <x:c r="H76" s="2" t="str">
        <x:v>UN_WPP</x:v>
      </x:c>
      <x:c r="I76" s="2" t="str"/>
      <x:c r="J76" s="2" t="str">
        <x:v>Countries</x:v>
      </x:c>
      <x:c r="K76" s="2" t="str">
        <x:v>scripts/olam-analyse.py</x:v>
      </x:c>
      <x:c r="L76" s="2" t="str">
        <x:v>7 /atlas</x:v>
      </x:c>
      <x:c r="M76" s="2" t="str">
        <x:v>No category demand inference</x:v>
      </x:c>
    </x:row>
    <x:row r="77" ht="70" customHeight="1">
      <x:c r="A77" s="2" t="str">
        <x:v>C-POP-BRA</x:v>
      </x:c>
      <x:c r="B77" s="2" t="str">
        <x:v>Population projectionpath</x:v>
      </x:c>
      <x:c r="C77" s="2" t="str">
        <x:v>WPP thousands×1000;2051/2026−1</x:v>
      </x:c>
      <x:c r="D77" s="2" t="str">
        <x:v>{"2026": 213562666.0, "2030": 216074411.0, "2035": 218199707.0, "2040": 219237084.0, "2045": 219026196.0, "2050": 217489299.0, "2051": 217040324.0}</x:v>
      </x:c>
      <x:c r="E77" s="2" t="str">
        <x:v>0.016284016608034024</x:v>
      </x:c>
      <x:c r="F77" s="2" t="str">
        <x:v>Persons /fractionchange</x:v>
      </x:c>
      <x:c r="G77" s="2" t="str">
        <x:v>UN_WPP_BRA</x:v>
      </x:c>
      <x:c r="H77" s="2" t="str">
        <x:v>UN_WPP</x:v>
      </x:c>
      <x:c r="I77" s="2" t="str"/>
      <x:c r="J77" s="2" t="str">
        <x:v>Countries</x:v>
      </x:c>
      <x:c r="K77" s="2" t="str">
        <x:v>scripts/olam-analyse.py</x:v>
      </x:c>
      <x:c r="L77" s="2" t="str">
        <x:v>7 /atlas</x:v>
      </x:c>
      <x:c r="M77" s="2" t="str">
        <x:v>No category demand inference</x:v>
      </x:c>
    </x:row>
    <x:row r="78" ht="70" customHeight="1">
      <x:c r="A78" s="2" t="str">
        <x:v>C-POP-BRN</x:v>
      </x:c>
      <x:c r="B78" s="2" t="str">
        <x:v>Population projectionpath</x:v>
      </x:c>
      <x:c r="C78" s="2" t="str">
        <x:v>WPP thousands×1000;2051/2026−1</x:v>
      </x:c>
      <x:c r="D78" s="2" t="str">
        <x:v>{"2026": 469775.0, "2030": 482447.0, "2035": 495290.0, "2040": 505976.0, "2045": 514052.0, "2050": 519551.00000000006, "2051": 520265.99999999994}</x:v>
      </x:c>
      <x:c r="E78" s="2" t="str">
        <x:v>0.10747911234101415</x:v>
      </x:c>
      <x:c r="F78" s="2" t="str">
        <x:v>Persons /fractionchange</x:v>
      </x:c>
      <x:c r="G78" s="2" t="str">
        <x:v>UN_WPP_BRN</x:v>
      </x:c>
      <x:c r="H78" s="2" t="str">
        <x:v>UN_WPP</x:v>
      </x:c>
      <x:c r="I78" s="2" t="str"/>
      <x:c r="J78" s="2" t="str">
        <x:v>Countries</x:v>
      </x:c>
      <x:c r="K78" s="2" t="str">
        <x:v>scripts/olam-analyse.py</x:v>
      </x:c>
      <x:c r="L78" s="2" t="str">
        <x:v>7 /atlas</x:v>
      </x:c>
      <x:c r="M78" s="2" t="str">
        <x:v>No category demand inference</x:v>
      </x:c>
    </x:row>
    <x:row r="79" ht="70" customHeight="1">
      <x:c r="A79" s="2" t="str">
        <x:v>C-POP-BGR</x:v>
      </x:c>
      <x:c r="B79" s="2" t="str">
        <x:v>Population projectionpath</x:v>
      </x:c>
      <x:c r="C79" s="2" t="str">
        <x:v>WPP thousands×1000;2051/2026−1</x:v>
      </x:c>
      <x:c r="D79" s="2" t="str">
        <x:v>{"2026": 6667659.0, "2030": 6458243.0, "2035": 6183114.0, "2040": 5907728.0, "2045": 5648256.0, "2050": 5402217.0, "2051": 5354139.0}</x:v>
      </x:c>
      <x:c r="E79" s="2" t="str">
        <x:v>-0.19699867674696625</x:v>
      </x:c>
      <x:c r="F79" s="2" t="str">
        <x:v>Persons /fractionchange</x:v>
      </x:c>
      <x:c r="G79" s="2" t="str">
        <x:v>UN_WPP_BGR</x:v>
      </x:c>
      <x:c r="H79" s="2" t="str">
        <x:v>UN_WPP</x:v>
      </x:c>
      <x:c r="I79" s="2" t="str"/>
      <x:c r="J79" s="2" t="str">
        <x:v>Countries</x:v>
      </x:c>
      <x:c r="K79" s="2" t="str">
        <x:v>scripts/olam-analyse.py</x:v>
      </x:c>
      <x:c r="L79" s="2" t="str">
        <x:v>7 /atlas</x:v>
      </x:c>
      <x:c r="M79" s="2" t="str">
        <x:v>No category demand inference</x:v>
      </x:c>
    </x:row>
    <x:row r="80" ht="70" customHeight="1">
      <x:c r="A80" s="2" t="str">
        <x:v>C-POP-BFA</x:v>
      </x:c>
      <x:c r="B80" s="2" t="str">
        <x:v>Population projectionpath</x:v>
      </x:c>
      <x:c r="C80" s="2" t="str">
        <x:v>WPP thousands×1000;2051/2026−1</x:v>
      </x:c>
      <x:c r="D80" s="2" t="str">
        <x:v>{"2026": 24601700.0, "2030": 26730324.0, "2035": 29469746.0, "2040": 32193645.0, "2045": 34829690.0, "2050": 37304383.0, "2051": 37777225.0}</x:v>
      </x:c>
      <x:c r="E80" s="2" t="str">
        <x:v>0.5355534373640847</x:v>
      </x:c>
      <x:c r="F80" s="2" t="str">
        <x:v>Persons /fractionchange</x:v>
      </x:c>
      <x:c r="G80" s="2" t="str">
        <x:v>UN_WPP_BFA</x:v>
      </x:c>
      <x:c r="H80" s="2" t="str">
        <x:v>UN_WPP</x:v>
      </x:c>
      <x:c r="I80" s="2" t="str"/>
      <x:c r="J80" s="2" t="str">
        <x:v>Countries</x:v>
      </x:c>
      <x:c r="K80" s="2" t="str">
        <x:v>scripts/olam-analyse.py</x:v>
      </x:c>
      <x:c r="L80" s="2" t="str">
        <x:v>7 /atlas</x:v>
      </x:c>
      <x:c r="M80" s="2" t="str">
        <x:v>No category demand inference</x:v>
      </x:c>
    </x:row>
    <x:row r="81" ht="70" customHeight="1">
      <x:c r="A81" s="2" t="str">
        <x:v>C-POP-BDI</x:v>
      </x:c>
      <x:c r="B81" s="2" t="str">
        <x:v>Population projectionpath</x:v>
      </x:c>
      <x:c r="C81" s="2" t="str">
        <x:v>WPP thousands×1000;2051/2026−1</x:v>
      </x:c>
      <x:c r="D81" s="2" t="str">
        <x:v>{"2026": 14729157.0, "2030": 16182016.0, "2035": 18085841.0, "2040": 20131318.0, "2045": 22197887.0, "2050": 24131720.0, "2051": 24498523.0}</x:v>
      </x:c>
      <x:c r="E81" s="2" t="str">
        <x:v>0.6632671509985262</x:v>
      </x:c>
      <x:c r="F81" s="2" t="str">
        <x:v>Persons /fractionchange</x:v>
      </x:c>
      <x:c r="G81" s="2" t="str">
        <x:v>UN_WPP_BDI</x:v>
      </x:c>
      <x:c r="H81" s="2" t="str">
        <x:v>UN_WPP</x:v>
      </x:c>
      <x:c r="I81" s="2" t="str"/>
      <x:c r="J81" s="2" t="str">
        <x:v>Countries</x:v>
      </x:c>
      <x:c r="K81" s="2" t="str">
        <x:v>scripts/olam-analyse.py</x:v>
      </x:c>
      <x:c r="L81" s="2" t="str">
        <x:v>7 /atlas</x:v>
      </x:c>
      <x:c r="M81" s="2" t="str">
        <x:v>No category demand inference</x:v>
      </x:c>
    </x:row>
    <x:row r="82" ht="70" customHeight="1">
      <x:c r="A82" s="2" t="str">
        <x:v>C-POP-CPV</x:v>
      </x:c>
      <x:c r="B82" s="2" t="str">
        <x:v>Population projectionpath</x:v>
      </x:c>
      <x:c r="C82" s="2" t="str">
        <x:v>WPP thousands×1000;2051/2026−1</x:v>
      </x:c>
      <x:c r="D82" s="2" t="str">
        <x:v>{"2026": 529630.0, "2030": 538614.0, "2035": 548591.0, "2040": 557374.0, "2045": 563476.0, "2050": 566134.0, "2051": 566201.0}</x:v>
      </x:c>
      <x:c r="E82" s="2" t="str">
        <x:v>0.0690500915733625</x:v>
      </x:c>
      <x:c r="F82" s="2" t="str">
        <x:v>Persons /fractionchange</x:v>
      </x:c>
      <x:c r="G82" s="2" t="str">
        <x:v>UN_WPP_CPV</x:v>
      </x:c>
      <x:c r="H82" s="2" t="str">
        <x:v>UN_WPP</x:v>
      </x:c>
      <x:c r="I82" s="2" t="str"/>
      <x:c r="J82" s="2" t="str">
        <x:v>Countries</x:v>
      </x:c>
      <x:c r="K82" s="2" t="str">
        <x:v>scripts/olam-analyse.py</x:v>
      </x:c>
      <x:c r="L82" s="2" t="str">
        <x:v>7 /atlas</x:v>
      </x:c>
      <x:c r="M82" s="2" t="str">
        <x:v>No category demand inference</x:v>
      </x:c>
    </x:row>
    <x:row r="83" ht="70" customHeight="1">
      <x:c r="A83" s="2" t="str">
        <x:v>C-POP-KHM</x:v>
      </x:c>
      <x:c r="B83" s="2" t="str">
        <x:v>Population projectionpath</x:v>
      </x:c>
      <x:c r="C83" s="2" t="str">
        <x:v>WPP thousands×1000;2051/2026−1</x:v>
      </x:c>
      <x:c r="D83" s="2" t="str">
        <x:v>{"2026": 18051219.0, "2030": 18827388.0, "2035": 19720141.0, "2040": 20540682.0, "2045": 21286237.0, "2050": 21931455.0, "2051": 22045831.0}</x:v>
      </x:c>
      <x:c r="E83" s="2" t="str">
        <x:v>0.22129319909087575</x:v>
      </x:c>
      <x:c r="F83" s="2" t="str">
        <x:v>Persons /fractionchange</x:v>
      </x:c>
      <x:c r="G83" s="2" t="str">
        <x:v>UN_WPP_KHM</x:v>
      </x:c>
      <x:c r="H83" s="2" t="str">
        <x:v>UN_WPP</x:v>
      </x:c>
      <x:c r="I83" s="2" t="str"/>
      <x:c r="J83" s="2" t="str">
        <x:v>Countries</x:v>
      </x:c>
      <x:c r="K83" s="2" t="str">
        <x:v>scripts/olam-analyse.py</x:v>
      </x:c>
      <x:c r="L83" s="2" t="str">
        <x:v>7 /atlas</x:v>
      </x:c>
      <x:c r="M83" s="2" t="str">
        <x:v>No category demand inference</x:v>
      </x:c>
    </x:row>
    <x:row r="84" ht="70" customHeight="1">
      <x:c r="A84" s="2" t="str">
        <x:v>C-POP-CMR</x:v>
      </x:c>
      <x:c r="B84" s="2" t="str">
        <x:v>Population projectionpath</x:v>
      </x:c>
      <x:c r="C84" s="2" t="str">
        <x:v>WPP thousands×1000;2051/2026−1</x:v>
      </x:c>
      <x:c r="D84" s="2" t="str">
        <x:v>{"2026": 30640817.0, "2030": 33777190.0, "2035": 37893818.0, "2040": 42208003.0, "2045": 46629039.0, "2050": 51096317.0, "2051": 51989016.0}</x:v>
      </x:c>
      <x:c r="E84" s="2" t="str">
        <x:v>0.6967242094099515</x:v>
      </x:c>
      <x:c r="F84" s="2" t="str">
        <x:v>Persons /fractionchange</x:v>
      </x:c>
      <x:c r="G84" s="2" t="str">
        <x:v>UN_WPP_CMR</x:v>
      </x:c>
      <x:c r="H84" s="2" t="str">
        <x:v>UN_WPP</x:v>
      </x:c>
      <x:c r="I84" s="2" t="str"/>
      <x:c r="J84" s="2" t="str">
        <x:v>Countries</x:v>
      </x:c>
      <x:c r="K84" s="2" t="str">
        <x:v>scripts/olam-analyse.py</x:v>
      </x:c>
      <x:c r="L84" s="2" t="str">
        <x:v>7 /atlas</x:v>
      </x:c>
      <x:c r="M84" s="2" t="str">
        <x:v>No category demand inference</x:v>
      </x:c>
    </x:row>
    <x:row r="85" ht="70" customHeight="1">
      <x:c r="A85" s="2" t="str">
        <x:v>C-POP-CAN</x:v>
      </x:c>
      <x:c r="B85" s="2" t="str">
        <x:v>Population projectionpath</x:v>
      </x:c>
      <x:c r="C85" s="2" t="str">
        <x:v>WPP thousands×1000;2051/2026−1</x:v>
      </x:c>
      <x:c r="D85" s="2" t="str">
        <x:v>{"2026": 40467728.0, "2030": 41655589.0, "2035": 42905267.0, "2040": 43951417.0, "2045": 44850096.0, "2050": 45621882.0, "2051": 45771463.0}</x:v>
      </x:c>
      <x:c r="E85" s="2" t="str">
        <x:v>0.13106085421944114</x:v>
      </x:c>
      <x:c r="F85" s="2" t="str">
        <x:v>Persons /fractionchange</x:v>
      </x:c>
      <x:c r="G85" s="2" t="str">
        <x:v>UN_WPP_CAN</x:v>
      </x:c>
      <x:c r="H85" s="2" t="str">
        <x:v>UN_WPP</x:v>
      </x:c>
      <x:c r="I85" s="2" t="str"/>
      <x:c r="J85" s="2" t="str">
        <x:v>Countries</x:v>
      </x:c>
      <x:c r="K85" s="2" t="str">
        <x:v>scripts/olam-analyse.py</x:v>
      </x:c>
      <x:c r="L85" s="2" t="str">
        <x:v>7 /atlas</x:v>
      </x:c>
      <x:c r="M85" s="2" t="str">
        <x:v>No category demand inference</x:v>
      </x:c>
    </x:row>
    <x:row r="86" ht="70" customHeight="1">
      <x:c r="A86" s="2" t="str">
        <x:v>C-POP-CAF</x:v>
      </x:c>
      <x:c r="B86" s="2" t="str">
        <x:v>Population projectionpath</x:v>
      </x:c>
      <x:c r="C86" s="2" t="str">
        <x:v>WPP thousands×1000;2051/2026−1</x:v>
      </x:c>
      <x:c r="D86" s="2" t="str">
        <x:v>{"2026": 5698984.0, "2030": 6478245.0, "2035": 7502587.0, "2040": 8526455.0, "2045": 9550893.0, "2050": 10616753.0, "2051": 10834361.0}</x:v>
      </x:c>
      <x:c r="E86" s="2" t="str">
        <x:v>0.9011039511604173</x:v>
      </x:c>
      <x:c r="F86" s="2" t="str">
        <x:v>Persons /fractionchange</x:v>
      </x:c>
      <x:c r="G86" s="2" t="str">
        <x:v>UN_WPP_CAF</x:v>
      </x:c>
      <x:c r="H86" s="2" t="str">
        <x:v>UN_WPP</x:v>
      </x:c>
      <x:c r="I86" s="2" t="str"/>
      <x:c r="J86" s="2" t="str">
        <x:v>Countries</x:v>
      </x:c>
      <x:c r="K86" s="2" t="str">
        <x:v>scripts/olam-analyse.py</x:v>
      </x:c>
      <x:c r="L86" s="2" t="str">
        <x:v>7 /atlas</x:v>
      </x:c>
      <x:c r="M86" s="2" t="str">
        <x:v>No category demand inference</x:v>
      </x:c>
    </x:row>
    <x:row r="87" ht="70" customHeight="1">
      <x:c r="A87" s="2" t="str">
        <x:v>C-POP-TCD</x:v>
      </x:c>
      <x:c r="B87" s="2" t="str">
        <x:v>Population projectionpath</x:v>
      </x:c>
      <x:c r="C87" s="2" t="str">
        <x:v>WPP thousands×1000;2051/2026−1</x:v>
      </x:c>
      <x:c r="D87" s="2" t="str">
        <x:v>{"2026": 21560380.0, "2030": 24207479.0, "2035": 27697279.0, "2040": 31307342.0, "2045": 35026393.0, "2050": 38857686.0, "2051": 39636033.0}</x:v>
      </x:c>
      <x:c r="E87" s="2" t="str">
        <x:v>0.8383735815416982</x:v>
      </x:c>
      <x:c r="F87" s="2" t="str">
        <x:v>Persons /fractionchange</x:v>
      </x:c>
      <x:c r="G87" s="2" t="str">
        <x:v>UN_WPP_TCD</x:v>
      </x:c>
      <x:c r="H87" s="2" t="str">
        <x:v>UN_WPP</x:v>
      </x:c>
      <x:c r="I87" s="2" t="str"/>
      <x:c r="J87" s="2" t="str">
        <x:v>Countries</x:v>
      </x:c>
      <x:c r="K87" s="2" t="str">
        <x:v>scripts/olam-analyse.py</x:v>
      </x:c>
      <x:c r="L87" s="2" t="str">
        <x:v>7 /atlas</x:v>
      </x:c>
      <x:c r="M87" s="2" t="str">
        <x:v>No category demand inference</x:v>
      </x:c>
    </x:row>
    <x:row r="88" ht="70" customHeight="1">
      <x:c r="A88" s="2" t="str">
        <x:v>C-POP-CHL</x:v>
      </x:c>
      <x:c r="B88" s="2" t="str">
        <x:v>Population projectionpath</x:v>
      </x:c>
      <x:c r="C88" s="2" t="str">
        <x:v>WPP thousands×1000;2051/2026−1</x:v>
      </x:c>
      <x:c r="D88" s="2" t="str">
        <x:v>{"2026": 19945850.0, "2030": 20233183.0, "2035": 20455940.0, "2040": 20542103.0, "2045": 20499138.0, "2050": 20320306.0, "2051": 20269202.0}</x:v>
      </x:c>
      <x:c r="E88" s="2" t="str">
        <x:v>0.016211492616258427</x:v>
      </x:c>
      <x:c r="F88" s="2" t="str">
        <x:v>Persons /fractionchange</x:v>
      </x:c>
      <x:c r="G88" s="2" t="str">
        <x:v>UN_WPP_CHL</x:v>
      </x:c>
      <x:c r="H88" s="2" t="str">
        <x:v>UN_WPP</x:v>
      </x:c>
      <x:c r="I88" s="2" t="str"/>
      <x:c r="J88" s="2" t="str">
        <x:v>Countries</x:v>
      </x:c>
      <x:c r="K88" s="2" t="str">
        <x:v>scripts/olam-analyse.py</x:v>
      </x:c>
      <x:c r="L88" s="2" t="str">
        <x:v>7 /atlas</x:v>
      </x:c>
      <x:c r="M88" s="2" t="str">
        <x:v>No category demand inference</x:v>
      </x:c>
    </x:row>
    <x:row r="89" ht="70" customHeight="1">
      <x:c r="A89" s="2" t="str">
        <x:v>C-POP-CHN</x:v>
      </x:c>
      <x:c r="B89" s="2" t="str">
        <x:v>Population projectionpath</x:v>
      </x:c>
      <x:c r="C89" s="2" t="str">
        <x:v>WPP thousands×1000;2051/2026−1</x:v>
      </x:c>
      <x:c r="D89" s="2" t="str">
        <x:v>{"2026": 1412914089.0, "2030": 1398153832.0, "2035": 1373427531.0, "2040": 1342816657.0, "2045": 1306113788.0, "2050": 1260289093.0, "2051": 1249692538.0}</x:v>
      </x:c>
      <x:c r="E89" s="2" t="str">
        <x:v>-0.11552121411396021</x:v>
      </x:c>
      <x:c r="F89" s="2" t="str">
        <x:v>Persons /fractionchange</x:v>
      </x:c>
      <x:c r="G89" s="2" t="str">
        <x:v>UN_WPP_CHN</x:v>
      </x:c>
      <x:c r="H89" s="2" t="str">
        <x:v>UN_WPP</x:v>
      </x:c>
      <x:c r="I89" s="2" t="str"/>
      <x:c r="J89" s="2" t="str">
        <x:v>Countries</x:v>
      </x:c>
      <x:c r="K89" s="2" t="str">
        <x:v>scripts/olam-analyse.py</x:v>
      </x:c>
      <x:c r="L89" s="2" t="str">
        <x:v>7 /atlas</x:v>
      </x:c>
      <x:c r="M89" s="2" t="str">
        <x:v>No category demand inference</x:v>
      </x:c>
    </x:row>
    <x:row r="90" ht="70" customHeight="1">
      <x:c r="A90" s="2" t="str">
        <x:v>C-POP-COL</x:v>
      </x:c>
      <x:c r="B90" s="2" t="str">
        <x:v>Population projectionpath</x:v>
      </x:c>
      <x:c r="C90" s="2" t="str">
        <x:v>WPP thousands×1000;2051/2026−1</x:v>
      </x:c>
      <x:c r="D90" s="2" t="str">
        <x:v>{"2026": 53936226.0, "2030": 55736475.0, "2035": 57445753.0, "2040": 58576446.0, "2045": 59190823.0, "2050": 59385357.0, "2051": 59382960.0}</x:v>
      </x:c>
      <x:c r="E90" s="2" t="str">
        <x:v>0.10098470738386478</x:v>
      </x:c>
      <x:c r="F90" s="2" t="str">
        <x:v>Persons /fractionchange</x:v>
      </x:c>
      <x:c r="G90" s="2" t="str">
        <x:v>UN_WPP_COL</x:v>
      </x:c>
      <x:c r="H90" s="2" t="str">
        <x:v>UN_WPP</x:v>
      </x:c>
      <x:c r="I90" s="2" t="str"/>
      <x:c r="J90" s="2" t="str">
        <x:v>Countries</x:v>
      </x:c>
      <x:c r="K90" s="2" t="str">
        <x:v>scripts/olam-analyse.py</x:v>
      </x:c>
      <x:c r="L90" s="2" t="str">
        <x:v>7 /atlas</x:v>
      </x:c>
      <x:c r="M90" s="2" t="str">
        <x:v>No category demand inference</x:v>
      </x:c>
    </x:row>
    <x:row r="91" ht="70" customHeight="1">
      <x:c r="A91" s="2" t="str">
        <x:v>C-POP-COM</x:v>
      </x:c>
      <x:c r="B91" s="2" t="str">
        <x:v>Population projectionpath</x:v>
      </x:c>
      <x:c r="C91" s="2" t="str">
        <x:v>WPP thousands×1000;2051/2026−1</x:v>
      </x:c>
      <x:c r="D91" s="2" t="str">
        <x:v>{"2026": 899010.0, "2030": 964264.0, "2035": 1047762.9999999999, "2040": 1133778.0, "2045": 1221072.0, "2050": 1307558.0, "2051": 1324686.0}</x:v>
      </x:c>
      <x:c r="E91" s="2" t="str">
        <x:v>0.47349417692795415</x:v>
      </x:c>
      <x:c r="F91" s="2" t="str">
        <x:v>Persons /fractionchange</x:v>
      </x:c>
      <x:c r="G91" s="2" t="str">
        <x:v>UN_WPP_COM</x:v>
      </x:c>
      <x:c r="H91" s="2" t="str">
        <x:v>UN_WPP</x:v>
      </x:c>
      <x:c r="I91" s="2" t="str"/>
      <x:c r="J91" s="2" t="str">
        <x:v>Countries</x:v>
      </x:c>
      <x:c r="K91" s="2" t="str">
        <x:v>scripts/olam-analyse.py</x:v>
      </x:c>
      <x:c r="L91" s="2" t="str">
        <x:v>7 /atlas</x:v>
      </x:c>
      <x:c r="M91" s="2" t="str">
        <x:v>No category demand inference</x:v>
      </x:c>
    </x:row>
    <x:row r="92" ht="70" customHeight="1">
      <x:c r="A92" s="2" t="str">
        <x:v>C-POP-COG</x:v>
      </x:c>
      <x:c r="B92" s="2" t="str">
        <x:v>Population projectionpath</x:v>
      </x:c>
      <x:c r="C92" s="2" t="str">
        <x:v>WPP thousands×1000;2051/2026−1</x:v>
      </x:c>
      <x:c r="D92" s="2" t="str">
        <x:v>{"2026": 6637785.0, "2030": 7282266.0, "2035": 8160733.0, "2040": 9083971.0, "2045": 10041901.0, "2050": 11006471.0, "2051": 11200449.0}</x:v>
      </x:c>
      <x:c r="E92" s="2" t="str">
        <x:v>0.6873774911359738</x:v>
      </x:c>
      <x:c r="F92" s="2" t="str">
        <x:v>Persons /fractionchange</x:v>
      </x:c>
      <x:c r="G92" s="2" t="str">
        <x:v>UN_WPP_COG</x:v>
      </x:c>
      <x:c r="H92" s="2" t="str">
        <x:v>UN_WPP</x:v>
      </x:c>
      <x:c r="I92" s="2" t="str"/>
      <x:c r="J92" s="2" t="str">
        <x:v>Countries</x:v>
      </x:c>
      <x:c r="K92" s="2" t="str">
        <x:v>scripts/olam-analyse.py</x:v>
      </x:c>
      <x:c r="L92" s="2" t="str">
        <x:v>7 /atlas</x:v>
      </x:c>
      <x:c r="M92" s="2" t="str">
        <x:v>No category demand inference</x:v>
      </x:c>
    </x:row>
    <x:row r="93" ht="70" customHeight="1">
      <x:c r="A93" s="2" t="str">
        <x:v>C-POP-CRI</x:v>
      </x:c>
      <x:c r="B93" s="2" t="str">
        <x:v>Population projectionpath</x:v>
      </x:c>
      <x:c r="C93" s="2" t="str">
        <x:v>WPP thousands×1000;2051/2026−1</x:v>
      </x:c>
      <x:c r="D93" s="2" t="str">
        <x:v>{"2026": 5174789.0, "2030": 5251497.0, "2035": 5324699.0, "2040": 5369806.0, "2045": 5381019.0, "2050": 5354150.0, "2051": 5344062.0}</x:v>
      </x:c>
      <x:c r="E93" s="2" t="str">
        <x:v>0.03271109218172952</x:v>
      </x:c>
      <x:c r="F93" s="2" t="str">
        <x:v>Persons /fractionchange</x:v>
      </x:c>
      <x:c r="G93" s="2" t="str">
        <x:v>UN_WPP_CRI</x:v>
      </x:c>
      <x:c r="H93" s="2" t="str">
        <x:v>UN_WPP</x:v>
      </x:c>
      <x:c r="I93" s="2" t="str"/>
      <x:c r="J93" s="2" t="str">
        <x:v>Countries</x:v>
      </x:c>
      <x:c r="K93" s="2" t="str">
        <x:v>scripts/olam-analyse.py</x:v>
      </x:c>
      <x:c r="L93" s="2" t="str">
        <x:v>7 /atlas</x:v>
      </x:c>
      <x:c r="M93" s="2" t="str">
        <x:v>No category demand inference</x:v>
      </x:c>
    </x:row>
    <x:row r="94" ht="70" customHeight="1">
      <x:c r="A94" s="2" t="str">
        <x:v>C-POP-HRV</x:v>
      </x:c>
      <x:c r="B94" s="2" t="str">
        <x:v>Population projectionpath</x:v>
      </x:c>
      <x:c r="C94" s="2" t="str">
        <x:v>WPP thousands×1000;2051/2026−1</x:v>
      </x:c>
      <x:c r="D94" s="2" t="str">
        <x:v>{"2026": 3822345.0, "2030": 3725770.0, "2035": 3607215.0, "2040": 3488309.0, "2045": 3362953.0, "2050": 3234160.0, "2051": 3208229.0}</x:v>
      </x:c>
      <x:c r="E94" s="2" t="str">
        <x:v>-0.16066472283375777</x:v>
      </x:c>
      <x:c r="F94" s="2" t="str">
        <x:v>Persons /fractionchange</x:v>
      </x:c>
      <x:c r="G94" s="2" t="str">
        <x:v>UN_WPP_HRV</x:v>
      </x:c>
      <x:c r="H94" s="2" t="str">
        <x:v>UN_WPP</x:v>
      </x:c>
      <x:c r="I94" s="2" t="str"/>
      <x:c r="J94" s="2" t="str">
        <x:v>Countries</x:v>
      </x:c>
      <x:c r="K94" s="2" t="str">
        <x:v>scripts/olam-analyse.py</x:v>
      </x:c>
      <x:c r="L94" s="2" t="str">
        <x:v>7 /atlas</x:v>
      </x:c>
      <x:c r="M94" s="2" t="str">
        <x:v>No category demand inference</x:v>
      </x:c>
    </x:row>
    <x:row r="95" ht="70" customHeight="1">
      <x:c r="A95" s="2" t="str">
        <x:v>C-POP-CUB</x:v>
      </x:c>
      <x:c r="B95" s="2" t="str">
        <x:v>Population projectionpath</x:v>
      </x:c>
      <x:c r="C95" s="2" t="str">
        <x:v>WPP thousands×1000;2051/2026−1</x:v>
      </x:c>
      <x:c r="D95" s="2" t="str">
        <x:v>{"2026": 10892659.0, "2030": 10700822.0, "2035": 10431762.0, "2040": 10125837.0, "2045": 9775199.0, "2050": 9381999.0, "2051": 9298547.0}</x:v>
      </x:c>
      <x:c r="E95" s="2" t="str">
        <x:v>-0.14634737027937805</x:v>
      </x:c>
      <x:c r="F95" s="2" t="str">
        <x:v>Persons /fractionchange</x:v>
      </x:c>
      <x:c r="G95" s="2" t="str">
        <x:v>UN_WPP_CUB</x:v>
      </x:c>
      <x:c r="H95" s="2" t="str">
        <x:v>UN_WPP</x:v>
      </x:c>
      <x:c r="I95" s="2" t="str"/>
      <x:c r="J95" s="2" t="str">
        <x:v>Countries</x:v>
      </x:c>
      <x:c r="K95" s="2" t="str">
        <x:v>scripts/olam-analyse.py</x:v>
      </x:c>
      <x:c r="L95" s="2" t="str">
        <x:v>7 /atlas</x:v>
      </x:c>
      <x:c r="M95" s="2" t="str">
        <x:v>No category demand inference</x:v>
      </x:c>
    </x:row>
    <x:row r="96" ht="70" customHeight="1">
      <x:c r="A96" s="2" t="str">
        <x:v>C-POP-CYP</x:v>
      </x:c>
      <x:c r="B96" s="2" t="str">
        <x:v>Population projectionpath</x:v>
      </x:c>
      <x:c r="C96" s="2" t="str">
        <x:v>WPP thousands×1000;2051/2026−1</x:v>
      </x:c>
      <x:c r="D96" s="2" t="str">
        <x:v>{"2026": 1382334.0, "2030": 1422318.0, "2035": 1459190.0, "2040": 1484849.0, "2045": 1500070.0, "2050": 1508482.0, "2051": 1509486.0}</x:v>
      </x:c>
      <x:c r="E96" s="2" t="str">
        <x:v>0.09198355824279814</x:v>
      </x:c>
      <x:c r="F96" s="2" t="str">
        <x:v>Persons /fractionchange</x:v>
      </x:c>
      <x:c r="G96" s="2" t="str">
        <x:v>UN_WPP_CYP</x:v>
      </x:c>
      <x:c r="H96" s="2" t="str">
        <x:v>UN_WPP</x:v>
      </x:c>
      <x:c r="I96" s="2" t="str"/>
      <x:c r="J96" s="2" t="str">
        <x:v>Countries</x:v>
      </x:c>
      <x:c r="K96" s="2" t="str">
        <x:v>scripts/olam-analyse.py</x:v>
      </x:c>
      <x:c r="L96" s="2" t="str">
        <x:v>7 /atlas</x:v>
      </x:c>
      <x:c r="M96" s="2" t="str">
        <x:v>No category demand inference</x:v>
      </x:c>
    </x:row>
    <x:row r="97" ht="70" customHeight="1">
      <x:c r="A97" s="2" t="str">
        <x:v>C-POP-CZE</x:v>
      </x:c>
      <x:c r="B97" s="2" t="str">
        <x:v>Population projectionpath</x:v>
      </x:c>
      <x:c r="C97" s="2" t="str">
        <x:v>WPP thousands×1000;2051/2026−1</x:v>
      </x:c>
      <x:c r="D97" s="2" t="str">
        <x:v>{"2026": 10527781.0, "2030": 10425089.0, "2035": 10265956.0, "2040": 10107226.0, "2045": 9965090.0, "2050": 9825543.0, "2051": 9795302.0}</x:v>
      </x:c>
      <x:c r="E97" s="2" t="str">
        <x:v>-0.06957582039368027</x:v>
      </x:c>
      <x:c r="F97" s="2" t="str">
        <x:v>Persons /fractionchange</x:v>
      </x:c>
      <x:c r="G97" s="2" t="str">
        <x:v>UN_WPP_CZE</x:v>
      </x:c>
      <x:c r="H97" s="2" t="str">
        <x:v>UN_WPP</x:v>
      </x:c>
      <x:c r="I97" s="2" t="str"/>
      <x:c r="J97" s="2" t="str">
        <x:v>Countries</x:v>
      </x:c>
      <x:c r="K97" s="2" t="str">
        <x:v>scripts/olam-analyse.py</x:v>
      </x:c>
      <x:c r="L97" s="2" t="str">
        <x:v>7 /atlas</x:v>
      </x:c>
      <x:c r="M97" s="2" t="str">
        <x:v>No category demand inference</x:v>
      </x:c>
    </x:row>
    <x:row r="98" ht="70" customHeight="1">
      <x:c r="A98" s="2" t="str">
        <x:v>C-POP-CIV</x:v>
      </x:c>
      <x:c r="B98" s="2" t="str">
        <x:v>Population projectionpath</x:v>
      </x:c>
      <x:c r="C98" s="2" t="str">
        <x:v>WPP thousands×1000;2051/2026−1</x:v>
      </x:c>
      <x:c r="D98" s="2" t="str">
        <x:v>{"2026": 33494345.999999996, "2030": 36699009.0, "2035": 41033849.0, "2040": 45743925.0, "2045": 50716067.0, "2050": 55746985.0, "2051": 56759561.0}</x:v>
      </x:c>
      <x:c r="E98" s="2" t="str">
        <x:v>0.6946012619562718</x:v>
      </x:c>
      <x:c r="F98" s="2" t="str">
        <x:v>Persons /fractionchange</x:v>
      </x:c>
      <x:c r="G98" s="2" t="str">
        <x:v>UN_WPP_CIV</x:v>
      </x:c>
      <x:c r="H98" s="2" t="str">
        <x:v>UN_WPP</x:v>
      </x:c>
      <x:c r="I98" s="2" t="str"/>
      <x:c r="J98" s="2" t="str">
        <x:v>Countries</x:v>
      </x:c>
      <x:c r="K98" s="2" t="str">
        <x:v>scripts/olam-analyse.py</x:v>
      </x:c>
      <x:c r="L98" s="2" t="str">
        <x:v>7 /atlas</x:v>
      </x:c>
      <x:c r="M98" s="2" t="str">
        <x:v>No category demand inference</x:v>
      </x:c>
    </x:row>
    <x:row r="99" ht="70" customHeight="1">
      <x:c r="A99" s="2" t="str">
        <x:v>C-POP-PRK</x:v>
      </x:c>
      <x:c r="B99" s="2" t="str">
        <x:v>Population projectionpath</x:v>
      </x:c>
      <x:c r="C99" s="2" t="str">
        <x:v>WPP thousands×1000;2051/2026−1</x:v>
      </x:c>
      <x:c r="D99" s="2" t="str">
        <x:v>{"2026": 26633691.0, "2030": 26784904.0, "2035": 26757724.0, "2040": 26542432.0, "2045": 26210203.0, "2050": 25787127.0, "2051": 25691411.0}</x:v>
      </x:c>
      <x:c r="E99" s="2" t="str">
        <x:v>-0.035379249537737745</x:v>
      </x:c>
      <x:c r="F99" s="2" t="str">
        <x:v>Persons /fractionchange</x:v>
      </x:c>
      <x:c r="G99" s="2" t="str">
        <x:v>UN_WPP_PRK</x:v>
      </x:c>
      <x:c r="H99" s="2" t="str">
        <x:v>UN_WPP</x:v>
      </x:c>
      <x:c r="I99" s="2" t="str"/>
      <x:c r="J99" s="2" t="str">
        <x:v>Countries</x:v>
      </x:c>
      <x:c r="K99" s="2" t="str">
        <x:v>scripts/olam-analyse.py</x:v>
      </x:c>
      <x:c r="L99" s="2" t="str">
        <x:v>7 /atlas</x:v>
      </x:c>
      <x:c r="M99" s="2" t="str">
        <x:v>No category demand inference</x:v>
      </x:c>
    </x:row>
    <x:row r="100" ht="70" customHeight="1">
      <x:c r="A100" s="2" t="str">
        <x:v>C-POP-COD</x:v>
      </x:c>
      <x:c r="B100" s="2" t="str">
        <x:v>Population projectionpath</x:v>
      </x:c>
      <x:c r="C100" s="2" t="str">
        <x:v>WPP thousands×1000;2051/2026−1</x:v>
      </x:c>
      <x:c r="D100" s="2" t="str">
        <x:v>{"2026": 116452162.0, "2030": 131532201.0, "2035": 151560103.0, "2040": 172595582.0, "2045": 194865379.0, "2050": 218246072.0, "2051": 223027957.0}</x:v>
      </x:c>
      <x:c r="E100" s="2" t="str">
        <x:v>0.915189492145281</x:v>
      </x:c>
      <x:c r="F100" s="2" t="str">
        <x:v>Persons /fractionchange</x:v>
      </x:c>
      <x:c r="G100" s="2" t="str">
        <x:v>UN_WPP_COD</x:v>
      </x:c>
      <x:c r="H100" s="2" t="str">
        <x:v>UN_WPP</x:v>
      </x:c>
      <x:c r="I100" s="2" t="str"/>
      <x:c r="J100" s="2" t="str">
        <x:v>Countries</x:v>
      </x:c>
      <x:c r="K100" s="2" t="str">
        <x:v>scripts/olam-analyse.py</x:v>
      </x:c>
      <x:c r="L100" s="2" t="str">
        <x:v>7 /atlas</x:v>
      </x:c>
      <x:c r="M100" s="2" t="str">
        <x:v>No category demand inference</x:v>
      </x:c>
    </x:row>
    <x:row r="101" ht="70" customHeight="1">
      <x:c r="A101" s="2" t="str">
        <x:v>C-POP-DNK</x:v>
      </x:c>
      <x:c r="B101" s="2" t="str">
        <x:v>Population projectionpath</x:v>
      </x:c>
      <x:c r="C101" s="2" t="str">
        <x:v>WPP thousands×1000;2051/2026−1</x:v>
      </x:c>
      <x:c r="D101" s="2" t="str">
        <x:v>{"2026": 6023520.0, "2030": 6081995.0, "2035": 6119806.0, "2040": 6134659.0, "2045": 6134655.0, "2050": 6124838.0, "2051": 6121371.0}</x:v>
      </x:c>
      <x:c r="E101" s="2" t="str">
        <x:v>0.01624482030440677</x:v>
      </x:c>
      <x:c r="F101" s="2" t="str">
        <x:v>Persons /fractionchange</x:v>
      </x:c>
      <x:c r="G101" s="2" t="str">
        <x:v>UN_WPP_DNK</x:v>
      </x:c>
      <x:c r="H101" s="2" t="str">
        <x:v>UN_WPP</x:v>
      </x:c>
      <x:c r="I101" s="2" t="str"/>
      <x:c r="J101" s="2" t="str">
        <x:v>Countries</x:v>
      </x:c>
      <x:c r="K101" s="2" t="str">
        <x:v>scripts/olam-analyse.py</x:v>
      </x:c>
      <x:c r="L101" s="2" t="str">
        <x:v>7 /atlas</x:v>
      </x:c>
      <x:c r="M101" s="2" t="str">
        <x:v>No category demand inference</x:v>
      </x:c>
    </x:row>
    <x:row r="102" ht="70" customHeight="1">
      <x:c r="A102" s="2" t="str">
        <x:v>C-POP-DJI</x:v>
      </x:c>
      <x:c r="B102" s="2" t="str">
        <x:v>Population projectionpath</x:v>
      </x:c>
      <x:c r="C102" s="2" t="str">
        <x:v>WPP thousands×1000;2051/2026−1</x:v>
      </x:c>
      <x:c r="D102" s="2" t="str">
        <x:v>{"2026": 1199459.0, "2030": 1262678.0, "2035": 1335498.0, "2040": 1406635.0, "2045": 1474041.0, "2050": 1530540.0, "2051": 1540678.0}</x:v>
      </x:c>
      <x:c r="E102" s="2" t="str">
        <x:v>0.28447741856953845</x:v>
      </x:c>
      <x:c r="F102" s="2" t="str">
        <x:v>Persons /fractionchange</x:v>
      </x:c>
      <x:c r="G102" s="2" t="str">
        <x:v>UN_WPP_DJI</x:v>
      </x:c>
      <x:c r="H102" s="2" t="str">
        <x:v>UN_WPP</x:v>
      </x:c>
      <x:c r="I102" s="2" t="str"/>
      <x:c r="J102" s="2" t="str">
        <x:v>Countries</x:v>
      </x:c>
      <x:c r="K102" s="2" t="str">
        <x:v>scripts/olam-analyse.py</x:v>
      </x:c>
      <x:c r="L102" s="2" t="str">
        <x:v>7 /atlas</x:v>
      </x:c>
      <x:c r="M102" s="2" t="str">
        <x:v>No category demand inference</x:v>
      </x:c>
    </x:row>
    <x:row r="103" ht="70" customHeight="1">
      <x:c r="A103" s="2" t="str">
        <x:v>C-POP-DMA</x:v>
      </x:c>
      <x:c r="B103" s="2" t="str">
        <x:v>Population projectionpath</x:v>
      </x:c>
      <x:c r="C103" s="2" t="str">
        <x:v>WPP thousands×1000;2051/2026−1</x:v>
      </x:c>
      <x:c r="D103" s="2" t="str">
        <x:v>{"2026": 65510.99999999999, "2030": 64169.0, "2035": 63761.0, "2040": 63799.0, "2045": 63629.0, "2050": 63192.0, "2051": 63062.0}</x:v>
      </x:c>
      <x:c r="E103" s="2" t="str">
        <x:v>-0.0373830349101677</x:v>
      </x:c>
      <x:c r="F103" s="2" t="str">
        <x:v>Persons /fractionchange</x:v>
      </x:c>
      <x:c r="G103" s="2" t="str">
        <x:v>UN_WPP_DMA</x:v>
      </x:c>
      <x:c r="H103" s="2" t="str">
        <x:v>UN_WPP</x:v>
      </x:c>
      <x:c r="I103" s="2" t="str"/>
      <x:c r="J103" s="2" t="str">
        <x:v>Countries</x:v>
      </x:c>
      <x:c r="K103" s="2" t="str">
        <x:v>scripts/olam-analyse.py</x:v>
      </x:c>
      <x:c r="L103" s="2" t="str">
        <x:v>7 /atlas</x:v>
      </x:c>
      <x:c r="M103" s="2" t="str">
        <x:v>No category demand inference</x:v>
      </x:c>
    </x:row>
    <x:row r="104" ht="70" customHeight="1">
      <x:c r="A104" s="2" t="str">
        <x:v>C-POP-DOM</x:v>
      </x:c>
      <x:c r="B104" s="2" t="str">
        <x:v>Population projectionpath</x:v>
      </x:c>
      <x:c r="C104" s="2" t="str">
        <x:v>WPP thousands×1000;2051/2026−1</x:v>
      </x:c>
      <x:c r="D104" s="2" t="str">
        <x:v>{"2026": 11609500.0, "2030": 11938852.0, "2035": 12289431.0, "2040": 12579320.0, "2045": 12816005.0, "2050": 12996293.0, "2051": 13025140.0}</x:v>
      </x:c>
      <x:c r="E104" s="2" t="str">
        <x:v>0.12193806796158313</x:v>
      </x:c>
      <x:c r="F104" s="2" t="str">
        <x:v>Persons /fractionchange</x:v>
      </x:c>
      <x:c r="G104" s="2" t="str">
        <x:v>UN_WPP_DOM</x:v>
      </x:c>
      <x:c r="H104" s="2" t="str">
        <x:v>UN_WPP</x:v>
      </x:c>
      <x:c r="I104" s="2" t="str"/>
      <x:c r="J104" s="2" t="str">
        <x:v>Countries</x:v>
      </x:c>
      <x:c r="K104" s="2" t="str">
        <x:v>scripts/olam-analyse.py</x:v>
      </x:c>
      <x:c r="L104" s="2" t="str">
        <x:v>7 /atlas</x:v>
      </x:c>
      <x:c r="M104" s="2" t="str">
        <x:v>No category demand inference</x:v>
      </x:c>
    </x:row>
    <x:row r="105" ht="70" customHeight="1">
      <x:c r="A105" s="2" t="str">
        <x:v>C-POP-ECU</x:v>
      </x:c>
      <x:c r="B105" s="2" t="str">
        <x:v>Population projectionpath</x:v>
      </x:c>
      <x:c r="C105" s="2" t="str">
        <x:v>WPP thousands×1000;2051/2026−1</x:v>
      </x:c>
      <x:c r="D105" s="2" t="str">
        <x:v>{"2026": 18444506.0, "2030": 19069719.0, "2035": 19800128.0, "2040": 20434220.0, "2045": 20950628.0, "2050": 21337237.0, "2051": 21398376.0}</x:v>
      </x:c>
      <x:c r="E105" s="2" t="str">
        <x:v>0.160149043839938</x:v>
      </x:c>
      <x:c r="F105" s="2" t="str">
        <x:v>Persons /fractionchange</x:v>
      </x:c>
      <x:c r="G105" s="2" t="str">
        <x:v>UN_WPP_ECU</x:v>
      </x:c>
      <x:c r="H105" s="2" t="str">
        <x:v>UN_WPP</x:v>
      </x:c>
      <x:c r="I105" s="2" t="str"/>
      <x:c r="J105" s="2" t="str">
        <x:v>Countries</x:v>
      </x:c>
      <x:c r="K105" s="2" t="str">
        <x:v>scripts/olam-analyse.py</x:v>
      </x:c>
      <x:c r="L105" s="2" t="str">
        <x:v>7 /atlas</x:v>
      </x:c>
      <x:c r="M105" s="2" t="str">
        <x:v>No category demand inference</x:v>
      </x:c>
    </x:row>
    <x:row r="106" ht="70" customHeight="1">
      <x:c r="A106" s="2" t="str">
        <x:v>C-POP-EGY</x:v>
      </x:c>
      <x:c r="B106" s="2" t="str">
        <x:v>Population projectionpath</x:v>
      </x:c>
      <x:c r="C106" s="2" t="str">
        <x:v>WPP thousands×1000;2051/2026−1</x:v>
      </x:c>
      <x:c r="D106" s="2" t="str">
        <x:v>{"2026": 120101175.0, "2030": 127139322.0, "2035": 136097217.0, "2040": 145213654.0, "2045": 153919189.0, "2050": 161630192.0, "2051": 163063539.0}</x:v>
      </x:c>
      <x:c r="E106" s="2" t="str">
        <x:v>0.35771809892784145</x:v>
      </x:c>
      <x:c r="F106" s="2" t="str">
        <x:v>Persons /fractionchange</x:v>
      </x:c>
      <x:c r="G106" s="2" t="str">
        <x:v>UN_WPP_EGY</x:v>
      </x:c>
      <x:c r="H106" s="2" t="str">
        <x:v>UN_WPP</x:v>
      </x:c>
      <x:c r="I106" s="2" t="str"/>
      <x:c r="J106" s="2" t="str">
        <x:v>Countries</x:v>
      </x:c>
      <x:c r="K106" s="2" t="str">
        <x:v>scripts/olam-analyse.py</x:v>
      </x:c>
      <x:c r="L106" s="2" t="str">
        <x:v>7 /atlas</x:v>
      </x:c>
      <x:c r="M106" s="2" t="str">
        <x:v>No category demand inference</x:v>
      </x:c>
    </x:row>
    <x:row r="107" ht="70" customHeight="1">
      <x:c r="A107" s="2" t="str">
        <x:v>C-POP-SLV</x:v>
      </x:c>
      <x:c r="B107" s="2" t="str">
        <x:v>Population projectionpath</x:v>
      </x:c>
      <x:c r="C107" s="2" t="str">
        <x:v>WPP thousands×1000;2051/2026−1</x:v>
      </x:c>
      <x:c r="D107" s="2" t="str">
        <x:v>{"2026": 6391253.0, "2030": 6486207.0, "2035": 6578181.0, "2040": 6640752.0, "2045": 6668025.0, "2050": 6663346.0, "2051": 6658584.0}</x:v>
      </x:c>
      <x:c r="E107" s="2" t="str">
        <x:v>0.04182763536351941</x:v>
      </x:c>
      <x:c r="F107" s="2" t="str">
        <x:v>Persons /fractionchange</x:v>
      </x:c>
      <x:c r="G107" s="2" t="str">
        <x:v>UN_WPP_SLV</x:v>
      </x:c>
      <x:c r="H107" s="2" t="str">
        <x:v>UN_WPP</x:v>
      </x:c>
      <x:c r="I107" s="2" t="str"/>
      <x:c r="J107" s="2" t="str">
        <x:v>Countries</x:v>
      </x:c>
      <x:c r="K107" s="2" t="str">
        <x:v>scripts/olam-analyse.py</x:v>
      </x:c>
      <x:c r="L107" s="2" t="str">
        <x:v>7 /atlas</x:v>
      </x:c>
      <x:c r="M107" s="2" t="str">
        <x:v>No category demand inference</x:v>
      </x:c>
    </x:row>
    <x:row r="108" ht="70" customHeight="1">
      <x:c r="A108" s="2" t="str">
        <x:v>C-POP-GNQ</x:v>
      </x:c>
      <x:c r="B108" s="2" t="str">
        <x:v>Population projectionpath</x:v>
      </x:c>
      <x:c r="C108" s="2" t="str">
        <x:v>WPP thousands×1000;2051/2026−1</x:v>
      </x:c>
      <x:c r="D108" s="2" t="str">
        <x:v>{"2026": 1984468.0, "2030": 2170445.0, "2035": 2414269.0, "2040": 2665586.0, "2045": 2911235.0, "2050": 3143728.0, "2051": 3190137.0}</x:v>
      </x:c>
      <x:c r="E108" s="2" t="str">
        <x:v>0.6075527546929453</x:v>
      </x:c>
      <x:c r="F108" s="2" t="str">
        <x:v>Persons /fractionchange</x:v>
      </x:c>
      <x:c r="G108" s="2" t="str">
        <x:v>UN_WPP_GNQ</x:v>
      </x:c>
      <x:c r="H108" s="2" t="str">
        <x:v>UN_WPP</x:v>
      </x:c>
      <x:c r="I108" s="2" t="str"/>
      <x:c r="J108" s="2" t="str">
        <x:v>Countries</x:v>
      </x:c>
      <x:c r="K108" s="2" t="str">
        <x:v>scripts/olam-analyse.py</x:v>
      </x:c>
      <x:c r="L108" s="2" t="str">
        <x:v>7 /atlas</x:v>
      </x:c>
      <x:c r="M108" s="2" t="str">
        <x:v>No category demand inference</x:v>
      </x:c>
    </x:row>
    <x:row r="109" ht="70" customHeight="1">
      <x:c r="A109" s="2" t="str">
        <x:v>C-POP-ERI</x:v>
      </x:c>
      <x:c r="B109" s="2" t="str">
        <x:v>Population projectionpath</x:v>
      </x:c>
      <x:c r="C109" s="2" t="str">
        <x:v>WPP thousands×1000;2051/2026−1</x:v>
      </x:c>
      <x:c r="D109" s="2" t="str">
        <x:v>{"2026": 3682669.0, "2030": 4002672.0, "2035": 4420922.0, "2040": 4868676.0, "2045": 5292768.0, "2050": 5696062.0, "2051": 5775739.0}</x:v>
      </x:c>
      <x:c r="E109" s="2" t="str">
        <x:v>0.5683568086081046</x:v>
      </x:c>
      <x:c r="F109" s="2" t="str">
        <x:v>Persons /fractionchange</x:v>
      </x:c>
      <x:c r="G109" s="2" t="str">
        <x:v>UN_WPP_ERI</x:v>
      </x:c>
      <x:c r="H109" s="2" t="str">
        <x:v>UN_WPP</x:v>
      </x:c>
      <x:c r="I109" s="2" t="str"/>
      <x:c r="J109" s="2" t="str">
        <x:v>Countries</x:v>
      </x:c>
      <x:c r="K109" s="2" t="str">
        <x:v>scripts/olam-analyse.py</x:v>
      </x:c>
      <x:c r="L109" s="2" t="str">
        <x:v>7 /atlas</x:v>
      </x:c>
      <x:c r="M109" s="2" t="str">
        <x:v>No category demand inference</x:v>
      </x:c>
    </x:row>
    <x:row r="110" ht="70" customHeight="1">
      <x:c r="A110" s="2" t="str">
        <x:v>C-POP-EST</x:v>
      </x:c>
      <x:c r="B110" s="2" t="str">
        <x:v>Population projectionpath</x:v>
      </x:c>
      <x:c r="C110" s="2" t="str">
        <x:v>WPP thousands×1000;2051/2026−1</x:v>
      </x:c>
      <x:c r="D110" s="2" t="str">
        <x:v>{"2026": 1331062.0, "2030": 1302772.0, "2035": 1268271.0, "2040": 1236787.0, "2045": 1206184.0, "2050": 1174267.0, "2051": 1167469.0}</x:v>
      </x:c>
      <x:c r="E110" s="2" t="str">
        <x:v>-0.12290411716358818</x:v>
      </x:c>
      <x:c r="F110" s="2" t="str">
        <x:v>Persons /fractionchange</x:v>
      </x:c>
      <x:c r="G110" s="2" t="str">
        <x:v>UN_WPP_EST</x:v>
      </x:c>
      <x:c r="H110" s="2" t="str">
        <x:v>UN_WPP</x:v>
      </x:c>
      <x:c r="I110" s="2" t="str"/>
      <x:c r="J110" s="2" t="str">
        <x:v>Countries</x:v>
      </x:c>
      <x:c r="K110" s="2" t="str">
        <x:v>scripts/olam-analyse.py</x:v>
      </x:c>
      <x:c r="L110" s="2" t="str">
        <x:v>7 /atlas</x:v>
      </x:c>
      <x:c r="M110" s="2" t="str">
        <x:v>No category demand inference</x:v>
      </x:c>
    </x:row>
    <x:row r="111" ht="70" customHeight="1">
      <x:c r="A111" s="2" t="str">
        <x:v>C-POP-SWZ</x:v>
      </x:c>
      <x:c r="B111" s="2" t="str">
        <x:v>Population projectionpath</x:v>
      </x:c>
      <x:c r="C111" s="2" t="str">
        <x:v>WPP thousands×1000;2051/2026−1</x:v>
      </x:c>
      <x:c r="D111" s="2" t="str">
        <x:v>{"2026": 1269859.0, "2030": 1320918.0, "2035": 1379418.0, "2040": 1429781.0, "2045": 1472137.0, "2050": 1505331.0, "2051": 1510782.0}</x:v>
      </x:c>
      <x:c r="E111" s="2" t="str">
        <x:v>0.18972421347566937</x:v>
      </x:c>
      <x:c r="F111" s="2" t="str">
        <x:v>Persons /fractionchange</x:v>
      </x:c>
      <x:c r="G111" s="2" t="str">
        <x:v>UN_WPP_SWZ</x:v>
      </x:c>
      <x:c r="H111" s="2" t="str">
        <x:v>UN_WPP</x:v>
      </x:c>
      <x:c r="I111" s="2" t="str"/>
      <x:c r="J111" s="2" t="str">
        <x:v>Countries</x:v>
      </x:c>
      <x:c r="K111" s="2" t="str">
        <x:v>scripts/olam-analyse.py</x:v>
      </x:c>
      <x:c r="L111" s="2" t="str">
        <x:v>7 /atlas</x:v>
      </x:c>
      <x:c r="M111" s="2" t="str">
        <x:v>No category demand inference</x:v>
      </x:c>
    </x:row>
    <x:row r="112" ht="70" customHeight="1">
      <x:c r="A112" s="2" t="str">
        <x:v>C-POP-ETH</x:v>
      </x:c>
      <x:c r="B112" s="2" t="str">
        <x:v>Population projectionpath</x:v>
      </x:c>
      <x:c r="C112" s="2" t="str">
        <x:v>WPP thousands×1000;2051/2026−1</x:v>
      </x:c>
      <x:c r="D112" s="2" t="str">
        <x:v>{"2026": 138902185.0, "2030": 152855357.0, "2035": 170532954.0, "2040": 188450902.0, "2045": 206673639.0, "2050": 225021875.0, "2051": 228687201.0}</x:v>
      </x:c>
      <x:c r="E112" s="2" t="str">
        <x:v>0.6463902349700259</x:v>
      </x:c>
      <x:c r="F112" s="2" t="str">
        <x:v>Persons /fractionchange</x:v>
      </x:c>
      <x:c r="G112" s="2" t="str">
        <x:v>UN_WPP_ETH</x:v>
      </x:c>
      <x:c r="H112" s="2" t="str">
        <x:v>UN_WPP</x:v>
      </x:c>
      <x:c r="I112" s="2" t="str"/>
      <x:c r="J112" s="2" t="str">
        <x:v>Countries</x:v>
      </x:c>
      <x:c r="K112" s="2" t="str">
        <x:v>scripts/olam-analyse.py</x:v>
      </x:c>
      <x:c r="L112" s="2" t="str">
        <x:v>7 /atlas</x:v>
      </x:c>
      <x:c r="M112" s="2" t="str">
        <x:v>No category demand inference</x:v>
      </x:c>
    </x:row>
    <x:row r="113" ht="70" customHeight="1">
      <x:c r="A113" s="2" t="str">
        <x:v>C-POP-FJI</x:v>
      </x:c>
      <x:c r="B113" s="2" t="str">
        <x:v>Population projectionpath</x:v>
      </x:c>
      <x:c r="C113" s="2" t="str">
        <x:v>WPP thousands×1000;2051/2026−1</x:v>
      </x:c>
      <x:c r="D113" s="2" t="str">
        <x:v>{"2026": 937282.0, "2030": 953106.0, "2035": 969629.0, "2040": 983858.0, "2045": 994457.0, "2050": 1000261.0, "2051": 1000845.0}</x:v>
      </x:c>
      <x:c r="E113" s="2" t="str">
        <x:v>0.0678163028842973</x:v>
      </x:c>
      <x:c r="F113" s="2" t="str">
        <x:v>Persons /fractionchange</x:v>
      </x:c>
      <x:c r="G113" s="2" t="str">
        <x:v>UN_WPP_FJI</x:v>
      </x:c>
      <x:c r="H113" s="2" t="str">
        <x:v>UN_WPP</x:v>
      </x:c>
      <x:c r="I113" s="2" t="str"/>
      <x:c r="J113" s="2" t="str">
        <x:v>Countries</x:v>
      </x:c>
      <x:c r="K113" s="2" t="str">
        <x:v>scripts/olam-analyse.py</x:v>
      </x:c>
      <x:c r="L113" s="2" t="str">
        <x:v>7 /atlas</x:v>
      </x:c>
      <x:c r="M113" s="2" t="str">
        <x:v>No category demand inference</x:v>
      </x:c>
    </x:row>
    <x:row r="114" ht="70" customHeight="1">
      <x:c r="A114" s="2" t="str">
        <x:v>C-POP-FIN</x:v>
      </x:c>
      <x:c r="B114" s="2" t="str">
        <x:v>Population projectionpath</x:v>
      </x:c>
      <x:c r="C114" s="2" t="str">
        <x:v>WPP thousands×1000;2051/2026−1</x:v>
      </x:c>
      <x:c r="D114" s="2" t="str">
        <x:v>{"2026": 5621739.0, "2030": 5592051.0, "2035": 5540655.0, "2040": 5480523.0, "2045": 5418350.0, "2050": 5351645.0, "2051": 5337090.0}</x:v>
      </x:c>
      <x:c r="E114" s="2" t="str">
        <x:v>-0.050633620664353174</x:v>
      </x:c>
      <x:c r="F114" s="2" t="str">
        <x:v>Persons /fractionchange</x:v>
      </x:c>
      <x:c r="G114" s="2" t="str">
        <x:v>UN_WPP_FIN</x:v>
      </x:c>
      <x:c r="H114" s="2" t="str">
        <x:v>UN_WPP</x:v>
      </x:c>
      <x:c r="I114" s="2" t="str"/>
      <x:c r="J114" s="2" t="str">
        <x:v>Countries</x:v>
      </x:c>
      <x:c r="K114" s="2" t="str">
        <x:v>scripts/olam-analyse.py</x:v>
      </x:c>
      <x:c r="L114" s="2" t="str">
        <x:v>7 /atlas</x:v>
      </x:c>
      <x:c r="M114" s="2" t="str">
        <x:v>No category demand inference</x:v>
      </x:c>
    </x:row>
    <x:row r="115" ht="70" customHeight="1">
      <x:c r="A115" s="2" t="str">
        <x:v>C-POP-FRA</x:v>
      </x:c>
      <x:c r="B115" s="2" t="str">
        <x:v>Population projectionpath</x:v>
      </x:c>
      <x:c r="C115" s="2" t="str">
        <x:v>WPP thousands×1000;2051/2026−1</x:v>
      </x:c>
      <x:c r="D115" s="2" t="str">
        <x:v>{"2026": 66746401.0, "2030": 67107691.00000001, "2035": 67547946.0, "2040": 67938904.0, "2045": 68190955.0, "2050": 68219675.0, "2051": 68200254.0}</x:v>
      </x:c>
      <x:c r="E115" s="2" t="str">
        <x:v>0.021781743707799395</x:v>
      </x:c>
      <x:c r="F115" s="2" t="str">
        <x:v>Persons /fractionchange</x:v>
      </x:c>
      <x:c r="G115" s="2" t="str">
        <x:v>UN_WPP_FRA</x:v>
      </x:c>
      <x:c r="H115" s="2" t="str">
        <x:v>UN_WPP</x:v>
      </x:c>
      <x:c r="I115" s="2" t="str"/>
      <x:c r="J115" s="2" t="str">
        <x:v>Countries</x:v>
      </x:c>
      <x:c r="K115" s="2" t="str">
        <x:v>scripts/olam-analyse.py</x:v>
      </x:c>
      <x:c r="L115" s="2" t="str">
        <x:v>7 /atlas</x:v>
      </x:c>
      <x:c r="M115" s="2" t="str">
        <x:v>No category demand inference</x:v>
      </x:c>
    </x:row>
    <x:row r="116" ht="70" customHeight="1">
      <x:c r="A116" s="2" t="str">
        <x:v>C-POP-GAB</x:v>
      </x:c>
      <x:c r="B116" s="2" t="str">
        <x:v>Population projectionpath</x:v>
      </x:c>
      <x:c r="C116" s="2" t="str">
        <x:v>WPP thousands×1000;2051/2026−1</x:v>
      </x:c>
      <x:c r="D116" s="2" t="str">
        <x:v>{"2026": 2647399.0, "2030": 2866667.0, "2035": 3151468.0, "2040": 3452988.0, "2045": 3767429.0, "2050": 4084533.0, "2051": 4147627.0000000005}</x:v>
      </x:c>
      <x:c r="E116" s="2" t="str">
        <x:v>0.5666799753267264</x:v>
      </x:c>
      <x:c r="F116" s="2" t="str">
        <x:v>Persons /fractionchange</x:v>
      </x:c>
      <x:c r="G116" s="2" t="str">
        <x:v>UN_WPP_GAB</x:v>
      </x:c>
      <x:c r="H116" s="2" t="str">
        <x:v>UN_WPP</x:v>
      </x:c>
      <x:c r="I116" s="2" t="str"/>
      <x:c r="J116" s="2" t="str">
        <x:v>Countries</x:v>
      </x:c>
      <x:c r="K116" s="2" t="str">
        <x:v>scripts/olam-analyse.py</x:v>
      </x:c>
      <x:c r="L116" s="2" t="str">
        <x:v>7 /atlas</x:v>
      </x:c>
      <x:c r="M116" s="2" t="str">
        <x:v>No category demand inference</x:v>
      </x:c>
    </x:row>
    <x:row r="117" ht="70" customHeight="1">
      <x:c r="A117" s="2" t="str">
        <x:v>C-POP-GMB</x:v>
      </x:c>
      <x:c r="B117" s="2" t="str">
        <x:v>Population projectionpath</x:v>
      </x:c>
      <x:c r="C117" s="2" t="str">
        <x:v>WPP thousands×1000;2051/2026−1</x:v>
      </x:c>
      <x:c r="D117" s="2" t="str">
        <x:v>{"2026": 2884079.0, "2030": 3130133.0, "2035": 3433425.0, "2040": 3732798.0, "2045": 4024237.0, "2050": 4301895.0, "2051": 4355372.0}</x:v>
      </x:c>
      <x:c r="E117" s="2" t="str">
        <x:v>0.510143099408858</x:v>
      </x:c>
      <x:c r="F117" s="2" t="str">
        <x:v>Persons /fractionchange</x:v>
      </x:c>
      <x:c r="G117" s="2" t="str">
        <x:v>UN_WPP_GMB</x:v>
      </x:c>
      <x:c r="H117" s="2" t="str">
        <x:v>UN_WPP</x:v>
      </x:c>
      <x:c r="I117" s="2" t="str"/>
      <x:c r="J117" s="2" t="str">
        <x:v>Countries</x:v>
      </x:c>
      <x:c r="K117" s="2" t="str">
        <x:v>scripts/olam-analyse.py</x:v>
      </x:c>
      <x:c r="L117" s="2" t="str">
        <x:v>7 /atlas</x:v>
      </x:c>
      <x:c r="M117" s="2" t="str">
        <x:v>No category demand inference</x:v>
      </x:c>
    </x:row>
    <x:row r="118" ht="70" customHeight="1">
      <x:c r="A118" s="2" t="str">
        <x:v>C-POP-GEO</x:v>
      </x:c>
      <x:c r="B118" s="2" t="str">
        <x:v>Population projectionpath</x:v>
      </x:c>
      <x:c r="C118" s="2" t="str">
        <x:v>WPP thousands×1000;2051/2026−1</x:v>
      </x:c>
      <x:c r="D118" s="2" t="str">
        <x:v>{"2026": 3804642.0, "2030": 3790542.0, "2035": 3764200.0, "2040": 3732856.0, "2045": 3703994.0, "2050": 3664014.0, "2051": 3654921.0}</x:v>
      </x:c>
      <x:c r="E118" s="2" t="str">
        <x:v>-0.03935219134940948</x:v>
      </x:c>
      <x:c r="F118" s="2" t="str">
        <x:v>Persons /fractionchange</x:v>
      </x:c>
      <x:c r="G118" s="2" t="str">
        <x:v>UN_WPP_GEO</x:v>
      </x:c>
      <x:c r="H118" s="2" t="str">
        <x:v>UN_WPP</x:v>
      </x:c>
      <x:c r="I118" s="2" t="str"/>
      <x:c r="J118" s="2" t="str">
        <x:v>Countries</x:v>
      </x:c>
      <x:c r="K118" s="2" t="str">
        <x:v>scripts/olam-analyse.py</x:v>
      </x:c>
      <x:c r="L118" s="2" t="str">
        <x:v>7 /atlas</x:v>
      </x:c>
      <x:c r="M118" s="2" t="str">
        <x:v>No category demand inference</x:v>
      </x:c>
    </x:row>
    <x:row r="119" ht="70" customHeight="1">
      <x:c r="A119" s="2" t="str">
        <x:v>C-POP-DEU</x:v>
      </x:c>
      <x:c r="B119" s="2" t="str">
        <x:v>Population projectionpath</x:v>
      </x:c>
      <x:c r="C119" s="2" t="str">
        <x:v>WPP thousands×1000;2051/2026−1</x:v>
      </x:c>
      <x:c r="D119" s="2" t="str">
        <x:v>{"2026": 83644258.0, "2030": 82780953.0, "2035": 81669909.0, "2040": 80551736.0, "2045": 79491795.0, "2050": 78294613.0, "2051": 78048438.0}</x:v>
      </x:c>
      <x:c r="E119" s="2" t="str">
        <x:v>-0.06690022882383628</x:v>
      </x:c>
      <x:c r="F119" s="2" t="str">
        <x:v>Persons /fractionchange</x:v>
      </x:c>
      <x:c r="G119" s="2" t="str">
        <x:v>UN_WPP_DEU</x:v>
      </x:c>
      <x:c r="H119" s="2" t="str">
        <x:v>UN_WPP</x:v>
      </x:c>
      <x:c r="I119" s="2" t="str"/>
      <x:c r="J119" s="2" t="str">
        <x:v>Countries</x:v>
      </x:c>
      <x:c r="K119" s="2" t="str">
        <x:v>scripts/olam-analyse.py</x:v>
      </x:c>
      <x:c r="L119" s="2" t="str">
        <x:v>7 /atlas</x:v>
      </x:c>
      <x:c r="M119" s="2" t="str">
        <x:v>No category demand inference</x:v>
      </x:c>
    </x:row>
    <x:row r="120" ht="70" customHeight="1">
      <x:c r="A120" s="2" t="str">
        <x:v>C-POP-GHA</x:v>
      </x:c>
      <x:c r="B120" s="2" t="str">
        <x:v>Population projectionpath</x:v>
      </x:c>
      <x:c r="C120" s="2" t="str">
        <x:v>WPP thousands×1000;2051/2026−1</x:v>
      </x:c>
      <x:c r="D120" s="2" t="str">
        <x:v>{"2026": 35697557.0, "2030": 38222089.0, "2035": 41412554.0, "2040": 44568350.0, "2045": 47634274.0, "2050": 50553047.0, "2051": 51112490.0}</x:v>
      </x:c>
      <x:c r="E120" s="2" t="str">
        <x:v>0.4318203903981441</x:v>
      </x:c>
      <x:c r="F120" s="2" t="str">
        <x:v>Persons /fractionchange</x:v>
      </x:c>
      <x:c r="G120" s="2" t="str">
        <x:v>UN_WPP_GHA</x:v>
      </x:c>
      <x:c r="H120" s="2" t="str">
        <x:v>UN_WPP</x:v>
      </x:c>
      <x:c r="I120" s="2" t="str"/>
      <x:c r="J120" s="2" t="str">
        <x:v>Countries</x:v>
      </x:c>
      <x:c r="K120" s="2" t="str">
        <x:v>scripts/olam-analyse.py</x:v>
      </x:c>
      <x:c r="L120" s="2" t="str">
        <x:v>7 /atlas</x:v>
      </x:c>
      <x:c r="M120" s="2" t="str">
        <x:v>No category demand inference</x:v>
      </x:c>
    </x:row>
    <x:row r="121" ht="70" customHeight="1">
      <x:c r="A121" s="2" t="str">
        <x:v>C-POP-GRC</x:v>
      </x:c>
      <x:c r="B121" s="2" t="str">
        <x:v>Population projectionpath</x:v>
      </x:c>
      <x:c r="C121" s="2" t="str">
        <x:v>WPP thousands×1000;2051/2026−1</x:v>
      </x:c>
      <x:c r="D121" s="2" t="str">
        <x:v>{"2026": 9897115.0, "2030": 9721984.0, "2035": 9496499.0, "2040": 9275613.0, "2045": 9058325.0, "2050": 8812069.0, "2051": 8758041.0}</x:v>
      </x:c>
      <x:c r="E121" s="2" t="str">
        <x:v>-0.11509151909420068</x:v>
      </x:c>
      <x:c r="F121" s="2" t="str">
        <x:v>Persons /fractionchange</x:v>
      </x:c>
      <x:c r="G121" s="2" t="str">
        <x:v>UN_WPP_GRC</x:v>
      </x:c>
      <x:c r="H121" s="2" t="str">
        <x:v>UN_WPP</x:v>
      </x:c>
      <x:c r="I121" s="2" t="str"/>
      <x:c r="J121" s="2" t="str">
        <x:v>Countries</x:v>
      </x:c>
      <x:c r="K121" s="2" t="str">
        <x:v>scripts/olam-analyse.py</x:v>
      </x:c>
      <x:c r="L121" s="2" t="str">
        <x:v>7 /atlas</x:v>
      </x:c>
      <x:c r="M121" s="2" t="str">
        <x:v>No category demand inference</x:v>
      </x:c>
    </x:row>
    <x:row r="122" ht="70" customHeight="1">
      <x:c r="A122" s="2" t="str">
        <x:v>C-POP-GRD</x:v>
      </x:c>
      <x:c r="B122" s="2" t="str">
        <x:v>Population projectionpath</x:v>
      </x:c>
      <x:c r="C122" s="2" t="str">
        <x:v>WPP thousands×1000;2051/2026−1</x:v>
      </x:c>
      <x:c r="D122" s="2" t="str">
        <x:v>{"2026": 117362.0, "2030": 117466.0, "2035": 117244.0, "2040": 116493.0, "2045": 115123.0, "2050": 113243.0, "2051": 112801.0}</x:v>
      </x:c>
      <x:c r="E122" s="2" t="str">
        <x:v>-0.03886266423544249</x:v>
      </x:c>
      <x:c r="F122" s="2" t="str">
        <x:v>Persons /fractionchange</x:v>
      </x:c>
      <x:c r="G122" s="2" t="str">
        <x:v>UN_WPP_GRD</x:v>
      </x:c>
      <x:c r="H122" s="2" t="str">
        <x:v>UN_WPP</x:v>
      </x:c>
      <x:c r="I122" s="2" t="str"/>
      <x:c r="J122" s="2" t="str">
        <x:v>Countries</x:v>
      </x:c>
      <x:c r="K122" s="2" t="str">
        <x:v>scripts/olam-analyse.py</x:v>
      </x:c>
      <x:c r="L122" s="2" t="str">
        <x:v>7 /atlas</x:v>
      </x:c>
      <x:c r="M122" s="2" t="str">
        <x:v>No category demand inference</x:v>
      </x:c>
    </x:row>
    <x:row r="123" ht="70" customHeight="1">
      <x:c r="A123" s="2" t="str">
        <x:v>C-POP-GTM</x:v>
      </x:c>
      <x:c r="B123" s="2" t="str">
        <x:v>Population projectionpath</x:v>
      </x:c>
      <x:c r="C123" s="2" t="str">
        <x:v>WPP thousands×1000;2051/2026−1</x:v>
      </x:c>
      <x:c r="D123" s="2" t="str">
        <x:v>{"2026": 18967978.0, "2030": 20067253.0, "2035": 21394237.0, "2040": 22626870.0, "2045": 23719089.0, "2050": 24670857.0, "2051": 24845333.0}</x:v>
      </x:c>
      <x:c r="E123" s="2" t="str">
        <x:v>0.3098566963753333</x:v>
      </x:c>
      <x:c r="F123" s="2" t="str">
        <x:v>Persons /fractionchange</x:v>
      </x:c>
      <x:c r="G123" s="2" t="str">
        <x:v>UN_WPP_GTM</x:v>
      </x:c>
      <x:c r="H123" s="2" t="str">
        <x:v>UN_WPP</x:v>
      </x:c>
      <x:c r="I123" s="2" t="str"/>
      <x:c r="J123" s="2" t="str">
        <x:v>Countries</x:v>
      </x:c>
      <x:c r="K123" s="2" t="str">
        <x:v>scripts/olam-analyse.py</x:v>
      </x:c>
      <x:c r="L123" s="2" t="str">
        <x:v>7 /atlas</x:v>
      </x:c>
      <x:c r="M123" s="2" t="str">
        <x:v>No category demand inference</x:v>
      </x:c>
    </x:row>
    <x:row r="124" ht="70" customHeight="1">
      <x:c r="A124" s="2" t="str">
        <x:v>C-POP-GIN</x:v>
      </x:c>
      <x:c r="B124" s="2" t="str">
        <x:v>Population projectionpath</x:v>
      </x:c>
      <x:c r="C124" s="2" t="str">
        <x:v>WPP thousands×1000;2051/2026−1</x:v>
      </x:c>
      <x:c r="D124" s="2" t="str">
        <x:v>{"2026": 15441993.0, "2030": 16807147.0, "2035": 18486013.0, "2040": 20160750.0, "2045": 21817245.0, "2050": 23404584.0, "2051": 23715929.0}</x:v>
      </x:c>
      <x:c r="E124" s="2" t="str">
        <x:v>0.5358075217363458</x:v>
      </x:c>
      <x:c r="F124" s="2" t="str">
        <x:v>Persons /fractionchange</x:v>
      </x:c>
      <x:c r="G124" s="2" t="str">
        <x:v>UN_WPP_GIN</x:v>
      </x:c>
      <x:c r="H124" s="2" t="str">
        <x:v>UN_WPP</x:v>
      </x:c>
      <x:c r="I124" s="2" t="str"/>
      <x:c r="J124" s="2" t="str">
        <x:v>Countries</x:v>
      </x:c>
      <x:c r="K124" s="2" t="str">
        <x:v>scripts/olam-analyse.py</x:v>
      </x:c>
      <x:c r="L124" s="2" t="str">
        <x:v>7 /atlas</x:v>
      </x:c>
      <x:c r="M124" s="2" t="str">
        <x:v>No category demand inference</x:v>
      </x:c>
    </x:row>
    <x:row r="125" ht="70" customHeight="1">
      <x:c r="A125" s="2" t="str">
        <x:v>C-POP-GNB</x:v>
      </x:c>
      <x:c r="B125" s="2" t="str">
        <x:v>Population projectionpath</x:v>
      </x:c>
      <x:c r="C125" s="2" t="str">
        <x:v>WPP thousands×1000;2051/2026−1</x:v>
      </x:c>
      <x:c r="D125" s="2" t="str">
        <x:v>{"2026": 2297808.0, "2030": 2488934.0, "2035": 2730133.0, "2040": 2969702.0, "2045": 3204249.0, "2050": 3438608.0, "2051": 3483363.0}</x:v>
      </x:c>
      <x:c r="E125" s="2" t="str">
        <x:v>0.5159504188339497</x:v>
      </x:c>
      <x:c r="F125" s="2" t="str">
        <x:v>Persons /fractionchange</x:v>
      </x:c>
      <x:c r="G125" s="2" t="str">
        <x:v>UN_WPP_GNB</x:v>
      </x:c>
      <x:c r="H125" s="2" t="str">
        <x:v>UN_WPP</x:v>
      </x:c>
      <x:c r="I125" s="2" t="str"/>
      <x:c r="J125" s="2" t="str">
        <x:v>Countries</x:v>
      </x:c>
      <x:c r="K125" s="2" t="str">
        <x:v>scripts/olam-analyse.py</x:v>
      </x:c>
      <x:c r="L125" s="2" t="str">
        <x:v>7 /atlas</x:v>
      </x:c>
      <x:c r="M125" s="2" t="str">
        <x:v>No category demand inference</x:v>
      </x:c>
    </x:row>
    <x:row r="126" ht="70" customHeight="1">
      <x:c r="A126" s="2" t="str">
        <x:v>C-POP-GUY</x:v>
      </x:c>
      <x:c r="B126" s="2" t="str">
        <x:v>Population projectionpath</x:v>
      </x:c>
      <x:c r="C126" s="2" t="str">
        <x:v>WPP thousands×1000;2051/2026−1</x:v>
      </x:c>
      <x:c r="D126" s="2" t="str">
        <x:v>{"2026": 840890.0, "2030": 861038.0, "2035": 885936.0, "2040": 907506.0, "2045": 926353.0, "2050": 940607.0, "2051": 942745.0}</x:v>
      </x:c>
      <x:c r="E126" s="2" t="str">
        <x:v>0.12112761478909251</x:v>
      </x:c>
      <x:c r="F126" s="2" t="str">
        <x:v>Persons /fractionchange</x:v>
      </x:c>
      <x:c r="G126" s="2" t="str">
        <x:v>UN_WPP_GUY</x:v>
      </x:c>
      <x:c r="H126" s="2" t="str">
        <x:v>UN_WPP</x:v>
      </x:c>
      <x:c r="I126" s="2" t="str"/>
      <x:c r="J126" s="2" t="str">
        <x:v>Countries</x:v>
      </x:c>
      <x:c r="K126" s="2" t="str">
        <x:v>scripts/olam-analyse.py</x:v>
      </x:c>
      <x:c r="L126" s="2" t="str">
        <x:v>7 /atlas</x:v>
      </x:c>
      <x:c r="M126" s="2" t="str">
        <x:v>No category demand inference</x:v>
      </x:c>
    </x:row>
    <x:row r="127" ht="70" customHeight="1">
      <x:c r="A127" s="2" t="str">
        <x:v>C-POP-HTI</x:v>
      </x:c>
      <x:c r="B127" s="2" t="str">
        <x:v>Population projectionpath</x:v>
      </x:c>
      <x:c r="C127" s="2" t="str">
        <x:v>WPP thousands×1000;2051/2026−1</x:v>
      </x:c>
      <x:c r="D127" s="2" t="str">
        <x:v>{"2026": 12037506.0, "2030": 12552359.0, "2035": 13165000.0, "2040": 13733853.0, "2045": 14252967.0, "2050": 14710862.0, "2051": 14794290.0}</x:v>
      </x:c>
      <x:c r="E127" s="2" t="str">
        <x:v>0.229016209836157</x:v>
      </x:c>
      <x:c r="F127" s="2" t="str">
        <x:v>Persons /fractionchange</x:v>
      </x:c>
      <x:c r="G127" s="2" t="str">
        <x:v>UN_WPP_HTI</x:v>
      </x:c>
      <x:c r="H127" s="2" t="str">
        <x:v>UN_WPP</x:v>
      </x:c>
      <x:c r="I127" s="2" t="str"/>
      <x:c r="J127" s="2" t="str">
        <x:v>Countries</x:v>
      </x:c>
      <x:c r="K127" s="2" t="str">
        <x:v>scripts/olam-analyse.py</x:v>
      </x:c>
      <x:c r="L127" s="2" t="str">
        <x:v>7 /atlas</x:v>
      </x:c>
      <x:c r="M127" s="2" t="str">
        <x:v>No category demand inference</x:v>
      </x:c>
    </x:row>
    <x:row r="128" ht="70" customHeight="1">
      <x:c r="A128" s="2" t="str">
        <x:v>C-POP-VAT</x:v>
      </x:c>
      <x:c r="B128" s="2" t="str">
        <x:v>Population projectionpath</x:v>
      </x:c>
      <x:c r="C128" s="2" t="str">
        <x:v>WPP thousands×1000;2051/2026−1</x:v>
      </x:c>
      <x:c r="D128" s="2" t="str">
        <x:v>{"2026": 506.0, "2030": 528.0, "2035": 537.0, "2040": 587.0, "2045": 649.0, "2050": 714.0, "2051": 726.0}</x:v>
      </x:c>
      <x:c r="E128" s="2" t="str">
        <x:v>0.4347826086956521</x:v>
      </x:c>
      <x:c r="F128" s="2" t="str">
        <x:v>Persons /fractionchange</x:v>
      </x:c>
      <x:c r="G128" s="2" t="str">
        <x:v>UN_WPP_VAT</x:v>
      </x:c>
      <x:c r="H128" s="2" t="str">
        <x:v>UN_WPP</x:v>
      </x:c>
      <x:c r="I128" s="2" t="str"/>
      <x:c r="J128" s="2" t="str">
        <x:v>Countries</x:v>
      </x:c>
      <x:c r="K128" s="2" t="str">
        <x:v>scripts/olam-analyse.py</x:v>
      </x:c>
      <x:c r="L128" s="2" t="str">
        <x:v>7 /atlas</x:v>
      </x:c>
      <x:c r="M128" s="2" t="str">
        <x:v>No category demand inference</x:v>
      </x:c>
    </x:row>
    <x:row r="129" ht="70" customHeight="1">
      <x:c r="A129" s="2" t="str">
        <x:v>C-POP-HND</x:v>
      </x:c>
      <x:c r="B129" s="2" t="str">
        <x:v>Population projectionpath</x:v>
      </x:c>
      <x:c r="C129" s="2" t="str">
        <x:v>WPP thousands×1000;2051/2026−1</x:v>
      </x:c>
      <x:c r="D129" s="2" t="str">
        <x:v>{"2026": 11184760.0, "2030": 11885319.0, "2035": 12714114.0, "2040": 13484653.0, "2045": 14197946.0, "2050": 14846779.0, "2051": 14968238.0}</x:v>
      </x:c>
      <x:c r="E129" s="2" t="str">
        <x:v>0.33827082565920064</x:v>
      </x:c>
      <x:c r="F129" s="2" t="str">
        <x:v>Persons /fractionchange</x:v>
      </x:c>
      <x:c r="G129" s="2" t="str">
        <x:v>UN_WPP_HND</x:v>
      </x:c>
      <x:c r="H129" s="2" t="str">
        <x:v>UN_WPP</x:v>
      </x:c>
      <x:c r="I129" s="2" t="str"/>
      <x:c r="J129" s="2" t="str">
        <x:v>Countries</x:v>
      </x:c>
      <x:c r="K129" s="2" t="str">
        <x:v>scripts/olam-analyse.py</x:v>
      </x:c>
      <x:c r="L129" s="2" t="str">
        <x:v>7 /atlas</x:v>
      </x:c>
      <x:c r="M129" s="2" t="str">
        <x:v>No category demand inference</x:v>
      </x:c>
    </x:row>
    <x:row r="130" ht="70" customHeight="1">
      <x:c r="A130" s="2" t="str">
        <x:v>C-POP-HUN</x:v>
      </x:c>
      <x:c r="B130" s="2" t="str">
        <x:v>Population projectionpath</x:v>
      </x:c>
      <x:c r="C130" s="2" t="str">
        <x:v>WPP thousands×1000;2051/2026−1</x:v>
      </x:c>
      <x:c r="D130" s="2" t="str">
        <x:v>{"2026": 9585818.0, "2030": 9449115.0, "2035": 9259903.0, "2040": 9067617.0, "2045": 8889214.0, "2050": 8725347.0, "2051": 8693973.0}</x:v>
      </x:c>
      <x:c r="E130" s="2" t="str">
        <x:v>-0.09303796504377615</x:v>
      </x:c>
      <x:c r="F130" s="2" t="str">
        <x:v>Persons /fractionchange</x:v>
      </x:c>
      <x:c r="G130" s="2" t="str">
        <x:v>UN_WPP_HUN</x:v>
      </x:c>
      <x:c r="H130" s="2" t="str">
        <x:v>UN_WPP</x:v>
      </x:c>
      <x:c r="I130" s="2" t="str"/>
      <x:c r="J130" s="2" t="str">
        <x:v>Countries</x:v>
      </x:c>
      <x:c r="K130" s="2" t="str">
        <x:v>scripts/olam-analyse.py</x:v>
      </x:c>
      <x:c r="L130" s="2" t="str">
        <x:v>7 /atlas</x:v>
      </x:c>
      <x:c r="M130" s="2" t="str">
        <x:v>No category demand inference</x:v>
      </x:c>
    </x:row>
    <x:row r="131" ht="70" customHeight="1">
      <x:c r="A131" s="2" t="str">
        <x:v>C-POP-ISL</x:v>
      </x:c>
      <x:c r="B131" s="2" t="str">
        <x:v>Population projectionpath</x:v>
      </x:c>
      <x:c r="C131" s="2" t="str">
        <x:v>WPP thousands×1000;2051/2026−1</x:v>
      </x:c>
      <x:c r="D131" s="2" t="str">
        <x:v>{"2026": 402329.0, "2030": 414348.0, "2035": 423579.0, "2040": 429452.0, "2045": 432484.0, "2050": 432993.0, "2051": 432981.0}</x:v>
      </x:c>
      <x:c r="E131" s="2" t="str">
        <x:v>0.07618640465887361</x:v>
      </x:c>
      <x:c r="F131" s="2" t="str">
        <x:v>Persons /fractionchange</x:v>
      </x:c>
      <x:c r="G131" s="2" t="str">
        <x:v>UN_WPP_ISL</x:v>
      </x:c>
      <x:c r="H131" s="2" t="str">
        <x:v>UN_WPP</x:v>
      </x:c>
      <x:c r="I131" s="2" t="str"/>
      <x:c r="J131" s="2" t="str">
        <x:v>Countries</x:v>
      </x:c>
      <x:c r="K131" s="2" t="str">
        <x:v>scripts/olam-analyse.py</x:v>
      </x:c>
      <x:c r="L131" s="2" t="str">
        <x:v>7 /atlas</x:v>
      </x:c>
      <x:c r="M131" s="2" t="str">
        <x:v>No category demand inference</x:v>
      </x:c>
    </x:row>
    <x:row r="132" ht="70" customHeight="1">
      <x:c r="A132" s="2" t="str">
        <x:v>C-POP-IND</x:v>
      </x:c>
      <x:c r="B132" s="2" t="str">
        <x:v>Population projectionpath</x:v>
      </x:c>
      <x:c r="C132" s="2" t="str">
        <x:v>WPP thousands×1000;2051/2026−1</x:v>
      </x:c>
      <x:c r="D132" s="2" t="str">
        <x:v>{"2026": 1476625576.0, "2030": 1525138844.0, "2035": 1578694796.0, "2040": 1622580039.0, "2045": 1656067583.0, "2050": 1679589259.0, "2051": 1683220886.0}</x:v>
      </x:c>
      <x:c r="E132" s="2" t="str">
        <x:v>0.1399104237105535</x:v>
      </x:c>
      <x:c r="F132" s="2" t="str">
        <x:v>Persons /fractionchange</x:v>
      </x:c>
      <x:c r="G132" s="2" t="str">
        <x:v>UN_WPP_IND</x:v>
      </x:c>
      <x:c r="H132" s="2" t="str">
        <x:v>UN_WPP</x:v>
      </x:c>
      <x:c r="I132" s="2" t="str"/>
      <x:c r="J132" s="2" t="str">
        <x:v>Countries</x:v>
      </x:c>
      <x:c r="K132" s="2" t="str">
        <x:v>scripts/olam-analyse.py</x:v>
      </x:c>
      <x:c r="L132" s="2" t="str">
        <x:v>7 /atlas</x:v>
      </x:c>
      <x:c r="M132" s="2" t="str">
        <x:v>No category demand inference</x:v>
      </x:c>
    </x:row>
    <x:row r="133" ht="70" customHeight="1">
      <x:c r="A133" s="2" t="str">
        <x:v>C-POP-IDN</x:v>
      </x:c>
      <x:c r="B133" s="2" t="str">
        <x:v>Population projectionpath</x:v>
      </x:c>
      <x:c r="C133" s="2" t="str">
        <x:v>WPP thousands×1000;2051/2026−1</x:v>
      </x:c>
      <x:c r="D133" s="2" t="str">
        <x:v>{"2026": 287886782.0, "2030": 295876648.0, "2035": 304566622.0, "2040": 311797395.0, "2045": 317249613.0, "2050": 320712949.0, "2051": 321175111.0}</x:v>
      </x:c>
      <x:c r="E133" s="2" t="str">
        <x:v>0.1156299319084404</x:v>
      </x:c>
      <x:c r="F133" s="2" t="str">
        <x:v>Persons /fractionchange</x:v>
      </x:c>
      <x:c r="G133" s="2" t="str">
        <x:v>UN_WPP_IDN</x:v>
      </x:c>
      <x:c r="H133" s="2" t="str">
        <x:v>UN_WPP</x:v>
      </x:c>
      <x:c r="I133" s="2" t="str"/>
      <x:c r="J133" s="2" t="str">
        <x:v>Countries</x:v>
      </x:c>
      <x:c r="K133" s="2" t="str">
        <x:v>scripts/olam-analyse.py</x:v>
      </x:c>
      <x:c r="L133" s="2" t="str">
        <x:v>7 /atlas</x:v>
      </x:c>
      <x:c r="M133" s="2" t="str">
        <x:v>No category demand inference</x:v>
      </x:c>
    </x:row>
    <x:row r="134" ht="70" customHeight="1">
      <x:c r="A134" s="2" t="str">
        <x:v>C-POP-IRN</x:v>
      </x:c>
      <x:c r="B134" s="2" t="str">
        <x:v>Population projectionpath</x:v>
      </x:c>
      <x:c r="C134" s="2" t="str">
        <x:v>WPP thousands×1000;2051/2026−1</x:v>
      </x:c>
      <x:c r="D134" s="2" t="str">
        <x:v>{"2026": 93168497.0, "2030": 95486667.0, "2035": 97679252.0, "2040": 99524277.0, "2045": 100990613.0, "2050": 101861993.0, "2051": 101942322.0}</x:v>
      </x:c>
      <x:c r="E134" s="2" t="str">
        <x:v>0.09417158462908337</x:v>
      </x:c>
      <x:c r="F134" s="2" t="str">
        <x:v>Persons /fractionchange</x:v>
      </x:c>
      <x:c r="G134" s="2" t="str">
        <x:v>UN_WPP_IRN</x:v>
      </x:c>
      <x:c r="H134" s="2" t="str">
        <x:v>UN_WPP</x:v>
      </x:c>
      <x:c r="I134" s="2" t="str"/>
      <x:c r="J134" s="2" t="str">
        <x:v>Countries</x:v>
      </x:c>
      <x:c r="K134" s="2" t="str">
        <x:v>scripts/olam-analyse.py</x:v>
      </x:c>
      <x:c r="L134" s="2" t="str">
        <x:v>7 /atlas</x:v>
      </x:c>
      <x:c r="M134" s="2" t="str">
        <x:v>No category demand inference</x:v>
      </x:c>
    </x:row>
    <x:row r="135" ht="70" customHeight="1">
      <x:c r="A135" s="2" t="str">
        <x:v>C-POP-IRQ</x:v>
      </x:c>
      <x:c r="B135" s="2" t="str">
        <x:v>Population projectionpath</x:v>
      </x:c>
      <x:c r="C135" s="2" t="str">
        <x:v>WPP thousands×1000;2051/2026−1</x:v>
      </x:c>
      <x:c r="D135" s="2" t="str">
        <x:v>{"2026": 48007437.0, "2030": 51937208.0, "2035": 57035914.0, "2040": 62223211.0, "2045": 67204177.0, "2050": 71928750.0, "2051": 72837415.0}</x:v>
      </x:c>
      <x:c r="E135" s="2" t="str">
        <x:v>0.5172110729427193</x:v>
      </x:c>
      <x:c r="F135" s="2" t="str">
        <x:v>Persons /fractionchange</x:v>
      </x:c>
      <x:c r="G135" s="2" t="str">
        <x:v>UN_WPP_IRQ</x:v>
      </x:c>
      <x:c r="H135" s="2" t="str">
        <x:v>UN_WPP</x:v>
      </x:c>
      <x:c r="I135" s="2" t="str"/>
      <x:c r="J135" s="2" t="str">
        <x:v>Countries</x:v>
      </x:c>
      <x:c r="K135" s="2" t="str">
        <x:v>scripts/olam-analyse.py</x:v>
      </x:c>
      <x:c r="L135" s="2" t="str">
        <x:v>7 /atlas</x:v>
      </x:c>
      <x:c r="M135" s="2" t="str">
        <x:v>No category demand inference</x:v>
      </x:c>
    </x:row>
    <x:row r="136" ht="70" customHeight="1">
      <x:c r="A136" s="2" t="str">
        <x:v>C-POP-IRL</x:v>
      </x:c>
      <x:c r="B136" s="2" t="str">
        <x:v>Population projectionpath</x:v>
      </x:c>
      <x:c r="C136" s="2" t="str">
        <x:v>WPP thousands×1000;2051/2026−1</x:v>
      </x:c>
      <x:c r="D136" s="2" t="str">
        <x:v>{"2026": 5356950.0, "2030": 5525093.0, "2035": 5686868.0, "2040": 5817570.0, "2045": 5916936.0, "2050": 5970042.0, "2051": 5973837.0}</x:v>
      </x:c>
      <x:c r="E136" s="2" t="str">
        <x:v>0.11515638562988273</x:v>
      </x:c>
      <x:c r="F136" s="2" t="str">
        <x:v>Persons /fractionchange</x:v>
      </x:c>
      <x:c r="G136" s="2" t="str">
        <x:v>UN_WPP_IRL</x:v>
      </x:c>
      <x:c r="H136" s="2" t="str">
        <x:v>UN_WPP</x:v>
      </x:c>
      <x:c r="I136" s="2" t="str"/>
      <x:c r="J136" s="2" t="str">
        <x:v>Countries</x:v>
      </x:c>
      <x:c r="K136" s="2" t="str">
        <x:v>scripts/olam-analyse.py</x:v>
      </x:c>
      <x:c r="L136" s="2" t="str">
        <x:v>7 /atlas</x:v>
      </x:c>
      <x:c r="M136" s="2" t="str">
        <x:v>No category demand inference</x:v>
      </x:c>
    </x:row>
    <x:row r="137" ht="70" customHeight="1">
      <x:c r="A137" s="2" t="str">
        <x:v>C-POP-ISR</x:v>
      </x:c>
      <x:c r="B137" s="2" t="str">
        <x:v>Population projectionpath</x:v>
      </x:c>
      <x:c r="C137" s="2" t="str">
        <x:v>WPP thousands×1000;2051/2026−1</x:v>
      </x:c>
      <x:c r="D137" s="2" t="str">
        <x:v>{"2026": 9647689.0, "2030": 10175954.0, "2035": 10858122.0, "2040": 11581474.0, "2045": 12342061.0, "2050": 13092722.0, "2051": 13244415.0}</x:v>
      </x:c>
      <x:c r="E137" s="2" t="str">
        <x:v>0.3728070007231783</x:v>
      </x:c>
      <x:c r="F137" s="2" t="str">
        <x:v>Persons /fractionchange</x:v>
      </x:c>
      <x:c r="G137" s="2" t="str">
        <x:v>UN_WPP_ISR</x:v>
      </x:c>
      <x:c r="H137" s="2" t="str">
        <x:v>UN_WPP</x:v>
      </x:c>
      <x:c r="I137" s="2" t="str"/>
      <x:c r="J137" s="2" t="str">
        <x:v>Countries</x:v>
      </x:c>
      <x:c r="K137" s="2" t="str">
        <x:v>scripts/olam-analyse.py</x:v>
      </x:c>
      <x:c r="L137" s="2" t="str">
        <x:v>7 /atlas</x:v>
      </x:c>
      <x:c r="M137" s="2" t="str">
        <x:v>No category demand inference</x:v>
      </x:c>
    </x:row>
    <x:row r="138" ht="70" customHeight="1">
      <x:c r="A138" s="2" t="str">
        <x:v>C-POP-ITA</x:v>
      </x:c>
      <x:c r="B138" s="2" t="str">
        <x:v>Population projectionpath</x:v>
      </x:c>
      <x:c r="C138" s="2" t="str">
        <x:v>WPP thousands×1000;2051/2026−1</x:v>
      </x:c>
      <x:c r="D138" s="2" t="str">
        <x:v>{"2026": 58926166.0, "2030": 57946072.0, "2035": 56620005.0, "2040": 55221168.0, "2045": 53680471.0, "2050": 51891099.0, "2051": 51499509.0}</x:v>
      </x:c>
      <x:c r="E138" s="2" t="str">
        <x:v>-0.12603326338930654</x:v>
      </x:c>
      <x:c r="F138" s="2" t="str">
        <x:v>Persons /fractionchange</x:v>
      </x:c>
      <x:c r="G138" s="2" t="str">
        <x:v>UN_WPP_ITA</x:v>
      </x:c>
      <x:c r="H138" s="2" t="str">
        <x:v>UN_WPP</x:v>
      </x:c>
      <x:c r="I138" s="2" t="str"/>
      <x:c r="J138" s="2" t="str">
        <x:v>Countries</x:v>
      </x:c>
      <x:c r="K138" s="2" t="str">
        <x:v>scripts/olam-analyse.py</x:v>
      </x:c>
      <x:c r="L138" s="2" t="str">
        <x:v>7 /atlas</x:v>
      </x:c>
      <x:c r="M138" s="2" t="str">
        <x:v>No category demand inference</x:v>
      </x:c>
    </x:row>
    <x:row r="139" ht="70" customHeight="1">
      <x:c r="A139" s="2" t="str">
        <x:v>C-POP-JAM</x:v>
      </x:c>
      <x:c r="B139" s="2" t="str">
        <x:v>Population projectionpath</x:v>
      </x:c>
      <x:c r="C139" s="2" t="str">
        <x:v>WPP thousands×1000;2051/2026−1</x:v>
      </x:c>
      <x:c r="D139" s="2" t="str">
        <x:v>{"2026": 2833403.0, "2030": 2808954.0, "2035": 2755934.0, "2040": 2676100.0, "2045": 2574081.0, "2050": 2454940.0, "2051": 2429919.0}</x:v>
      </x:c>
      <x:c r="E139" s="2" t="str">
        <x:v>-0.14240261621802475</x:v>
      </x:c>
      <x:c r="F139" s="2" t="str">
        <x:v>Persons /fractionchange</x:v>
      </x:c>
      <x:c r="G139" s="2" t="str">
        <x:v>UN_WPP_JAM</x:v>
      </x:c>
      <x:c r="H139" s="2" t="str">
        <x:v>UN_WPP</x:v>
      </x:c>
      <x:c r="I139" s="2" t="str"/>
      <x:c r="J139" s="2" t="str">
        <x:v>Countries</x:v>
      </x:c>
      <x:c r="K139" s="2" t="str">
        <x:v>scripts/olam-analyse.py</x:v>
      </x:c>
      <x:c r="L139" s="2" t="str">
        <x:v>7 /atlas</x:v>
      </x:c>
      <x:c r="M139" s="2" t="str">
        <x:v>No category demand inference</x:v>
      </x:c>
    </x:row>
    <x:row r="140" ht="70" customHeight="1">
      <x:c r="A140" s="2" t="str">
        <x:v>C-POP-JPN</x:v>
      </x:c>
      <x:c r="B140" s="2" t="str">
        <x:v>Population projectionpath</x:v>
      </x:c>
      <x:c r="C140" s="2" t="str">
        <x:v>WPP thousands×1000;2051/2026−1</x:v>
      </x:c>
      <x:c r="D140" s="2" t="str">
        <x:v>{"2026": 122427731.0, "2030": 119584121.0, "2035": 115876149.0, "2040": 112158303.0, "2045": 108551995.0, "2050": 105123167.0, "2051": 104452458.0}</x:v>
      </x:c>
      <x:c r="E140" s="2" t="str">
        <x:v>-0.1468235411468991</x:v>
      </x:c>
      <x:c r="F140" s="2" t="str">
        <x:v>Persons /fractionchange</x:v>
      </x:c>
      <x:c r="G140" s="2" t="str">
        <x:v>UN_WPP_JPN</x:v>
      </x:c>
      <x:c r="H140" s="2" t="str">
        <x:v>UN_WPP</x:v>
      </x:c>
      <x:c r="I140" s="2" t="str"/>
      <x:c r="J140" s="2" t="str">
        <x:v>Countries</x:v>
      </x:c>
      <x:c r="K140" s="2" t="str">
        <x:v>scripts/olam-analyse.py</x:v>
      </x:c>
      <x:c r="L140" s="2" t="str">
        <x:v>7 /atlas</x:v>
      </x:c>
      <x:c r="M140" s="2" t="str">
        <x:v>No category demand inference</x:v>
      </x:c>
    </x:row>
    <x:row r="141" ht="70" customHeight="1">
      <x:c r="A141" s="2" t="str">
        <x:v>C-POP-JOR</x:v>
      </x:c>
      <x:c r="B141" s="2" t="str">
        <x:v>Population projectionpath</x:v>
      </x:c>
      <x:c r="C141" s="2" t="str">
        <x:v>WPP thousands×1000;2051/2026−1</x:v>
      </x:c>
      <x:c r="D141" s="2" t="str">
        <x:v>{"2026": 11589532.0, "2030": 12448776.0, "2035": 13440834.0, "2040": 14471297.0, "2045": 15471984.0, "2050": 16367354.0, "2051": 16525167.000000002}</x:v>
      </x:c>
      <x:c r="E141" s="2" t="str">
        <x:v>0.42587008690256023</x:v>
      </x:c>
      <x:c r="F141" s="2" t="str">
        <x:v>Persons /fractionchange</x:v>
      </x:c>
      <x:c r="G141" s="2" t="str">
        <x:v>UN_WPP_JOR</x:v>
      </x:c>
      <x:c r="H141" s="2" t="str">
        <x:v>UN_WPP</x:v>
      </x:c>
      <x:c r="I141" s="2" t="str"/>
      <x:c r="J141" s="2" t="str">
        <x:v>Countries</x:v>
      </x:c>
      <x:c r="K141" s="2" t="str">
        <x:v>scripts/olam-analyse.py</x:v>
      </x:c>
      <x:c r="L141" s="2" t="str">
        <x:v>7 /atlas</x:v>
      </x:c>
      <x:c r="M141" s="2" t="str">
        <x:v>No category demand inference</x:v>
      </x:c>
    </x:row>
    <x:row r="142" ht="70" customHeight="1">
      <x:c r="A142" s="2" t="str">
        <x:v>C-POP-KAZ</x:v>
      </x:c>
      <x:c r="B142" s="2" t="str">
        <x:v>Population projectionpath</x:v>
      </x:c>
      <x:c r="C142" s="2" t="str">
        <x:v>WPP thousands×1000;2051/2026−1</x:v>
      </x:c>
      <x:c r="D142" s="2" t="str">
        <x:v>{"2026": 21083626.0, "2030": 22003193.0, "2035": 23125951.0, "2040": 24246823.0, "2045": 25409756.0, "2050": 26544265.0, "2051": 26757521.0}</x:v>
      </x:c>
      <x:c r="E142" s="2" t="str">
        <x:v>0.2691138137244513</x:v>
      </x:c>
      <x:c r="F142" s="2" t="str">
        <x:v>Persons /fractionchange</x:v>
      </x:c>
      <x:c r="G142" s="2" t="str">
        <x:v>UN_WPP_KAZ</x:v>
      </x:c>
      <x:c r="H142" s="2" t="str">
        <x:v>UN_WPP</x:v>
      </x:c>
      <x:c r="I142" s="2" t="str"/>
      <x:c r="J142" s="2" t="str">
        <x:v>Countries</x:v>
      </x:c>
      <x:c r="K142" s="2" t="str">
        <x:v>scripts/olam-analyse.py</x:v>
      </x:c>
      <x:c r="L142" s="2" t="str">
        <x:v>7 /atlas</x:v>
      </x:c>
      <x:c r="M142" s="2" t="str">
        <x:v>No category demand inference</x:v>
      </x:c>
    </x:row>
    <x:row r="143" ht="70" customHeight="1">
      <x:c r="A143" s="2" t="str">
        <x:v>C-POP-KEN</x:v>
      </x:c>
      <x:c r="B143" s="2" t="str">
        <x:v>Population projectionpath</x:v>
      </x:c>
      <x:c r="C143" s="2" t="str">
        <x:v>WPP thousands×1000;2051/2026−1</x:v>
      </x:c>
      <x:c r="D143" s="2" t="str">
        <x:v>{"2026": 58636412.0, "2030": 63102245.0, "2035": 68715909.0, "2040": 74108863.0, "2045": 79088836.0, "2050": 83593239.0, "2051": 84451673.0}</x:v>
      </x:c>
      <x:c r="E143" s="2" t="str">
        <x:v>0.44025990198718157</x:v>
      </x:c>
      <x:c r="F143" s="2" t="str">
        <x:v>Persons /fractionchange</x:v>
      </x:c>
      <x:c r="G143" s="2" t="str">
        <x:v>UN_WPP_KEN</x:v>
      </x:c>
      <x:c r="H143" s="2" t="str">
        <x:v>UN_WPP</x:v>
      </x:c>
      <x:c r="I143" s="2" t="str"/>
      <x:c r="J143" s="2" t="str">
        <x:v>Countries</x:v>
      </x:c>
      <x:c r="K143" s="2" t="str">
        <x:v>scripts/olam-analyse.py</x:v>
      </x:c>
      <x:c r="L143" s="2" t="str">
        <x:v>7 /atlas</x:v>
      </x:c>
      <x:c r="M143" s="2" t="str">
        <x:v>No category demand inference</x:v>
      </x:c>
    </x:row>
    <x:row r="144" ht="70" customHeight="1">
      <x:c r="A144" s="2" t="str">
        <x:v>C-POP-KIR</x:v>
      </x:c>
      <x:c r="B144" s="2" t="str">
        <x:v>Population projectionpath</x:v>
      </x:c>
      <x:c r="C144" s="2" t="str">
        <x:v>WPP thousands×1000;2051/2026−1</x:v>
      </x:c>
      <x:c r="D144" s="2" t="str">
        <x:v>{"2026": 138445.0, "2030": 146126.0, "2035": 155440.0, "2040": 164700.0, "2045": 173813.0, "2050": 182621.0, "2051": 184260.0}</x:v>
      </x:c>
      <x:c r="E144" s="2" t="str">
        <x:v>0.3309256383401351</x:v>
      </x:c>
      <x:c r="F144" s="2" t="str">
        <x:v>Persons /fractionchange</x:v>
      </x:c>
      <x:c r="G144" s="2" t="str">
        <x:v>UN_WPP_KIR</x:v>
      </x:c>
      <x:c r="H144" s="2" t="str">
        <x:v>UN_WPP</x:v>
      </x:c>
      <x:c r="I144" s="2" t="str"/>
      <x:c r="J144" s="2" t="str">
        <x:v>Countries</x:v>
      </x:c>
      <x:c r="K144" s="2" t="str">
        <x:v>scripts/olam-analyse.py</x:v>
      </x:c>
      <x:c r="L144" s="2" t="str">
        <x:v>7 /atlas</x:v>
      </x:c>
      <x:c r="M144" s="2" t="str">
        <x:v>No category demand inference</x:v>
      </x:c>
    </x:row>
    <x:row r="145" ht="70" customHeight="1">
      <x:c r="A145" s="2" t="str">
        <x:v>C-POP-KWT</x:v>
      </x:c>
      <x:c r="B145" s="2" t="str">
        <x:v>Population projectionpath</x:v>
      </x:c>
      <x:c r="C145" s="2" t="str">
        <x:v>WPP thousands×1000;2051/2026−1</x:v>
      </x:c>
      <x:c r="D145" s="2" t="str">
        <x:v>{"2026": 5102773.0, "2030": 5324198.0, "2035": 5569671.0, "2040": 5831211.0, "2045": 6099774.0, "2050": 6367756.0, "2051": 6421239.0}</x:v>
      </x:c>
      <x:c r="E145" s="2" t="str">
        <x:v>0.2583822560791946</x:v>
      </x:c>
      <x:c r="F145" s="2" t="str">
        <x:v>Persons /fractionchange</x:v>
      </x:c>
      <x:c r="G145" s="2" t="str">
        <x:v>UN_WPP_KWT</x:v>
      </x:c>
      <x:c r="H145" s="2" t="str">
        <x:v>UN_WPP</x:v>
      </x:c>
      <x:c r="I145" s="2" t="str"/>
      <x:c r="J145" s="2" t="str">
        <x:v>Countries</x:v>
      </x:c>
      <x:c r="K145" s="2" t="str">
        <x:v>scripts/olam-analyse.py</x:v>
      </x:c>
      <x:c r="L145" s="2" t="str">
        <x:v>7 /atlas</x:v>
      </x:c>
      <x:c r="M145" s="2" t="str">
        <x:v>No category demand inference</x:v>
      </x:c>
    </x:row>
    <x:row r="146" ht="70" customHeight="1">
      <x:c r="A146" s="2" t="str">
        <x:v>C-POP-KGZ</x:v>
      </x:c>
      <x:c r="B146" s="2" t="str">
        <x:v>Population projectionpath</x:v>
      </x:c>
      <x:c r="C146" s="2" t="str">
        <x:v>WPP thousands×1000;2051/2026−1</x:v>
      </x:c>
      <x:c r="D146" s="2" t="str">
        <x:v>{"2026": 7400465.0, "2030": 7803618.0, "2035": 8282415.000000001, "2040": 8757697.0, "2045": 9222104.0, "2050": 9642952.0, "2051": 9722163.0}</x:v>
      </x:c>
      <x:c r="E146" s="2" t="str">
        <x:v>0.3137232592816803</x:v>
      </x:c>
      <x:c r="F146" s="2" t="str">
        <x:v>Persons /fractionchange</x:v>
      </x:c>
      <x:c r="G146" s="2" t="str">
        <x:v>UN_WPP_KGZ</x:v>
      </x:c>
      <x:c r="H146" s="2" t="str">
        <x:v>UN_WPP</x:v>
      </x:c>
      <x:c r="I146" s="2" t="str"/>
      <x:c r="J146" s="2" t="str">
        <x:v>Countries</x:v>
      </x:c>
      <x:c r="K146" s="2" t="str">
        <x:v>scripts/olam-analyse.py</x:v>
      </x:c>
      <x:c r="L146" s="2" t="str">
        <x:v>7 /atlas</x:v>
      </x:c>
      <x:c r="M146" s="2" t="str">
        <x:v>No category demand inference</x:v>
      </x:c>
    </x:row>
    <x:row r="147" ht="70" customHeight="1">
      <x:c r="A147" s="2" t="str">
        <x:v>C-POP-LAO</x:v>
      </x:c>
      <x:c r="B147" s="2" t="str">
        <x:v>Population projectionpath</x:v>
      </x:c>
      <x:c r="C147" s="2" t="str">
        <x:v>WPP thousands×1000;2051/2026−1</x:v>
      </x:c>
      <x:c r="D147" s="2" t="str">
        <x:v>{"2026": 7974017.0, "2030": 8357022.999999999, "2035": 8788756.0, "2040": 9169002.0, "2045": 9492503.0, "2050": 9757285.0, "2051": 9802787.0}</x:v>
      </x:c>
      <x:c r="E147" s="2" t="str">
        <x:v>0.2293411212943237</x:v>
      </x:c>
      <x:c r="F147" s="2" t="str">
        <x:v>Persons /fractionchange</x:v>
      </x:c>
      <x:c r="G147" s="2" t="str">
        <x:v>UN_WPP_LAO</x:v>
      </x:c>
      <x:c r="H147" s="2" t="str">
        <x:v>UN_WPP</x:v>
      </x:c>
      <x:c r="I147" s="2" t="str"/>
      <x:c r="J147" s="2" t="str">
        <x:v>Countries</x:v>
      </x:c>
      <x:c r="K147" s="2" t="str">
        <x:v>scripts/olam-analyse.py</x:v>
      </x:c>
      <x:c r="L147" s="2" t="str">
        <x:v>7 /atlas</x:v>
      </x:c>
      <x:c r="M147" s="2" t="str">
        <x:v>No category demand inference</x:v>
      </x:c>
    </x:row>
    <x:row r="148" ht="70" customHeight="1">
      <x:c r="A148" s="2" t="str">
        <x:v>C-POP-LVA</x:v>
      </x:c>
      <x:c r="B148" s="2" t="str">
        <x:v>Population projectionpath</x:v>
      </x:c>
      <x:c r="C148" s="2" t="str">
        <x:v>WPP thousands×1000;2051/2026−1</x:v>
      </x:c>
      <x:c r="D148" s="2" t="str">
        <x:v>{"2026": 1835935.0, "2030": 1777620.0, "2035": 1706428.0, "2040": 1640644.0, "2045": 1577406.0, "2050": 1513810.0, "2051": 1501015.0}</x:v>
      </x:c>
      <x:c r="E148" s="2" t="str">
        <x:v>-0.18242475904648037</x:v>
      </x:c>
      <x:c r="F148" s="2" t="str">
        <x:v>Persons /fractionchange</x:v>
      </x:c>
      <x:c r="G148" s="2" t="str">
        <x:v>UN_WPP_LVA</x:v>
      </x:c>
      <x:c r="H148" s="2" t="str">
        <x:v>UN_WPP</x:v>
      </x:c>
      <x:c r="I148" s="2" t="str"/>
      <x:c r="J148" s="2" t="str">
        <x:v>Countries</x:v>
      </x:c>
      <x:c r="K148" s="2" t="str">
        <x:v>scripts/olam-analyse.py</x:v>
      </x:c>
      <x:c r="L148" s="2" t="str">
        <x:v>7 /atlas</x:v>
      </x:c>
      <x:c r="M148" s="2" t="str">
        <x:v>No category demand inference</x:v>
      </x:c>
    </x:row>
    <x:row r="149" ht="70" customHeight="1">
      <x:c r="A149" s="2" t="str">
        <x:v>C-POP-LBN</x:v>
      </x:c>
      <x:c r="B149" s="2" t="str">
        <x:v>Population projectionpath</x:v>
      </x:c>
      <x:c r="C149" s="2" t="str">
        <x:v>WPP thousands×1000;2051/2026−1</x:v>
      </x:c>
      <x:c r="D149" s="2" t="str">
        <x:v>{"2026": 5897467.0, "2030": 6103808.0, "2035": 6357724.0, "2040": 6620329.0, "2045": 6834988.0, "2050": 6999260.0, "2051": 7025484.0}</x:v>
      </x:c>
      <x:c r="E149" s="2" t="str">
        <x:v>0.1912714390771495</x:v>
      </x:c>
      <x:c r="F149" s="2" t="str">
        <x:v>Persons /fractionchange</x:v>
      </x:c>
      <x:c r="G149" s="2" t="str">
        <x:v>UN_WPP_LBN</x:v>
      </x:c>
      <x:c r="H149" s="2" t="str">
        <x:v>UN_WPP</x:v>
      </x:c>
      <x:c r="I149" s="2" t="str"/>
      <x:c r="J149" s="2" t="str">
        <x:v>Countries</x:v>
      </x:c>
      <x:c r="K149" s="2" t="str">
        <x:v>scripts/olam-analyse.py</x:v>
      </x:c>
      <x:c r="L149" s="2" t="str">
        <x:v>7 /atlas</x:v>
      </x:c>
      <x:c r="M149" s="2" t="str">
        <x:v>No category demand inference</x:v>
      </x:c>
    </x:row>
    <x:row r="150" ht="70" customHeight="1">
      <x:c r="A150" s="2" t="str">
        <x:v>C-POP-LSO</x:v>
      </x:c>
      <x:c r="B150" s="2" t="str">
        <x:v>Population projectionpath</x:v>
      </x:c>
      <x:c r="C150" s="2" t="str">
        <x:v>WPP thousands×1000;2051/2026−1</x:v>
      </x:c>
      <x:c r="D150" s="2" t="str">
        <x:v>{"2026": 2389336.0, "2030": 2493818.0, "2035": 2626567.0, "2040": 2757876.0, "2045": 2881339.0, "2050": 2993077.0, "2051": 3013558.0}</x:v>
      </x:c>
      <x:c r="E150" s="2" t="str">
        <x:v>0.2612533356547593</x:v>
      </x:c>
      <x:c r="F150" s="2" t="str">
        <x:v>Persons /fractionchange</x:v>
      </x:c>
      <x:c r="G150" s="2" t="str">
        <x:v>UN_WPP_LSO</x:v>
      </x:c>
      <x:c r="H150" s="2" t="str">
        <x:v>UN_WPP</x:v>
      </x:c>
      <x:c r="I150" s="2" t="str"/>
      <x:c r="J150" s="2" t="str">
        <x:v>Countries</x:v>
      </x:c>
      <x:c r="K150" s="2" t="str">
        <x:v>scripts/olam-analyse.py</x:v>
      </x:c>
      <x:c r="L150" s="2" t="str">
        <x:v>7 /atlas</x:v>
      </x:c>
      <x:c r="M150" s="2" t="str">
        <x:v>No category demand inference</x:v>
      </x:c>
    </x:row>
    <x:row r="151" ht="70" customHeight="1">
      <x:c r="A151" s="2" t="str">
        <x:v>C-POP-LBR</x:v>
      </x:c>
      <x:c r="B151" s="2" t="str">
        <x:v>Population projectionpath</x:v>
      </x:c>
      <x:c r="C151" s="2" t="str">
        <x:v>WPP thousands×1000;2051/2026−1</x:v>
      </x:c>
      <x:c r="D151" s="2" t="str">
        <x:v>{"2026": 5853949.0, "2030": 6366291.0, "2035": 7003557.0, "2040": 7681688.0, "2045": 8310645.0, "2050": 8910530.0, "2051": 9020146.0}</x:v>
      </x:c>
      <x:c r="E151" s="2" t="str">
        <x:v>0.5408651493205698</x:v>
      </x:c>
      <x:c r="F151" s="2" t="str">
        <x:v>Persons /fractionchange</x:v>
      </x:c>
      <x:c r="G151" s="2" t="str">
        <x:v>UN_WPP_LBR</x:v>
      </x:c>
      <x:c r="H151" s="2" t="str">
        <x:v>UN_WPP</x:v>
      </x:c>
      <x:c r="I151" s="2" t="str"/>
      <x:c r="J151" s="2" t="str">
        <x:v>Countries</x:v>
      </x:c>
      <x:c r="K151" s="2" t="str">
        <x:v>scripts/olam-analyse.py</x:v>
      </x:c>
      <x:c r="L151" s="2" t="str">
        <x:v>7 /atlas</x:v>
      </x:c>
      <x:c r="M151" s="2" t="str">
        <x:v>No category demand inference</x:v>
      </x:c>
    </x:row>
    <x:row r="152" ht="70" customHeight="1">
      <x:c r="A152" s="2" t="str">
        <x:v>C-POP-LBY</x:v>
      </x:c>
      <x:c r="B152" s="2" t="str">
        <x:v>Population projectionpath</x:v>
      </x:c>
      <x:c r="C152" s="2" t="str">
        <x:v>WPP thousands×1000;2051/2026−1</x:v>
      </x:c>
      <x:c r="D152" s="2" t="str">
        <x:v>{"2026": 7539851.0, "2030": 7885806.0, "2035": 8283952.999999999, "2040": 8651417.0, "2045": 8983949.0, "2050": 9260605.0, "2051": 9310578.0}</x:v>
      </x:c>
      <x:c r="E152" s="2" t="str">
        <x:v>0.23484907062487048</x:v>
      </x:c>
      <x:c r="F152" s="2" t="str">
        <x:v>Persons /fractionchange</x:v>
      </x:c>
      <x:c r="G152" s="2" t="str">
        <x:v>UN_WPP_LBY</x:v>
      </x:c>
      <x:c r="H152" s="2" t="str">
        <x:v>UN_WPP</x:v>
      </x:c>
      <x:c r="I152" s="2" t="str"/>
      <x:c r="J152" s="2" t="str">
        <x:v>Countries</x:v>
      </x:c>
      <x:c r="K152" s="2" t="str">
        <x:v>scripts/olam-analyse.py</x:v>
      </x:c>
      <x:c r="L152" s="2" t="str">
        <x:v>7 /atlas</x:v>
      </x:c>
      <x:c r="M152" s="2" t="str">
        <x:v>No category demand inference</x:v>
      </x:c>
    </x:row>
    <x:row r="153" ht="70" customHeight="1">
      <x:c r="A153" s="2" t="str">
        <x:v>C-POP-LIE</x:v>
      </x:c>
      <x:c r="B153" s="2" t="str">
        <x:v>Population projectionpath</x:v>
      </x:c>
      <x:c r="C153" s="2" t="str">
        <x:v>WPP thousands×1000;2051/2026−1</x:v>
      </x:c>
      <x:c r="D153" s="2" t="str">
        <x:v>{"2026": 40368.0, "2030": 41202.0, "2035": 42005.0, "2040": 42534.0, "2045": 42861.0, "2050": 43013.0, "2051": 43031.0}</x:v>
      </x:c>
      <x:c r="E153" s="2" t="str">
        <x:v>0.06596809353943711</x:v>
      </x:c>
      <x:c r="F153" s="2" t="str">
        <x:v>Persons /fractionchange</x:v>
      </x:c>
      <x:c r="G153" s="2" t="str">
        <x:v>UN_WPP_LIE</x:v>
      </x:c>
      <x:c r="H153" s="2" t="str">
        <x:v>UN_WPP</x:v>
      </x:c>
      <x:c r="I153" s="2" t="str"/>
      <x:c r="J153" s="2" t="str">
        <x:v>Countries</x:v>
      </x:c>
      <x:c r="K153" s="2" t="str">
        <x:v>scripts/olam-analyse.py</x:v>
      </x:c>
      <x:c r="L153" s="2" t="str">
        <x:v>7 /atlas</x:v>
      </x:c>
      <x:c r="M153" s="2" t="str">
        <x:v>No category demand inference</x:v>
      </x:c>
    </x:row>
    <x:row r="154" ht="70" customHeight="1">
      <x:c r="A154" s="2" t="str">
        <x:v>C-POP-LTU</x:v>
      </x:c>
      <x:c r="B154" s="2" t="str">
        <x:v>Population projectionpath</x:v>
      </x:c>
      <x:c r="C154" s="2" t="str">
        <x:v>WPP thousands×1000;2051/2026−1</x:v>
      </x:c>
      <x:c r="D154" s="2" t="str">
        <x:v>{"2026": 2797338.0, "2030": 2706358.0, "2035": 2597392.0, "2040": 2484835.0, "2045": 2372137.0, "2050": 2258774.0, "2051": 2235291.0}</x:v>
      </x:c>
      <x:c r="E154" s="2" t="str">
        <x:v>-0.20092209093073488</x:v>
      </x:c>
      <x:c r="F154" s="2" t="str">
        <x:v>Persons /fractionchange</x:v>
      </x:c>
      <x:c r="G154" s="2" t="str">
        <x:v>UN_WPP_LTU</x:v>
      </x:c>
      <x:c r="H154" s="2" t="str">
        <x:v>UN_WPP</x:v>
      </x:c>
      <x:c r="I154" s="2" t="str"/>
      <x:c r="J154" s="2" t="str">
        <x:v>Countries</x:v>
      </x:c>
      <x:c r="K154" s="2" t="str">
        <x:v>scripts/olam-analyse.py</x:v>
      </x:c>
      <x:c r="L154" s="2" t="str">
        <x:v>7 /atlas</x:v>
      </x:c>
      <x:c r="M154" s="2" t="str">
        <x:v>No category demand inference</x:v>
      </x:c>
    </x:row>
    <x:row r="155" ht="70" customHeight="1">
      <x:c r="A155" s="2" t="str">
        <x:v>C-POP-LUX</x:v>
      </x:c>
      <x:c r="B155" s="2" t="str">
        <x:v>Population projectionpath</x:v>
      </x:c>
      <x:c r="C155" s="2" t="str">
        <x:v>WPP thousands×1000;2051/2026−1</x:v>
      </x:c>
      <x:c r="D155" s="2" t="str">
        <x:v>{"2026": 687448.0, "2030": 713667.0, "2035": 740629.0, "2040": 762673.0, "2045": 779539.0, "2050": 791464.0, "2051": 793283.0}</x:v>
      </x:c>
      <x:c r="E155" s="2" t="str">
        <x:v>0.15395346266190324</x:v>
      </x:c>
      <x:c r="F155" s="2" t="str">
        <x:v>Persons /fractionchange</x:v>
      </x:c>
      <x:c r="G155" s="2" t="str">
        <x:v>UN_WPP_LUX</x:v>
      </x:c>
      <x:c r="H155" s="2" t="str">
        <x:v>UN_WPP</x:v>
      </x:c>
      <x:c r="I155" s="2" t="str"/>
      <x:c r="J155" s="2" t="str">
        <x:v>Countries</x:v>
      </x:c>
      <x:c r="K155" s="2" t="str">
        <x:v>scripts/olam-analyse.py</x:v>
      </x:c>
      <x:c r="L155" s="2" t="str">
        <x:v>7 /atlas</x:v>
      </x:c>
      <x:c r="M155" s="2" t="str">
        <x:v>No category demand inference</x:v>
      </x:c>
    </x:row>
    <x:row r="156" ht="70" customHeight="1">
      <x:c r="A156" s="2" t="str">
        <x:v>C-POP-MDG</x:v>
      </x:c>
      <x:c r="B156" s="2" t="str">
        <x:v>Population projectionpath</x:v>
      </x:c>
      <x:c r="C156" s="2" t="str">
        <x:v>WPP thousands×1000;2051/2026−1</x:v>
      </x:c>
      <x:c r="D156" s="2" t="str">
        <x:v>{"2026": 33522052.000000004, "2030": 36693183.0, "2035": 40733844.0, "2040": 44846895.0, "2045": 49011274.0, "2050": 53185475.0, "2051": 54016765.0}</x:v>
      </x:c>
      <x:c r="E156" s="2" t="str">
        <x:v>0.6113800253039401</x:v>
      </x:c>
      <x:c r="F156" s="2" t="str">
        <x:v>Persons /fractionchange</x:v>
      </x:c>
      <x:c r="G156" s="2" t="str">
        <x:v>UN_WPP_MDG</x:v>
      </x:c>
      <x:c r="H156" s="2" t="str">
        <x:v>UN_WPP</x:v>
      </x:c>
      <x:c r="I156" s="2" t="str"/>
      <x:c r="J156" s="2" t="str">
        <x:v>Countries</x:v>
      </x:c>
      <x:c r="K156" s="2" t="str">
        <x:v>scripts/olam-analyse.py</x:v>
      </x:c>
      <x:c r="L156" s="2" t="str">
        <x:v>7 /atlas</x:v>
      </x:c>
      <x:c r="M156" s="2" t="str">
        <x:v>No category demand inference</x:v>
      </x:c>
    </x:row>
    <x:row r="157" ht="70" customHeight="1">
      <x:c r="A157" s="2" t="str">
        <x:v>C-POP-MWI</x:v>
      </x:c>
      <x:c r="B157" s="2" t="str">
        <x:v>Population projectionpath</x:v>
      </x:c>
      <x:c r="C157" s="2" t="str">
        <x:v>WPP thousands×1000;2051/2026−1</x:v>
      </x:c>
      <x:c r="D157" s="2" t="str">
        <x:v>{"2026": 22785535.0, "2030": 25160287.0, "2035": 28213795.0, "2040": 31302098.0, "2045": 34350954.0, "2050": 37361683.0, "2051": 37964325.0}</x:v>
      </x:c>
      <x:c r="E157" s="2" t="str">
        <x:v>0.6661590346682664</x:v>
      </x:c>
      <x:c r="F157" s="2" t="str">
        <x:v>Persons /fractionchange</x:v>
      </x:c>
      <x:c r="G157" s="2" t="str">
        <x:v>UN_WPP_MWI</x:v>
      </x:c>
      <x:c r="H157" s="2" t="str">
        <x:v>UN_WPP</x:v>
      </x:c>
      <x:c r="I157" s="2" t="str"/>
      <x:c r="J157" s="2" t="str">
        <x:v>Countries</x:v>
      </x:c>
      <x:c r="K157" s="2" t="str">
        <x:v>scripts/olam-analyse.py</x:v>
      </x:c>
      <x:c r="L157" s="2" t="str">
        <x:v>7 /atlas</x:v>
      </x:c>
      <x:c r="M157" s="2" t="str">
        <x:v>No category demand inference</x:v>
      </x:c>
    </x:row>
    <x:row r="158" ht="70" customHeight="1">
      <x:c r="A158" s="2" t="str">
        <x:v>C-POP-MYS</x:v>
      </x:c>
      <x:c r="B158" s="2" t="str">
        <x:v>Population projectionpath</x:v>
      </x:c>
      <x:c r="C158" s="2" t="str">
        <x:v>WPP thousands×1000;2051/2026−1</x:v>
      </x:c>
      <x:c r="D158" s="2" t="str">
        <x:v>{"2026": 36385115.0, "2030": 37961719.0, "2035": 39814825.0, "2040": 41509644.0, "2045": 43038204.0, "2050": 44289772.0, "2051": 44502613.0}</x:v>
      </x:c>
      <x:c r="E158" s="2" t="str">
        <x:v>0.22309941853969684</x:v>
      </x:c>
      <x:c r="F158" s="2" t="str">
        <x:v>Persons /fractionchange</x:v>
      </x:c>
      <x:c r="G158" s="2" t="str">
        <x:v>UN_WPP_MYS</x:v>
      </x:c>
      <x:c r="H158" s="2" t="str">
        <x:v>UN_WPP</x:v>
      </x:c>
      <x:c r="I158" s="2" t="str"/>
      <x:c r="J158" s="2" t="str">
        <x:v>Countries</x:v>
      </x:c>
      <x:c r="K158" s="2" t="str">
        <x:v>scripts/olam-analyse.py</x:v>
      </x:c>
      <x:c r="L158" s="2" t="str">
        <x:v>7 /atlas</x:v>
      </x:c>
      <x:c r="M158" s="2" t="str">
        <x:v>No category demand inference</x:v>
      </x:c>
    </x:row>
    <x:row r="159" ht="70" customHeight="1">
      <x:c r="A159" s="2" t="str">
        <x:v>C-POP-MDV</x:v>
      </x:c>
      <x:c r="B159" s="2" t="str">
        <x:v>Population projectionpath</x:v>
      </x:c>
      <x:c r="C159" s="2" t="str">
        <x:v>WPP thousands×1000;2051/2026−1</x:v>
      </x:c>
      <x:c r="D159" s="2" t="str">
        <x:v>{"2026": 531517.0, "2030": 539667.0, "2035": 551594.0, "2040": 564798.0, "2045": 578453.0, "2050": 589962.0, "2051": 591628.0}</x:v>
      </x:c>
      <x:c r="E159" s="2" t="str">
        <x:v>0.11309327829589644</x:v>
      </x:c>
      <x:c r="F159" s="2" t="str">
        <x:v>Persons /fractionchange</x:v>
      </x:c>
      <x:c r="G159" s="2" t="str">
        <x:v>UN_WPP_MDV</x:v>
      </x:c>
      <x:c r="H159" s="2" t="str">
        <x:v>UN_WPP</x:v>
      </x:c>
      <x:c r="I159" s="2" t="str"/>
      <x:c r="J159" s="2" t="str">
        <x:v>Countries</x:v>
      </x:c>
      <x:c r="K159" s="2" t="str">
        <x:v>scripts/olam-analyse.py</x:v>
      </x:c>
      <x:c r="L159" s="2" t="str">
        <x:v>7 /atlas</x:v>
      </x:c>
      <x:c r="M159" s="2" t="str">
        <x:v>No category demand inference</x:v>
      </x:c>
    </x:row>
    <x:row r="160" ht="70" customHeight="1">
      <x:c r="A160" s="2" t="str">
        <x:v>C-POP-MLI</x:v>
      </x:c>
      <x:c r="B160" s="2" t="str">
        <x:v>Population projectionpath</x:v>
      </x:c>
      <x:c r="C160" s="2" t="str">
        <x:v>WPP thousands×1000;2051/2026−1</x:v>
      </x:c>
      <x:c r="D160" s="2" t="str">
        <x:v>{"2026": 25932275.0, "2030": 29002865.0, "2035": 33118345.0, "2040": 37413643.0, "2045": 41778982.0, "2050": 46154079.0, "2051": 47029244.0}</x:v>
      </x:c>
      <x:c r="E160" s="2" t="str">
        <x:v>0.8135410024766434</x:v>
      </x:c>
      <x:c r="F160" s="2" t="str">
        <x:v>Persons /fractionchange</x:v>
      </x:c>
      <x:c r="G160" s="2" t="str">
        <x:v>UN_WPP_MLI</x:v>
      </x:c>
      <x:c r="H160" s="2" t="str">
        <x:v>UN_WPP</x:v>
      </x:c>
      <x:c r="I160" s="2" t="str"/>
      <x:c r="J160" s="2" t="str">
        <x:v>Countries</x:v>
      </x:c>
      <x:c r="K160" s="2" t="str">
        <x:v>scripts/olam-analyse.py</x:v>
      </x:c>
      <x:c r="L160" s="2" t="str">
        <x:v>7 /atlas</x:v>
      </x:c>
      <x:c r="M160" s="2" t="str">
        <x:v>No category demand inference</x:v>
      </x:c>
    </x:row>
    <x:row r="161" ht="70" customHeight="1">
      <x:c r="A161" s="2" t="str">
        <x:v>C-POP-MLT</x:v>
      </x:c>
      <x:c r="B161" s="2" t="str">
        <x:v>Population projectionpath</x:v>
      </x:c>
      <x:c r="C161" s="2" t="str">
        <x:v>WPP thousands×1000;2051/2026−1</x:v>
      </x:c>
      <x:c r="D161" s="2" t="str">
        <x:v>{"2026": 549011.0, "2030": 555231.0, "2035": 556508.0, "2040": 551735.0, "2045": 544634.0, "2050": 535721.0, "2051": 533639.0}</x:v>
      </x:c>
      <x:c r="E161" s="2" t="str">
        <x:v>-0.027999438991204162</x:v>
      </x:c>
      <x:c r="F161" s="2" t="str">
        <x:v>Persons /fractionchange</x:v>
      </x:c>
      <x:c r="G161" s="2" t="str">
        <x:v>UN_WPP_MLT</x:v>
      </x:c>
      <x:c r="H161" s="2" t="str">
        <x:v>UN_WPP</x:v>
      </x:c>
      <x:c r="I161" s="2" t="str"/>
      <x:c r="J161" s="2" t="str">
        <x:v>Countries</x:v>
      </x:c>
      <x:c r="K161" s="2" t="str">
        <x:v>scripts/olam-analyse.py</x:v>
      </x:c>
      <x:c r="L161" s="2" t="str">
        <x:v>7 /atlas</x:v>
      </x:c>
      <x:c r="M161" s="2" t="str">
        <x:v>No category demand inference</x:v>
      </x:c>
    </x:row>
    <x:row r="162" ht="70" customHeight="1">
      <x:c r="A162" s="2" t="str">
        <x:v>C-POP-MHL</x:v>
      </x:c>
      <x:c r="B162" s="2" t="str">
        <x:v>Population projectionpath</x:v>
      </x:c>
      <x:c r="C162" s="2" t="str">
        <x:v>WPP thousands×1000;2051/2026−1</x:v>
      </x:c>
      <x:c r="D162" s="2" t="str">
        <x:v>{"2026": 35075.0, "2030": 31186.0, "2035": 28142.0, "2040": 26597.0, "2045": 25773.0, "2050": 25195.0, "2051": 25088.0}</x:v>
      </x:c>
      <x:c r="E162" s="2" t="str">
        <x:v>-0.2847327156094084</x:v>
      </x:c>
      <x:c r="F162" s="2" t="str">
        <x:v>Persons /fractionchange</x:v>
      </x:c>
      <x:c r="G162" s="2" t="str">
        <x:v>UN_WPP_MHL</x:v>
      </x:c>
      <x:c r="H162" s="2" t="str">
        <x:v>UN_WPP</x:v>
      </x:c>
      <x:c r="I162" s="2" t="str"/>
      <x:c r="J162" s="2" t="str">
        <x:v>Countries</x:v>
      </x:c>
      <x:c r="K162" s="2" t="str">
        <x:v>scripts/olam-analyse.py</x:v>
      </x:c>
      <x:c r="L162" s="2" t="str">
        <x:v>7 /atlas</x:v>
      </x:c>
      <x:c r="M162" s="2" t="str">
        <x:v>No category demand inference</x:v>
      </x:c>
    </x:row>
    <x:row r="163" ht="70" customHeight="1">
      <x:c r="A163" s="2" t="str">
        <x:v>C-POP-MRT</x:v>
      </x:c>
      <x:c r="B163" s="2" t="str">
        <x:v>Population projectionpath</x:v>
      </x:c>
      <x:c r="C163" s="2" t="str">
        <x:v>WPP thousands×1000;2051/2026−1</x:v>
      </x:c>
      <x:c r="D163" s="2" t="str">
        <x:v>{"2026": 5461319.0, "2030": 6062528.0, "2035": 6856319.0, "2040": 7681908.0, "2045": 8538531.0, "2050": 9415598.0, "2051": 9592001.0}</x:v>
      </x:c>
      <x:c r="E163" s="2" t="str">
        <x:v>0.7563524489230533</x:v>
      </x:c>
      <x:c r="F163" s="2" t="str">
        <x:v>Persons /fractionchange</x:v>
      </x:c>
      <x:c r="G163" s="2" t="str">
        <x:v>UN_WPP_MRT</x:v>
      </x:c>
      <x:c r="H163" s="2" t="str">
        <x:v>UN_WPP</x:v>
      </x:c>
      <x:c r="I163" s="2" t="str"/>
      <x:c r="J163" s="2" t="str">
        <x:v>Countries</x:v>
      </x:c>
      <x:c r="K163" s="2" t="str">
        <x:v>scripts/olam-analyse.py</x:v>
      </x:c>
      <x:c r="L163" s="2" t="str">
        <x:v>7 /atlas</x:v>
      </x:c>
      <x:c r="M163" s="2" t="str">
        <x:v>No category demand inference</x:v>
      </x:c>
    </x:row>
    <x:row r="164" ht="70" customHeight="1">
      <x:c r="A164" s="2" t="str">
        <x:v>C-POP-MUS</x:v>
      </x:c>
      <x:c r="B164" s="2" t="str">
        <x:v>Population projectionpath</x:v>
      </x:c>
      <x:c r="C164" s="2" t="str">
        <x:v>WPP thousands×1000;2051/2026−1</x:v>
      </x:c>
      <x:c r="D164" s="2" t="str">
        <x:v>{"2026": 1265059.0, "2030": 1250432.0, "2035": 1226955.0, "2040": 1195223.0, "2045": 1154659.0, "2050": 1107197.0, "2051": 1097238.0}</x:v>
      </x:c>
      <x:c r="E164" s="2" t="str">
        <x:v>-0.13265863489370855</x:v>
      </x:c>
      <x:c r="F164" s="2" t="str">
        <x:v>Persons /fractionchange</x:v>
      </x:c>
      <x:c r="G164" s="2" t="str">
        <x:v>UN_WPP_MUS</x:v>
      </x:c>
      <x:c r="H164" s="2" t="str">
        <x:v>UN_WPP</x:v>
      </x:c>
      <x:c r="I164" s="2" t="str"/>
      <x:c r="J164" s="2" t="str">
        <x:v>Countries</x:v>
      </x:c>
      <x:c r="K164" s="2" t="str">
        <x:v>scripts/olam-analyse.py</x:v>
      </x:c>
      <x:c r="L164" s="2" t="str">
        <x:v>7 /atlas</x:v>
      </x:c>
      <x:c r="M164" s="2" t="str">
        <x:v>No category demand inference</x:v>
      </x:c>
    </x:row>
    <x:row r="165" ht="70" customHeight="1">
      <x:c r="A165" s="2" t="str">
        <x:v>C-POP-MEX</x:v>
      </x:c>
      <x:c r="B165" s="2" t="str">
        <x:v>Population projectionpath</x:v>
      </x:c>
      <x:c r="C165" s="2" t="str">
        <x:v>WPP thousands×1000;2051/2026−1</x:v>
      </x:c>
      <x:c r="D165" s="2" t="str">
        <x:v>{"2026": 132997658.0, "2030": 136904738.0, "2035": 141150819.0, "2040": 144624323.0, "2045": 147240092.0, "2050": 148946274.0, "2051": 149181847.0}</x:v>
      </x:c>
      <x:c r="E165" s="2" t="str">
        <x:v>0.1216877743817113</x:v>
      </x:c>
      <x:c r="F165" s="2" t="str">
        <x:v>Persons /fractionchange</x:v>
      </x:c>
      <x:c r="G165" s="2" t="str">
        <x:v>UN_WPP_MEX</x:v>
      </x:c>
      <x:c r="H165" s="2" t="str">
        <x:v>UN_WPP</x:v>
      </x:c>
      <x:c r="I165" s="2" t="str"/>
      <x:c r="J165" s="2" t="str">
        <x:v>Countries</x:v>
      </x:c>
      <x:c r="K165" s="2" t="str">
        <x:v>scripts/olam-analyse.py</x:v>
      </x:c>
      <x:c r="L165" s="2" t="str">
        <x:v>7 /atlas</x:v>
      </x:c>
      <x:c r="M165" s="2" t="str">
        <x:v>No category demand inference</x:v>
      </x:c>
    </x:row>
    <x:row r="166" ht="70" customHeight="1">
      <x:c r="A166" s="2" t="str">
        <x:v>C-POP-FSM</x:v>
      </x:c>
      <x:c r="B166" s="2" t="str">
        <x:v>Population projectionpath</x:v>
      </x:c>
      <x:c r="C166" s="2" t="str">
        <x:v>WPP thousands×1000;2051/2026−1</x:v>
      </x:c>
      <x:c r="D166" s="2" t="str">
        <x:v>{"2026": 114183.0, "2030": 116350.0, "2035": 119143.0, "2040": 121681.0, "2045": 124064.0, "2050": 126408.0, "2051": 126853.0}</x:v>
      </x:c>
      <x:c r="E166" s="2" t="str">
        <x:v>0.1109622273017874</x:v>
      </x:c>
      <x:c r="F166" s="2" t="str">
        <x:v>Persons /fractionchange</x:v>
      </x:c>
      <x:c r="G166" s="2" t="str">
        <x:v>UN_WPP_FSM</x:v>
      </x:c>
      <x:c r="H166" s="2" t="str">
        <x:v>UN_WPP</x:v>
      </x:c>
      <x:c r="I166" s="2" t="str"/>
      <x:c r="J166" s="2" t="str">
        <x:v>Countries</x:v>
      </x:c>
      <x:c r="K166" s="2" t="str">
        <x:v>scripts/olam-analyse.py</x:v>
      </x:c>
      <x:c r="L166" s="2" t="str">
        <x:v>7 /atlas</x:v>
      </x:c>
      <x:c r="M166" s="2" t="str">
        <x:v>No category demand inference</x:v>
      </x:c>
    </x:row>
    <x:row r="167" ht="70" customHeight="1">
      <x:c r="A167" s="2" t="str">
        <x:v>C-POP-MCO</x:v>
      </x:c>
      <x:c r="B167" s="2" t="str">
        <x:v>Population projectionpath</x:v>
      </x:c>
      <x:c r="C167" s="2" t="str">
        <x:v>WPP thousands×1000;2051/2026−1</x:v>
      </x:c>
      <x:c r="D167" s="2" t="str">
        <x:v>{"2026": 38087.0, "2030": 37366.0, "2035": 36894.0, "2040": 36627.0, "2045": 36523.0, "2050": 36757.0, "2051": 36840.0}</x:v>
      </x:c>
      <x:c r="E167" s="2" t="str">
        <x:v>-0.03274083020453178</x:v>
      </x:c>
      <x:c r="F167" s="2" t="str">
        <x:v>Persons /fractionchange</x:v>
      </x:c>
      <x:c r="G167" s="2" t="str">
        <x:v>UN_WPP_MCO</x:v>
      </x:c>
      <x:c r="H167" s="2" t="str">
        <x:v>UN_WPP</x:v>
      </x:c>
      <x:c r="I167" s="2" t="str"/>
      <x:c r="J167" s="2" t="str">
        <x:v>Countries</x:v>
      </x:c>
      <x:c r="K167" s="2" t="str">
        <x:v>scripts/olam-analyse.py</x:v>
      </x:c>
      <x:c r="L167" s="2" t="str">
        <x:v>7 /atlas</x:v>
      </x:c>
      <x:c r="M167" s="2" t="str">
        <x:v>No category demand inference</x:v>
      </x:c>
    </x:row>
    <x:row r="168" ht="70" customHeight="1">
      <x:c r="A168" s="2" t="str">
        <x:v>C-POP-MNG</x:v>
      </x:c>
      <x:c r="B168" s="2" t="str">
        <x:v>Population projectionpath</x:v>
      </x:c>
      <x:c r="C168" s="2" t="str">
        <x:v>WPP thousands×1000;2051/2026−1</x:v>
      </x:c>
      <x:c r="D168" s="2" t="str">
        <x:v>{"2026": 3556798.0, "2030": 3705231.0, "2035": 3889776.0, "2040": 4095554.0, "2045": 4308779.0, "2050": 4501493.0, "2051": 4535765.0}</x:v>
      </x:c>
      <x:c r="E168" s="2" t="str">
        <x:v>0.2752382901699788</x:v>
      </x:c>
      <x:c r="F168" s="2" t="str">
        <x:v>Persons /fractionchange</x:v>
      </x:c>
      <x:c r="G168" s="2" t="str">
        <x:v>UN_WPP_MNG</x:v>
      </x:c>
      <x:c r="H168" s="2" t="str">
        <x:v>UN_WPP</x:v>
      </x:c>
      <x:c r="I168" s="2" t="str"/>
      <x:c r="J168" s="2" t="str">
        <x:v>Countries</x:v>
      </x:c>
      <x:c r="K168" s="2" t="str">
        <x:v>scripts/olam-analyse.py</x:v>
      </x:c>
      <x:c r="L168" s="2" t="str">
        <x:v>7 /atlas</x:v>
      </x:c>
      <x:c r="M168" s="2" t="str">
        <x:v>No category demand inference</x:v>
      </x:c>
    </x:row>
    <x:row r="169" ht="70" customHeight="1">
      <x:c r="A169" s="2" t="str">
        <x:v>C-POP-MNE</x:v>
      </x:c>
      <x:c r="B169" s="2" t="str">
        <x:v>Population projectionpath</x:v>
      </x:c>
      <x:c r="C169" s="2" t="str">
        <x:v>WPP thousands×1000;2051/2026−1</x:v>
      </x:c>
      <x:c r="D169" s="2" t="str">
        <x:v>{"2026": 626233.0, "2030": 612562.0, "2035": 594137.0, "2040": 574434.0, "2045": 554231.0, "2050": 533295.0, "2051": 529032.0}</x:v>
      </x:c>
      <x:c r="E169" s="2" t="str">
        <x:v>-0.1552153910764843</x:v>
      </x:c>
      <x:c r="F169" s="2" t="str">
        <x:v>Persons /fractionchange</x:v>
      </x:c>
      <x:c r="G169" s="2" t="str">
        <x:v>UN_WPP_MNE</x:v>
      </x:c>
      <x:c r="H169" s="2" t="str">
        <x:v>UN_WPP</x:v>
      </x:c>
      <x:c r="I169" s="2" t="str"/>
      <x:c r="J169" s="2" t="str">
        <x:v>Countries</x:v>
      </x:c>
      <x:c r="K169" s="2" t="str">
        <x:v>scripts/olam-analyse.py</x:v>
      </x:c>
      <x:c r="L169" s="2" t="str">
        <x:v>7 /atlas</x:v>
      </x:c>
      <x:c r="M169" s="2" t="str">
        <x:v>No category demand inference</x:v>
      </x:c>
    </x:row>
    <x:row r="170" ht="70" customHeight="1">
      <x:c r="A170" s="2" t="str">
        <x:v>C-POP-MAR</x:v>
      </x:c>
      <x:c r="B170" s="2" t="str">
        <x:v>Population projectionpath</x:v>
      </x:c>
      <x:c r="C170" s="2" t="str">
        <x:v>WPP thousands×1000;2051/2026−1</x:v>
      </x:c>
      <x:c r="D170" s="2" t="str">
        <x:v>{"2026": 38762441.0, "2030": 39953460.0, "2035": 41182094.0, "2040": 42168205.0, "2045": 42925306.0, "2050": 43440431.0, "2051": 43517149.0}</x:v>
      </x:c>
      <x:c r="E170" s="2" t="str">
        <x:v>0.1226627600671486</x:v>
      </x:c>
      <x:c r="F170" s="2" t="str">
        <x:v>Persons /fractionchange</x:v>
      </x:c>
      <x:c r="G170" s="2" t="str">
        <x:v>UN_WPP_MAR</x:v>
      </x:c>
      <x:c r="H170" s="2" t="str">
        <x:v>UN_WPP</x:v>
      </x:c>
      <x:c r="I170" s="2" t="str"/>
      <x:c r="J170" s="2" t="str">
        <x:v>Countries</x:v>
      </x:c>
      <x:c r="K170" s="2" t="str">
        <x:v>scripts/olam-analyse.py</x:v>
      </x:c>
      <x:c r="L170" s="2" t="str">
        <x:v>7 /atlas</x:v>
      </x:c>
      <x:c r="M170" s="2" t="str">
        <x:v>No category demand inference</x:v>
      </x:c>
    </x:row>
    <x:row r="171" ht="70" customHeight="1">
      <x:c r="A171" s="2" t="str">
        <x:v>C-POP-MOZ</x:v>
      </x:c>
      <x:c r="B171" s="2" t="str">
        <x:v>Population projectionpath</x:v>
      </x:c>
      <x:c r="C171" s="2" t="str">
        <x:v>WPP thousands×1000;2051/2026−1</x:v>
      </x:c>
      <x:c r="D171" s="2" t="str">
        <x:v>{"2026": 36639851.0, "2030": 40846755.0, "2035": 46411774.0, "2040": 52124215.0, "2045": 57851793.0, "2050": 63530952.0, "2051": 64647084.0}</x:v>
      </x:c>
      <x:c r="E171" s="2" t="str">
        <x:v>0.7643926554177307</x:v>
      </x:c>
      <x:c r="F171" s="2" t="str">
        <x:v>Persons /fractionchange</x:v>
      </x:c>
      <x:c r="G171" s="2" t="str">
        <x:v>UN_WPP_MOZ</x:v>
      </x:c>
      <x:c r="H171" s="2" t="str">
        <x:v>UN_WPP</x:v>
      </x:c>
      <x:c r="I171" s="2" t="str"/>
      <x:c r="J171" s="2" t="str">
        <x:v>Countries</x:v>
      </x:c>
      <x:c r="K171" s="2" t="str">
        <x:v>scripts/olam-analyse.py</x:v>
      </x:c>
      <x:c r="L171" s="2" t="str">
        <x:v>7 /atlas</x:v>
      </x:c>
      <x:c r="M171" s="2" t="str">
        <x:v>No category demand inference</x:v>
      </x:c>
    </x:row>
    <x:row r="172" ht="70" customHeight="1">
      <x:c r="A172" s="2" t="str">
        <x:v>C-POP-MMR</x:v>
      </x:c>
      <x:c r="B172" s="2" t="str">
        <x:v>Population projectionpath</x:v>
      </x:c>
      <x:c r="C172" s="2" t="str">
        <x:v>WPP thousands×1000;2051/2026−1</x:v>
      </x:c>
      <x:c r="D172" s="2" t="str">
        <x:v>{"2026": 55184819.0, "2030": 56351031.0, "2035": 57444464.0, "2040": 58169858.0, "2045": 58558172.0, "2050": 58623232.0, "2051": 58602738.0}</x:v>
      </x:c>
      <x:c r="E172" s="2" t="str">
        <x:v>0.061935855946179785</x:v>
      </x:c>
      <x:c r="F172" s="2" t="str">
        <x:v>Persons /fractionchange</x:v>
      </x:c>
      <x:c r="G172" s="2" t="str">
        <x:v>UN_WPP_MMR</x:v>
      </x:c>
      <x:c r="H172" s="2" t="str">
        <x:v>UN_WPP</x:v>
      </x:c>
      <x:c r="I172" s="2" t="str"/>
      <x:c r="J172" s="2" t="str">
        <x:v>Countries</x:v>
      </x:c>
      <x:c r="K172" s="2" t="str">
        <x:v>scripts/olam-analyse.py</x:v>
      </x:c>
      <x:c r="L172" s="2" t="str">
        <x:v>7 /atlas</x:v>
      </x:c>
      <x:c r="M172" s="2" t="str">
        <x:v>No category demand inference</x:v>
      </x:c>
    </x:row>
    <x:row r="173" ht="70" customHeight="1">
      <x:c r="A173" s="2" t="str">
        <x:v>C-POP-NAM</x:v>
      </x:c>
      <x:c r="B173" s="2" t="str">
        <x:v>Population projectionpath</x:v>
      </x:c>
      <x:c r="C173" s="2" t="str">
        <x:v>WPP thousands×1000;2051/2026−1</x:v>
      </x:c>
      <x:c r="D173" s="2" t="str">
        <x:v>{"2026": 3153246.0, "2030": 3389958.0, "2035": 3678880.0, "2040": 3962405.0, "2045": 4243350.0, "2050": 4512301.0, "2051": 4564906.0}</x:v>
      </x:c>
      <x:c r="E173" s="2" t="str">
        <x:v>0.4476847033184217</x:v>
      </x:c>
      <x:c r="F173" s="2" t="str">
        <x:v>Persons /fractionchange</x:v>
      </x:c>
      <x:c r="G173" s="2" t="str">
        <x:v>UN_WPP_NAM</x:v>
      </x:c>
      <x:c r="H173" s="2" t="str">
        <x:v>UN_WPP</x:v>
      </x:c>
      <x:c r="I173" s="2" t="str"/>
      <x:c r="J173" s="2" t="str">
        <x:v>Countries</x:v>
      </x:c>
      <x:c r="K173" s="2" t="str">
        <x:v>scripts/olam-analyse.py</x:v>
      </x:c>
      <x:c r="L173" s="2" t="str">
        <x:v>7 /atlas</x:v>
      </x:c>
      <x:c r="M173" s="2" t="str">
        <x:v>No category demand inference</x:v>
      </x:c>
    </x:row>
    <x:row r="174" ht="70" customHeight="1">
      <x:c r="A174" s="2" t="str">
        <x:v>C-POP-NRU</x:v>
      </x:c>
      <x:c r="B174" s="2" t="str">
        <x:v>Population projectionpath</x:v>
      </x:c>
      <x:c r="C174" s="2" t="str">
        <x:v>WPP thousands×1000;2051/2026−1</x:v>
      </x:c>
      <x:c r="D174" s="2" t="str">
        <x:v>{"2026": 12101.0, "2030": 12521.0, "2035": 13233.0, "2040": 14039.0, "2045": 14928.0, "2050": 15758.0, "2051": 15913.0}</x:v>
      </x:c>
      <x:c r="E174" s="2" t="str">
        <x:v>0.31501528799272793</x:v>
      </x:c>
      <x:c r="F174" s="2" t="str">
        <x:v>Persons /fractionchange</x:v>
      </x:c>
      <x:c r="G174" s="2" t="str">
        <x:v>UN_WPP_NRU</x:v>
      </x:c>
      <x:c r="H174" s="2" t="str">
        <x:v>UN_WPP</x:v>
      </x:c>
      <x:c r="I174" s="2" t="str"/>
      <x:c r="J174" s="2" t="str">
        <x:v>Countries</x:v>
      </x:c>
      <x:c r="K174" s="2" t="str">
        <x:v>scripts/olam-analyse.py</x:v>
      </x:c>
      <x:c r="L174" s="2" t="str">
        <x:v>7 /atlas</x:v>
      </x:c>
      <x:c r="M174" s="2" t="str">
        <x:v>No category demand inference</x:v>
      </x:c>
    </x:row>
    <x:row r="175" ht="70" customHeight="1">
      <x:c r="A175" s="2" t="str">
        <x:v>C-POP-NPL</x:v>
      </x:c>
      <x:c r="B175" s="2" t="str">
        <x:v>Population projectionpath</x:v>
      </x:c>
      <x:c r="C175" s="2" t="str">
        <x:v>WPP thousands×1000;2051/2026−1</x:v>
      </x:c>
      <x:c r="D175" s="2" t="str">
        <x:v>{"2026": 29629410.0, "2030": 30509996.0, "2035": 31798004.0, "2040": 32909536.999999996, "2045": 33861060.0, "2050": 34642027.0, "2051": 34777003.0}</x:v>
      </x:c>
      <x:c r="E175" s="2" t="str">
        <x:v>0.1737325515425383</x:v>
      </x:c>
      <x:c r="F175" s="2" t="str">
        <x:v>Persons /fractionchange</x:v>
      </x:c>
      <x:c r="G175" s="2" t="str">
        <x:v>UN_WPP_NPL</x:v>
      </x:c>
      <x:c r="H175" s="2" t="str">
        <x:v>UN_WPP</x:v>
      </x:c>
      <x:c r="I175" s="2" t="str"/>
      <x:c r="J175" s="2" t="str">
        <x:v>Countries</x:v>
      </x:c>
      <x:c r="K175" s="2" t="str">
        <x:v>scripts/olam-analyse.py</x:v>
      </x:c>
      <x:c r="L175" s="2" t="str">
        <x:v>7 /atlas</x:v>
      </x:c>
      <x:c r="M175" s="2" t="str">
        <x:v>No category demand inference</x:v>
      </x:c>
    </x:row>
    <x:row r="176" ht="70" customHeight="1">
      <x:c r="A176" s="2" t="str">
        <x:v>C-POP-NLD</x:v>
      </x:c>
      <x:c r="B176" s="2" t="str">
        <x:v>Population projectionpath</x:v>
      </x:c>
      <x:c r="C176" s="2" t="str">
        <x:v>WPP thousands×1000;2051/2026−1</x:v>
      </x:c>
      <x:c r="D176" s="2" t="str">
        <x:v>{"2026": 18448775.0, "2030": 18757217.0, "2035": 18977352.0, "2040": 19062983.0, "2045": 19041975.0, "2050": 18958475.0, "2051": 18934376.0}</x:v>
      </x:c>
      <x:c r="E176" s="2" t="str">
        <x:v>0.026321585037488937</x:v>
      </x:c>
      <x:c r="F176" s="2" t="str">
        <x:v>Persons /fractionchange</x:v>
      </x:c>
      <x:c r="G176" s="2" t="str">
        <x:v>UN_WPP_NLD</x:v>
      </x:c>
      <x:c r="H176" s="2" t="str">
        <x:v>UN_WPP</x:v>
      </x:c>
      <x:c r="I176" s="2" t="str"/>
      <x:c r="J176" s="2" t="str">
        <x:v>Countries</x:v>
      </x:c>
      <x:c r="K176" s="2" t="str">
        <x:v>scripts/olam-analyse.py</x:v>
      </x:c>
      <x:c r="L176" s="2" t="str">
        <x:v>7 /atlas</x:v>
      </x:c>
      <x:c r="M176" s="2" t="str">
        <x:v>No category demand inference</x:v>
      </x:c>
    </x:row>
    <x:row r="177" ht="70" customHeight="1">
      <x:c r="A177" s="2" t="str">
        <x:v>C-POP-NZL</x:v>
      </x:c>
      <x:c r="B177" s="2" t="str">
        <x:v>Population projectionpath</x:v>
      </x:c>
      <x:c r="C177" s="2" t="str">
        <x:v>WPP thousands×1000;2051/2026−1</x:v>
      </x:c>
      <x:c r="D177" s="2" t="str">
        <x:v>{"2026": 5287479.0, "2030": 5407349.0, "2035": 5520602.0, "2040": 5617291.0, "2045": 5700556.0, "2050": 5755288.0, "2051": 5766716.0}</x:v>
      </x:c>
      <x:c r="E177" s="2" t="str">
        <x:v>0.0906361992170559</x:v>
      </x:c>
      <x:c r="F177" s="2" t="str">
        <x:v>Persons /fractionchange</x:v>
      </x:c>
      <x:c r="G177" s="2" t="str">
        <x:v>UN_WPP_NZL</x:v>
      </x:c>
      <x:c r="H177" s="2" t="str">
        <x:v>UN_WPP</x:v>
      </x:c>
      <x:c r="I177" s="2" t="str"/>
      <x:c r="J177" s="2" t="str">
        <x:v>Countries</x:v>
      </x:c>
      <x:c r="K177" s="2" t="str">
        <x:v>scripts/olam-analyse.py</x:v>
      </x:c>
      <x:c r="L177" s="2" t="str">
        <x:v>7 /atlas</x:v>
      </x:c>
      <x:c r="M177" s="2" t="str">
        <x:v>No category demand inference</x:v>
      </x:c>
    </x:row>
    <x:row r="178" ht="70" customHeight="1">
      <x:c r="A178" s="2" t="str">
        <x:v>C-POP-NIC</x:v>
      </x:c>
      <x:c r="B178" s="2" t="str">
        <x:v>Population projectionpath</x:v>
      </x:c>
      <x:c r="C178" s="2" t="str">
        <x:v>WPP thousands×1000;2051/2026−1</x:v>
      </x:c>
      <x:c r="D178" s="2" t="str">
        <x:v>{"2026": 7097329.0, "2030": 7441603.0, "2035": 7836703.0, "2040": 8189914.0, "2045": 8497615.0, "2050": 8756430.0, "2051": 8801962.0}</x:v>
      </x:c>
      <x:c r="E178" s="2" t="str">
        <x:v>0.24017950978459646</x:v>
      </x:c>
      <x:c r="F178" s="2" t="str">
        <x:v>Persons /fractionchange</x:v>
      </x:c>
      <x:c r="G178" s="2" t="str">
        <x:v>UN_WPP_NIC</x:v>
      </x:c>
      <x:c r="H178" s="2" t="str">
        <x:v>UN_WPP</x:v>
      </x:c>
      <x:c r="I178" s="2" t="str"/>
      <x:c r="J178" s="2" t="str">
        <x:v>Countries</x:v>
      </x:c>
      <x:c r="K178" s="2" t="str">
        <x:v>scripts/olam-analyse.py</x:v>
      </x:c>
      <x:c r="L178" s="2" t="str">
        <x:v>7 /atlas</x:v>
      </x:c>
      <x:c r="M178" s="2" t="str">
        <x:v>No category demand inference</x:v>
      </x:c>
    </x:row>
    <x:row r="179" ht="70" customHeight="1">
      <x:c r="A179" s="2" t="str">
        <x:v>C-POP-NER</x:v>
      </x:c>
      <x:c r="B179" s="2" t="str">
        <x:v>Population projectionpath</x:v>
      </x:c>
      <x:c r="C179" s="2" t="str">
        <x:v>WPP thousands×1000;2051/2026−1</x:v>
      </x:c>
      <x:c r="D179" s="2" t="str">
        <x:v>{"2026": 28814878.0, "2030": 32518075.0, "2035": 37353463.0, "2040": 42316740.0, "2045": 47374117.0, "2050": 52513876.0, "2051": 53546930.0}</x:v>
      </x:c>
      <x:c r="E179" s="2" t="str">
        <x:v>0.8583084058173003</x:v>
      </x:c>
      <x:c r="F179" s="2" t="str">
        <x:v>Persons /fractionchange</x:v>
      </x:c>
      <x:c r="G179" s="2" t="str">
        <x:v>UN_WPP_NER</x:v>
      </x:c>
      <x:c r="H179" s="2" t="str">
        <x:v>UN_WPP</x:v>
      </x:c>
      <x:c r="I179" s="2" t="str"/>
      <x:c r="J179" s="2" t="str">
        <x:v>Countries</x:v>
      </x:c>
      <x:c r="K179" s="2" t="str">
        <x:v>scripts/olam-analyse.py</x:v>
      </x:c>
      <x:c r="L179" s="2" t="str">
        <x:v>7 /atlas</x:v>
      </x:c>
      <x:c r="M179" s="2" t="str">
        <x:v>No category demand inference</x:v>
      </x:c>
    </x:row>
    <x:row r="180" ht="70" customHeight="1">
      <x:c r="A180" s="2" t="str">
        <x:v>C-POP-NGA</x:v>
      </x:c>
      <x:c r="B180" s="2" t="str">
        <x:v>Population projectionpath</x:v>
      </x:c>
      <x:c r="C180" s="2" t="str">
        <x:v>WPP thousands×1000;2051/2026−1</x:v>
      </x:c>
      <x:c r="D180" s="2" t="str">
        <x:v>{"2026": 242431832.0, "2030": 262380969.99999997, "2035": 287685763.0, "2040": 312710416.0, "2045": 336662502.0, "2050": 359185556.0, "2051": 363523611.0}</x:v>
      </x:c>
      <x:c r="E180" s="2" t="str">
        <x:v>0.49948795090572107</x:v>
      </x:c>
      <x:c r="F180" s="2" t="str">
        <x:v>Persons /fractionchange</x:v>
      </x:c>
      <x:c r="G180" s="2" t="str">
        <x:v>UN_WPP_NGA</x:v>
      </x:c>
      <x:c r="H180" s="2" t="str">
        <x:v>UN_WPP</x:v>
      </x:c>
      <x:c r="I180" s="2" t="str"/>
      <x:c r="J180" s="2" t="str">
        <x:v>Countries</x:v>
      </x:c>
      <x:c r="K180" s="2" t="str">
        <x:v>scripts/olam-analyse.py</x:v>
      </x:c>
      <x:c r="L180" s="2" t="str">
        <x:v>7 /atlas</x:v>
      </x:c>
      <x:c r="M180" s="2" t="str">
        <x:v>No category demand inference</x:v>
      </x:c>
    </x:row>
    <x:row r="181" ht="70" customHeight="1">
      <x:c r="A181" s="2" t="str">
        <x:v>C-POP-MKD</x:v>
      </x:c>
      <x:c r="B181" s="2" t="str">
        <x:v>Population projectionpath</x:v>
      </x:c>
      <x:c r="C181" s="2" t="str">
        <x:v>WPP thousands×1000;2051/2026−1</x:v>
      </x:c>
      <x:c r="D181" s="2" t="str">
        <x:v>{"2026": 1804063.0, "2030": 1762486.0, "2035": 1704194.0, "2040": 1641908.0, "2045": 1577355.0, "2050": 1512688.0, "2051": 1499303.0}</x:v>
      </x:c>
      <x:c r="E181" s="2" t="str">
        <x:v>-0.16892979901477945</x:v>
      </x:c>
      <x:c r="F181" s="2" t="str">
        <x:v>Persons /fractionchange</x:v>
      </x:c>
      <x:c r="G181" s="2" t="str">
        <x:v>UN_WPP_MKD</x:v>
      </x:c>
      <x:c r="H181" s="2" t="str">
        <x:v>UN_WPP</x:v>
      </x:c>
      <x:c r="I181" s="2" t="str"/>
      <x:c r="J181" s="2" t="str">
        <x:v>Countries</x:v>
      </x:c>
      <x:c r="K181" s="2" t="str">
        <x:v>scripts/olam-analyse.py</x:v>
      </x:c>
      <x:c r="L181" s="2" t="str">
        <x:v>7 /atlas</x:v>
      </x:c>
      <x:c r="M181" s="2" t="str">
        <x:v>No category demand inference</x:v>
      </x:c>
    </x:row>
    <x:row r="182" ht="70" customHeight="1">
      <x:c r="A182" s="2" t="str">
        <x:v>C-POP-NOR</x:v>
      </x:c>
      <x:c r="B182" s="2" t="str">
        <x:v>Population projectionpath</x:v>
      </x:c>
      <x:c r="C182" s="2" t="str">
        <x:v>WPP thousands×1000;2051/2026−1</x:v>
      </x:c>
      <x:c r="D182" s="2" t="str">
        <x:v>{"2026": 5652989.0, "2030": 5729095.0, "2035": 5801417.0, "2040": 5853869.0, "2045": 5886017.0, "2050": 5899829.0, "2051": 5899792.0}</x:v>
      </x:c>
      <x:c r="E182" s="2" t="str">
        <x:v>0.043658850211808264</x:v>
      </x:c>
      <x:c r="F182" s="2" t="str">
        <x:v>Persons /fractionchange</x:v>
      </x:c>
      <x:c r="G182" s="2" t="str">
        <x:v>UN_WPP_NOR</x:v>
      </x:c>
      <x:c r="H182" s="2" t="str">
        <x:v>UN_WPP</x:v>
      </x:c>
      <x:c r="I182" s="2" t="str"/>
      <x:c r="J182" s="2" t="str">
        <x:v>Countries</x:v>
      </x:c>
      <x:c r="K182" s="2" t="str">
        <x:v>scripts/olam-analyse.py</x:v>
      </x:c>
      <x:c r="L182" s="2" t="str">
        <x:v>7 /atlas</x:v>
      </x:c>
      <x:c r="M182" s="2" t="str">
        <x:v>No category demand inference</x:v>
      </x:c>
    </x:row>
    <x:row r="183" ht="70" customHeight="1">
      <x:c r="A183" s="2" t="str">
        <x:v>C-POP-OMN</x:v>
      </x:c>
      <x:c r="B183" s="2" t="str">
        <x:v>Population projectionpath</x:v>
      </x:c>
      <x:c r="C183" s="2" t="str">
        <x:v>WPP thousands×1000;2051/2026−1</x:v>
      </x:c>
      <x:c r="D183" s="2" t="str">
        <x:v>{"2026": 5671458.0, "2030": 6112706.0, "2035": 6517803.0, "2040": 6931974.0, "2045": 7370225.0, "2050": 7827002.0, "2051": 7920185.0}</x:v>
      </x:c>
      <x:c r="E183" s="2" t="str">
        <x:v>0.3964989249677948</x:v>
      </x:c>
      <x:c r="F183" s="2" t="str">
        <x:v>Persons /fractionchange</x:v>
      </x:c>
      <x:c r="G183" s="2" t="str">
        <x:v>UN_WPP_OMN</x:v>
      </x:c>
      <x:c r="H183" s="2" t="str">
        <x:v>UN_WPP</x:v>
      </x:c>
      <x:c r="I183" s="2" t="str"/>
      <x:c r="J183" s="2" t="str">
        <x:v>Countries</x:v>
      </x:c>
      <x:c r="K183" s="2" t="str">
        <x:v>scripts/olam-analyse.py</x:v>
      </x:c>
      <x:c r="L183" s="2" t="str">
        <x:v>7 /atlas</x:v>
      </x:c>
      <x:c r="M183" s="2" t="str">
        <x:v>No category demand inference</x:v>
      </x:c>
    </x:row>
    <x:row r="184" ht="70" customHeight="1">
      <x:c r="A184" s="2" t="str">
        <x:v>C-POP-PAK</x:v>
      </x:c>
      <x:c r="B184" s="2" t="str">
        <x:v>Population projectionpath</x:v>
      </x:c>
      <x:c r="C184" s="2" t="str">
        <x:v>WPP thousands×1000;2051/2026−1</x:v>
      </x:c>
      <x:c r="D184" s="2" t="str">
        <x:v>{"2026": 259299791.0, "2030": 276883255.0, "2035": 300643508.0, "2040": 324937697.0, "2045": 348837726.0, "2050": 371863793.0, "2051": 376335025.0}</x:v>
      </x:c>
      <x:c r="E184" s="2" t="str">
        <x:v>0.451351054116353</x:v>
      </x:c>
      <x:c r="F184" s="2" t="str">
        <x:v>Persons /fractionchange</x:v>
      </x:c>
      <x:c r="G184" s="2" t="str">
        <x:v>UN_WPP_PAK</x:v>
      </x:c>
      <x:c r="H184" s="2" t="str">
        <x:v>UN_WPP</x:v>
      </x:c>
      <x:c r="I184" s="2" t="str"/>
      <x:c r="J184" s="2" t="str">
        <x:v>Countries</x:v>
      </x:c>
      <x:c r="K184" s="2" t="str">
        <x:v>scripts/olam-analyse.py</x:v>
      </x:c>
      <x:c r="L184" s="2" t="str">
        <x:v>7 /atlas</x:v>
      </x:c>
      <x:c r="M184" s="2" t="str">
        <x:v>No category demand inference</x:v>
      </x:c>
    </x:row>
    <x:row r="185" ht="70" customHeight="1">
      <x:c r="A185" s="2" t="str">
        <x:v>C-POP-PLW</x:v>
      </x:c>
      <x:c r="B185" s="2" t="str">
        <x:v>Population projectionpath</x:v>
      </x:c>
      <x:c r="C185" s="2" t="str">
        <x:v>WPP thousands×1000;2051/2026−1</x:v>
      </x:c>
      <x:c r="D185" s="2" t="str">
        <x:v>{"2026": 17614.0, "2030": 17376.0, "2035": 17015.0, "2040": 16602.0, "2045": 16088.999999999998, "2050": 15518.0, "2051": 15403.0}</x:v>
      </x:c>
      <x:c r="E185" s="2" t="str">
        <x:v>-0.12552515044850687</x:v>
      </x:c>
      <x:c r="F185" s="2" t="str">
        <x:v>Persons /fractionchange</x:v>
      </x:c>
      <x:c r="G185" s="2" t="str">
        <x:v>UN_WPP_PLW</x:v>
      </x:c>
      <x:c r="H185" s="2" t="str">
        <x:v>UN_WPP</x:v>
      </x:c>
      <x:c r="I185" s="2" t="str"/>
      <x:c r="J185" s="2" t="str">
        <x:v>Countries</x:v>
      </x:c>
      <x:c r="K185" s="2" t="str">
        <x:v>scripts/olam-analyse.py</x:v>
      </x:c>
      <x:c r="L185" s="2" t="str">
        <x:v>7 /atlas</x:v>
      </x:c>
      <x:c r="M185" s="2" t="str">
        <x:v>No category demand inference</x:v>
      </x:c>
    </x:row>
    <x:row r="186" ht="70" customHeight="1">
      <x:c r="A186" s="2" t="str">
        <x:v>C-POP-PAN</x:v>
      </x:c>
      <x:c r="B186" s="2" t="str">
        <x:v>Population projectionpath</x:v>
      </x:c>
      <x:c r="C186" s="2" t="str">
        <x:v>WPP thousands×1000;2051/2026−1</x:v>
      </x:c>
      <x:c r="D186" s="2" t="str">
        <x:v>{"2026": 4625718.0, "2030": 4833859.0, "2035": 5072263.0, "2040": 5286592.0, "2045": 5473276.0, "2050": 5630680.0, "2051": 5658479.0}</x:v>
      </x:c>
      <x:c r="E186" s="2" t="str">
        <x:v>0.22326501529059928</x:v>
      </x:c>
      <x:c r="F186" s="2" t="str">
        <x:v>Persons /fractionchange</x:v>
      </x:c>
      <x:c r="G186" s="2" t="str">
        <x:v>UN_WPP_PAN</x:v>
      </x:c>
      <x:c r="H186" s="2" t="str">
        <x:v>UN_WPP</x:v>
      </x:c>
      <x:c r="I186" s="2" t="str"/>
      <x:c r="J186" s="2" t="str">
        <x:v>Countries</x:v>
      </x:c>
      <x:c r="K186" s="2" t="str">
        <x:v>scripts/olam-analyse.py</x:v>
      </x:c>
      <x:c r="L186" s="2" t="str">
        <x:v>7 /atlas</x:v>
      </x:c>
      <x:c r="M186" s="2" t="str">
        <x:v>No category demand inference</x:v>
      </x:c>
    </x:row>
    <x:row r="187" ht="70" customHeight="1">
      <x:c r="A187" s="2" t="str">
        <x:v>C-POP-PNG</x:v>
      </x:c>
      <x:c r="B187" s="2" t="str">
        <x:v>Population projectionpath</x:v>
      </x:c>
      <x:c r="C187" s="2" t="str">
        <x:v>WPP thousands×1000;2051/2026−1</x:v>
      </x:c>
      <x:c r="D187" s="2" t="str">
        <x:v>{"2026": 10947848.0, "2030": 11671424.0, "2035": 12540603.0, "2040": 13376160.0, "2045": 14165588.0, "2050": 14906590.0, "2051": 15046436.0}</x:v>
      </x:c>
      <x:c r="E187" s="2" t="str">
        <x:v>0.37437384954559105</x:v>
      </x:c>
      <x:c r="F187" s="2" t="str">
        <x:v>Persons /fractionchange</x:v>
      </x:c>
      <x:c r="G187" s="2" t="str">
        <x:v>UN_WPP_PNG</x:v>
      </x:c>
      <x:c r="H187" s="2" t="str">
        <x:v>UN_WPP</x:v>
      </x:c>
      <x:c r="I187" s="2" t="str"/>
      <x:c r="J187" s="2" t="str">
        <x:v>Countries</x:v>
      </x:c>
      <x:c r="K187" s="2" t="str">
        <x:v>scripts/olam-analyse.py</x:v>
      </x:c>
      <x:c r="L187" s="2" t="str">
        <x:v>7 /atlas</x:v>
      </x:c>
      <x:c r="M187" s="2" t="str">
        <x:v>No category demand inference</x:v>
      </x:c>
    </x:row>
    <x:row r="188" ht="70" customHeight="1">
      <x:c r="A188" s="2" t="str">
        <x:v>C-POP-PRY</x:v>
      </x:c>
      <x:c r="B188" s="2" t="str">
        <x:v>Population projectionpath</x:v>
      </x:c>
      <x:c r="C188" s="2" t="str">
        <x:v>WPP thousands×1000;2051/2026−1</x:v>
      </x:c>
      <x:c r="D188" s="2" t="str">
        <x:v>{"2026": 7095279.0, "2030": 7407618.0, "2035": 7763520.0, "2040": 8087572.0, "2045": 8380530.000000001, "2050": 8640464.0, "2051": 8687836.0}</x:v>
      </x:c>
      <x:c r="E188" s="2" t="str">
        <x:v>0.22445304828745982</x:v>
      </x:c>
      <x:c r="F188" s="2" t="str">
        <x:v>Persons /fractionchange</x:v>
      </x:c>
      <x:c r="G188" s="2" t="str">
        <x:v>UN_WPP_PRY</x:v>
      </x:c>
      <x:c r="H188" s="2" t="str">
        <x:v>UN_WPP</x:v>
      </x:c>
      <x:c r="I188" s="2" t="str"/>
      <x:c r="J188" s="2" t="str">
        <x:v>Countries</x:v>
      </x:c>
      <x:c r="K188" s="2" t="str">
        <x:v>scripts/olam-analyse.py</x:v>
      </x:c>
      <x:c r="L188" s="2" t="str">
        <x:v>7 /atlas</x:v>
      </x:c>
      <x:c r="M188" s="2" t="str">
        <x:v>No category demand inference</x:v>
      </x:c>
    </x:row>
    <x:row r="189" ht="70" customHeight="1">
      <x:c r="A189" s="2" t="str">
        <x:v>C-POP-PER</x:v>
      </x:c>
      <x:c r="B189" s="2" t="str">
        <x:v>Population projectionpath</x:v>
      </x:c>
      <x:c r="C189" s="2" t="str">
        <x:v>WPP thousands×1000;2051/2026−1</x:v>
      </x:c>
      <x:c r="D189" s="2" t="str">
        <x:v>{"2026": 34922148.0, "2030": 36193880.0, "2035": 37591425.0, "2040": 38794649.0, "2045": 39796724.0, "2050": 40583876.0, "2051": 40716361.0}</x:v>
      </x:c>
      <x:c r="E189" s="2" t="str">
        <x:v>0.1659180013783803</x:v>
      </x:c>
      <x:c r="F189" s="2" t="str">
        <x:v>Persons /fractionchange</x:v>
      </x:c>
      <x:c r="G189" s="2" t="str">
        <x:v>UN_WPP_PER</x:v>
      </x:c>
      <x:c r="H189" s="2" t="str">
        <x:v>UN_WPP</x:v>
      </x:c>
      <x:c r="I189" s="2" t="str"/>
      <x:c r="J189" s="2" t="str">
        <x:v>Countries</x:v>
      </x:c>
      <x:c r="K189" s="2" t="str">
        <x:v>scripts/olam-analyse.py</x:v>
      </x:c>
      <x:c r="L189" s="2" t="str">
        <x:v>7 /atlas</x:v>
      </x:c>
      <x:c r="M189" s="2" t="str">
        <x:v>No category demand inference</x:v>
      </x:c>
    </x:row>
    <x:row r="190" ht="70" customHeight="1">
      <x:c r="A190" s="2" t="str">
        <x:v>C-POP-PHL</x:v>
      </x:c>
      <x:c r="B190" s="2" t="str">
        <x:v>Population projectionpath</x:v>
      </x:c>
      <x:c r="C190" s="2" t="str">
        <x:v>WPP thousands×1000;2051/2026−1</x:v>
      </x:c>
      <x:c r="D190" s="2" t="str">
        <x:v>{"2026": 117724471.0, "2030": 121408895.0, "2035": 125740971.0, "2040": 129546659.0, "2045": 132492032.0, "2050": 134373439.0, "2051": 134612611.0}</x:v>
      </x:c>
      <x:c r="E190" s="2" t="str">
        <x:v>0.143454796241981</x:v>
      </x:c>
      <x:c r="F190" s="2" t="str">
        <x:v>Persons /fractionchange</x:v>
      </x:c>
      <x:c r="G190" s="2" t="str">
        <x:v>UN_WPP_PHL</x:v>
      </x:c>
      <x:c r="H190" s="2" t="str">
        <x:v>UN_WPP</x:v>
      </x:c>
      <x:c r="I190" s="2" t="str"/>
      <x:c r="J190" s="2" t="str">
        <x:v>Countries</x:v>
      </x:c>
      <x:c r="K190" s="2" t="str">
        <x:v>scripts/olam-analyse.py</x:v>
      </x:c>
      <x:c r="L190" s="2" t="str">
        <x:v>7 /atlas</x:v>
      </x:c>
      <x:c r="M190" s="2" t="str">
        <x:v>No category demand inference</x:v>
      </x:c>
    </x:row>
    <x:row r="191" ht="70" customHeight="1">
      <x:c r="A191" s="2" t="str">
        <x:v>C-POP-POL</x:v>
      </x:c>
      <x:c r="B191" s="2" t="str">
        <x:v>Population projectionpath</x:v>
      </x:c>
      <x:c r="C191" s="2" t="str">
        <x:v>WPP thousands×1000;2051/2026−1</x:v>
      </x:c>
      <x:c r="D191" s="2" t="str">
        <x:v>{"2026": 37843188.0, "2030": 37198543.0, "2035": 36243787.0, "2040": 35179554.0, "2045": 34031059.0, "2050": 32814095.999999996, "2051": 32561485.0}</x:v>
      </x:c>
      <x:c r="E191" s="2" t="str">
        <x:v>-0.1395681304651183</x:v>
      </x:c>
      <x:c r="F191" s="2" t="str">
        <x:v>Persons /fractionchange</x:v>
      </x:c>
      <x:c r="G191" s="2" t="str">
        <x:v>UN_WPP_POL</x:v>
      </x:c>
      <x:c r="H191" s="2" t="str">
        <x:v>UN_WPP</x:v>
      </x:c>
      <x:c r="I191" s="2" t="str"/>
      <x:c r="J191" s="2" t="str">
        <x:v>Countries</x:v>
      </x:c>
      <x:c r="K191" s="2" t="str">
        <x:v>scripts/olam-analyse.py</x:v>
      </x:c>
      <x:c r="L191" s="2" t="str">
        <x:v>7 /atlas</x:v>
      </x:c>
      <x:c r="M191" s="2" t="str">
        <x:v>No category demand inference</x:v>
      </x:c>
    </x:row>
    <x:row r="192" ht="70" customHeight="1">
      <x:c r="A192" s="2" t="str">
        <x:v>C-POP-PRT</x:v>
      </x:c>
      <x:c r="B192" s="2" t="str">
        <x:v>Population projectionpath</x:v>
      </x:c>
      <x:c r="C192" s="2" t="str">
        <x:v>WPP thousands×1000;2051/2026−1</x:v>
      </x:c>
      <x:c r="D192" s="2" t="str">
        <x:v>{"2026": 10395362.0, "2030": 10317927.0, "2035": 10208240.0, "2040": 10082255.0, "2045": 9938389.0, "2050": 9770271.0, "2051": 9734815.0}</x:v>
      </x:c>
      <x:c r="E192" s="2" t="str">
        <x:v>-0.06354247211400621</x:v>
      </x:c>
      <x:c r="F192" s="2" t="str">
        <x:v>Persons /fractionchange</x:v>
      </x:c>
      <x:c r="G192" s="2" t="str">
        <x:v>UN_WPP_PRT</x:v>
      </x:c>
      <x:c r="H192" s="2" t="str">
        <x:v>UN_WPP</x:v>
      </x:c>
      <x:c r="I192" s="2" t="str"/>
      <x:c r="J192" s="2" t="str">
        <x:v>Countries</x:v>
      </x:c>
      <x:c r="K192" s="2" t="str">
        <x:v>scripts/olam-analyse.py</x:v>
      </x:c>
      <x:c r="L192" s="2" t="str">
        <x:v>7 /atlas</x:v>
      </x:c>
      <x:c r="M192" s="2" t="str">
        <x:v>No category demand inference</x:v>
      </x:c>
    </x:row>
    <x:row r="193" ht="70" customHeight="1">
      <x:c r="A193" s="2" t="str">
        <x:v>C-POP-QAT</x:v>
      </x:c>
      <x:c r="B193" s="2" t="str">
        <x:v>Population projectionpath</x:v>
      </x:c>
      <x:c r="C193" s="2" t="str">
        <x:v>WPP thousands×1000;2051/2026−1</x:v>
      </x:c>
      <x:c r="D193" s="2" t="str">
        <x:v>{"2026": 3173559.0, "2030": 3333610.0, "2035": 3511258.0, "2040": 3711503.0, "2045": 3930896.0, "2050": 4164461.0000000005, "2051": 4212656.0}</x:v>
      </x:c>
      <x:c r="E193" s="2" t="str">
        <x:v>0.32742324941808243</x:v>
      </x:c>
      <x:c r="F193" s="2" t="str">
        <x:v>Persons /fractionchange</x:v>
      </x:c>
      <x:c r="G193" s="2" t="str">
        <x:v>UN_WPP_QAT</x:v>
      </x:c>
      <x:c r="H193" s="2" t="str">
        <x:v>UN_WPP</x:v>
      </x:c>
      <x:c r="I193" s="2" t="str"/>
      <x:c r="J193" s="2" t="str">
        <x:v>Countries</x:v>
      </x:c>
      <x:c r="K193" s="2" t="str">
        <x:v>scripts/olam-analyse.py</x:v>
      </x:c>
      <x:c r="L193" s="2" t="str">
        <x:v>7 /atlas</x:v>
      </x:c>
      <x:c r="M193" s="2" t="str">
        <x:v>No category demand inference</x:v>
      </x:c>
    </x:row>
    <x:row r="194" ht="70" customHeight="1">
      <x:c r="A194" s="2" t="str">
        <x:v>C-POP-KOR</x:v>
      </x:c>
      <x:c r="B194" s="2" t="str">
        <x:v>Population projectionpath</x:v>
      </x:c>
      <x:c r="C194" s="2" t="str">
        <x:v>WPP thousands×1000;2051/2026−1</x:v>
      </x:c>
      <x:c r="D194" s="2" t="str">
        <x:v>{"2026": 51600388.0, "2030": 51188584.0, "2035": 50300733.0, "2040": 48948687.0, "2045": 47232956.0, "2050": 45143134.0, "2051": 44671149.0}</x:v>
      </x:c>
      <x:c r="E194" s="2" t="str">
        <x:v>-0.13428656776766867</x:v>
      </x:c>
      <x:c r="F194" s="2" t="str">
        <x:v>Persons /fractionchange</x:v>
      </x:c>
      <x:c r="G194" s="2" t="str">
        <x:v>UN_WPP_KOR</x:v>
      </x:c>
      <x:c r="H194" s="2" t="str">
        <x:v>UN_WPP</x:v>
      </x:c>
      <x:c r="I194" s="2" t="str"/>
      <x:c r="J194" s="2" t="str">
        <x:v>Countries</x:v>
      </x:c>
      <x:c r="K194" s="2" t="str">
        <x:v>scripts/olam-analyse.py</x:v>
      </x:c>
      <x:c r="L194" s="2" t="str">
        <x:v>7 /atlas</x:v>
      </x:c>
      <x:c r="M194" s="2" t="str">
        <x:v>No category demand inference</x:v>
      </x:c>
    </x:row>
    <x:row r="195" ht="70" customHeight="1">
      <x:c r="A195" s="2" t="str">
        <x:v>C-POP-MDA</x:v>
      </x:c>
      <x:c r="B195" s="2" t="str">
        <x:v>Population projectionpath</x:v>
      </x:c>
      <x:c r="C195" s="2" t="str">
        <x:v>WPP thousands×1000;2051/2026−1</x:v>
      </x:c>
      <x:c r="D195" s="2" t="str">
        <x:v>{"2026": 2961253.0, "2030": 2845242.0, "2035": 2702010.0, "2040": 2568810.0, "2045": 2454941.0, "2050": 2351809.0, "2051": 2331186.0}</x:v>
      </x:c>
      <x:c r="E195" s="2" t="str">
        <x:v>-0.21277040496033262</x:v>
      </x:c>
      <x:c r="F195" s="2" t="str">
        <x:v>Persons /fractionchange</x:v>
      </x:c>
      <x:c r="G195" s="2" t="str">
        <x:v>UN_WPP_MDA</x:v>
      </x:c>
      <x:c r="H195" s="2" t="str">
        <x:v>UN_WPP</x:v>
      </x:c>
      <x:c r="I195" s="2" t="str"/>
      <x:c r="J195" s="2" t="str">
        <x:v>Countries</x:v>
      </x:c>
      <x:c r="K195" s="2" t="str">
        <x:v>scripts/olam-analyse.py</x:v>
      </x:c>
      <x:c r="L195" s="2" t="str">
        <x:v>7 /atlas</x:v>
      </x:c>
      <x:c r="M195" s="2" t="str">
        <x:v>No category demand inference</x:v>
      </x:c>
    </x:row>
    <x:row r="196" ht="70" customHeight="1">
      <x:c r="A196" s="2" t="str">
        <x:v>C-POP-ROU</x:v>
      </x:c>
      <x:c r="B196" s="2" t="str">
        <x:v>Population projectionpath</x:v>
      </x:c>
      <x:c r="C196" s="2" t="str">
        <x:v>WPP thousands×1000;2051/2026−1</x:v>
      </x:c>
      <x:c r="D196" s="2" t="str">
        <x:v>{"2026": 18800605.0, "2030": 18359507.0, "2035": 17794417.0, "2040": 17209718.0, "2045": 16620320.0, "2050": 16027266.0, "2051": 15907818.0}</x:v>
      </x:c>
      <x:c r="E196" s="2" t="str">
        <x:v>-0.15386669737489833</x:v>
      </x:c>
      <x:c r="F196" s="2" t="str">
        <x:v>Persons /fractionchange</x:v>
      </x:c>
      <x:c r="G196" s="2" t="str">
        <x:v>UN_WPP_ROU</x:v>
      </x:c>
      <x:c r="H196" s="2" t="str">
        <x:v>UN_WPP</x:v>
      </x:c>
      <x:c r="I196" s="2" t="str"/>
      <x:c r="J196" s="2" t="str">
        <x:v>Countries</x:v>
      </x:c>
      <x:c r="K196" s="2" t="str">
        <x:v>scripts/olam-analyse.py</x:v>
      </x:c>
      <x:c r="L196" s="2" t="str">
        <x:v>7 /atlas</x:v>
      </x:c>
      <x:c r="M196" s="2" t="str">
        <x:v>No category demand inference</x:v>
      </x:c>
    </x:row>
    <x:row r="197" ht="70" customHeight="1">
      <x:c r="A197" s="2" t="str">
        <x:v>C-POP-RUS</x:v>
      </x:c>
      <x:c r="B197" s="2" t="str">
        <x:v>Population projectionpath</x:v>
      </x:c>
      <x:c r="C197" s="2" t="str">
        <x:v>WPP thousands×1000;2051/2026−1</x:v>
      </x:c>
      <x:c r="D197" s="2" t="str">
        <x:v>{"2026": 143394458.0, "2030": 141889410.0, "2035": 139909641.0, "2040": 138281831.0, "2045": 137152207.0, "2050": 136132775.0, "2051": 135876189.0}</x:v>
      </x:c>
      <x:c r="E197" s="2" t="str">
        <x:v>-0.05243068041025689</x:v>
      </x:c>
      <x:c r="F197" s="2" t="str">
        <x:v>Persons /fractionchange</x:v>
      </x:c>
      <x:c r="G197" s="2" t="str">
        <x:v>UN_WPP_RUS</x:v>
      </x:c>
      <x:c r="H197" s="2" t="str">
        <x:v>UN_WPP</x:v>
      </x:c>
      <x:c r="I197" s="2" t="str"/>
      <x:c r="J197" s="2" t="str">
        <x:v>Countries</x:v>
      </x:c>
      <x:c r="K197" s="2" t="str">
        <x:v>scripts/olam-analyse.py</x:v>
      </x:c>
      <x:c r="L197" s="2" t="str">
        <x:v>7 /atlas</x:v>
      </x:c>
      <x:c r="M197" s="2" t="str">
        <x:v>No category demand inference</x:v>
      </x:c>
    </x:row>
    <x:row r="198" ht="70" customHeight="1">
      <x:c r="A198" s="2" t="str">
        <x:v>C-POP-RWA</x:v>
      </x:c>
      <x:c r="B198" s="2" t="str">
        <x:v>Population projectionpath</x:v>
      </x:c>
      <x:c r="C198" s="2" t="str">
        <x:v>WPP thousands×1000;2051/2026−1</x:v>
      </x:c>
      <x:c r="D198" s="2" t="str">
        <x:v>{"2026": 14889693.0, "2030": 16154705.0, "2035": 17746319.0, "2040": 19440770.0, "2045": 21152658.0, "2050": 22707910.0, "2051": 23007765.0}</x:v>
      </x:c>
      <x:c r="E198" s="2" t="str">
        <x:v>0.5452141961556898</x:v>
      </x:c>
      <x:c r="F198" s="2" t="str">
        <x:v>Persons /fractionchange</x:v>
      </x:c>
      <x:c r="G198" s="2" t="str">
        <x:v>UN_WPP_RWA</x:v>
      </x:c>
      <x:c r="H198" s="2" t="str">
        <x:v>UN_WPP</x:v>
      </x:c>
      <x:c r="I198" s="2" t="str"/>
      <x:c r="J198" s="2" t="str">
        <x:v>Countries</x:v>
      </x:c>
      <x:c r="K198" s="2" t="str">
        <x:v>scripts/olam-analyse.py</x:v>
      </x:c>
      <x:c r="L198" s="2" t="str">
        <x:v>7 /atlas</x:v>
      </x:c>
      <x:c r="M198" s="2" t="str">
        <x:v>No category demand inference</x:v>
      </x:c>
    </x:row>
    <x:row r="199" ht="70" customHeight="1">
      <x:c r="A199" s="2" t="str">
        <x:v>C-POP-KNA</x:v>
      </x:c>
      <x:c r="B199" s="2" t="str">
        <x:v>Population projectionpath</x:v>
      </x:c>
      <x:c r="C199" s="2" t="str">
        <x:v>WPP thousands×1000;2051/2026−1</x:v>
      </x:c>
      <x:c r="D199" s="2" t="str">
        <x:v>{"2026": 46992.0, "2030": 47134.0, "2035": 46928.0, "2040": 46313.0, "2045": 45367.0, "2050": 44249.0, "2051": 43998.0}</x:v>
      </x:c>
      <x:c r="E199" s="2" t="str">
        <x:v>-0.06371297242083762</x:v>
      </x:c>
      <x:c r="F199" s="2" t="str">
        <x:v>Persons /fractionchange</x:v>
      </x:c>
      <x:c r="G199" s="2" t="str">
        <x:v>UN_WPP_KNA</x:v>
      </x:c>
      <x:c r="H199" s="2" t="str">
        <x:v>UN_WPP</x:v>
      </x:c>
      <x:c r="I199" s="2" t="str"/>
      <x:c r="J199" s="2" t="str">
        <x:v>Countries</x:v>
      </x:c>
      <x:c r="K199" s="2" t="str">
        <x:v>scripts/olam-analyse.py</x:v>
      </x:c>
      <x:c r="L199" s="2" t="str">
        <x:v>7 /atlas</x:v>
      </x:c>
      <x:c r="M199" s="2" t="str">
        <x:v>No category demand inference</x:v>
      </x:c>
    </x:row>
    <x:row r="200" ht="70" customHeight="1">
      <x:c r="A200" s="2" t="str">
        <x:v>C-POP-LCA</x:v>
      </x:c>
      <x:c r="B200" s="2" t="str">
        <x:v>Population projectionpath</x:v>
      </x:c>
      <x:c r="C200" s="2" t="str">
        <x:v>WPP thousands×1000;2051/2026−1</x:v>
      </x:c>
      <x:c r="D200" s="2" t="str">
        <x:v>{"2026": 180488.0, "2030": 181359.0, "2035": 181178.0, "2040": 179293.0, "2045": 176236.0, "2050": 172081.0, "2051": 171147.0}</x:v>
      </x:c>
      <x:c r="E200" s="2" t="str">
        <x:v>-0.05175413323877487</x:v>
      </x:c>
      <x:c r="F200" s="2" t="str">
        <x:v>Persons /fractionchange</x:v>
      </x:c>
      <x:c r="G200" s="2" t="str">
        <x:v>UN_WPP_LCA</x:v>
      </x:c>
      <x:c r="H200" s="2" t="str">
        <x:v>UN_WPP</x:v>
      </x:c>
      <x:c r="I200" s="2" t="str"/>
      <x:c r="J200" s="2" t="str">
        <x:v>Countries</x:v>
      </x:c>
      <x:c r="K200" s="2" t="str">
        <x:v>scripts/olam-analyse.py</x:v>
      </x:c>
      <x:c r="L200" s="2" t="str">
        <x:v>7 /atlas</x:v>
      </x:c>
      <x:c r="M200" s="2" t="str">
        <x:v>No category demand inference</x:v>
      </x:c>
    </x:row>
    <x:row r="201" ht="70" customHeight="1">
      <x:c r="A201" s="2" t="str">
        <x:v>C-POP-VCT</x:v>
      </x:c>
      <x:c r="B201" s="2" t="str">
        <x:v>Population projectionpath</x:v>
      </x:c>
      <x:c r="C201" s="2" t="str">
        <x:v>WPP thousands×1000;2051/2026−1</x:v>
      </x:c>
      <x:c r="D201" s="2" t="str">
        <x:v>{"2026": 99245.0, "2030": 96856.0, "2035": 94484.0, "2040": 92650.0, "2045": 90955.0, "2050": 88942.0, "2051": 88495.0}</x:v>
      </x:c>
      <x:c r="E201" s="2" t="str">
        <x:v>-0.10831779938535946</x:v>
      </x:c>
      <x:c r="F201" s="2" t="str">
        <x:v>Persons /fractionchange</x:v>
      </x:c>
      <x:c r="G201" s="2" t="str">
        <x:v>UN_WPP_VCT</x:v>
      </x:c>
      <x:c r="H201" s="2" t="str">
        <x:v>UN_WPP</x:v>
      </x:c>
      <x:c r="I201" s="2" t="str"/>
      <x:c r="J201" s="2" t="str">
        <x:v>Countries</x:v>
      </x:c>
      <x:c r="K201" s="2" t="str">
        <x:v>scripts/olam-analyse.py</x:v>
      </x:c>
      <x:c r="L201" s="2" t="str">
        <x:v>7 /atlas</x:v>
      </x:c>
      <x:c r="M201" s="2" t="str">
        <x:v>No category demand inference</x:v>
      </x:c>
    </x:row>
    <x:row r="202" ht="70" customHeight="1">
      <x:c r="A202" s="2" t="str">
        <x:v>C-POP-WSM</x:v>
      </x:c>
      <x:c r="B202" s="2" t="str">
        <x:v>Population projectionpath</x:v>
      </x:c>
      <x:c r="C202" s="2" t="str">
        <x:v>WPP thousands×1000;2051/2026−1</x:v>
      </x:c>
      <x:c r="D202" s="2" t="str">
        <x:v>{"2026": 220528.0, "2030": 225971.0, "2035": 235179.0, "2040": 247196.0, "2045": 260262.0, "2050": 272726.0, "2051": 275124.0}</x:v>
      </x:c>
      <x:c r="E202" s="2" t="str">
        <x:v>0.24756946963650872</x:v>
      </x:c>
      <x:c r="F202" s="2" t="str">
        <x:v>Persons /fractionchange</x:v>
      </x:c>
      <x:c r="G202" s="2" t="str">
        <x:v>UN_WPP_WSM</x:v>
      </x:c>
      <x:c r="H202" s="2" t="str">
        <x:v>UN_WPP</x:v>
      </x:c>
      <x:c r="I202" s="2" t="str"/>
      <x:c r="J202" s="2" t="str">
        <x:v>Countries</x:v>
      </x:c>
      <x:c r="K202" s="2" t="str">
        <x:v>scripts/olam-analyse.py</x:v>
      </x:c>
      <x:c r="L202" s="2" t="str">
        <x:v>7 /atlas</x:v>
      </x:c>
      <x:c r="M202" s="2" t="str">
        <x:v>No category demand inference</x:v>
      </x:c>
    </x:row>
    <x:row r="203" ht="70" customHeight="1">
      <x:c r="A203" s="2" t="str">
        <x:v>C-POP-SMR</x:v>
      </x:c>
      <x:c r="B203" s="2" t="str">
        <x:v>Population projectionpath</x:v>
      </x:c>
      <x:c r="C203" s="2" t="str">
        <x:v>WPP thousands×1000;2051/2026−1</x:v>
      </x:c>
      <x:c r="D203" s="2" t="str">
        <x:v>{"2026": 33605.0, "2030": 33742.0, "2035": 33828.0, "2040": 33969.0, "2045": 33920.0, "2050": 33696.0, "2051": 33643.0}</x:v>
      </x:c>
      <x:c r="E203" s="2" t="str">
        <x:v>0.001130784109507621</x:v>
      </x:c>
      <x:c r="F203" s="2" t="str">
        <x:v>Persons /fractionchange</x:v>
      </x:c>
      <x:c r="G203" s="2" t="str">
        <x:v>UN_WPP_SMR</x:v>
      </x:c>
      <x:c r="H203" s="2" t="str">
        <x:v>UN_WPP</x:v>
      </x:c>
      <x:c r="I203" s="2" t="str"/>
      <x:c r="J203" s="2" t="str">
        <x:v>Countries</x:v>
      </x:c>
      <x:c r="K203" s="2" t="str">
        <x:v>scripts/olam-analyse.py</x:v>
      </x:c>
      <x:c r="L203" s="2" t="str">
        <x:v>7 /atlas</x:v>
      </x:c>
      <x:c r="M203" s="2" t="str">
        <x:v>No category demand inference</x:v>
      </x:c>
    </x:row>
    <x:row r="204" ht="70" customHeight="1">
      <x:c r="A204" s="2" t="str">
        <x:v>C-POP-STP</x:v>
      </x:c>
      <x:c r="B204" s="2" t="str">
        <x:v>Population projectionpath</x:v>
      </x:c>
      <x:c r="C204" s="2" t="str">
        <x:v>WPP thousands×1000;2051/2026−1</x:v>
      </x:c>
      <x:c r="D204" s="2" t="str">
        <x:v>{"2026": 244994.0, "2030": 264565.0, "2035": 290088.0, "2040": 315842.0, "2045": 340926.0, "2050": 365115.0, "2051": 369875.0}</x:v>
      </x:c>
      <x:c r="E204" s="2" t="str">
        <x:v>0.5097308505514422</x:v>
      </x:c>
      <x:c r="F204" s="2" t="str">
        <x:v>Persons /fractionchange</x:v>
      </x:c>
      <x:c r="G204" s="2" t="str">
        <x:v>UN_WPP_STP</x:v>
      </x:c>
      <x:c r="H204" s="2" t="str">
        <x:v>UN_WPP</x:v>
      </x:c>
      <x:c r="I204" s="2" t="str"/>
      <x:c r="J204" s="2" t="str">
        <x:v>Countries</x:v>
      </x:c>
      <x:c r="K204" s="2" t="str">
        <x:v>scripts/olam-analyse.py</x:v>
      </x:c>
      <x:c r="L204" s="2" t="str">
        <x:v>7 /atlas</x:v>
      </x:c>
      <x:c r="M204" s="2" t="str">
        <x:v>No category demand inference</x:v>
      </x:c>
    </x:row>
    <x:row r="205" ht="70" customHeight="1">
      <x:c r="A205" s="2" t="str">
        <x:v>C-POP-SAU</x:v>
      </x:c>
      <x:c r="B205" s="2" t="str">
        <x:v>Population projectionpath</x:v>
      </x:c>
      <x:c r="C205" s="2" t="str">
        <x:v>WPP thousands×1000;2051/2026−1</x:v>
      </x:c>
      <x:c r="D205" s="2" t="str">
        <x:v>{"2026": 35165787.0, "2030": 37443751.0, "2035": 40012640.0, "2040": 42592205.0, "2045": 45156465.0, "2050": 47693910.0, "2051": 48198043.0}</x:v>
      </x:c>
      <x:c r="E205" s="2" t="str">
        <x:v>0.37059474881082566</x:v>
      </x:c>
      <x:c r="F205" s="2" t="str">
        <x:v>Persons /fractionchange</x:v>
      </x:c>
      <x:c r="G205" s="2" t="str">
        <x:v>UN_WPP_SAU</x:v>
      </x:c>
      <x:c r="H205" s="2" t="str">
        <x:v>UN_WPP</x:v>
      </x:c>
      <x:c r="I205" s="2" t="str"/>
      <x:c r="J205" s="2" t="str">
        <x:v>Countries</x:v>
      </x:c>
      <x:c r="K205" s="2" t="str">
        <x:v>scripts/olam-analyse.py</x:v>
      </x:c>
      <x:c r="L205" s="2" t="str">
        <x:v>7 /atlas</x:v>
      </x:c>
      <x:c r="M205" s="2" t="str">
        <x:v>No category demand inference</x:v>
      </x:c>
    </x:row>
    <x:row r="206" ht="70" customHeight="1">
      <x:c r="A206" s="2" t="str">
        <x:v>C-POP-SEN</x:v>
      </x:c>
      <x:c r="B206" s="2" t="str">
        <x:v>Population projectionpath</x:v>
      </x:c>
      <x:c r="C206" s="2" t="str">
        <x:v>WPP thousands×1000;2051/2026−1</x:v>
      </x:c>
      <x:c r="D206" s="2" t="str">
        <x:v>{"2026": 19366548.0, "2030": 21163192.0, "2035": 23476596.0, "2040": 25797510.0, "2045": 28089699.0, "2050": 30364954.0, "2051": 30817068.0}</x:v>
      </x:c>
      <x:c r="E206" s="2" t="str">
        <x:v>0.5912525040600938</x:v>
      </x:c>
      <x:c r="F206" s="2" t="str">
        <x:v>Persons /fractionchange</x:v>
      </x:c>
      <x:c r="G206" s="2" t="str">
        <x:v>UN_WPP_SEN</x:v>
      </x:c>
      <x:c r="H206" s="2" t="str">
        <x:v>UN_WPP</x:v>
      </x:c>
      <x:c r="I206" s="2" t="str"/>
      <x:c r="J206" s="2" t="str">
        <x:v>Countries</x:v>
      </x:c>
      <x:c r="K206" s="2" t="str">
        <x:v>scripts/olam-analyse.py</x:v>
      </x:c>
      <x:c r="L206" s="2" t="str">
        <x:v>7 /atlas</x:v>
      </x:c>
      <x:c r="M206" s="2" t="str">
        <x:v>No category demand inference</x:v>
      </x:c>
    </x:row>
    <x:row r="207" ht="70" customHeight="1">
      <x:c r="A207" s="2" t="str">
        <x:v>C-POP-SRB</x:v>
      </x:c>
      <x:c r="B207" s="2" t="str">
        <x:v>Population projectionpath</x:v>
      </x:c>
      <x:c r="C207" s="2" t="str">
        <x:v>WPP thousands×1000;2051/2026−1</x:v>
      </x:c>
      <x:c r="D207" s="2" t="str">
        <x:v>{"2026": 6641964.0, "2030": 6461212.0, "2035": 6226578.0, "2040": 5987456.0, "2045": 5753266.0, "2050": 5532870.0, "2051": 5489989.0}</x:v>
      </x:c>
      <x:c r="E207" s="2" t="str">
        <x:v>-0.17343891053911165</x:v>
      </x:c>
      <x:c r="F207" s="2" t="str">
        <x:v>Persons /fractionchange</x:v>
      </x:c>
      <x:c r="G207" s="2" t="str">
        <x:v>UN_WPP_SRB</x:v>
      </x:c>
      <x:c r="H207" s="2" t="str">
        <x:v>UN_WPP</x:v>
      </x:c>
      <x:c r="I207" s="2" t="str"/>
      <x:c r="J207" s="2" t="str">
        <x:v>Countries</x:v>
      </x:c>
      <x:c r="K207" s="2" t="str">
        <x:v>scripts/olam-analyse.py</x:v>
      </x:c>
      <x:c r="L207" s="2" t="str">
        <x:v>7 /atlas</x:v>
      </x:c>
      <x:c r="M207" s="2" t="str">
        <x:v>No category demand inference</x:v>
      </x:c>
    </x:row>
    <x:row r="208" ht="70" customHeight="1">
      <x:c r="A208" s="2" t="str">
        <x:v>C-POP-SYC</x:v>
      </x:c>
      <x:c r="B208" s="2" t="str">
        <x:v>Population projectionpath</x:v>
      </x:c>
      <x:c r="C208" s="2" t="str">
        <x:v>WPP thousands×1000;2051/2026−1</x:v>
      </x:c>
      <x:c r="D208" s="2" t="str">
        <x:v>{"2026": 134959.0, "2030": 140399.0, "2035": 141891.0, "2040": 142544.0, "2045": 142524.0, "2050": 141746.0, "2051": 141518.0}</x:v>
      </x:c>
      <x:c r="E208" s="2" t="str">
        <x:v>0.04859994516853261</x:v>
      </x:c>
      <x:c r="F208" s="2" t="str">
        <x:v>Persons /fractionchange</x:v>
      </x:c>
      <x:c r="G208" s="2" t="str">
        <x:v>UN_WPP_SYC</x:v>
      </x:c>
      <x:c r="H208" s="2" t="str">
        <x:v>UN_WPP</x:v>
      </x:c>
      <x:c r="I208" s="2" t="str"/>
      <x:c r="J208" s="2" t="str">
        <x:v>Countries</x:v>
      </x:c>
      <x:c r="K208" s="2" t="str">
        <x:v>scripts/olam-analyse.py</x:v>
      </x:c>
      <x:c r="L208" s="2" t="str">
        <x:v>7 /atlas</x:v>
      </x:c>
      <x:c r="M208" s="2" t="str">
        <x:v>No category demand inference</x:v>
      </x:c>
    </x:row>
    <x:row r="209" ht="70" customHeight="1">
      <x:c r="A209" s="2" t="str">
        <x:v>C-POP-SLE</x:v>
      </x:c>
      <x:c r="B209" s="2" t="str">
        <x:v>Population projectionpath</x:v>
      </x:c>
      <x:c r="C209" s="2" t="str">
        <x:v>WPP thousands×1000;2051/2026−1</x:v>
      </x:c>
      <x:c r="D209" s="2" t="str">
        <x:v>{"2026": 8996745.0, "2030": 9694858.0, "2035": 10563167.0, "2040": 11398400.0, "2045": 12208880.0, "2050": 12948325.0, "2051": 13093462.0}</x:v>
      </x:c>
      <x:c r="E209" s="2" t="str">
        <x:v>0.45535546467083376</x:v>
      </x:c>
      <x:c r="F209" s="2" t="str">
        <x:v>Persons /fractionchange</x:v>
      </x:c>
      <x:c r="G209" s="2" t="str">
        <x:v>UN_WPP_SLE</x:v>
      </x:c>
      <x:c r="H209" s="2" t="str">
        <x:v>UN_WPP</x:v>
      </x:c>
      <x:c r="I209" s="2" t="str"/>
      <x:c r="J209" s="2" t="str">
        <x:v>Countries</x:v>
      </x:c>
      <x:c r="K209" s="2" t="str">
        <x:v>scripts/olam-analyse.py</x:v>
      </x:c>
      <x:c r="L209" s="2" t="str">
        <x:v>7 /atlas</x:v>
      </x:c>
      <x:c r="M209" s="2" t="str">
        <x:v>No category demand inference</x:v>
      </x:c>
    </x:row>
    <x:row r="210" ht="70" customHeight="1">
      <x:c r="A210" s="2" t="str">
        <x:v>C-POP-SGP</x:v>
      </x:c>
      <x:c r="B210" s="2" t="str">
        <x:v>Population projectionpath</x:v>
      </x:c>
      <x:c r="C210" s="2" t="str">
        <x:v>WPP thousands×1000;2051/2026−1</x:v>
      </x:c>
      <x:c r="D210" s="2" t="str">
        <x:v>{"2026": 5905748.0, "2030": 6031377.0, "2035": 6153233.0, "2040": 6194782.0, "2045": 6156188.0, "2050": 6081691.0, "2051": 6064528.0}</x:v>
      </x:c>
      <x:c r="E210" s="2" t="str">
        <x:v>0.026885671383201526</x:v>
      </x:c>
      <x:c r="F210" s="2" t="str">
        <x:v>Persons /fractionchange</x:v>
      </x:c>
      <x:c r="G210" s="2" t="str">
        <x:v>UN_WPP_SGP</x:v>
      </x:c>
      <x:c r="H210" s="2" t="str">
        <x:v>UN_WPP</x:v>
      </x:c>
      <x:c r="I210" s="2" t="str"/>
      <x:c r="J210" s="2" t="str">
        <x:v>Countries</x:v>
      </x:c>
      <x:c r="K210" s="2" t="str">
        <x:v>scripts/olam-analyse.py</x:v>
      </x:c>
      <x:c r="L210" s="2" t="str">
        <x:v>7 /atlas</x:v>
      </x:c>
      <x:c r="M210" s="2" t="str">
        <x:v>No category demand inference</x:v>
      </x:c>
    </x:row>
    <x:row r="211" ht="70" customHeight="1">
      <x:c r="A211" s="2" t="str">
        <x:v>C-POP-SVK</x:v>
      </x:c>
      <x:c r="B211" s="2" t="str">
        <x:v>Population projectionpath</x:v>
      </x:c>
      <x:c r="C211" s="2" t="str">
        <x:v>WPP thousands×1000;2051/2026−1</x:v>
      </x:c>
      <x:c r="D211" s="2" t="str">
        <x:v>{"2026": 5451342.0, "2030": 5401392.0, "2035": 5307343.0, "2040": 5192010.0, "2045": 5066919.0, "2050": 4936488.0, "2051": 4909328.0}</x:v>
      </x:c>
      <x:c r="E211" s="2" t="str">
        <x:v>-0.0994276271787754</x:v>
      </x:c>
      <x:c r="F211" s="2" t="str">
        <x:v>Persons /fractionchange</x:v>
      </x:c>
      <x:c r="G211" s="2" t="str">
        <x:v>UN_WPP_SVK</x:v>
      </x:c>
      <x:c r="H211" s="2" t="str">
        <x:v>UN_WPP</x:v>
      </x:c>
      <x:c r="I211" s="2" t="str"/>
      <x:c r="J211" s="2" t="str">
        <x:v>Countries</x:v>
      </x:c>
      <x:c r="K211" s="2" t="str">
        <x:v>scripts/olam-analyse.py</x:v>
      </x:c>
      <x:c r="L211" s="2" t="str">
        <x:v>7 /atlas</x:v>
      </x:c>
      <x:c r="M211" s="2" t="str">
        <x:v>No category demand inference</x:v>
      </x:c>
    </x:row>
    <x:row r="212" ht="70" customHeight="1">
      <x:c r="A212" s="2" t="str">
        <x:v>C-POP-SVN</x:v>
      </x:c>
      <x:c r="B212" s="2" t="str">
        <x:v>Population projectionpath</x:v>
      </x:c>
      <x:c r="C212" s="2" t="str">
        <x:v>WPP thousands×1000;2051/2026−1</x:v>
      </x:c>
      <x:c r="D212" s="2" t="str">
        <x:v>{"2026": 2114573.0, "2030": 2098956.0, "2035": 2073835.9999999998, "2040": 2046764.0, "2045": 2016283.0, "2050": 1981553.0, "2051": 1973639.0}</x:v>
      </x:c>
      <x:c r="E212" s="2" t="str">
        <x:v>-0.06664891682623397</x:v>
      </x:c>
      <x:c r="F212" s="2" t="str">
        <x:v>Persons /fractionchange</x:v>
      </x:c>
      <x:c r="G212" s="2" t="str">
        <x:v>UN_WPP_SVN</x:v>
      </x:c>
      <x:c r="H212" s="2" t="str">
        <x:v>UN_WPP</x:v>
      </x:c>
      <x:c r="I212" s="2" t="str"/>
      <x:c r="J212" s="2" t="str">
        <x:v>Countries</x:v>
      </x:c>
      <x:c r="K212" s="2" t="str">
        <x:v>scripts/olam-analyse.py</x:v>
      </x:c>
      <x:c r="L212" s="2" t="str">
        <x:v>7 /atlas</x:v>
      </x:c>
      <x:c r="M212" s="2" t="str">
        <x:v>No category demand inference</x:v>
      </x:c>
    </x:row>
    <x:row r="213" ht="70" customHeight="1">
      <x:c r="A213" s="2" t="str">
        <x:v>C-POP-SLB</x:v>
      </x:c>
      <x:c r="B213" s="2" t="str">
        <x:v>Population projectionpath</x:v>
      </x:c>
      <x:c r="C213" s="2" t="str">
        <x:v>WPP thousands×1000;2051/2026−1</x:v>
      </x:c>
      <x:c r="D213" s="2" t="str">
        <x:v>{"2026": 858288.0, "2030": 938348.0, "2035": 1039656.9999999999, "2040": 1135455.0, "2045": 1224199.0, "2050": 1309110.0, "2051": 1325603.0}</x:v>
      </x:c>
      <x:c r="E213" s="2" t="str">
        <x:v>0.5444734168484238</x:v>
      </x:c>
      <x:c r="F213" s="2" t="str">
        <x:v>Persons /fractionchange</x:v>
      </x:c>
      <x:c r="G213" s="2" t="str">
        <x:v>UN_WPP_SLB</x:v>
      </x:c>
      <x:c r="H213" s="2" t="str">
        <x:v>UN_WPP</x:v>
      </x:c>
      <x:c r="I213" s="2" t="str"/>
      <x:c r="J213" s="2" t="str">
        <x:v>Countries</x:v>
      </x:c>
      <x:c r="K213" s="2" t="str">
        <x:v>scripts/olam-analyse.py</x:v>
      </x:c>
      <x:c r="L213" s="2" t="str">
        <x:v>7 /atlas</x:v>
      </x:c>
      <x:c r="M213" s="2" t="str">
        <x:v>No category demand inference</x:v>
      </x:c>
    </x:row>
    <x:row r="214" ht="70" customHeight="1">
      <x:c r="A214" s="2" t="str">
        <x:v>C-POP-SOM</x:v>
      </x:c>
      <x:c r="B214" s="2" t="str">
        <x:v>Population projectionpath</x:v>
      </x:c>
      <x:c r="C214" s="2" t="str">
        <x:v>WPP thousands×1000;2051/2026−1</x:v>
      </x:c>
      <x:c r="D214" s="2" t="str">
        <x:v>{"2026": 20305907.0, "2030": 22915044.0, "2035": 26294950.0, "2040": 29896287.0, "2045": 33510165.999999996, "2050": 37206512.0, "2051": 37953802.0}</x:v>
      </x:c>
      <x:c r="E214" s="2" t="str">
        <x:v>0.869101537793904</x:v>
      </x:c>
      <x:c r="F214" s="2" t="str">
        <x:v>Persons /fractionchange</x:v>
      </x:c>
      <x:c r="G214" s="2" t="str">
        <x:v>UN_WPP_SOM</x:v>
      </x:c>
      <x:c r="H214" s="2" t="str">
        <x:v>UN_WPP</x:v>
      </x:c>
      <x:c r="I214" s="2" t="str"/>
      <x:c r="J214" s="2" t="str">
        <x:v>Countries</x:v>
      </x:c>
      <x:c r="K214" s="2" t="str">
        <x:v>scripts/olam-analyse.py</x:v>
      </x:c>
      <x:c r="L214" s="2" t="str">
        <x:v>7 /atlas</x:v>
      </x:c>
      <x:c r="M214" s="2" t="str">
        <x:v>No category demand inference</x:v>
      </x:c>
    </x:row>
    <x:row r="215" ht="70" customHeight="1">
      <x:c r="A215" s="2" t="str">
        <x:v>C-POP-ZAF</x:v>
      </x:c>
      <x:c r="B215" s="2" t="str">
        <x:v>Population projectionpath</x:v>
      </x:c>
      <x:c r="C215" s="2" t="str">
        <x:v>WPP thousands×1000;2051/2026−1</x:v>
      </x:c>
      <x:c r="D215" s="2" t="str">
        <x:v>{"2026": 65453084.0, "2030": 68161359.0, "2035": 71234752.0, "2040": 74035624.0, "2045": 76681450.0, "2050": 79177328.0, "2051": 79652213.0}</x:v>
      </x:c>
      <x:c r="E215" s="2" t="str">
        <x:v>0.2169359811983802</x:v>
      </x:c>
      <x:c r="F215" s="2" t="str">
        <x:v>Persons /fractionchange</x:v>
      </x:c>
      <x:c r="G215" s="2" t="str">
        <x:v>UN_WPP_ZAF</x:v>
      </x:c>
      <x:c r="H215" s="2" t="str">
        <x:v>UN_WPP</x:v>
      </x:c>
      <x:c r="I215" s="2" t="str"/>
      <x:c r="J215" s="2" t="str">
        <x:v>Countries</x:v>
      </x:c>
      <x:c r="K215" s="2" t="str">
        <x:v>scripts/olam-analyse.py</x:v>
      </x:c>
      <x:c r="L215" s="2" t="str">
        <x:v>7 /atlas</x:v>
      </x:c>
      <x:c r="M215" s="2" t="str">
        <x:v>No category demand inference</x:v>
      </x:c>
    </x:row>
    <x:row r="216" ht="70" customHeight="1">
      <x:c r="A216" s="2" t="str">
        <x:v>C-POP-SSD</x:v>
      </x:c>
      <x:c r="B216" s="2" t="str">
        <x:v>Population projectionpath</x:v>
      </x:c>
      <x:c r="C216" s="2" t="str">
        <x:v>WPP thousands×1000;2051/2026−1</x:v>
      </x:c>
      <x:c r="D216" s="2" t="str">
        <x:v>{"2026": 12436037.0, "2030": 13457453.0, "2035": 14798600.0, "2040": 16101480.0, "2045": 17286410.0, "2050": 18341974.0, "2051": 18542997.0}</x:v>
      </x:c>
      <x:c r="E216" s="2" t="str">
        <x:v>0.49106962290318057</x:v>
      </x:c>
      <x:c r="F216" s="2" t="str">
        <x:v>Persons /fractionchange</x:v>
      </x:c>
      <x:c r="G216" s="2" t="str">
        <x:v>UN_WPP_SSD</x:v>
      </x:c>
      <x:c r="H216" s="2" t="str">
        <x:v>UN_WPP</x:v>
      </x:c>
      <x:c r="I216" s="2" t="str"/>
      <x:c r="J216" s="2" t="str">
        <x:v>Countries</x:v>
      </x:c>
      <x:c r="K216" s="2" t="str">
        <x:v>scripts/olam-analyse.py</x:v>
      </x:c>
      <x:c r="L216" s="2" t="str">
        <x:v>7 /atlas</x:v>
      </x:c>
      <x:c r="M216" s="2" t="str">
        <x:v>No category demand inference</x:v>
      </x:c>
    </x:row>
    <x:row r="217" ht="70" customHeight="1">
      <x:c r="A217" s="2" t="str">
        <x:v>C-POP-ESP</x:v>
      </x:c>
      <x:c r="B217" s="2" t="str">
        <x:v>Population projectionpath</x:v>
      </x:c>
      <x:c r="C217" s="2" t="str">
        <x:v>WPP thousands×1000;2051/2026−1</x:v>
      </x:c>
      <x:c r="D217" s="2" t="str">
        <x:v>{"2026": 47850793.0, "2030": 47610520.0, "2035": 47154196.0, "2040": 46591674.0, "2045": 45879964.0, "2050": 44928558.0, "2051": 44712279.0}</x:v>
      </x:c>
      <x:c r="E217" s="2" t="str">
        <x:v>-0.06558959221428162</x:v>
      </x:c>
      <x:c r="F217" s="2" t="str">
        <x:v>Persons /fractionchange</x:v>
      </x:c>
      <x:c r="G217" s="2" t="str">
        <x:v>UN_WPP_ESP</x:v>
      </x:c>
      <x:c r="H217" s="2" t="str">
        <x:v>UN_WPP</x:v>
      </x:c>
      <x:c r="I217" s="2" t="str"/>
      <x:c r="J217" s="2" t="str">
        <x:v>Countries</x:v>
      </x:c>
      <x:c r="K217" s="2" t="str">
        <x:v>scripts/olam-analyse.py</x:v>
      </x:c>
      <x:c r="L217" s="2" t="str">
        <x:v>7 /atlas</x:v>
      </x:c>
      <x:c r="M217" s="2" t="str">
        <x:v>No category demand inference</x:v>
      </x:c>
    </x:row>
    <x:row r="218" ht="70" customHeight="1">
      <x:c r="A218" s="2" t="str">
        <x:v>C-POP-LKA</x:v>
      </x:c>
      <x:c r="B218" s="2" t="str">
        <x:v>Population projectionpath</x:v>
      </x:c>
      <x:c r="C218" s="2" t="str">
        <x:v>WPP thousands×1000;2051/2026−1</x:v>
      </x:c>
      <x:c r="D218" s="2" t="str">
        <x:v>{"2026": 23348315.0, "2030": 23767952.0, "2035": 24196475.0, "2040": 24526699.0, "2045": 24736435.0, "2050": 24813690.0, "2051": 24814757.0}</x:v>
      </x:c>
      <x:c r="E218" s="2" t="str">
        <x:v>0.0628071875850571</x:v>
      </x:c>
      <x:c r="F218" s="2" t="str">
        <x:v>Persons /fractionchange</x:v>
      </x:c>
      <x:c r="G218" s="2" t="str">
        <x:v>UN_WPP_LKA</x:v>
      </x:c>
      <x:c r="H218" s="2" t="str">
        <x:v>UN_WPP</x:v>
      </x:c>
      <x:c r="I218" s="2" t="str"/>
      <x:c r="J218" s="2" t="str">
        <x:v>Countries</x:v>
      </x:c>
      <x:c r="K218" s="2" t="str">
        <x:v>scripts/olam-analyse.py</x:v>
      </x:c>
      <x:c r="L218" s="2" t="str">
        <x:v>7 /atlas</x:v>
      </x:c>
      <x:c r="M218" s="2" t="str">
        <x:v>No category demand inference</x:v>
      </x:c>
    </x:row>
    <x:row r="219" ht="70" customHeight="1">
      <x:c r="A219" s="2" t="str">
        <x:v>C-POP-PSE</x:v>
      </x:c>
      <x:c r="B219" s="2" t="str">
        <x:v>Population projectionpath</x:v>
      </x:c>
      <x:c r="C219" s="2" t="str">
        <x:v>WPP thousands×1000;2051/2026−1</x:v>
      </x:c>
      <x:c r="D219" s="2" t="str">
        <x:v>{"2026": 5692790.0, "2030": 6122314.0, "2035": 6692735.0, "2040": 7291826.0, "2045": 7895095.0, "2050": 8451891.0, "2051": 8559237.0}</x:v>
      </x:c>
      <x:c r="E219" s="2" t="str">
        <x:v>0.5035223502008681</x:v>
      </x:c>
      <x:c r="F219" s="2" t="str">
        <x:v>Persons /fractionchange</x:v>
      </x:c>
      <x:c r="G219" s="2" t="str">
        <x:v>UN_WPP_PSE</x:v>
      </x:c>
      <x:c r="H219" s="2" t="str">
        <x:v>UN_WPP</x:v>
      </x:c>
      <x:c r="I219" s="2" t="str"/>
      <x:c r="J219" s="2" t="str">
        <x:v>Countries</x:v>
      </x:c>
      <x:c r="K219" s="2" t="str">
        <x:v>scripts/olam-analyse.py</x:v>
      </x:c>
      <x:c r="L219" s="2" t="str">
        <x:v>7 /atlas</x:v>
      </x:c>
      <x:c r="M219" s="2" t="str">
        <x:v>No category demand inference</x:v>
      </x:c>
    </x:row>
    <x:row r="220" ht="70" customHeight="1">
      <x:c r="A220" s="2" t="str">
        <x:v>C-POP-SDN</x:v>
      </x:c>
      <x:c r="B220" s="2" t="str">
        <x:v>Population projectionpath</x:v>
      </x:c>
      <x:c r="C220" s="2" t="str">
        <x:v>WPP thousands×1000;2051/2026−1</x:v>
      </x:c>
      <x:c r="D220" s="2" t="str">
        <x:v>{"2026": 53282719.0, "2030": 58571616.0, "2035": 65148317.0, "2040": 71730599.0, "2045": 78415203.0, "2050": 85206383.0, "2051": 86579067.0}</x:v>
      </x:c>
      <x:c r="E220" s="2" t="str">
        <x:v>0.6248995664053856</x:v>
      </x:c>
      <x:c r="F220" s="2" t="str">
        <x:v>Persons /fractionchange</x:v>
      </x:c>
      <x:c r="G220" s="2" t="str">
        <x:v>UN_WPP_SDN</x:v>
      </x:c>
      <x:c r="H220" s="2" t="str">
        <x:v>UN_WPP</x:v>
      </x:c>
      <x:c r="I220" s="2" t="str"/>
      <x:c r="J220" s="2" t="str">
        <x:v>Countries</x:v>
      </x:c>
      <x:c r="K220" s="2" t="str">
        <x:v>scripts/olam-analyse.py</x:v>
      </x:c>
      <x:c r="L220" s="2" t="str">
        <x:v>7 /atlas</x:v>
      </x:c>
      <x:c r="M220" s="2" t="str">
        <x:v>No category demand inference</x:v>
      </x:c>
    </x:row>
    <x:row r="221" ht="70" customHeight="1">
      <x:c r="A221" s="2" t="str">
        <x:v>C-POP-SUR</x:v>
      </x:c>
      <x:c r="B221" s="2" t="str">
        <x:v>Population projectionpath</x:v>
      </x:c>
      <x:c r="C221" s="2" t="str">
        <x:v>WPP thousands×1000;2051/2026−1</x:v>
      </x:c>
      <x:c r="D221" s="2" t="str">
        <x:v>{"2026": 645256.0, "2030": 665652.0, "2035": 688191.0, "2040": 707160.0, "2045": 722756.0, "2050": 733904.0, "2051": 735702.0}</x:v>
      </x:c>
      <x:c r="E221" s="2" t="str">
        <x:v>0.1401707229378728</x:v>
      </x:c>
      <x:c r="F221" s="2" t="str">
        <x:v>Persons /fractionchange</x:v>
      </x:c>
      <x:c r="G221" s="2" t="str">
        <x:v>UN_WPP_SUR</x:v>
      </x:c>
      <x:c r="H221" s="2" t="str">
        <x:v>UN_WPP</x:v>
      </x:c>
      <x:c r="I221" s="2" t="str"/>
      <x:c r="J221" s="2" t="str">
        <x:v>Countries</x:v>
      </x:c>
      <x:c r="K221" s="2" t="str">
        <x:v>scripts/olam-analyse.py</x:v>
      </x:c>
      <x:c r="L221" s="2" t="str">
        <x:v>7 /atlas</x:v>
      </x:c>
      <x:c r="M221" s="2" t="str">
        <x:v>No category demand inference</x:v>
      </x:c>
    </x:row>
    <x:row r="222" ht="70" customHeight="1">
      <x:c r="A222" s="2" t="str">
        <x:v>C-POP-SWE</x:v>
      </x:c>
      <x:c r="B222" s="2" t="str">
        <x:v>Population projectionpath</x:v>
      </x:c>
      <x:c r="C222" s="2" t="str">
        <x:v>WPP thousands×1000;2051/2026−1</x:v>
      </x:c>
      <x:c r="D222" s="2" t="str">
        <x:v>{"2026": 10701047.0, "2030": 10841810.0, "2035": 10964978.0, "2040": 11078602.0, "2045": 11202872.0, "2050": 11309630.0, "2051": 11327101.0}</x:v>
      </x:c>
      <x:c r="E222" s="2" t="str">
        <x:v>0.058503994982920915</x:v>
      </x:c>
      <x:c r="F222" s="2" t="str">
        <x:v>Persons /fractionchange</x:v>
      </x:c>
      <x:c r="G222" s="2" t="str">
        <x:v>UN_WPP_SWE</x:v>
      </x:c>
      <x:c r="H222" s="2" t="str">
        <x:v>UN_WPP</x:v>
      </x:c>
      <x:c r="I222" s="2" t="str"/>
      <x:c r="J222" s="2" t="str">
        <x:v>Countries</x:v>
      </x:c>
      <x:c r="K222" s="2" t="str">
        <x:v>scripts/olam-analyse.py</x:v>
      </x:c>
      <x:c r="L222" s="2" t="str">
        <x:v>7 /atlas</x:v>
      </x:c>
      <x:c r="M222" s="2" t="str">
        <x:v>No category demand inference</x:v>
      </x:c>
    </x:row>
    <x:row r="223" ht="70" customHeight="1">
      <x:c r="A223" s="2" t="str">
        <x:v>C-POP-CHE</x:v>
      </x:c>
      <x:c r="B223" s="2" t="str">
        <x:v>Population projectionpath</x:v>
      </x:c>
      <x:c r="C223" s="2" t="str">
        <x:v>WPP thousands×1000;2051/2026−1</x:v>
      </x:c>
      <x:c r="D223" s="2" t="str">
        <x:v>{"2026": 9007798.0, "2030": 9130292.0, "2035": 9224225.0, "2040": 9276178.0, "2045": 9315498.0, "2050": 9342586.0, "2051": 9343512.0}</x:v>
      </x:c>
      <x:c r="E223" s="2" t="str">
        <x:v>0.03726926380897977</x:v>
      </x:c>
      <x:c r="F223" s="2" t="str">
        <x:v>Persons /fractionchange</x:v>
      </x:c>
      <x:c r="G223" s="2" t="str">
        <x:v>UN_WPP_CHE</x:v>
      </x:c>
      <x:c r="H223" s="2" t="str">
        <x:v>UN_WPP</x:v>
      </x:c>
      <x:c r="I223" s="2" t="str"/>
      <x:c r="J223" s="2" t="str">
        <x:v>Countries</x:v>
      </x:c>
      <x:c r="K223" s="2" t="str">
        <x:v>scripts/olam-analyse.py</x:v>
      </x:c>
      <x:c r="L223" s="2" t="str">
        <x:v>7 /atlas</x:v>
      </x:c>
      <x:c r="M223" s="2" t="str">
        <x:v>No category demand inference</x:v>
      </x:c>
    </x:row>
    <x:row r="224" ht="70" customHeight="1">
      <x:c r="A224" s="2" t="str">
        <x:v>C-POP-SYR</x:v>
      </x:c>
      <x:c r="B224" s="2" t="str">
        <x:v>Population projectionpath</x:v>
      </x:c>
      <x:c r="C224" s="2" t="str">
        <x:v>WPP thousands×1000;2051/2026−1</x:v>
      </x:c>
      <x:c r="D224" s="2" t="str">
        <x:v>{"2026": 26472497.0, "2030": 29395540.0, "2035": 32294793.0, "2040": 34533185.0, "2045": 36265286.0, "2050": 37793372.0, "2051": 38104385.0}</x:v>
      </x:c>
      <x:c r="E224" s="2" t="str">
        <x:v>0.439395195700655</x:v>
      </x:c>
      <x:c r="F224" s="2" t="str">
        <x:v>Persons /fractionchange</x:v>
      </x:c>
      <x:c r="G224" s="2" t="str">
        <x:v>UN_WPP_SYR</x:v>
      </x:c>
      <x:c r="H224" s="2" t="str">
        <x:v>UN_WPP</x:v>
      </x:c>
      <x:c r="I224" s="2" t="str"/>
      <x:c r="J224" s="2" t="str">
        <x:v>Countries</x:v>
      </x:c>
      <x:c r="K224" s="2" t="str">
        <x:v>scripts/olam-analyse.py</x:v>
      </x:c>
      <x:c r="L224" s="2" t="str">
        <x:v>7 /atlas</x:v>
      </x:c>
      <x:c r="M224" s="2" t="str">
        <x:v>No category demand inference</x:v>
      </x:c>
    </x:row>
    <x:row r="225" ht="70" customHeight="1">
      <x:c r="A225" s="2" t="str">
        <x:v>C-POP-TJK</x:v>
      </x:c>
      <x:c r="B225" s="2" t="str">
        <x:v>Population projectionpath</x:v>
      </x:c>
      <x:c r="C225" s="2" t="str">
        <x:v>WPP thousands×1000;2051/2026−1</x:v>
      </x:c>
      <x:c r="D225" s="2" t="str">
        <x:v>{"2026": 10978599.0, "2030": 11733068.0, "2035": 12695585.0, "2040": 13713947.0, "2045": 14694862.0, "2050": 15574642.0, "2051": 15737680.0}</x:v>
      </x:c>
      <x:c r="E225" s="2" t="str">
        <x:v>0.43348709612219194</x:v>
      </x:c>
      <x:c r="F225" s="2" t="str">
        <x:v>Persons /fractionchange</x:v>
      </x:c>
      <x:c r="G225" s="2" t="str">
        <x:v>UN_WPP_TJK</x:v>
      </x:c>
      <x:c r="H225" s="2" t="str">
        <x:v>UN_WPP</x:v>
      </x:c>
      <x:c r="I225" s="2" t="str"/>
      <x:c r="J225" s="2" t="str">
        <x:v>Countries</x:v>
      </x:c>
      <x:c r="K225" s="2" t="str">
        <x:v>scripts/olam-analyse.py</x:v>
      </x:c>
      <x:c r="L225" s="2" t="str">
        <x:v>7 /atlas</x:v>
      </x:c>
      <x:c r="M225" s="2" t="str">
        <x:v>No category demand inference</x:v>
      </x:c>
    </x:row>
    <x:row r="226" ht="70" customHeight="1">
      <x:c r="A226" s="2" t="str">
        <x:v>C-POP-THA</x:v>
      </x:c>
      <x:c r="B226" s="2" t="str">
        <x:v>Population projectionpath</x:v>
      </x:c>
      <x:c r="C226" s="2" t="str">
        <x:v>WPP thousands×1000;2051/2026−1</x:v>
      </x:c>
      <x:c r="D226" s="2" t="str">
        <x:v>{"2026": 71559614.0, "2030": 71215022.0, "2035": 70540885.0, "2040": 69535002.0, "2045": 68150152.0, "2050": 66382735.0, "2051": 65985159.0}</x:v>
      </x:c>
      <x:c r="E226" s="2" t="str">
        <x:v>-0.07789945596967585</x:v>
      </x:c>
      <x:c r="F226" s="2" t="str">
        <x:v>Persons /fractionchange</x:v>
      </x:c>
      <x:c r="G226" s="2" t="str">
        <x:v>UN_WPP_THA</x:v>
      </x:c>
      <x:c r="H226" s="2" t="str">
        <x:v>UN_WPP</x:v>
      </x:c>
      <x:c r="I226" s="2" t="str"/>
      <x:c r="J226" s="2" t="str">
        <x:v>Countries</x:v>
      </x:c>
      <x:c r="K226" s="2" t="str">
        <x:v>scripts/olam-analyse.py</x:v>
      </x:c>
      <x:c r="L226" s="2" t="str">
        <x:v>7 /atlas</x:v>
      </x:c>
      <x:c r="M226" s="2" t="str">
        <x:v>No category demand inference</x:v>
      </x:c>
    </x:row>
    <x:row r="227" ht="70" customHeight="1">
      <x:c r="A227" s="2" t="str">
        <x:v>C-POP-TLS</x:v>
      </x:c>
      <x:c r="B227" s="2" t="str">
        <x:v>Population projectionpath</x:v>
      </x:c>
      <x:c r="C227" s="2" t="str">
        <x:v>WPP thousands×1000;2051/2026−1</x:v>
      </x:c>
      <x:c r="D227" s="2" t="str">
        <x:v>{"2026": 1436923.0, "2030": 1519804.0, "2035": 1618798.0, "2040": 1718249.0, "2045": 1809633.0, "2050": 1889249.0, "2051": 1902810.0}</x:v>
      </x:c>
      <x:c r="E227" s="2" t="str">
        <x:v>0.32422544562234723</x:v>
      </x:c>
      <x:c r="F227" s="2" t="str">
        <x:v>Persons /fractionchange</x:v>
      </x:c>
      <x:c r="G227" s="2" t="str">
        <x:v>UN_WPP_TLS</x:v>
      </x:c>
      <x:c r="H227" s="2" t="str">
        <x:v>UN_WPP</x:v>
      </x:c>
      <x:c r="I227" s="2" t="str"/>
      <x:c r="J227" s="2" t="str">
        <x:v>Countries</x:v>
      </x:c>
      <x:c r="K227" s="2" t="str">
        <x:v>scripts/olam-analyse.py</x:v>
      </x:c>
      <x:c r="L227" s="2" t="str">
        <x:v>7 /atlas</x:v>
      </x:c>
      <x:c r="M227" s="2" t="str">
        <x:v>No category demand inference</x:v>
      </x:c>
    </x:row>
    <x:row r="228" ht="70" customHeight="1">
      <x:c r="A228" s="2" t="str">
        <x:v>C-POP-TGO</x:v>
      </x:c>
      <x:c r="B228" s="2" t="str">
        <x:v>Population projectionpath</x:v>
      </x:c>
      <x:c r="C228" s="2" t="str">
        <x:v>WPP thousands×1000;2051/2026−1</x:v>
      </x:c>
      <x:c r="D228" s="2" t="str">
        <x:v>{"2026": 9930918.0, "2030": 10792997.0, "2035": 11937684.0, "2040": 13121352.0, "2045": 14347512.0, "2050": 15584778.0, "2051": 15831367.0}</x:v>
      </x:c>
      <x:c r="E228" s="2" t="str">
        <x:v>0.5941494029051493</x:v>
      </x:c>
      <x:c r="F228" s="2" t="str">
        <x:v>Persons /fractionchange</x:v>
      </x:c>
      <x:c r="G228" s="2" t="str">
        <x:v>UN_WPP_TGO</x:v>
      </x:c>
      <x:c r="H228" s="2" t="str">
        <x:v>UN_WPP</x:v>
      </x:c>
      <x:c r="I228" s="2" t="str"/>
      <x:c r="J228" s="2" t="str">
        <x:v>Countries</x:v>
      </x:c>
      <x:c r="K228" s="2" t="str">
        <x:v>scripts/olam-analyse.py</x:v>
      </x:c>
      <x:c r="L228" s="2" t="str">
        <x:v>7 /atlas</x:v>
      </x:c>
      <x:c r="M228" s="2" t="str">
        <x:v>No category demand inference</x:v>
      </x:c>
    </x:row>
    <x:row r="229" ht="70" customHeight="1">
      <x:c r="A229" s="2" t="str">
        <x:v>C-POP-TON</x:v>
      </x:c>
      <x:c r="B229" s="2" t="str">
        <x:v>Population projectionpath</x:v>
      </x:c>
      <x:c r="C229" s="2" t="str">
        <x:v>WPP thousands×1000;2051/2026−1</x:v>
      </x:c>
      <x:c r="D229" s="2" t="str">
        <x:v>{"2026": 103291.0, "2030": 102072.0, "2035": 101829.0, "2040": 102565.0, "2045": 103930.0, "2050": 105195.0, "2051": 105416.0}</x:v>
      </x:c>
      <x:c r="E229" s="2" t="str">
        <x:v>0.020572944399802395</x:v>
      </x:c>
      <x:c r="F229" s="2" t="str">
        <x:v>Persons /fractionchange</x:v>
      </x:c>
      <x:c r="G229" s="2" t="str">
        <x:v>UN_WPP_TON</x:v>
      </x:c>
      <x:c r="H229" s="2" t="str">
        <x:v>UN_WPP</x:v>
      </x:c>
      <x:c r="I229" s="2" t="str"/>
      <x:c r="J229" s="2" t="str">
        <x:v>Countries</x:v>
      </x:c>
      <x:c r="K229" s="2" t="str">
        <x:v>scripts/olam-analyse.py</x:v>
      </x:c>
      <x:c r="L229" s="2" t="str">
        <x:v>7 /atlas</x:v>
      </x:c>
      <x:c r="M229" s="2" t="str">
        <x:v>No category demand inference</x:v>
      </x:c>
    </x:row>
    <x:row r="230" ht="70" customHeight="1">
      <x:c r="A230" s="2" t="str">
        <x:v>C-POP-TTO</x:v>
      </x:c>
      <x:c r="B230" s="2" t="str">
        <x:v>Population projectionpath</x:v>
      </x:c>
      <x:c r="C230" s="2" t="str">
        <x:v>WPP thousands×1000;2051/2026−1</x:v>
      </x:c>
      <x:c r="D230" s="2" t="str">
        <x:v>{"2026": 1513268.0, "2030": 1512322.0, "2035": 1497855.0, "2040": 1472944.0, "2045": 1439585.0, "2050": 1399800.0, "2051": 1391195.0}</x:v>
      </x:c>
      <x:c r="E230" s="2" t="str">
        <x:v>-0.08066846057671218</x:v>
      </x:c>
      <x:c r="F230" s="2" t="str">
        <x:v>Persons /fractionchange</x:v>
      </x:c>
      <x:c r="G230" s="2" t="str">
        <x:v>UN_WPP_TTO</x:v>
      </x:c>
      <x:c r="H230" s="2" t="str">
        <x:v>UN_WPP</x:v>
      </x:c>
      <x:c r="I230" s="2" t="str"/>
      <x:c r="J230" s="2" t="str">
        <x:v>Countries</x:v>
      </x:c>
      <x:c r="K230" s="2" t="str">
        <x:v>scripts/olam-analyse.py</x:v>
      </x:c>
      <x:c r="L230" s="2" t="str">
        <x:v>7 /atlas</x:v>
      </x:c>
      <x:c r="M230" s="2" t="str">
        <x:v>No category demand inference</x:v>
      </x:c>
    </x:row>
    <x:row r="231" ht="70" customHeight="1">
      <x:c r="A231" s="2" t="str">
        <x:v>C-POP-TUN</x:v>
      </x:c>
      <x:c r="B231" s="2" t="str">
        <x:v>Population projectionpath</x:v>
      </x:c>
      <x:c r="C231" s="2" t="str">
        <x:v>WPP thousands×1000;2051/2026−1</x:v>
      </x:c>
      <x:c r="D231" s="2" t="str">
        <x:v>{"2026": 12415138.0, "2030": 12628142.0, "2035": 12812269.0, "2040": 12953864.0, "2045": 13076089.0, "2050": 13145141.0, "2051": 13148162.0}</x:v>
      </x:c>
      <x:c r="E231" s="2" t="str">
        <x:v>0.05904275892865618</x:v>
      </x:c>
      <x:c r="F231" s="2" t="str">
        <x:v>Persons /fractionchange</x:v>
      </x:c>
      <x:c r="G231" s="2" t="str">
        <x:v>UN_WPP_TUN</x:v>
      </x:c>
      <x:c r="H231" s="2" t="str">
        <x:v>UN_WPP</x:v>
      </x:c>
      <x:c r="I231" s="2" t="str"/>
      <x:c r="J231" s="2" t="str">
        <x:v>Countries</x:v>
      </x:c>
      <x:c r="K231" s="2" t="str">
        <x:v>scripts/olam-analyse.py</x:v>
      </x:c>
      <x:c r="L231" s="2" t="str">
        <x:v>7 /atlas</x:v>
      </x:c>
      <x:c r="M231" s="2" t="str">
        <x:v>No category demand inference</x:v>
      </x:c>
    </x:row>
    <x:row r="232" ht="70" customHeight="1">
      <x:c r="A232" s="2" t="str">
        <x:v>C-POP-TKM</x:v>
      </x:c>
      <x:c r="B232" s="2" t="str">
        <x:v>Population projectionpath</x:v>
      </x:c>
      <x:c r="C232" s="2" t="str">
        <x:v>WPP thousands×1000;2051/2026−1</x:v>
      </x:c>
      <x:c r="D232" s="2" t="str">
        <x:v>{"2026": 7736632.0, "2030": 8135729.0, "2035": 8538668.0, "2040": 8932231.0, "2045": 9312822.0, "2050": 9639708.0, "2051": 9694833.0}</x:v>
      </x:c>
      <x:c r="E232" s="2" t="str">
        <x:v>0.2531076830331338</x:v>
      </x:c>
      <x:c r="F232" s="2" t="str">
        <x:v>Persons /fractionchange</x:v>
      </x:c>
      <x:c r="G232" s="2" t="str">
        <x:v>UN_WPP_TKM</x:v>
      </x:c>
      <x:c r="H232" s="2" t="str">
        <x:v>UN_WPP</x:v>
      </x:c>
      <x:c r="I232" s="2" t="str"/>
      <x:c r="J232" s="2" t="str">
        <x:v>Countries</x:v>
      </x:c>
      <x:c r="K232" s="2" t="str">
        <x:v>scripts/olam-analyse.py</x:v>
      </x:c>
      <x:c r="L232" s="2" t="str">
        <x:v>7 /atlas</x:v>
      </x:c>
      <x:c r="M232" s="2" t="str">
        <x:v>No category demand inference</x:v>
      </x:c>
    </x:row>
    <x:row r="233" ht="70" customHeight="1">
      <x:c r="A233" s="2" t="str">
        <x:v>C-POP-TUV</x:v>
      </x:c>
      <x:c r="B233" s="2" t="str">
        <x:v>Population projectionpath</x:v>
      </x:c>
      <x:c r="C233" s="2" t="str">
        <x:v>WPP thousands×1000;2051/2026−1</x:v>
      </x:c>
      <x:c r="D233" s="2" t="str">
        <x:v>{"2026": 9362.0, "2030": 9047.0, "2035": 8980.0, "2040": 9140.0, "2045": 9438.0, "2050": 9781.0, "2051": 9849.0}</x:v>
      </x:c>
      <x:c r="E233" s="2" t="str">
        <x:v>0.05201879940183729</x:v>
      </x:c>
      <x:c r="F233" s="2" t="str">
        <x:v>Persons /fractionchange</x:v>
      </x:c>
      <x:c r="G233" s="2" t="str">
        <x:v>UN_WPP_TUV</x:v>
      </x:c>
      <x:c r="H233" s="2" t="str">
        <x:v>UN_WPP</x:v>
      </x:c>
      <x:c r="I233" s="2" t="str"/>
      <x:c r="J233" s="2" t="str">
        <x:v>Countries</x:v>
      </x:c>
      <x:c r="K233" s="2" t="str">
        <x:v>scripts/olam-analyse.py</x:v>
      </x:c>
      <x:c r="L233" s="2" t="str">
        <x:v>7 /atlas</x:v>
      </x:c>
      <x:c r="M233" s="2" t="str">
        <x:v>No category demand inference</x:v>
      </x:c>
    </x:row>
    <x:row r="234" ht="70" customHeight="1">
      <x:c r="A234" s="2" t="str">
        <x:v>C-POP-TUR</x:v>
      </x:c>
      <x:c r="B234" s="2" t="str">
        <x:v>Population projectionpath</x:v>
      </x:c>
      <x:c r="C234" s="2" t="str">
        <x:v>WPP thousands×1000;2051/2026−1</x:v>
      </x:c>
      <x:c r="D234" s="2" t="str">
        <x:v>{"2026": 87926082.0, "2030": 89027542.0, "2035": 90188557.0, "2040": 91009681.0, "2045": 91392535.0, "2050": 91258061.0, "2051": 91140413.0}</x:v>
      </x:c>
      <x:c r="E234" s="2" t="str">
        <x:v>0.036557195850032365</x:v>
      </x:c>
      <x:c r="F234" s="2" t="str">
        <x:v>Persons /fractionchange</x:v>
      </x:c>
      <x:c r="G234" s="2" t="str">
        <x:v>UN_WPP_TUR</x:v>
      </x:c>
      <x:c r="H234" s="2" t="str">
        <x:v>UN_WPP</x:v>
      </x:c>
      <x:c r="I234" s="2" t="str"/>
      <x:c r="J234" s="2" t="str">
        <x:v>Countries</x:v>
      </x:c>
      <x:c r="K234" s="2" t="str">
        <x:v>scripts/olam-analyse.py</x:v>
      </x:c>
      <x:c r="L234" s="2" t="str">
        <x:v>7 /atlas</x:v>
      </x:c>
      <x:c r="M234" s="2" t="str">
        <x:v>No category demand inference</x:v>
      </x:c>
    </x:row>
    <x:row r="235" ht="70" customHeight="1">
      <x:c r="A235" s="2" t="str">
        <x:v>C-POP-UGA</x:v>
      </x:c>
      <x:c r="B235" s="2" t="str">
        <x:v>Population projectionpath</x:v>
      </x:c>
      <x:c r="C235" s="2" t="str">
        <x:v>WPP thousands×1000;2051/2026−1</x:v>
      </x:c>
      <x:c r="D235" s="2" t="str">
        <x:v>{"2026": 52761469.0, "2030": 58312940.0, "2035": 65205574.0, "2040": 72020418.0, "2045": 78797992.0, "2050": 85431202.0, "2051": 86718842.0}</x:v>
      </x:c>
      <x:c r="E235" s="2" t="str">
        <x:v>0.6436017351980856</x:v>
      </x:c>
      <x:c r="F235" s="2" t="str">
        <x:v>Persons /fractionchange</x:v>
      </x:c>
      <x:c r="G235" s="2" t="str">
        <x:v>UN_WPP_UGA</x:v>
      </x:c>
      <x:c r="H235" s="2" t="str">
        <x:v>UN_WPP</x:v>
      </x:c>
      <x:c r="I235" s="2" t="str"/>
      <x:c r="J235" s="2" t="str">
        <x:v>Countries</x:v>
      </x:c>
      <x:c r="K235" s="2" t="str">
        <x:v>scripts/olam-analyse.py</x:v>
      </x:c>
      <x:c r="L235" s="2" t="str">
        <x:v>7 /atlas</x:v>
      </x:c>
      <x:c r="M235" s="2" t="str">
        <x:v>No category demand inference</x:v>
      </x:c>
    </x:row>
    <x:row r="236" ht="70" customHeight="1">
      <x:c r="A236" s="2" t="str">
        <x:v>C-POP-UKR</x:v>
      </x:c>
      <x:c r="B236" s="2" t="str">
        <x:v>Population projectionpath</x:v>
      </x:c>
      <x:c r="C236" s="2" t="str">
        <x:v>WPP thousands×1000;2051/2026−1</x:v>
      </x:c>
      <x:c r="D236" s="2" t="str">
        <x:v>{"2026": 39535849.0, "2030": 38353853.0, "2035": 36828147.0, "2040": 35270911.0, "2045": 33680445.0, "2050": 31990132.0, "2051": 31637037.0}</x:v>
      </x:c>
      <x:c r="E236" s="2" t="str">
        <x:v>-0.19978860198499848</x:v>
      </x:c>
      <x:c r="F236" s="2" t="str">
        <x:v>Persons /fractionchange</x:v>
      </x:c>
      <x:c r="G236" s="2" t="str">
        <x:v>UN_WPP_UKR</x:v>
      </x:c>
      <x:c r="H236" s="2" t="str">
        <x:v>UN_WPP</x:v>
      </x:c>
      <x:c r="I236" s="2" t="str"/>
      <x:c r="J236" s="2" t="str">
        <x:v>Countries</x:v>
      </x:c>
      <x:c r="K236" s="2" t="str">
        <x:v>scripts/olam-analyse.py</x:v>
      </x:c>
      <x:c r="L236" s="2" t="str">
        <x:v>7 /atlas</x:v>
      </x:c>
      <x:c r="M236" s="2" t="str">
        <x:v>No category demand inference</x:v>
      </x:c>
    </x:row>
    <x:row r="237" ht="70" customHeight="1">
      <x:c r="A237" s="2" t="str">
        <x:v>C-POP-ARE</x:v>
      </x:c>
      <x:c r="B237" s="2" t="str">
        <x:v>Population projectionpath</x:v>
      </x:c>
      <x:c r="C237" s="2" t="str">
        <x:v>WPP thousands×1000;2051/2026−1</x:v>
      </x:c>
      <x:c r="D237" s="2" t="str">
        <x:v>{"2026": 11574682.0, "2030": 12190605.0, "2035": 12910702.0, "2040": 13693776.0, "2045": 14507366.0, "2050": 15367392.0, "2051": 15543672.0}</x:v>
      </x:c>
      <x:c r="E237" s="2" t="str">
        <x:v>0.3429027251029446</x:v>
      </x:c>
      <x:c r="F237" s="2" t="str">
        <x:v>Persons /fractionchange</x:v>
      </x:c>
      <x:c r="G237" s="2" t="str">
        <x:v>UN_WPP_ARE</x:v>
      </x:c>
      <x:c r="H237" s="2" t="str">
        <x:v>UN_WPP</x:v>
      </x:c>
      <x:c r="I237" s="2" t="str"/>
      <x:c r="J237" s="2" t="str">
        <x:v>Countries</x:v>
      </x:c>
      <x:c r="K237" s="2" t="str">
        <x:v>scripts/olam-analyse.py</x:v>
      </x:c>
      <x:c r="L237" s="2" t="str">
        <x:v>7 /atlas</x:v>
      </x:c>
      <x:c r="M237" s="2" t="str">
        <x:v>No category demand inference</x:v>
      </x:c>
    </x:row>
    <x:row r="238" ht="70" customHeight="1">
      <x:c r="A238" s="2" t="str">
        <x:v>C-POP-GBR</x:v>
      </x:c>
      <x:c r="B238" s="2" t="str">
        <x:v>Population projectionpath</x:v>
      </x:c>
      <x:c r="C238" s="2" t="str">
        <x:v>WPP thousands×1000;2051/2026−1</x:v>
      </x:c>
      <x:c r="D238" s="2" t="str">
        <x:v>{"2026": 69931528.0, "2030": 71286992.0, "2035": 72656815.0, "2040": 73774626.0, "2045": 74753658.0, "2050": 75504681.0, "2051": 75616457.0}</x:v>
      </x:c>
      <x:c r="E238" s="2" t="str">
        <x:v>0.08129278971281728</x:v>
      </x:c>
      <x:c r="F238" s="2" t="str">
        <x:v>Persons /fractionchange</x:v>
      </x:c>
      <x:c r="G238" s="2" t="str">
        <x:v>UN_WPP_GBR</x:v>
      </x:c>
      <x:c r="H238" s="2" t="str">
        <x:v>UN_WPP</x:v>
      </x:c>
      <x:c r="I238" s="2" t="str"/>
      <x:c r="J238" s="2" t="str">
        <x:v>Countries</x:v>
      </x:c>
      <x:c r="K238" s="2" t="str">
        <x:v>scripts/olam-analyse.py</x:v>
      </x:c>
      <x:c r="L238" s="2" t="str">
        <x:v>7 /atlas</x:v>
      </x:c>
      <x:c r="M238" s="2" t="str">
        <x:v>No category demand inference</x:v>
      </x:c>
    </x:row>
    <x:row r="239" ht="70" customHeight="1">
      <x:c r="A239" s="2" t="str">
        <x:v>C-POP-TZA</x:v>
      </x:c>
      <x:c r="B239" s="2" t="str">
        <x:v>Population projectionpath</x:v>
      </x:c>
      <x:c r="C239" s="2" t="str">
        <x:v>WPP thousands×1000;2051/2026−1</x:v>
      </x:c>
      <x:c r="D239" s="2" t="str">
        <x:v>{"2026": 72563780.0, "2030": 80913124.0, "2035": 92091429.0, "2040": 103999359.0, "2045": 116525473.0, "2050": 129621102.0, "2051": 132280446.99999999}</x:v>
      </x:c>
      <x:c r="E239" s="2" t="str">
        <x:v>0.82295419284938</x:v>
      </x:c>
      <x:c r="F239" s="2" t="str">
        <x:v>Persons /fractionchange</x:v>
      </x:c>
      <x:c r="G239" s="2" t="str">
        <x:v>UN_WPP_TZA</x:v>
      </x:c>
      <x:c r="H239" s="2" t="str">
        <x:v>UN_WPP</x:v>
      </x:c>
      <x:c r="I239" s="2" t="str"/>
      <x:c r="J239" s="2" t="str">
        <x:v>Countries</x:v>
      </x:c>
      <x:c r="K239" s="2" t="str">
        <x:v>scripts/olam-analyse.py</x:v>
      </x:c>
      <x:c r="L239" s="2" t="str">
        <x:v>7 /atlas</x:v>
      </x:c>
      <x:c r="M239" s="2" t="str">
        <x:v>No category demand inference</x:v>
      </x:c>
    </x:row>
    <x:row r="240" ht="70" customHeight="1">
      <x:c r="A240" s="2" t="str">
        <x:v>C-POP-USA</x:v>
      </x:c>
      <x:c r="B240" s="2" t="str">
        <x:v>Population projectionpath</x:v>
      </x:c>
      <x:c r="C240" s="2" t="str">
        <x:v>WPP thousands×1000;2051/2026−1</x:v>
      </x:c>
      <x:c r="D240" s="2" t="str">
        <x:v>{"2026": 349035494.0, "2030": 355649881.0, "2035": 363284716.0, "2040": 370209316.0, "2045": 376106472.0, "2050": 380846910.0, "2051": 381708396.0}</x:v>
      </x:c>
      <x:c r="E240" s="2" t="str">
        <x:v>0.09360911013823703</x:v>
      </x:c>
      <x:c r="F240" s="2" t="str">
        <x:v>Persons /fractionchange</x:v>
      </x:c>
      <x:c r="G240" s="2" t="str">
        <x:v>UN_WPP_USA</x:v>
      </x:c>
      <x:c r="H240" s="2" t="str">
        <x:v>UN_WPP</x:v>
      </x:c>
      <x:c r="I240" s="2" t="str"/>
      <x:c r="J240" s="2" t="str">
        <x:v>Countries</x:v>
      </x:c>
      <x:c r="K240" s="2" t="str">
        <x:v>scripts/olam-analyse.py</x:v>
      </x:c>
      <x:c r="L240" s="2" t="str">
        <x:v>7 /atlas</x:v>
      </x:c>
      <x:c r="M240" s="2" t="str">
        <x:v>No category demand inference</x:v>
      </x:c>
    </x:row>
    <x:row r="241" ht="70" customHeight="1">
      <x:c r="A241" s="2" t="str">
        <x:v>C-POP-URY</x:v>
      </x:c>
      <x:c r="B241" s="2" t="str">
        <x:v>Population projectionpath</x:v>
      </x:c>
      <x:c r="C241" s="2" t="str">
        <x:v>WPP thousands×1000;2051/2026−1</x:v>
      </x:c>
      <x:c r="D241" s="2" t="str">
        <x:v>{"2026": 3382537.0, "2030": 3372887.0, "2035": 3358282.0, "2040": 3336459.0, "2045": 3302675.0, "2050": 3254354.0, "2051": 3242784.0}</x:v>
      </x:c>
      <x:c r="E241" s="2" t="str">
        <x:v>-0.04131602995030059</x:v>
      </x:c>
      <x:c r="F241" s="2" t="str">
        <x:v>Persons /fractionchange</x:v>
      </x:c>
      <x:c r="G241" s="2" t="str">
        <x:v>UN_WPP_URY</x:v>
      </x:c>
      <x:c r="H241" s="2" t="str">
        <x:v>UN_WPP</x:v>
      </x:c>
      <x:c r="I241" s="2" t="str"/>
      <x:c r="J241" s="2" t="str">
        <x:v>Countries</x:v>
      </x:c>
      <x:c r="K241" s="2" t="str">
        <x:v>scripts/olam-analyse.py</x:v>
      </x:c>
      <x:c r="L241" s="2" t="str">
        <x:v>7 /atlas</x:v>
      </x:c>
      <x:c r="M241" s="2" t="str">
        <x:v>No category demand inference</x:v>
      </x:c>
    </x:row>
    <x:row r="242" ht="70" customHeight="1">
      <x:c r="A242" s="2" t="str">
        <x:v>C-POP-UZB</x:v>
      </x:c>
      <x:c r="B242" s="2" t="str">
        <x:v>Population projectionpath</x:v>
      </x:c>
      <x:c r="C242" s="2" t="str">
        <x:v>WPP thousands×1000;2051/2026−1</x:v>
      </x:c>
      <x:c r="D242" s="2" t="str">
        <x:v>{"2026": 37724223.0, "2030": 40248241.0, "2035": 43175102.0, "2040": 46044152.0, "2045": 49096063.0, "2050": 52210755.0, "2051": 52819885.0}</x:v>
      </x:c>
      <x:c r="E242" s="2" t="str">
        <x:v>0.40015832797934636</x:v>
      </x:c>
      <x:c r="F242" s="2" t="str">
        <x:v>Persons /fractionchange</x:v>
      </x:c>
      <x:c r="G242" s="2" t="str">
        <x:v>UN_WPP_UZB</x:v>
      </x:c>
      <x:c r="H242" s="2" t="str">
        <x:v>UN_WPP</x:v>
      </x:c>
      <x:c r="I242" s="2" t="str"/>
      <x:c r="J242" s="2" t="str">
        <x:v>Countries</x:v>
      </x:c>
      <x:c r="K242" s="2" t="str">
        <x:v>scripts/olam-analyse.py</x:v>
      </x:c>
      <x:c r="L242" s="2" t="str">
        <x:v>7 /atlas</x:v>
      </x:c>
      <x:c r="M242" s="2" t="str">
        <x:v>No category demand inference</x:v>
      </x:c>
    </x:row>
    <x:row r="243" ht="70" customHeight="1">
      <x:c r="A243" s="2" t="str">
        <x:v>C-POP-VUT</x:v>
      </x:c>
      <x:c r="B243" s="2" t="str">
        <x:v>Population projectionpath</x:v>
      </x:c>
      <x:c r="C243" s="2" t="str">
        <x:v>WPP thousands×1000;2051/2026−1</x:v>
      </x:c>
      <x:c r="D243" s="2" t="str">
        <x:v>{"2026": 342564.0, "2030": 372428.0, "2035": 411063.0, "2040": 451512.0, "2045": 492990.0, "2050": 534388.0, "2051": 542587.0}</x:v>
      </x:c>
      <x:c r="E243" s="2" t="str">
        <x:v>0.5838996508681589</x:v>
      </x:c>
      <x:c r="F243" s="2" t="str">
        <x:v>Persons /fractionchange</x:v>
      </x:c>
      <x:c r="G243" s="2" t="str">
        <x:v>UN_WPP_VUT</x:v>
      </x:c>
      <x:c r="H243" s="2" t="str">
        <x:v>UN_WPP</x:v>
      </x:c>
      <x:c r="I243" s="2" t="str"/>
      <x:c r="J243" s="2" t="str">
        <x:v>Countries</x:v>
      </x:c>
      <x:c r="K243" s="2" t="str">
        <x:v>scripts/olam-analyse.py</x:v>
      </x:c>
      <x:c r="L243" s="2" t="str">
        <x:v>7 /atlas</x:v>
      </x:c>
      <x:c r="M243" s="2" t="str">
        <x:v>No category demand inference</x:v>
      </x:c>
    </x:row>
    <x:row r="244" ht="70" customHeight="1">
      <x:c r="A244" s="2" t="str">
        <x:v>C-POP-VEN</x:v>
      </x:c>
      <x:c r="B244" s="2" t="str">
        <x:v>Population projectionpath</x:v>
      </x:c>
      <x:c r="C244" s="2" t="str">
        <x:v>WPP thousands×1000;2051/2026−1</x:v>
      </x:c>
      <x:c r="D244" s="2" t="str">
        <x:v>{"2026": 28633711.0, "2030": 29151810.0, "2035": 29883329.0, "2040": 30495443.0, "2045": 30871487.0, "2050": 31094883.0, "2051": 31122396.0}</x:v>
      </x:c>
      <x:c r="E244" s="2" t="str">
        <x:v>0.08691451136040307</x:v>
      </x:c>
      <x:c r="F244" s="2" t="str">
        <x:v>Persons /fractionchange</x:v>
      </x:c>
      <x:c r="G244" s="2" t="str">
        <x:v>UN_WPP_VEN</x:v>
      </x:c>
      <x:c r="H244" s="2" t="str">
        <x:v>UN_WPP</x:v>
      </x:c>
      <x:c r="I244" s="2" t="str"/>
      <x:c r="J244" s="2" t="str">
        <x:v>Countries</x:v>
      </x:c>
      <x:c r="K244" s="2" t="str">
        <x:v>scripts/olam-analyse.py</x:v>
      </x:c>
      <x:c r="L244" s="2" t="str">
        <x:v>7 /atlas</x:v>
      </x:c>
      <x:c r="M244" s="2" t="str">
        <x:v>No category demand inference</x:v>
      </x:c>
    </x:row>
    <x:row r="245" ht="70" customHeight="1">
      <x:c r="A245" s="2" t="str">
        <x:v>C-POP-VNM</x:v>
      </x:c>
      <x:c r="B245" s="2" t="str">
        <x:v>Population projectionpath</x:v>
      </x:c>
      <x:c r="C245" s="2" t="str">
        <x:v>WPP thousands×1000;2051/2026−1</x:v>
      </x:c>
      <x:c r="D245" s="2" t="str">
        <x:v>{"2026": 102177431.0, "2030": 104254902.0, "2035": 106530676.0, "2040": 108437635.0, "2045": 109685398.0, "2050": 110008908.0, "2051": 109963189.0}</x:v>
      </x:c>
      <x:c r="E245" s="2" t="str">
        <x:v>0.07619841215228829</x:v>
      </x:c>
      <x:c r="F245" s="2" t="str">
        <x:v>Persons /fractionchange</x:v>
      </x:c>
      <x:c r="G245" s="2" t="str">
        <x:v>UN_WPP_VNM</x:v>
      </x:c>
      <x:c r="H245" s="2" t="str">
        <x:v>UN_WPP</x:v>
      </x:c>
      <x:c r="I245" s="2" t="str"/>
      <x:c r="J245" s="2" t="str">
        <x:v>Countries</x:v>
      </x:c>
      <x:c r="K245" s="2" t="str">
        <x:v>scripts/olam-analyse.py</x:v>
      </x:c>
      <x:c r="L245" s="2" t="str">
        <x:v>7 /atlas</x:v>
      </x:c>
      <x:c r="M245" s="2" t="str">
        <x:v>No category demand inference</x:v>
      </x:c>
    </x:row>
    <x:row r="246" ht="70" customHeight="1">
      <x:c r="A246" s="2" t="str">
        <x:v>C-POP-YEM</x:v>
      </x:c>
      <x:c r="B246" s="2" t="str">
        <x:v>Population projectionpath</x:v>
      </x:c>
      <x:c r="C246" s="2" t="str">
        <x:v>WPP thousands×1000;2051/2026−1</x:v>
      </x:c>
      <x:c r="D246" s="2" t="str">
        <x:v>{"2026": 42961653.0, "2030": 47667662.0, "2035": 53429325.0, "2040": 59181526.0, "2045": 65066356.0, "2050": 70976403.0, "2051": 72147203.0}</x:v>
      </x:c>
      <x:c r="E246" s="2" t="str">
        <x:v>0.679339549621147</x:v>
      </x:c>
      <x:c r="F246" s="2" t="str">
        <x:v>Persons /fractionchange</x:v>
      </x:c>
      <x:c r="G246" s="2" t="str">
        <x:v>UN_WPP_YEM</x:v>
      </x:c>
      <x:c r="H246" s="2" t="str">
        <x:v>UN_WPP</x:v>
      </x:c>
      <x:c r="I246" s="2" t="str"/>
      <x:c r="J246" s="2" t="str">
        <x:v>Countries</x:v>
      </x:c>
      <x:c r="K246" s="2" t="str">
        <x:v>scripts/olam-analyse.py</x:v>
      </x:c>
      <x:c r="L246" s="2" t="str">
        <x:v>7 /atlas</x:v>
      </x:c>
      <x:c r="M246" s="2" t="str">
        <x:v>No category demand inference</x:v>
      </x:c>
    </x:row>
    <x:row r="247" ht="70" customHeight="1">
      <x:c r="A247" s="2" t="str">
        <x:v>C-POP-ZMB</x:v>
      </x:c>
      <x:c r="B247" s="2" t="str">
        <x:v>Population projectionpath</x:v>
      </x:c>
      <x:c r="C247" s="2" t="str">
        <x:v>WPP thousands×1000;2051/2026−1</x:v>
      </x:c>
      <x:c r="D247" s="2" t="str">
        <x:v>{"2026": 22521915.0, "2030": 25024901.0, "2035": 28266892.0, "2040": 31550402.0, "2045": 34821106.0, "2050": 38083385.0, "2051": 38728892.0}</x:v>
      </x:c>
      <x:c r="E247" s="2" t="str">
        <x:v>0.7196091895382786</x:v>
      </x:c>
      <x:c r="F247" s="2" t="str">
        <x:v>Persons /fractionchange</x:v>
      </x:c>
      <x:c r="G247" s="2" t="str">
        <x:v>UN_WPP_ZMB</x:v>
      </x:c>
      <x:c r="H247" s="2" t="str">
        <x:v>UN_WPP</x:v>
      </x:c>
      <x:c r="I247" s="2" t="str"/>
      <x:c r="J247" s="2" t="str">
        <x:v>Countries</x:v>
      </x:c>
      <x:c r="K247" s="2" t="str">
        <x:v>scripts/olam-analyse.py</x:v>
      </x:c>
      <x:c r="L247" s="2" t="str">
        <x:v>7 /atlas</x:v>
      </x:c>
      <x:c r="M247" s="2" t="str">
        <x:v>No category demand inference</x:v>
      </x:c>
    </x:row>
    <x:row r="248" ht="70" customHeight="1">
      <x:c r="A248" s="2" t="str">
        <x:v>C-POP-ZWE</x:v>
      </x:c>
      <x:c r="B248" s="2" t="str">
        <x:v>Population projectionpath</x:v>
      </x:c>
      <x:c r="C248" s="2" t="str">
        <x:v>WPP thousands×1000;2051/2026−1</x:v>
      </x:c>
      <x:c r="D248" s="2" t="str">
        <x:v>{"2026": 17273580.0, "2030": 18610349.0, "2035": 20409146.0, "2040": 22250109.0, "2045": 24102380.0, "2050": 25866385.0, "2051": 26217392.0}</x:v>
      </x:c>
      <x:c r="E248" s="2" t="str">
        <x:v>0.517774080416451</x:v>
      </x:c>
      <x:c r="F248" s="2" t="str">
        <x:v>Persons /fractionchange</x:v>
      </x:c>
      <x:c r="G248" s="2" t="str">
        <x:v>UN_WPP_ZWE</x:v>
      </x:c>
      <x:c r="H248" s="2" t="str">
        <x:v>UN_WPP</x:v>
      </x:c>
      <x:c r="I248" s="2" t="str"/>
      <x:c r="J248" s="2" t="str">
        <x:v>Countries</x:v>
      </x:c>
      <x:c r="K248" s="2" t="str">
        <x:v>scripts/olam-analyse.py</x:v>
      </x:c>
      <x:c r="L248" s="2" t="str">
        <x:v>7 /atlas</x:v>
      </x:c>
      <x:c r="M248" s="2" t="str">
        <x:v>No category demand inference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42" customHeight="1">
      <x:c r="A1" s="5" t="str">
        <x:v>Limitations / v1.0.0</x:v>
      </x:c>
      <x:c r="B1" s="2"/>
      <x:c r="C1" s="2"/>
    </x:row>
    <x:row r="2" ht="42" customHeight="1">
      <x:c r="A2" s="2" t="str">
        <x:v>Public evidence + chosen examples; no Olam internal investment valuation</x:v>
      </x:c>
      <x:c r="B2" s="2"/>
      <x:c r="C2" s="2"/>
    </x:row>
    <x:row r="3" ht="32" customHeight="1">
      <x:c r="A3" s="4" t="str">
        <x:v>Priority</x:v>
      </x:c>
      <x:c r="B3" s="4" t="str">
        <x:v>Missing evidence</x:v>
      </x:c>
      <x:c r="C3" s="4" t="str">
        <x:v>Decision consequence</x:v>
      </x:c>
    </x:row>
    <x:row r="4" ht="44" customHeight="1">
      <x:c r="A4" s="2" t="str">
        <x:v>1</x:v>
      </x:c>
      <x:c r="B4" s="2" t="str">
        <x:v>Orders, capture, prices and cost</x:v>
      </x:c>
      <x:c r="C4" s="2" t="str">
        <x:v>Can reverse NPV and priority</x:v>
      </x:c>
    </x:row>
    <x:row r="5" ht="44" customHeight="1">
      <x:c r="A5" s="2" t="str">
        <x:v>2</x:v>
      </x:c>
      <x:c r="B5" s="2" t="str">
        <x:v>Monthly WC, tax, FX and hedges</x:v>
      </x:c>
      <x:c r="C5" s="2" t="str">
        <x:v>Can create unfunded loss</x:v>
      </x:c>
    </x:row>
    <x:row r="6" ht="44" customHeight="1">
      <x:c r="A6" s="2" t="str">
        <x:v>3</x:v>
      </x:c>
      <x:c r="B6" s="2" t="str">
        <x:v>Capacity, yield, access and rights</x:v>
      </x:c>
      <x:c r="C6" s="2" t="str">
        <x:v>Can exclude project</x:v>
      </x:c>
    </x:row>
    <x:row r="7" ht="44" customHeight="1">
      <x:c r="A7" s="2" t="str">
        <x:v>4</x:v>
      </x:c>
      <x:c r="B7" s="2" t="str">
        <x:v>Basin / asset climate, competitors and causality</x:v>
      </x:c>
      <x:c r="C7" s="2" t="str">
        <x:v>Can reverse robustness</x:v>
      </x:c>
    </x:row>
    <x:row r="8" ht="44" customHeight="1">
      <x:c r="A8" s="2" t="str">
        <x:v>5</x:v>
      </x:c>
      <x:c r="B8" s="2" t="str">
        <x:v>No probability calibration</x:v>
      </x:c>
      <x:c r="C8" s="2" t="str">
        <x:v>Quantiles are not prediction intervals</x:v>
      </x:c>
    </x:row>
  </x:sheetData>
  <x:mergeCells>
    <x:mergeCell ref="A1:C1"/>
    <x:mergeCell ref="A2:C2"/>
  </x:mergeCells>
  <x:pageMargins left="0.7" right="0.7" top="0.75" bottom="0.75" header="0.3" footer="0.3"/>
</x:worksheet>
</file>