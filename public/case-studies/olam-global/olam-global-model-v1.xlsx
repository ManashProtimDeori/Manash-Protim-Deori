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6ec74167f746b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_Me" sheetId="1" r:id="R3ac4256c02c14525"/>
    <x:sheet xmlns:r="http://schemas.openxmlformats.org/officeDocument/2006/relationships" name="Sources" sheetId="2" r:id="R86541eb9610149c9"/>
    <x:sheet xmlns:r="http://schemas.openxmlformats.org/officeDocument/2006/relationships" name="Claims" sheetId="3" r:id="Raf6a1396ba8049d9"/>
    <x:sheet xmlns:r="http://schemas.openxmlformats.org/officeDocument/2006/relationships" name="Countries" sheetId="4" r:id="Rc8f0fa357e87445f"/>
    <x:sheet xmlns:r="http://schemas.openxmlformats.org/officeDocument/2006/relationships" name="Country_Selector" sheetId="5" r:id="R9c743503063c4a8f"/>
    <x:sheet xmlns:r="http://schemas.openxmlformats.org/officeDocument/2006/relationships" name="Products_HS" sheetId="6" r:id="R768e4a10eb3c49ef"/>
    <x:sheet xmlns:r="http://schemas.openxmlformats.org/officeDocument/2006/relationships" name="Raw_Data_Index" sheetId="7" r:id="R909942c42ec240bd"/>
    <x:sheet xmlns:r="http://schemas.openxmlformats.org/officeDocument/2006/relationships" name="Transformations" sheetId="8" r:id="R2ba784285fd74954"/>
    <x:sheet xmlns:r="http://schemas.openxmlformats.org/officeDocument/2006/relationships" name="Coverage" sheetId="9" r:id="R12a30955d4b445f4"/>
    <x:sheet xmlns:r="http://schemas.openxmlformats.org/officeDocument/2006/relationships" name="Company_Baseline" sheetId="10" r:id="R735e03ff302d443f"/>
    <x:sheet xmlns:r="http://schemas.openxmlformats.org/officeDocument/2006/relationships" name="Demand_Model" sheetId="11" r:id="R203ccaef32ca4623"/>
    <x:sheet xmlns:r="http://schemas.openxmlformats.org/officeDocument/2006/relationships" name="Trade_Model" sheetId="12" r:id="R26a54ec5b6204d54"/>
    <x:sheet xmlns:r="http://schemas.openxmlformats.org/officeDocument/2006/relationships" name="Climate_Exposure" sheetId="13" r:id="R3a5ece833dea4bb1"/>
    <x:sheet xmlns:r="http://schemas.openxmlformats.org/officeDocument/2006/relationships" name="Scenario_Inputs" sheetId="14" r:id="R945d6686189747b1"/>
    <x:sheet xmlns:r="http://schemas.openxmlformats.org/officeDocument/2006/relationships" name="Assumptions" sheetId="15" r:id="R6ce1e5ce15094534"/>
    <x:sheet xmlns:r="http://schemas.openxmlformats.org/officeDocument/2006/relationships" name="Unit_Economics" sheetId="16" r:id="Ree09ac89dcc64e23"/>
    <x:sheet xmlns:r="http://schemas.openxmlformats.org/officeDocument/2006/relationships" name="Working_Capital" sheetId="17" r:id="R56f7ecc0d9d04e37"/>
    <x:sheet xmlns:r="http://schemas.openxmlformats.org/officeDocument/2006/relationships" name="Financing_FX" sheetId="18" r:id="Ra7b7c59822834d91"/>
    <x:sheet xmlns:r="http://schemas.openxmlformats.org/officeDocument/2006/relationships" name="Country_Financials" sheetId="19" r:id="R88ccdf8e7d684f89"/>
    <x:sheet xmlns:r="http://schemas.openxmlformats.org/officeDocument/2006/relationships" name="Sensitivity" sheetId="20" r:id="R8dc60ab8164e4867"/>
    <x:sheet xmlns:r="http://schemas.openxmlformats.org/officeDocument/2006/relationships" name="Simulation" sheetId="21" r:id="R43924aff24264f83"/>
    <x:sheet xmlns:r="http://schemas.openxmlformats.org/officeDocument/2006/relationships" name="Portfolio" sheetId="22" r:id="R4921dc33cdc04b5f"/>
    <x:sheet xmlns:r="http://schemas.openxmlformats.org/officeDocument/2006/relationships" name="Marketing_Pilots" sheetId="23" r:id="Rf83becdf0a284634"/>
    <x:sheet xmlns:r="http://schemas.openxmlformats.org/officeDocument/2006/relationships" name="Information_Value" sheetId="24" r:id="Rdf8722a51aa14506"/>
    <x:sheet xmlns:r="http://schemas.openxmlformats.org/officeDocument/2006/relationships" name="Decision_Triggers" sheetId="25" r:id="R6fdd9831bff649a1"/>
    <x:sheet xmlns:r="http://schemas.openxmlformats.org/officeDocument/2006/relationships" name="Chart_Data" sheetId="26" r:id="Ra8dfd7b1c91f415c"/>
    <x:sheet xmlns:r="http://schemas.openxmlformats.org/officeDocument/2006/relationships" name="Calculation_Audit" sheetId="27" r:id="Re64d52b5cd804b58"/>
    <x:sheet xmlns:r="http://schemas.openxmlformats.org/officeDocument/2006/relationships" name="Limitations" sheetId="28" r:id="Reae2b1f75f2d4532"/>
    <x:sheet xmlns:r="http://schemas.openxmlformats.org/officeDocument/2006/relationships" name="Inputs" sheetId="29" r:id="R3f12504ef78a4049"/>
    <x:sheet xmlns:r="http://schemas.openxmlformats.org/officeDocument/2006/relationships" name="Requirements" sheetId="30" r:id="Rffe8514b883e4994"/>
    <x:sheet xmlns:r="http://schemas.openxmlformats.org/officeDocument/2006/relationships" name="Capital_Metrics" sheetId="31" r:id="Ra785ab4540b84576"/>
    <x:sheet xmlns:r="http://schemas.openxmlformats.org/officeDocument/2006/relationships" name="Boundary_Grid" sheetId="32" r:id="R93edfed2bad2428f"/>
    <x:sheet xmlns:r="http://schemas.openxmlformats.org/officeDocument/2006/relationships" name="Monthly_Cash" sheetId="33" r:id="R48601efbd6bb4802"/>
    <x:sheet xmlns:r="http://schemas.openxmlformats.org/officeDocument/2006/relationships" name="Model_Selection" sheetId="34" r:id="R035a084e05864dc4"/>
    <x:sheet xmlns:r="http://schemas.openxmlformats.org/officeDocument/2006/relationships" name="Priority_Plans" sheetId="35" r:id="R24583a8772f547a9"/>
    <x:sheet xmlns:r="http://schemas.openxmlformats.org/officeDocument/2006/relationships" name="Network" sheetId="36" r:id="R70af0b8b981c4aa6"/>
    <x:sheet xmlns:r="http://schemas.openxmlformats.org/officeDocument/2006/relationships" name="Ablations" sheetId="37" r:id="R3e10126204f74fc4"/>
    <x:sheet xmlns:r="http://schemas.openxmlformats.org/officeDocument/2006/relationships" name="Driver_Coverage" sheetId="38" r:id="Rcb6e50e0f5ea4536"/>
  </x:sheets>
  <x:definedNames>
    <x:definedName name="ActiveScenario">Assumptions!$B$5</x:definedName>
    <x:definedName name="ActiveMode">Assumptions!$B$4</x:definedName>
    <x:definedName name="ProjectNPV">Country_Financials!$B$31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%"/>
    <x:numFmt numFmtId="201" formatCode="#,##0.00;[Red](#,##0.00);&quot;—&quot;"/>
    <x:numFmt numFmtId="202" formatCode="0.00"/>
  </x:numFmts>
  <x:fonts count="6">
    <x:font>
      <x:sz val="11"/>
      <x:name val="Carlito"/>
    </x:font>
    <x:font>
      <x:sz val="10"/>
      <x:color rgb="FF183B2A"/>
      <x:name val="DejaVu Sans"/>
    </x:font>
    <x:font>
      <x:b/>
      <x:sz val="10"/>
      <x:color rgb="FFFFFFFF"/>
      <x:name val="DejaVu Sans"/>
    </x:font>
    <x:font>
      <x:b/>
      <x:sz val="16"/>
      <x:color rgb="FF183B2A"/>
      <x:name val="DejaVu Sans"/>
    </x:font>
    <x:font>
      <x:sz val="10"/>
      <x:color rgb="FF0000FF"/>
      <x:name val="DejaVu Sans"/>
    </x:font>
    <x:font>
      <x:sz val="10"/>
      <x:color rgb="FF008000"/>
      <x:name val="DejaVu Sans"/>
    </x:font>
  </x:fonts>
  <x:fills count="3">
    <x:fill>
      <x:patternFill patternType="none"/>
    </x:fill>
    <x:fill>
      <x:patternFill patternType="gray125"/>
    </x:fill>
    <x:fill>
      <x:patternFill patternType="solid">
        <x:fgColor rgb="FF173C2B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wrapText="1"/>
    </x:xf>
    <x:xf numFmtId="201" fontId="1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2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e68112a3504071" /><Relationship Type="http://schemas.openxmlformats.org/officeDocument/2006/relationships/theme" Target="/xl/theme/theme1.xml" Id="R46c9f93d8da14f70" /><Relationship Type="http://schemas.openxmlformats.org/officeDocument/2006/relationships/sharedStrings" Target="/xl/sharedStrings.xml" Id="Rb2bcf5ebdabb4328" /><Relationship Type="http://schemas.openxmlformats.org/officeDocument/2006/relationships/worksheet" Target="/xl/worksheets/sheet1.xml" Id="R3ac4256c02c14525" /><Relationship Type="http://schemas.openxmlformats.org/officeDocument/2006/relationships/worksheet" Target="/xl/worksheets/sheet2.xml" Id="R86541eb9610149c9" /><Relationship Type="http://schemas.openxmlformats.org/officeDocument/2006/relationships/worksheet" Target="/xl/worksheets/sheet3.xml" Id="Raf6a1396ba8049d9" /><Relationship Type="http://schemas.openxmlformats.org/officeDocument/2006/relationships/worksheet" Target="/xl/worksheets/sheet4.xml" Id="Rc8f0fa357e87445f" /><Relationship Type="http://schemas.openxmlformats.org/officeDocument/2006/relationships/worksheet" Target="/xl/worksheets/sheet5.xml" Id="R9c743503063c4a8f" /><Relationship Type="http://schemas.openxmlformats.org/officeDocument/2006/relationships/worksheet" Target="/xl/worksheets/sheet6.xml" Id="R768e4a10eb3c49ef" /><Relationship Type="http://schemas.openxmlformats.org/officeDocument/2006/relationships/worksheet" Target="/xl/worksheets/sheet7.xml" Id="R909942c42ec240bd" /><Relationship Type="http://schemas.openxmlformats.org/officeDocument/2006/relationships/worksheet" Target="/xl/worksheets/sheet8.xml" Id="R2ba784285fd74954" /><Relationship Type="http://schemas.openxmlformats.org/officeDocument/2006/relationships/worksheet" Target="/xl/worksheets/sheet9.xml" Id="R12a30955d4b445f4" /><Relationship Type="http://schemas.openxmlformats.org/officeDocument/2006/relationships/worksheet" Target="/xl/worksheets/sheet10.xml" Id="R735e03ff302d443f" /><Relationship Type="http://schemas.openxmlformats.org/officeDocument/2006/relationships/worksheet" Target="/xl/worksheets/sheet11.xml" Id="R203ccaef32ca4623" /><Relationship Type="http://schemas.openxmlformats.org/officeDocument/2006/relationships/worksheet" Target="/xl/worksheets/sheet12.xml" Id="R26a54ec5b6204d54" /><Relationship Type="http://schemas.openxmlformats.org/officeDocument/2006/relationships/worksheet" Target="/xl/worksheets/sheet13.xml" Id="R3a5ece833dea4bb1" /><Relationship Type="http://schemas.openxmlformats.org/officeDocument/2006/relationships/worksheet" Target="/xl/worksheets/sheet14.xml" Id="R945d6686189747b1" /><Relationship Type="http://schemas.openxmlformats.org/officeDocument/2006/relationships/worksheet" Target="/xl/worksheets/sheet15.xml" Id="R6ce1e5ce15094534" /><Relationship Type="http://schemas.openxmlformats.org/officeDocument/2006/relationships/worksheet" Target="/xl/worksheets/sheet16.xml" Id="Ree09ac89dcc64e23" /><Relationship Type="http://schemas.openxmlformats.org/officeDocument/2006/relationships/worksheet" Target="/xl/worksheets/sheet17.xml" Id="R56f7ecc0d9d04e37" /><Relationship Type="http://schemas.openxmlformats.org/officeDocument/2006/relationships/worksheet" Target="/xl/worksheets/sheet18.xml" Id="Ra7b7c59822834d91" /><Relationship Type="http://schemas.openxmlformats.org/officeDocument/2006/relationships/worksheet" Target="/xl/worksheets/sheet19.xml" Id="R88ccdf8e7d684f89" /><Relationship Type="http://schemas.openxmlformats.org/officeDocument/2006/relationships/worksheet" Target="/xl/worksheets/sheet20.xml" Id="R8dc60ab8164e4867" /><Relationship Type="http://schemas.openxmlformats.org/officeDocument/2006/relationships/worksheet" Target="/xl/worksheets/sheet21.xml" Id="R43924aff24264f83" /><Relationship Type="http://schemas.openxmlformats.org/officeDocument/2006/relationships/worksheet" Target="/xl/worksheets/sheet22.xml" Id="R4921dc33cdc04b5f" /><Relationship Type="http://schemas.openxmlformats.org/officeDocument/2006/relationships/worksheet" Target="/xl/worksheets/sheet23.xml" Id="Rf83becdf0a284634" /><Relationship Type="http://schemas.openxmlformats.org/officeDocument/2006/relationships/worksheet" Target="/xl/worksheets/sheet24.xml" Id="Rdf8722a51aa14506" /><Relationship Type="http://schemas.openxmlformats.org/officeDocument/2006/relationships/worksheet" Target="/xl/worksheets/sheet25.xml" Id="R6fdd9831bff649a1" /><Relationship Type="http://schemas.openxmlformats.org/officeDocument/2006/relationships/worksheet" Target="/xl/worksheets/sheet26.xml" Id="Ra8dfd7b1c91f415c" /><Relationship Type="http://schemas.openxmlformats.org/officeDocument/2006/relationships/worksheet" Target="/xl/worksheets/sheet27.xml" Id="Re64d52b5cd804b58" /><Relationship Type="http://schemas.openxmlformats.org/officeDocument/2006/relationships/worksheet" Target="/xl/worksheets/sheet28.xml" Id="Reae2b1f75f2d4532" /><Relationship Type="http://schemas.openxmlformats.org/officeDocument/2006/relationships/worksheet" Target="/xl/worksheets/sheet29.xml" Id="R3f12504ef78a4049" /><Relationship Type="http://schemas.openxmlformats.org/officeDocument/2006/relationships/worksheet" Target="/xl/worksheets/sheet30.xml" Id="Rffe8514b883e4994" /><Relationship Type="http://schemas.openxmlformats.org/officeDocument/2006/relationships/worksheet" Target="/xl/worksheets/sheet31.xml" Id="Ra785ab4540b84576" /><Relationship Type="http://schemas.openxmlformats.org/officeDocument/2006/relationships/worksheet" Target="/xl/worksheets/sheet32.xml" Id="R93edfed2bad2428f" /><Relationship Type="http://schemas.openxmlformats.org/officeDocument/2006/relationships/worksheet" Target="/xl/worksheets/sheet33.xml" Id="R48601efbd6bb4802" /><Relationship Type="http://schemas.openxmlformats.org/officeDocument/2006/relationships/worksheet" Target="/xl/worksheets/sheet34.xml" Id="R035a084e05864dc4" /><Relationship Type="http://schemas.openxmlformats.org/officeDocument/2006/relationships/worksheet" Target="/xl/worksheets/sheet35.xml" Id="R24583a8772f547a9" /><Relationship Type="http://schemas.openxmlformats.org/officeDocument/2006/relationships/worksheet" Target="/xl/worksheets/sheet36.xml" Id="R70af0b8b981c4aa6" /><Relationship Type="http://schemas.openxmlformats.org/officeDocument/2006/relationships/worksheet" Target="/xl/worksheets/sheet37.xml" Id="R3e10126204f74fc4" /><Relationship Type="http://schemas.openxmlformats.org/officeDocument/2006/relationships/worksheet" Target="/xl/worksheets/sheet38.xml" Id="Rcb6e50e0f5ea453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fdd01829c5d41e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DejaVu Sans"/>
                <a:ea typeface="DejaVu Sans"/>
                <a:cs typeface="DejaVu Sans"/>
              </a:rPr>
              <a:t>Active template EBITDA and FCFF, real USDm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DejaVu Sans"/>
              <a:ea typeface="DejaVu Sans"/>
              <a:cs typeface="DejaVu Sans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EBITDA</c:v>
          </c:tx>
          <c:marker>
            <c:symbol val="none"/>
          </c:marker>
          <c:cat>
            <c:strRef>
              <c:f>'Country_Financials'!$B$4:$B$28</c:f>
              <c:strCache>
                <c:ptCount val="0"/>
              </c:strCache>
            </c:strRef>
          </c:cat>
          <c:val>
            <c:numRef>
              <c:f>'Country_Financials'!$I$4:$I$28</c:f>
              <c:numCache>
                <c:formatCode>#,##0.00;[Red](#,##0.00);"—"</c:formatCode>
                <c:ptCount val="0"/>
              </c:numCache>
            </c:numRef>
          </c:val>
          <c:smooth val="0"/>
        </c:ser>
        <c:ser>
          <c:idx val="1"/>
          <c:order val="1"/>
          <c:tx>
            <c:v>FCFF</c:v>
          </c:tx>
          <c:marker>
            <c:symbol val="none"/>
          </c:marker>
          <c:cat>
            <c:strRef>
              <c:f>'Country_Financials'!$B$4:$B$28</c:f>
              <c:strCache>
                <c:ptCount val="0"/>
              </c:strCache>
            </c:strRef>
          </c:cat>
          <c:val>
            <c:numRef>
              <c:f>'Country_Financials'!$X$4:$X$28</c:f>
              <c:numCache>
                <c:formatCode>#,##0.00;[Red](#,##0.00);"—"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DejaVu Sans"/>
                <a:ea typeface="DejaVu Sans"/>
                <a:cs typeface="DejaVu Sans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DejaVu Sans"/>
                <a:ea typeface="DejaVu Sans"/>
                <a:cs typeface="DejaVu Sans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DejaVu Sans"/>
              <a:ea typeface="DejaVu Sans"/>
              <a:cs typeface="DejaVu Sans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28</xdr:col>
      <xdr:colOff>0</xdr:colOff>
      <xdr:row>3</xdr:row>
      <xdr:rowOff>0</xdr:rowOff>
    </xdr:from>
    <xdr:to>
      <xdr:col>44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fdd01829c5d41e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9.xml.rels>&#65279;<?xml version="1.0" encoding="utf-8"?><Relationships xmlns="http://schemas.openxmlformats.org/package/2006/relationships"><Relationship Type="http://schemas.openxmlformats.org/officeDocument/2006/relationships/drawing" Target="/xl/drawings/drawing1.xml" Id="R8095fb1e44f04333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3" hidden="0" customWidth="1"/>
    <x:col min="2" max="2" width="100" hidden="0" customWidth="1"/>
  </x:cols>
  <x:sheetData>
    <x:row r="1" ht="42" customHeight="1">
      <x:c r="A1" s="5" t="str">
        <x:v>Read Me / v1.1.0</x:v>
      </x:c>
      <x:c r="B1" s="2"/>
    </x:row>
    <x:row r="2" ht="42" customHeight="1">
      <x:c r="A2" s="2" t="str">
        <x:v>Public evidence + chosen examples; no Olam internal investment valuation</x:v>
      </x:c>
      <x:c r="B2" s="2"/>
    </x:row>
    <x:row r="3" ht="40" customHeight="1">
      <x:c r="A3" s="4" t="str">
        <x:v>Module</x:v>
      </x:c>
      <x:c r="B3" s="4" t="str">
        <x:v>Purpose</x:v>
      </x:c>
    </x:row>
    <x:row r="4" ht="40" customHeight="1">
      <x:c r="A4" s="2" t="str">
        <x:v>Scope</x:v>
      </x:c>
      <x:c r="B4" s="2" t="str">
        <x:v>195 countries; 193 members + 2 observers; 195 threshold-only cases. Territories separate.</x:v>
      </x:c>
    </x:row>
    <x:row r="5" ht="40" customHeight="1">
      <x:c r="A5" s="2" t="str">
        <x:v>Selectors</x:v>
      </x:c>
      <x:c r="B5" s="2" t="str">
        <x:v>Country_Selector B4(1–195); Assumptions B4 mode(1–3), B5 world(1–6). Live model only Country_Financials.</x:v>
      </x:c>
    </x:row>
    <x:row r="6" ht="40" customHeight="1">
      <x:c r="A6" s="2" t="str">
        <x:v>Units</x:v>
      </x:c>
      <x:c r="B6" s="2" t="str">
        <x:v>Constant 2026 USD million except unit prices USD/t, volume tonnes; legacy NGN billion separate.</x:v>
      </x:c>
    </x:row>
    <x:row r="7" ht="40" customHeight="1">
      <x:c r="A7" s="2" t="str">
        <x:v>Cash timing</x:v>
      </x:c>
      <x:c r="B7" s="2" t="str">
        <x:v>Year 0 = 2026; 25 operating years, 2027–2051; capex 60/40; annual cash omits intra-year seasonal peaks.</x:v>
      </x:c>
    </x:row>
    <x:row r="8" ht="40" customHeight="1">
      <x:c r="A8" s="2" t="str">
        <x:v>Inputs</x:v>
      </x:c>
      <x:c r="B8" s="2" t="str">
        <x:v>Blue choseninputs, green cross-sheet links, black formulas. Tax 25% simplified, not jurisdiction law.</x:v>
      </x:c>
    </x:row>
    <x:row r="9" ht="40" customHeight="1">
      <x:c r="A9" s="2" t="str">
        <x:v>Cached outputs</x:v>
      </x:c>
      <x:c r="B9" s="2" t="str">
        <x:v>Sensitivity, Simulation and Demand_Model are code snapshots run 2026-10-07T20:19:48.823839+00:00</x:v>
      </x:c>
    </x:row>
    <x:row r="10" ht="40" customHeight="1">
      <x:c r="A10" s="2" t="str">
        <x:v>Reproduce</x:v>
      </x:c>
      <x:c r="B10" s="2" t="str">
        <x:v>Retrieve → analyse → extend evidence/analysis → package → gap repairs → native artifacts → PDFs → verify → bundle. Exact commands: reproduce.md.</x:v>
      </x:c>
    </x:row>
    <x:row r="11" ht="40" customHeight="1">
      <x:c r="A11" s="2" t="str">
        <x:v>Full matrix</x:v>
      </x:c>
      <x:c r="B11" s="2" t="str">
        <x:v>country-scenario-matrix.csv:8,526 rows; country finance unknowns blank; template boundary separate.</x:v>
      </x:c>
    </x:row>
    <x:row r="12" ht="40" customHeight="1">
      <x:c r="A12" s="2" t="str">
        <x:v>Limitation</x:v>
      </x:c>
      <x:c r="B12" s="2" t="str">
        <x:v>No calibrated probability, company WACC, investment approval or fitted product demand.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3" hidden="0" customWidth="1"/>
    <x:col min="2" max="2" width="40" hidden="0" customWidth="1"/>
    <x:col min="3" max="3" width="65" hidden="0" customWidth="1"/>
    <x:col min="4" max="4" width="40" hidden="0" customWidth="1"/>
    <x:col min="5" max="5" width="40" hidden="0" customWidth="1"/>
    <x:col min="6" max="6" width="40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3" hidden="0" customWidth="1"/>
    <x:col min="14" max="14" width="23" hidden="0" customWidth="1"/>
    <x:col min="15" max="15" width="23" hidden="0" customWidth="1"/>
    <x:col min="16" max="16" width="23" hidden="0" customWidth="1"/>
    <x:col min="17" max="17" width="23" hidden="0" customWidth="1"/>
    <x:col min="18" max="18" width="23" hidden="0" customWidth="1"/>
    <x:col min="19" max="19" width="23" hidden="0" customWidth="1"/>
    <x:col min="20" max="20" width="23" hidden="0" customWidth="1"/>
    <x:col min="21" max="21" width="23" hidden="0" customWidth="1"/>
    <x:col min="22" max="22" width="23" hidden="0" customWidth="1"/>
    <x:col min="23" max="23" width="23" hidden="0" customWidth="1"/>
    <x:col min="24" max="24" width="23" hidden="0" customWidth="1"/>
    <x:col min="25" max="25" width="23" hidden="0" customWidth="1"/>
    <x:col min="26" max="26" width="23" hidden="0" customWidth="1"/>
    <x:col min="27" max="27" width="23" hidden="0" customWidth="1"/>
  </x:cols>
  <x:sheetData>
    <x:row r="1" ht="42" customHeight="1">
      <x:c r="A1" s="5" t="str">
        <x:v>Sources / v1.1.0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</x:row>
    <x:row r="2" ht="42" customHeight="1">
      <x:c r="A2" s="2" t="str">
        <x:v>Public evidence + chosen examples; no Olam internal investment valuation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</x:row>
    <x:row r="3" ht="28" customHeight="1">
      <x:c r="A3" s="4" t="str">
        <x:v>id</x:v>
      </x:c>
      <x:c r="B3" s="4" t="str">
        <x:v>title</x:v>
      </x:c>
      <x:c r="C3" s="4" t="str">
        <x:v>issuing_organisation</x:v>
      </x:c>
      <x:c r="D3" s="4" t="str">
        <x:v>publication_date</x:v>
      </x:c>
      <x:c r="E3" s="4" t="str">
        <x:v>data_period</x:v>
      </x:c>
      <x:c r="F3" s="4" t="str">
        <x:v>accessed</x:v>
      </x:c>
      <x:c r="G3" s="4" t="str">
        <x:v>canonical_url</x:v>
      </x:c>
      <x:c r="H3" s="4" t="str">
        <x:v>direct_url</x:v>
      </x:c>
      <x:c r="I3" s="4" t="str">
        <x:v>relevant_perimeter</x:v>
      </x:c>
      <x:c r="J3" s="4" t="str">
        <x:v>units_currency_base</x:v>
      </x:c>
      <x:c r="K3" s="4" t="str">
        <x:v>exchange_rate_convention</x:v>
      </x:c>
      <x:c r="L3" s="4" t="str">
        <x:v>pinpoint</x:v>
      </x:c>
      <x:c r="M3" s="4" t="str">
        <x:v>printed_page</x:v>
      </x:c>
      <x:c r="N3" s="4" t="str">
        <x:v>pdf_file_page</x:v>
      </x:c>
      <x:c r="O3" s="4" t="str">
        <x:v>series_id</x:v>
      </x:c>
      <x:c r="P3" s="4" t="str">
        <x:v>api_query</x:v>
      </x:c>
      <x:c r="Q3" s="4" t="str">
        <x:v>dimension_filters</x:v>
      </x:c>
      <x:c r="R3" s="4" t="str">
        <x:v>retrieval_timestamp</x:v>
      </x:c>
      <x:c r="S3" s="4" t="str">
        <x:v>measurement_status</x:v>
      </x:c>
      <x:c r="T3" s="4" t="str">
        <x:v>limitation</x:v>
      </x:c>
      <x:c r="U3" s="4" t="str">
        <x:v>conflict_reconciliation</x:v>
      </x:c>
      <x:c r="V3" s="4" t="str">
        <x:v>slide_ids</x:v>
      </x:c>
      <x:c r="W3" s="4" t="str">
        <x:v>calculation_ids</x:v>
      </x:c>
      <x:c r="X3" s="4" t="str">
        <x:v>supported_claims</x:v>
      </x:c>
      <x:c r="Y3" s="4" t="str">
        <x:v>availability</x:v>
      </x:c>
      <x:c r="Z3" s="4" t="str">
        <x:v>licensing_access</x:v>
      </x:c>
      <x:c r="AA3" s="4" t="str">
        <x:v>sha256</x:v>
      </x:c>
    </x:row>
    <x:row r="4" ht="65" customHeight="1">
      <x:c r="A4" s="2" t="str">
        <x:v>CO_AR</x:v>
      </x:c>
      <x:c r="B4" s="2" t="str">
        <x:v>Olam Agri Annual Report 2025</x:v>
      </x:c>
      <x:c r="C4" s="2" t="str">
        <x:v>Olam Agri / Olam Group, company issuer</x:v>
      </x:c>
      <x:c r="D4" s="2" t="str">
        <x:v>2026; exact publication day not independently verified</x:v>
      </x:c>
      <x:c r="E4" s="2" t="str">
        <x:v>2025 fiscal year</x:v>
      </x:c>
      <x:c r="F4" s="2" t="str">
        <x:v>2026-10-07</x:v>
      </x:c>
      <x:c r="G4" s="2" t="str">
        <x:v>https://www.olamagri.com/content/dam/olam-agri/assets/webp/au/ar/annual-report-pdf/2025/annual-report-2025.pdf</x:v>
      </x:c>
      <x:c r="H4" s="2" t="str">
        <x:v>https://www.olamagri.com/content/dam/olam-agri/assets/webp/au/ar/annual-report-pdf/2025/annual-report-2025.pdf</x:v>
      </x:c>
      <x:c r="I4" s="2" t="str">
        <x:v>Olam Agri, FY2025 USD reporting perimeter</x:v>
      </x:c>
      <x:c r="J4" s="2" t="str">
        <x:v>Revenue/EBIT: current reporting USD million; sales volume: thousand metric tonnes. FY2024/2025 same Agri perimeter; no FX conversion.</x:v>
      </x:c>
      <x:c r="K4" s="2" t="str">
        <x:v>No conversion unless a calculation explicitly provides it</x:v>
      </x:c>
      <x:c r="L4" s="2" t="str">
        <x:v>Printed pp. 3, 10–11; CFO overview and performance charts</x:v>
      </x:c>
      <x:c r="M4" s="2" t="str">
        <x:v>10–11 for company finance; 3 for scope</x:v>
      </x:c>
      <x:c r="N4" s="2" t="str">
        <x:v>12–13 for finance; printed 3 maps to file 5</x:v>
      </x:c>
      <x:c r="O4" s="2" t="str">
        <x:v>Not applicable / not verified</x:v>
      </x:c>
      <x:c r="P4" s="2" t="str">
        <x:v>Not applicable / not verified</x:v>
      </x:c>
      <x:c r="Q4" s="2" t="str">
        <x:v>Document sections at pinpoint</x:v>
      </x:c>
      <x:c r="R4" s="2" t="d">
        <x:v>2026-10-07T18:48:37.819Z</x:v>
      </x:c>
      <x:c r="S4" s="2" t="str">
        <x:v>Direct disclosure or original methodology; scope limitations apply</x:v>
      </x:c>
      <x:c r="T4" s="2" t="str">
        <x:v>USD Agri figures. Handled and sales tonnage have different definitions.</x:v>
      </x:c>
      <x:c r="U4" s="2" t="str">
        <x:v>No conflicting series substituted; definitions/vintage retained. Unknowns stay unknown.</x:v>
      </x:c>
      <x:c r="V4" s="2" t="str">
        <x:v>company;corridor;example-01;sources-0</x:v>
      </x:c>
      <x:c r="W4" s="2" t="str">
        <x:v>C-E01</x:v>
      </x:c>
      <x:c r="X4" s="2" t="str">
        <x:v>CL-company-headline;CL-company-table_row1;CL-company-table_row2;CL-company-table_row3;CL-company-table_row4;CL-corridor-headline;CL-corridor-body1;CL-corridor-body2;CL-corridor-body3;CL-example-01-headline;CL-example-01-body1;CL-example-01-body2;CL-example-01-body3;CL-example-01-body4;CL-sources-0-headline;CL-sources-0-table_row1;CL-sources-0-table_row2;CL-sources-0-table_row3;CL-sources-0-table_row4;CL-sources-0-table_row5;CL-sources-0-table_row6</x:v>
      </x:c>
      <x:c r="Y4" s="2" t="str">
        <x:v>Public primary evidence; retrieval outcome in manifest. Blocked full downloads are not described as inspected.</x:v>
      </x:c>
      <x:c r="Z4" s="2" t="str">
        <x:v>Cite/link the issuing source; permitted statistical extracts retained with checksum where available. No claim of unrestricted report redistribution.</x:v>
      </x:c>
      <x:c r="AA4" s="2" t="str">
        <x:v>Not applicable / not verified</x:v>
      </x:c>
    </x:row>
    <x:row r="5" ht="65" customHeight="1">
      <x:c r="A5" s="2" t="str">
        <x:v>CO_FACT</x:v>
      </x:c>
      <x:c r="B5" s="2" t="str">
        <x:v>Olam Agri factsheet, June 2026</x:v>
      </x:c>
      <x:c r="C5" s="2" t="str">
        <x:v>Olam Agri / Olam Group, company issuer</x:v>
      </x:c>
      <x:c r="D5" s="2" t="str">
        <x:v>2026-06</x:v>
      </x:c>
      <x:c r="E5" s="2" t="str">
        <x:v>As stated at pinpoint; distinguish observation and transaction dates</x:v>
      </x:c>
      <x:c r="F5" s="2" t="str">
        <x:v>2026-10-07</x:v>
      </x:c>
      <x:c r="G5" s="2" t="str">
        <x:v>https://www.olamagri.com/content/dam/olam-agri/assets/webp/au/au-pdfs/factsheet/olamagri-corporate-factsheet-2026.pdf</x:v>
      </x:c>
      <x:c r="H5" s="2" t="str">
        <x:v>https://www.olamagri.com/content/dam/olam-agri/assets/webp/au/au-pdfs/factsheet/olamagri-corporate-factsheet-2026.pdf</x:v>
      </x:c>
      <x:c r="I5" s="2" t="str">
        <x:v>Country/product/entity scope stated at pinpoint; no cross-perimeter transfer</x:v>
      </x:c>
      <x:c r="J5" s="2" t="str">
        <x:v>See source definition; no currency conversion or financial calibration inferred</x:v>
      </x:c>
      <x:c r="K5" s="2" t="str">
        <x:v>No conversion unless a calculation explicitly provides it</x:v>
      </x:c>
      <x:c r="L5" s="2" t="str">
        <x:v>pp. 1–2; footprint, products, ownership</x:v>
      </x:c>
      <x:c r="M5" s="2" t="str">
        <x:v>1–2</x:v>
      </x:c>
      <x:c r="N5" s="2" t="str">
        <x:v>1–2</x:v>
      </x:c>
      <x:c r="O5" s="2" t="str">
        <x:v>Not applicable / not verified</x:v>
      </x:c>
      <x:c r="P5" s="2" t="str">
        <x:v>Not applicable / not verified</x:v>
      </x:c>
      <x:c r="Q5" s="2" t="str">
        <x:v>Document sections at pinpoint</x:v>
      </x:c>
      <x:c r="R5" s="2" t="d">
        <x:v>2026-10-07T18:48:37.819Z</x:v>
      </x:c>
      <x:c r="S5" s="2" t="str">
        <x:v>Direct disclosure or original methodology; scope limitations apply</x:v>
      </x:c>
      <x:c r="T5" s="2" t="str">
        <x:v>2025 operating facts; country locations do not prove assets or complete trade presence.</x:v>
      </x:c>
      <x:c r="U5" s="2" t="str">
        <x:v>CO_OWN dated June 30 transaction supersedes conflicting lower CO_ABOUT 81.11% text; June factsheet/dated transaction give 81.81%. About omits sugar/biofuel; factsheet explicitly includes it; diligence current assets.</x:v>
      </x:c>
      <x:c r="V5" s="2" t="str">
        <x:v>global-cover;products;priorities;contrast;sources-0</x:v>
      </x:c>
      <x:c r="W5" s="2" t="str"/>
      <x:c r="X5" s="2" t="str">
        <x:v>CL-global-cover-headline;CL-global-cover-body1;CL-global-cover-body2;CL-global-cover-body3;CL-products-headline;CL-products-table_row1;CL-products-table_row2;CL-products-table_row3;CL-products-table_row4;CL-products-table_row5;CL-priorities-headline;CL-priorities-table_row1;CL-priorities-table_row2;CL-priorities-table_row3;CL-priorities-table_row4;CL-priorities-table_row5;CL-contrast-headline;CL-contrast-table_row1;CL-contrast-table_row2;CL-contrast-table_row3;CL-sources-0-headline;CL-sources-0-table_row1;CL-sources-0-table_row2;CL-sources-0-table_row3;CL-sources-0-table_row4;CL-sources-0-table_row5;CL-sources-0-table_row6</x:v>
      </x:c>
      <x:c r="Y5" s="2" t="str">
        <x:v>Public primary evidence; retrieval outcome in manifest. Blocked full downloads are not described as inspected.</x:v>
      </x:c>
      <x:c r="Z5" s="2" t="str">
        <x:v>Cite/link the issuing source; permitted statistical extracts retained with checksum where available. No claim of unrestricted report redistribution.</x:v>
      </x:c>
      <x:c r="AA5" s="2" t="str">
        <x:v>Not applicable / not verified</x:v>
      </x:c>
    </x:row>
    <x:row r="6" ht="65" customHeight="1">
      <x:c r="A6" s="2" t="str">
        <x:v>CO_OWN</x:v>
      </x:c>
      <x:c r="B6" s="2" t="str">
        <x:v>Olam Group reorganisation / Olam Agri</x:v>
      </x:c>
      <x:c r="C6" s="2" t="str">
        <x:v>Olam Agri / Olam Group, company issuer</x:v>
      </x:c>
      <x:c r="D6" s="2" t="str">
        <x:v>Undated page / exact publication date not verified</x:v>
      </x:c>
      <x:c r="E6" s="2" t="str">
        <x:v>As stated at pinpoint; distinguish observation and transaction dates</x:v>
      </x:c>
      <x:c r="F6" s="2" t="str">
        <x:v>2026-10-07</x:v>
      </x:c>
      <x:c r="G6" s="2" t="str">
        <x:v>https://www.olamgroup.com/investors/our-re-organisation.html</x:v>
      </x:c>
      <x:c r="H6" s="2" t="str">
        <x:v>https://www.olamgroup.com/investors/our-re-organisation.html</x:v>
      </x:c>
      <x:c r="I6" s="2" t="str">
        <x:v>Country/product/entity scope stated at pinpoint; no cross-perimeter transfer</x:v>
      </x:c>
      <x:c r="J6" s="2" t="str">
        <x:v>See source definition; no currency conversion or financial calibration inferred</x:v>
      </x:c>
      <x:c r="K6" s="2" t="str">
        <x:v>No conversion unless a calculation explicitly provides it</x:v>
      </x:c>
      <x:c r="L6" s="2" t="str">
        <x:v>Olam Agri section: 27 April 2026 sale and 30 June CFG share issuance</x:v>
      </x:c>
      <x:c r="M6" s="2" t="str">
        <x:v>Not applicable for web/API; PDF pinpoint retained, further page attribution not verified</x:v>
      </x:c>
      <x:c r="N6" s="2" t="str">
        <x:v>Not applicable / not independently verified</x:v>
      </x:c>
      <x:c r="O6" s="2" t="str">
        <x:v>Not applicable / not verified</x:v>
      </x:c>
      <x:c r="P6" s="2" t="str">
        <x:v>Not applicable / not verified</x:v>
      </x:c>
      <x:c r="Q6" s="2" t="str">
        <x:v>Document sections at pinpoint</x:v>
      </x:c>
      <x:c r="R6" s="2" t="d">
        <x:v>2026-10-07T18:48:37.819Z</x:v>
      </x:c>
      <x:c r="S6" s="2" t="str">
        <x:v>Direct disclosure or original methodology; scope limitations apply</x:v>
      </x:c>
      <x:c r="T6" s="2" t="str">
        <x:v>About page lower text still says 81.11%; resolved to dated transaction 81.81%.</x:v>
      </x:c>
      <x:c r="U6" s="2" t="str">
        <x:v>CO_OWN dated June 30 transaction supersedes conflicting lower CO_ABOUT 81.11% text; June factsheet/dated transaction give 81.81%. About omits sugar/biofuel; factsheet explicitly includes it; diligence current assets.</x:v>
      </x:c>
      <x:c r="V6" s="2" t="str">
        <x:v>contrast;sources-0</x:v>
      </x:c>
      <x:c r="W6" s="2" t="str"/>
      <x:c r="X6" s="2" t="str">
        <x:v>CL-contrast-headline;CL-contrast-table_row1;CL-contrast-table_row2;CL-contrast-table_row3;CL-sources-0-headline;CL-sources-0-table_row1;CL-sources-0-table_row2;CL-sources-0-table_row3;CL-sources-0-table_row4;CL-sources-0-table_row5;CL-sources-0-table_row6</x:v>
      </x:c>
      <x:c r="Y6" s="2" t="str">
        <x:v>Public primary evidence; retrieval outcome in manifest. Blocked full downloads are not described as inspected.</x:v>
      </x:c>
      <x:c r="Z6" s="2" t="str">
        <x:v>Cite/link the issuing source; permitted statistical extracts retained with checksum where available. No claim of unrestricted report redistribution.</x:v>
      </x:c>
      <x:c r="AA6" s="2" t="str">
        <x:v>383050bcfb0d3de757fe74d546a1f91182a15ae3a1314494980eb3514dd95c24</x:v>
      </x:c>
    </x:row>
    <x:row r="7" ht="65" customHeight="1">
      <x:c r="A7" s="2" t="str">
        <x:v>CO_ABOUT</x:v>
      </x:c>
      <x:c r="B7" s="2" t="str">
        <x:v>Olam Agri About Us</x:v>
      </x:c>
      <x:c r="C7" s="2" t="str">
        <x:v>Olam Agri / Olam Group, company issuer</x:v>
      </x:c>
      <x:c r="D7" s="2" t="str">
        <x:v>Undated page / exact publication date not verified</x:v>
      </x:c>
      <x:c r="E7" s="2" t="str">
        <x:v>As stated at pinpoint; distinguish observation and transaction dates</x:v>
      </x:c>
      <x:c r="F7" s="2" t="str">
        <x:v>2026-10-07</x:v>
      </x:c>
      <x:c r="G7" s="2" t="str">
        <x:v>https://www.olamagri.com/about-us</x:v>
      </x:c>
      <x:c r="H7" s="2" t="str">
        <x:v>https://www.olamagri.com/about-us</x:v>
      </x:c>
      <x:c r="I7" s="2" t="str">
        <x:v>Country/product/entity scope stated at pinpoint; no cross-perimeter transfer</x:v>
      </x:c>
      <x:c r="J7" s="2" t="str">
        <x:v>See source definition; no currency conversion or financial calibration inferred</x:v>
      </x:c>
      <x:c r="K7" s="2" t="str">
        <x:v>No conversion unless a calculation explicitly provides it</x:v>
      </x:c>
      <x:c r="L7" s="2" t="str">
        <x:v>At a glance, products and ownership blocks</x:v>
      </x:c>
      <x:c r="M7" s="2" t="str">
        <x:v>Not applicable for web/API; PDF pinpoint retained, further page attribution not verified</x:v>
      </x:c>
      <x:c r="N7" s="2" t="str">
        <x:v>Not applicable / not independently verified</x:v>
      </x:c>
      <x:c r="O7" s="2" t="str">
        <x:v>Not applicable / not verified</x:v>
      </x:c>
      <x:c r="P7" s="2" t="str">
        <x:v>Not applicable / not verified</x:v>
      </x:c>
      <x:c r="Q7" s="2" t="str">
        <x:v>Document sections at pinpoint</x:v>
      </x:c>
      <x:c r="R7" s="2" t="d">
        <x:v>2026-10-07T18:48:37.819Z</x:v>
      </x:c>
      <x:c r="S7" s="2" t="str">
        <x:v>Direct disclosure or original methodology; scope limitations apply</x:v>
      </x:c>
      <x:c r="T7" s="2" t="str">
        <x:v>Conflicting lower ownership text retained as a source conflict.</x:v>
      </x:c>
      <x:c r="U7" s="2" t="str">
        <x:v>CO_OWN dated June 30 transaction supersedes conflicting lower CO_ABOUT 81.11% text; June factsheet/dated transaction give 81.81%. About omits sugar/biofuel; factsheet explicitly includes it; diligence current assets.</x:v>
      </x:c>
      <x:c r="V7" s="2" t="str">
        <x:v>products;contrast;sources-0</x:v>
      </x:c>
      <x:c r="W7" s="2" t="str"/>
      <x:c r="X7" s="2" t="str">
        <x:v>CL-products-headline;CL-products-table_row1;CL-products-table_row2;CL-products-table_row3;CL-products-table_row4;CL-products-table_row5;CL-contrast-headline;CL-contrast-table_row1;CL-contrast-table_row2;CL-contrast-table_row3;CL-sources-0-headline;CL-sources-0-table_row1;CL-sources-0-table_row2;CL-sources-0-table_row3;CL-sources-0-table_row4;CL-sources-0-table_row5;CL-sources-0-table_row6</x:v>
      </x:c>
      <x:c r="Y7" s="2" t="str">
        <x:v>Public primary evidence; retrieval outcome in manifest. Blocked full downloads are not described as inspected.</x:v>
      </x:c>
      <x:c r="Z7" s="2" t="str">
        <x:v>Cite/link the issuing source; permitted statistical extracts retained with checksum where available. No claim of unrestricted report redistribution.</x:v>
      </x:c>
      <x:c r="AA7" s="2" t="str">
        <x:v>193a8be7f3306117e2b12e4e0369d848c2cb2c6131a8de5af17ea246e20f6bd7</x:v>
      </x:c>
    </x:row>
    <x:row r="8" ht="65" customHeight="1">
      <x:c r="A8" s="2" t="str">
        <x:v>OECD</x:v>
      </x:c>
      <x:c r="B8" s="2" t="str">
        <x:v>OECD–FAO Agricultural Outlook 2026–2035</x:v>
      </x:c>
      <x:c r="C8" s="2" t="str">
        <x:v>OECD and FAO; institutional projection/method</x:v>
      </x:c>
      <x:c r="D8" s="2" t="str">
        <x:v>2026-06-29</x:v>
      </x:c>
      <x:c r="E8" s="2" t="str">
        <x:v>As stated at pinpoint; distinguish observation and transaction dates</x:v>
      </x:c>
      <x:c r="F8" s="2" t="str">
        <x:v>2026-10-07</x:v>
      </x:c>
      <x:c r="G8" s="2" t="str">
        <x:v>https://www.oecd.org/en/publications/oecd-fao-agricultural-outlook-2026-2035_47874669-en.html</x:v>
      </x:c>
      <x:c r="H8" s="2" t="str">
        <x:v>https://www.oecd.org/en/publications/oecd-fao-agricultural-outlook-2026-2035_47874669-en.html</x:v>
      </x:c>
      <x:c r="I8" s="2" t="str">
        <x:v>Country/product/entity scope stated at pinpoint; no cross-perimeter transfer</x:v>
      </x:c>
      <x:c r="J8" s="2" t="str">
        <x:v>See source definition; no currency conversion or financial calibration inferred</x:v>
      </x:c>
      <x:c r="K8" s="2" t="str">
        <x:v>No conversion unless a calculation explicitly provides it</x:v>
      </x:c>
      <x:c r="L8" s="2" t="str">
        <x:v>Publication 29 June 2026; executive summary, methodology; DOI 10.1787/47874669-en</x:v>
      </x:c>
      <x:c r="M8" s="2" t="str">
        <x:v>Not applicable for web/API; PDF pinpoint retained, further page attribution not verified</x:v>
      </x:c>
      <x:c r="N8" s="2" t="str">
        <x:v>Not applicable / not independently verified</x:v>
      </x:c>
      <x:c r="O8" s="2" t="str">
        <x:v>Not applicable / not verified</x:v>
      </x:c>
      <x:c r="P8" s="2" t="str">
        <x:v>Not applicable / not verified</x:v>
      </x:c>
      <x:c r="Q8" s="2" t="str">
        <x:v>Document sections at pinpoint</x:v>
      </x:c>
      <x:c r="R8" s="2" t="d">
        <x:v>2026-10-07T18:48:37.819Z</x:v>
      </x:c>
      <x:c r="S8" s="2" t="str">
        <x:v>External projection</x:v>
      </x:c>
      <x:c r="T8" s="2" t="str">
        <x:v>Official horizon ends 2035; no Olam capture forecast.</x:v>
      </x:c>
      <x:c r="U8" s="2" t="str">
        <x:v>No conflicting series substituted; definitions/vintage retained. Unknowns stay unknown.</x:v>
      </x:c>
      <x:c r="V8" s="2" t="str">
        <x:v>horizon;roadmap;sources-0</x:v>
      </x:c>
      <x:c r="W8" s="2" t="str"/>
      <x:c r="X8" s="2" t="str">
        <x:v>CL-horizon-headline;CL-horizon-table_row1;CL-horizon-table_row2;CL-horizon-table_row3;CL-horizon-table_row4;CL-roadmap-headline;CL-roadmap-table_row1;CL-roadmap-table_row2;CL-roadmap-table_row3;CL-roadmap-table_row4;CL-sources-0-headline;CL-sources-0-table_row1;CL-sources-0-table_row2;CL-sources-0-table_row3;CL-sources-0-table_row4;CL-sources-0-table_row5;CL-sources-0-table_row6</x:v>
      </x:c>
      <x:c r="Y8" s="2" t="str">
        <x:v>Public primary evidence; retrieval outcome in manifest. Blocked full downloads are not described as inspected.</x:v>
      </x:c>
      <x:c r="Z8" s="2" t="str">
        <x:v>Cite/link the issuing source; permitted statistical extracts retained with checksum where available. No claim of unrestricted report redistribution.</x:v>
      </x:c>
      <x:c r="AA8" s="2" t="str">
        <x:v>5b80e64193b0044b5228b8826f79560d9e4d94ba530269c68f9a8dbe8871059c</x:v>
      </x:c>
    </x:row>
    <x:row r="9" ht="65" customHeight="1">
      <x:c r="A9" s="2" t="str">
        <x:v>OECD_METHOD</x:v>
      </x:c>
      <x:c r="B9" s="2" t="str">
        <x:v>Aglink-Cosimo methodology</x:v>
      </x:c>
      <x:c r="C9" s="2" t="str">
        <x:v>OECD and FAO; institutional projection/method</x:v>
      </x:c>
      <x:c r="D9" s="2" t="str">
        <x:v>Undated page / exact publication date not verified</x:v>
      </x:c>
      <x:c r="E9" s="2" t="str">
        <x:v>As stated at pinpoint; distinguish observation and transaction dates</x:v>
      </x:c>
      <x:c r="F9" s="2" t="str">
        <x:v>2026-10-07</x:v>
      </x:c>
      <x:c r="G9" s="2" t="str">
        <x:v>https://www.oecd.org/en/publications/oecd-fao-agricultural-outlook-2026-2035_47874669-en/full-report/methodology_4c323de7.html</x:v>
      </x:c>
      <x:c r="H9" s="2" t="str">
        <x:v>https://www.oecd.org/en/publications/oecd-fao-agricultural-outlook-2026-2035_47874669-en/full-report/methodology_4c323de7.html</x:v>
      </x:c>
      <x:c r="I9" s="2" t="str">
        <x:v>Country/product/entity scope stated at pinpoint; no cross-perimeter transfer</x:v>
      </x:c>
      <x:c r="J9" s="2" t="str">
        <x:v>See source definition; no currency conversion or financial calibration inferred</x:v>
      </x:c>
      <x:c r="K9" s="2" t="str">
        <x:v>No conversion unless a calculation explicitly provides it</x:v>
      </x:c>
      <x:c r="L9" s="2" t="str">
        <x:v>Model overview and projection assumptions</x:v>
      </x:c>
      <x:c r="M9" s="2" t="str">
        <x:v>Not applicable for web/API; PDF pinpoint retained, further page attribution not verified</x:v>
      </x:c>
      <x:c r="N9" s="2" t="str">
        <x:v>Not applicable / not independently verified</x:v>
      </x:c>
      <x:c r="O9" s="2" t="str">
        <x:v>Not applicable / not verified</x:v>
      </x:c>
      <x:c r="P9" s="2" t="str">
        <x:v>Not applicable / not verified</x:v>
      </x:c>
      <x:c r="Q9" s="2" t="str">
        <x:v>Document sections at pinpoint</x:v>
      </x:c>
      <x:c r="R9" s="2" t="d">
        <x:v>2026-10-07T18:48:37.819Z</x:v>
      </x:c>
      <x:c r="S9" s="2" t="str">
        <x:v>Direct disclosure or original methodology; scope limitations apply</x:v>
      </x:c>
      <x:c r="T9" s="2" t="str">
        <x:v>Recursive dynamic partial-equilibrium benchmark; not estimated here.</x:v>
      </x:c>
      <x:c r="U9" s="2" t="str">
        <x:v>No conflicting series substituted; definitions/vintage retained. Unknowns stay unknown.</x:v>
      </x:c>
      <x:c r="V9" s="2" t="str">
        <x:v>demand-trade-methods;sources-0</x:v>
      </x:c>
      <x:c r="W9" s="2" t="str"/>
      <x:c r="X9" s="2" t="str">
        <x:v>CL-demand-trade-methods-headline;CL-demand-trade-methods-body1;CL-demand-trade-methods-body2;CL-demand-trade-methods-body3;CL-demand-trade-methods-body4;CL-sources-0-headline;CL-sources-0-table_row1;CL-sources-0-table_row2;CL-sources-0-table_row3;CL-sources-0-table_row4;CL-sources-0-table_row5;CL-sources-0-table_row6</x:v>
      </x:c>
      <x:c r="Y9" s="2" t="str">
        <x:v>Public primary evidence; retrieval outcome in manifest. Blocked full downloads are not described as inspected.</x:v>
      </x:c>
      <x:c r="Z9" s="2" t="str">
        <x:v>Cite/link the issuing source; permitted statistical extracts retained with checksum where available. No claim of unrestricted report redistribution.</x:v>
      </x:c>
      <x:c r="AA9" s="2" t="str">
        <x:v>92bd649cc9ff3cb1d1a5c86e3752f4da7a0db042b1cdf6389ea027fa44d59073</x:v>
      </x:c>
    </x:row>
    <x:row r="10" ht="65" customHeight="1">
      <x:c r="A10" s="2" t="str">
        <x:v>UN_M49</x:v>
      </x:c>
      <x:c r="B10" s="2" t="str">
        <x:v>UN Statistics Division M49</x:v>
      </x:c>
      <x:c r="C10" s="2" t="str">
        <x:v>United Nations; official statistics/membership</x:v>
      </x:c>
      <x:c r="D10" s="2" t="str">
        <x:v>Undated page / exact publication date not verified</x:v>
      </x:c>
      <x:c r="E10" s="2" t="str">
        <x:v>As stated at pinpoint; distinguish observation and transaction dates</x:v>
      </x:c>
      <x:c r="F10" s="2" t="str">
        <x:v>2026-10-07</x:v>
      </x:c>
      <x:c r="G10" s="2" t="str">
        <x:v>https://unstats.un.org/unsd/methodology/m49/overview/</x:v>
      </x:c>
      <x:c r="H10" s="2" t="str">
        <x:v>https://unstats.un.org/unsd/methodology/m49/overview/</x:v>
      </x:c>
      <x:c r="I10" s="2" t="str">
        <x:v>Country/product/entity scope stated at pinpoint; no cross-perimeter transfer</x:v>
      </x:c>
      <x:c r="J10" s="2" t="str">
        <x:v>See source definition; no currency conversion or financial calibration inferred</x:v>
      </x:c>
      <x:c r="K10" s="2" t="str">
        <x:v>No conversion unless a calculation explicitly provides it</x:v>
      </x:c>
      <x:c r="L10" s="2" t="str">
        <x:v>Country/area codes and region/subregion table</x:v>
      </x:c>
      <x:c r="M10" s="2" t="str">
        <x:v>Not applicable for web/API; PDF pinpoint retained, further page attribution not verified</x:v>
      </x:c>
      <x:c r="N10" s="2" t="str">
        <x:v>Not applicable / not independently verified</x:v>
      </x:c>
      <x:c r="O10" s="2" t="str">
        <x:v>Not applicable / not verified</x:v>
      </x:c>
      <x:c r="P10" s="2" t="str">
        <x:v>Not applicable / not verified</x:v>
      </x:c>
      <x:c r="Q10" s="2" t="str">
        <x:v>Document sections at pinpoint</x:v>
      </x:c>
      <x:c r="R10" s="2" t="d">
        <x:v>2026-10-07T18:48:37.819Z</x:v>
      </x:c>
      <x:c r="S10" s="2" t="str">
        <x:v>Direct disclosure or original methodology; scope limitations apply</x:v>
      </x:c>
      <x:c r="T10" s="2" t="str">
        <x:v>Membership independently cross-checked to UN library current-member and observer guides; territories separate. Region classification follows UN M49.</x:v>
      </x:c>
      <x:c r="U10" s="2" t="str">
        <x:v>No conflicting series substituted; definitions/vintage retained. Unknowns stay unknown.</x:v>
      </x:c>
      <x:c r="V10" s="2" t="str">
        <x:v>coverage;data-dictionary;atlas-navigation;sources-6</x:v>
      </x:c>
      <x:c r="W10" s="2" t="str">
        <x:v>C-COVERAGE</x:v>
      </x:c>
      <x:c r="X10" s="2" t="str">
        <x:v>CL-coverage-headline;CL-coverage-table_row1;CL-coverage-table_row2;CL-coverage-table_row3;CL-coverage-table_row4;CL-coverage-table_row5;CL-data-dictionary-headline;CL-data-dictionary-body1;CL-data-dictionary-body2;CL-data-dictionary-body3;CL-data-dictionary-body4;CL-atlas-navigation-headline;CL-atlas-navigation-body1;CL-atlas-navigation-body2;CL-atlas-navigation-body3;CL-atlas-navigation-body4;CL-sources-6-headline;CL-sources-6-table_row1;CL-sources-6-table_row2;CL-sources-6-table_row3;CL-sources-6-table_row4;CL-sources-6-table_row5;CL-sources-6-table_row6</x:v>
      </x:c>
      <x:c r="Y10" s="2" t="str">
        <x:v>Public primary evidence; retrieval outcome in manifest. Blocked full downloads are not described as inspected.</x:v>
      </x:c>
      <x:c r="Z10" s="2" t="str">
        <x:v>Cite/link the issuing source; permitted statistical extracts retained with checksum where available. No claim of unrestricted report redistribution.</x:v>
      </x:c>
      <x:c r="AA10" s="2" t="str">
        <x:v>b9048114f6e7f2abda83bf03d4263c9d7cd1bd7230e3d0461025ee7839a7a1fb</x:v>
      </x:c>
    </x:row>
    <x:row r="11" ht="65" customHeight="1">
      <x:c r="A11" s="2" t="str">
        <x:v>UN_MEMBERS</x:v>
      </x:c>
      <x:c r="B11" s="2" t="str">
        <x:v>UN Dag Hammarskjöld Library: current member states</x:v>
      </x:c>
      <x:c r="C11" s="2" t="str">
        <x:v>United Nations; official statistics/membership</x:v>
      </x:c>
      <x:c r="D11" s="2" t="str">
        <x:v>Undated page / exact publication date not verified</x:v>
      </x:c>
      <x:c r="E11" s="2" t="str">
        <x:v>As stated at pinpoint; distinguish observation and transaction dates</x:v>
      </x:c>
      <x:c r="F11" s="2" t="str">
        <x:v>2026-10-07</x:v>
      </x:c>
      <x:c r="G11" s="2" t="str">
        <x:v>https://research.un.org/en/unmembers/currentmembers</x:v>
      </x:c>
      <x:c r="H11" s="2" t="str">
        <x:v>https://research.un.org/en/unmembers/currentmembers</x:v>
      </x:c>
      <x:c r="I11" s="2" t="str">
        <x:v>Country/product/entity scope stated at pinpoint; no cross-perimeter transfer</x:v>
      </x:c>
      <x:c r="J11" s="2" t="str">
        <x:v>See source definition; no currency conversion or financial calibration inferred</x:v>
      </x:c>
      <x:c r="K11" s="2" t="str">
        <x:v>No conversion unless a calculation explicitly provides it</x:v>
      </x:c>
      <x:c r="L11" s="2" t="str">
        <x:v>All 193 country sections, crosswalked to UN M49 ISO3</x:v>
      </x:c>
      <x:c r="M11" s="2" t="str">
        <x:v>Not applicable for web/API; PDF pinpoint retained, further page attribution not verified</x:v>
      </x:c>
      <x:c r="N11" s="2" t="str">
        <x:v>Not applicable / not independently verified</x:v>
      </x:c>
      <x:c r="O11" s="2" t="str">
        <x:v>Not applicable / not verified</x:v>
      </x:c>
      <x:c r="P11" s="2" t="str">
        <x:v>Not applicable / not verified</x:v>
      </x:c>
      <x:c r="Q11" s="2" t="str">
        <x:v>Document sections at pinpoint</x:v>
      </x:c>
      <x:c r="R11" s="2" t="d">
        <x:v>2026-10-07T20:20:05.373Z</x:v>
      </x:c>
      <x:c r="S11" s="2" t="str">
        <x:v>Direct disclosure or original methodology; scope limitations apply</x:v>
      </x:c>
      <x:c r="T11" s="2" t="str">
        <x:v>All 193 names matched; four presentational aliases recorded in membership-verification.csv.</x:v>
      </x:c>
      <x:c r="U11" s="2" t="str">
        <x:v>No conflicting series substituted; definitions/vintage retained. Unknowns stay unknown.</x:v>
      </x:c>
      <x:c r="V11" s="2" t="str">
        <x:v>sources-6</x:v>
      </x:c>
      <x:c r="W11" s="2" t="str">
        <x:v>C-COVERAGE</x:v>
      </x:c>
      <x:c r="X11" s="2" t="str">
        <x:v>CL-sources-6-headline;CL-sources-6-table_row1;CL-sources-6-table_row2;CL-sources-6-table_row3;CL-sources-6-table_row4;CL-sources-6-table_row5;CL-sources-6-table_row6</x:v>
      </x:c>
      <x:c r="Y11" s="2" t="str">
        <x:v>Public primary evidence; retrieval outcome in manifest. Blocked full downloads are not described as inspected.</x:v>
      </x:c>
      <x:c r="Z11" s="2" t="str">
        <x:v>Cite/link the issuing source; permitted statistical extracts retained with checksum where available. No claim of unrestricted report redistribution.</x:v>
      </x:c>
      <x:c r="AA11" s="2" t="str">
        <x:v>f8b4a70ed022da414f89657b316899189337af446d9cf24e4c4d35abfc2ccead</x:v>
      </x:c>
    </x:row>
    <x:row r="12" ht="65" customHeight="1">
      <x:c r="A12" s="2" t="str">
        <x:v>UN_OBSERVERS</x:v>
      </x:c>
      <x:c r="B12" s="2" t="str">
        <x:v>UN Dag Hammarskjöld Library: non-member observers</x:v>
      </x:c>
      <x:c r="C12" s="2" t="str">
        <x:v>United Nations; official statistics/membership</x:v>
      </x:c>
      <x:c r="D12" s="2" t="str">
        <x:v>Undated page / exact publication date not verified</x:v>
      </x:c>
      <x:c r="E12" s="2" t="str">
        <x:v>As stated at pinpoint; distinguish observation and transaction dates</x:v>
      </x:c>
      <x:c r="F12" s="2" t="str">
        <x:v>2026-10-07</x:v>
      </x:c>
      <x:c r="G12" s="2" t="str">
        <x:v>https://research.un.org/en/unmembers/observers</x:v>
      </x:c>
      <x:c r="H12" s="2" t="str">
        <x:v>https://research.un.org/en/unmembers/observers</x:v>
      </x:c>
      <x:c r="I12" s="2" t="str">
        <x:v>Country/product/entity scope stated at pinpoint; no cross-perimeter transfer</x:v>
      </x:c>
      <x:c r="J12" s="2" t="str">
        <x:v>See source definition; no currency conversion or financial calibration inferred</x:v>
      </x:c>
      <x:c r="K12" s="2" t="str">
        <x:v>No conversion unless a calculation explicitly provides it</x:v>
      </x:c>
      <x:c r="L12" s="2" t="str">
        <x:v>Holy See and State of Palestine sections</x:v>
      </x:c>
      <x:c r="M12" s="2" t="str">
        <x:v>Not applicable for web/API; PDF pinpoint retained, further page attribution not verified</x:v>
      </x:c>
      <x:c r="N12" s="2" t="str">
        <x:v>Not applicable / not independently verified</x:v>
      </x:c>
      <x:c r="O12" s="2" t="str">
        <x:v>Not applicable / not verified</x:v>
      </x:c>
      <x:c r="P12" s="2" t="str">
        <x:v>Not applicable / not verified</x:v>
      </x:c>
      <x:c r="Q12" s="2" t="str">
        <x:v>Document sections at pinpoint</x:v>
      </x:c>
      <x:c r="R12" s="2" t="d">
        <x:v>2026-10-07T20:20:05.373Z</x:v>
      </x:c>
      <x:c r="S12" s="2" t="str">
        <x:v>Direct disclosure or original methodology; scope limitations apply</x:v>
      </x:c>
      <x:c r="T12" s="2" t="str">
        <x:v>VAT and PSE are the two observer states; territories remain separate.</x:v>
      </x:c>
      <x:c r="U12" s="2" t="str">
        <x:v>No conflicting series substituted; definitions/vintage retained. Unknowns stay unknown.</x:v>
      </x:c>
      <x:c r="V12" s="2" t="str">
        <x:v>sources-6</x:v>
      </x:c>
      <x:c r="W12" s="2" t="str">
        <x:v>C-COVERAGE</x:v>
      </x:c>
      <x:c r="X12" s="2" t="str">
        <x:v>CL-sources-6-headline;CL-sources-6-table_row1;CL-sources-6-table_row2;CL-sources-6-table_row3;CL-sources-6-table_row4;CL-sources-6-table_row5;CL-sources-6-table_row6</x:v>
      </x:c>
      <x:c r="Y12" s="2" t="str">
        <x:v>Public primary evidence; retrieval outcome in manifest. Blocked full downloads are not described as inspected.</x:v>
      </x:c>
      <x:c r="Z12" s="2" t="str">
        <x:v>Cite/link the issuing source; permitted statistical extracts retained with checksum where available. No claim of unrestricted report redistribution.</x:v>
      </x:c>
      <x:c r="AA12" s="2" t="str">
        <x:v>0c79fa14f64b967c5a16e2ad8ff0e2f12c9612ff746847669c86218907a7fbba</x:v>
      </x:c>
    </x:row>
    <x:row r="13" ht="65" customHeight="1">
      <x:c r="A13" s="2" t="str">
        <x:v>UN_WPP</x:v>
      </x:c>
      <x:c r="B13" s="2" t="str">
        <x:v>UN World Population Prospects 2024</x:v>
      </x:c>
      <x:c r="C13" s="2" t="str">
        <x:v>United Nations; official statistics/membership</x:v>
      </x:c>
      <x:c r="D13" s="2" t="str">
        <x:v>2024 revision</x:v>
      </x:c>
      <x:c r="E13" s="2" t="str">
        <x:v>2026–2051 selected projection years</x:v>
      </x:c>
      <x:c r="F13" s="2" t="str">
        <x:v>2026-10-07</x:v>
      </x:c>
      <x:c r="G13" s="2" t="str">
        <x:v>https://population.un.org/wpp/</x:v>
      </x:c>
      <x:c r="H13" s="2" t="str">
        <x:v>https://population.un.org/wpp/assets/Excel%20Files/1_Indicator%20(Standard)/EXCEL_FILES/1_General/WPP2024_GEN_F01_DEMOGRAPHIC_INDICATORS_COMPACT.xlsx</x:v>
      </x:c>
      <x:c r="I13" s="2" t="str">
        <x:v>Country ISO3/year; 195-country universe, non-country aggregates excluded</x:v>
      </x:c>
      <x:c r="J13" s="2" t="str">
        <x:v>See source definition; no currency conversion or financial calibration inferred</x:v>
      </x:c>
      <x:c r="K13" s="2" t="str">
        <x:v>No conversion unless a calculation explicitly provides it</x:v>
      </x:c>
      <x:c r="L13" s="2" t="str">
        <x:v>Medium variant sheet; country rows at 2026, 2030, 2035, 2040, 2045, 2050, 2051</x:v>
      </x:c>
      <x:c r="M13" s="2" t="str">
        <x:v>Not applicable for web/API; PDF pinpoint retained, further page attribution not verified</x:v>
      </x:c>
      <x:c r="N13" s="2" t="str">
        <x:v>Not applicable / not independently verified</x:v>
      </x:c>
      <x:c r="O13" s="2" t="str">
        <x:v>Not applicable / not verified</x:v>
      </x:c>
      <x:c r="P13" s="2" t="str">
        <x:v>Not applicable / not verified</x:v>
      </x:c>
      <x:c r="Q13" s="2" t="str">
        <x:v>WPP Medium variant; 195 ISO3; seven stated milestones</x:v>
      </x:c>
      <x:c r="R13" s="2" t="str">
        <x:v>2026-10-07; exact timestamp not separately recorded</x:v>
      </x:c>
      <x:c r="S13" s="2" t="str">
        <x:v>External projection</x:v>
      </x:c>
      <x:c r="T13" s="2" t="str">
        <x:v>Population in thousands converted to persons. Medium variant is not a sales forecast.</x:v>
      </x:c>
      <x:c r="U13" s="2" t="str">
        <x:v>No conflicting series substituted; definitions/vintage retained. Unknowns stay unknown.</x:v>
      </x:c>
      <x:c r="V13" s="2" t="str">
        <x:v>horizon;demography;coverage;roadmap;data-dictionary;atlas-navigation;sources-6</x:v>
      </x:c>
      <x:c r="W13" s="2" t="str">
        <x:v>C-COVERAGE;C-POP-AFG;C-POP-ALB;C-POP-DZA;C-POP-AND;C-POP-AGO;C-POP-ATG;C-POP-ARG;C-POP-ARM;C-POP-AUS;C-POP-AUT;C-POP-AZE;C-POP-BHS;C-POP-BHR;C-POP-BGD;C-POP-BRB;C-POP-BLR;C-POP-BEL;C-POP-BLZ;C-POP-BEN;C-POP-BTN;C-POP-BOL;C-POP-BIH;C-POP-BWA;C-POP-BRA;C-POP-BRN;C-POP-BGR;C-POP-BFA;C-POP-BDI;C-POP-CPV;C-POP-KHM;C-POP-CMR;C-POP-CAN;C-POP-CAF;C-POP-TCD;C-POP-CHL;C-POP-CHN;C-POP-COL;C-POP-COM;C-POP-COG;C-POP-CRI;C-POP-HRV;C-POP-CUB;C-POP-CYP;C-POP-CZE;C-POP-CIV;C-POP-PRK;C-POP-COD;C-POP-DNK;C-POP-DJI;C-POP-DMA;C-POP-DOM;C-POP-ECU;C-POP-EGY;C-POP-SLV;C-POP-GNQ;C-POP-ERI;C-POP-EST;C-POP-SWZ;C-POP-ETH;C-POP-FJI;C-POP-FIN;C-POP-FRA;C-POP-GAB;C-POP-GMB;C-POP-GEO;C-POP-DEU;C-POP-GHA;C-POP-GRC;C-POP-GRD;C-POP-GTM;C-POP-GIN;C-POP-GNB;C-POP-GUY;C-POP-HTI;C-POP-VAT;C-POP-HND;C-POP-HUN;C-POP-ISL;C-POP-IND;C-POP-IDN;C-POP-IRN;C-POP-IRQ;C-POP-IRL;C-POP-ISR;C-POP-ITA;C-POP-JAM;C-POP-JPN;C-POP-JOR;C-POP-KAZ;C-POP-KEN;C-POP-KIR;C-POP-KWT;C-POP-KGZ;C-POP-LAO;C-POP-LVA;C-POP-LBN;C-POP-LSO;C-POP-LBR;C-POP-LBY;C-POP-LIE;C-POP-LTU;C-POP-LUX;C-POP-MDG;C-POP-MWI;C-POP-MYS;C-POP-MDV;C-POP-MLI;C-POP-MLT;C-POP-MHL;C-POP-MRT;C-POP-MUS;C-POP-MEX;C-POP-FSM;C-POP-MCO;C-POP-MNG;C-POP-MNE;C-POP-MAR;C-POP-MOZ;C-POP-MMR;C-POP-NAM;C-POP-NRU;C-POP-NPL;C-POP-NLD;C-POP-NZL;C-POP-NIC;C-POP-NER;C-POP-NGA;C-POP-MKD;C-POP-NOR;C-POP-OMN;C-POP-PAK;C-POP-PLW;C-POP-PAN;C-POP-PNG;C-POP-PRY;C-POP-PER;C-POP-PHL;C-POP-POL;C-POP-PRT;C-POP-QAT;C-POP-KOR;C-POP-MDA;C-POP-ROU;C-POP-RUS;C-POP-RWA;C-POP-KNA;C-POP-LCA;C-POP-VCT;C-POP-WSM;C-POP-SMR;C-POP-STP;C-POP-SAU;C-POP-SEN;C-POP-SRB;C-POP-SYC;C-POP-SLE;C-POP-SGP;C-POP-SVK;C-POP-SVN;C-POP-SLB;C-POP-SOM;C-POP-ZAF;C-POP-SSD;C-POP-ESP;C-POP-LKA;C-POP-PSE;C-POP-SDN;C-POP-SUR;C-POP-SWE;C-POP-CHE;C-POP-SYR;C-POP-TJK;C-POP-THA;C-POP-TLS;C-POP-TGO;C-POP-TON;C-POP-TTO;C-POP-TUN;C-POP-TKM;C-POP-TUV;C-POP-TUR;C-POP-UGA;C-POP-UKR;C-POP-ARE;C-POP-GBR;C-POP-TZA;C-POP-USA;C-POP-URY;C-POP-UZB;C-POP-VUT;C-POP-VEN;C-POP-VNM;C-POP-YEM;C-POP-ZMB;C-POP-ZWE</x:v>
      </x:c>
      <x:c r="X13" s="2" t="str">
        <x:v>CL-horizon-headline;CL-horizon-table_row1;CL-horizon-table_row2;CL-horizon-table_row3;CL-horizon-table_row4;CL-demography-headline;CL-demography-chart_2026;CL-demography-chart_2051;CL-coverage-headline;CL-coverage-table_row1;CL-coverage-table_row2;CL-coverage-table_row3;CL-coverage-table_row4;CL-coverage-table_row5;CL-roadmap-headline;CL-roadmap-table_row1;CL-roadmap-table_row2;CL-roadmap-table_row3;CL-roadmap-table_row4;CL-data-dictionary-headline;CL-data-dictionary-body1;CL-data-dictionary-body2;CL-data-dictionary-body3;CL-data-dictionary-body4;CL-atlas-navigation-headline;CL-atlas-navigation-body1;CL-atlas-navigation-body2;CL-atlas-navigation-body3;CL-atlas-navigation-body4;CL-sources-6-headline;CL-sources-6-table_row1;CL-sources-6-table_row2;CL-sources-6-table_row3;CL-sources-6-table_row4;CL-sources-6-table_row5;CL-sources-6-table_row6</x:v>
      </x:c>
      <x:c r="Y13" s="2" t="str">
        <x:v>Public primary evidence; retrieval outcome in manifest. Blocked full downloads are not described as inspected.</x:v>
      </x:c>
      <x:c r="Z13" s="2" t="str">
        <x:v>Cite/link the issuing source; permitted statistical extracts retained with checksum where available. No claim of unrestricted report redistribution.</x:v>
      </x:c>
      <x:c r="AA13" s="2" t="str">
        <x:v>Not applicable / not verified</x:v>
      </x:c>
    </x:row>
    <x:row r="14" ht="65" customHeight="1">
      <x:c r="A14" s="2" t="str">
        <x:v>WB_population</x:v>
      </x:c>
      <x:c r="B14" s="2" t="str">
        <x:v>World Bank WDI: Population, total</x:v>
      </x:c>
      <x:c r="C14" s="2" t="str">
        <x:v>World Bank; WDI compiler, underlying national/institutional sources in indicator metadata</x:v>
      </x:c>
      <x:c r="D14" s="2" t="str">
        <x:v>Undated page / exact publication date not verified</x:v>
      </x:c>
      <x:c r="E14" s="2" t="str">
        <x:v>2000–2025; available years differ</x:v>
      </x:c>
      <x:c r="F14" s="2" t="str">
        <x:v>2026-10-07</x:v>
      </x:c>
      <x:c r="G14" s="2" t="str">
        <x:v>https://data.worldbank.org/indicator/SP.POP.TOTL</x:v>
      </x:c>
      <x:c r="H14" s="2" t="str">
        <x:v>https://api.worldbank.org/v2/country/all/indicator/SP.POP.TOTL?date=2000:2025&amp;format=json&amp;per_page=20000</x:v>
      </x:c>
      <x:c r="I14" s="2" t="str">
        <x:v>Country ISO3/year; 195-country universe, non-country aggregates excluded</x:v>
      </x:c>
      <x:c r="J14" s="2" t="str">
        <x:v>Population, total</x:v>
      </x:c>
      <x:c r="K14" s="2" t="str">
        <x:v>No conversion unless a calculation explicitly provides it</x:v>
      </x:c>
      <x:c r="L14" s="2" t="str">
        <x:v>Source 2; series and country/year records, update 2026-07-13</x:v>
      </x:c>
      <x:c r="M14" s="2" t="str">
        <x:v>Not applicable for web/API; PDF pinpoint retained, further page attribution not verified</x:v>
      </x:c>
      <x:c r="N14" s="2" t="str">
        <x:v>Not applicable / not independently verified</x:v>
      </x:c>
      <x:c r="O14" s="2" t="str">
        <x:v>SP.POP.TOTL</x:v>
      </x:c>
      <x:c r="P14" s="2" t="str">
        <x:v>https://api.worldbank.org/v2/country/all/indicator/SP.POP.TOTL?date=2000:2025&amp;format=json&amp;per_page=20000</x:v>
      </x:c>
      <x:c r="Q14" s="2" t="str">
        <x:v>ISO3 in membership-verification.csv; year 2000–2025; latest non-null, no imputation</x:v>
      </x:c>
      <x:c r="R14" s="2" t="d">
        <x:v>2026-10-07T18:48:37.819Z</x:v>
      </x:c>
      <x:c r="S14" s="2" t="str">
        <x:v>Proxy observation</x:v>
      </x:c>
      <x:c r="T14" s="2" t="str">
        <x:v>Latest available year differs by country/series. No missing value imputed.</x:v>
      </x:c>
      <x:c r="U14" s="2" t="str">
        <x:v>No conflicting series substituted; definitions/vintage retained. Unknowns stay unknown.</x:v>
      </x:c>
      <x:c r="V14" s="2" t="str">
        <x:v>sources-6</x:v>
      </x:c>
      <x:c r="W14" s="2" t="str"/>
      <x:c r="X14" s="2" t="str">
        <x:v>CL-sources-6-headline;CL-sources-6-table_row1;CL-sources-6-table_row2;CL-sources-6-table_row3;CL-sources-6-table_row4;CL-sources-6-table_row5;CL-sources-6-table_row6</x:v>
      </x:c>
      <x:c r="Y14" s="2" t="str">
        <x:v>Public primary evidence; retrieval outcome in manifest. Blocked full downloads are not described as inspected.</x:v>
      </x:c>
      <x:c r="Z14" s="2" t="str">
        <x:v>Cite/link the issuing source; permitted statistical extracts retained with checksum where available. No claim of unrestricted report redistribution.</x:v>
      </x:c>
      <x:c r="AA14" s="2" t="str">
        <x:v>9f5b06621149da8759afaa661311af7aab5c8b4d29bf1ae9a76197ab543b9f65</x:v>
      </x:c>
    </x:row>
    <x:row r="15" ht="65" customHeight="1">
      <x:c r="A15" s="2" t="str">
        <x:v>WB_income_ppp</x:v>
      </x:c>
      <x:c r="B15" s="2" t="str">
        <x:v>World Bank WDI: GDP per capita, PPP (constant 2021 international $)</x:v>
      </x:c>
      <x:c r="C15" s="2" t="str">
        <x:v>World Bank; WDI compiler, underlying national/institutional sources in indicator metadata</x:v>
      </x:c>
      <x:c r="D15" s="2" t="str">
        <x:v>Undated page / exact publication date not verified</x:v>
      </x:c>
      <x:c r="E15" s="2" t="str">
        <x:v>2000–2025; available years differ</x:v>
      </x:c>
      <x:c r="F15" s="2" t="str">
        <x:v>2026-10-07</x:v>
      </x:c>
      <x:c r="G15" s="2" t="str">
        <x:v>https://data.worldbank.org/indicator/NY.GDP.PCAP.PP.KD</x:v>
      </x:c>
      <x:c r="H15" s="2" t="str">
        <x:v>https://api.worldbank.org/v2/country/all/indicator/NY.GDP.PCAP.PP.KD?date=2000:2025&amp;format=json&amp;per_page=20000</x:v>
      </x:c>
      <x:c r="I15" s="2" t="str">
        <x:v>Country ISO3/year; 195-country universe, non-country aggregates excluded</x:v>
      </x:c>
      <x:c r="J15" s="2" t="str">
        <x:v>GDP per capita, PPP (constant 2021 international $)</x:v>
      </x:c>
      <x:c r="K15" s="2" t="str">
        <x:v>No conversion unless a calculation explicitly provides it</x:v>
      </x:c>
      <x:c r="L15" s="2" t="str">
        <x:v>Source 2; series and country/year records, update 2026-07-13</x:v>
      </x:c>
      <x:c r="M15" s="2" t="str">
        <x:v>Not applicable for web/API; PDF pinpoint retained, further page attribution not verified</x:v>
      </x:c>
      <x:c r="N15" s="2" t="str">
        <x:v>Not applicable / not independently verified</x:v>
      </x:c>
      <x:c r="O15" s="2" t="str">
        <x:v>NY.GDP.PCAP.PP.KD</x:v>
      </x:c>
      <x:c r="P15" s="2" t="str">
        <x:v>https://api.worldbank.org/v2/country/all/indicator/NY.GDP.PCAP.PP.KD?date=2000:2025&amp;format=json&amp;per_page=20000</x:v>
      </x:c>
      <x:c r="Q15" s="2" t="str">
        <x:v>ISO3 in membership-verification.csv; year 2000–2025; latest non-null, no imputation</x:v>
      </x:c>
      <x:c r="R15" s="2" t="d">
        <x:v>2026-10-07T18:48:37.819Z</x:v>
      </x:c>
      <x:c r="S15" s="2" t="str">
        <x:v>Proxy observation</x:v>
      </x:c>
      <x:c r="T15" s="2" t="str">
        <x:v>Latest available year differs by country/series. No missing value imputed.</x:v>
      </x:c>
      <x:c r="U15" s="2" t="str">
        <x:v>No conflicting series substituted; definitions/vintage retained. Unknowns stay unknown.</x:v>
      </x:c>
      <x:c r="V15" s="2" t="str">
        <x:v>demography;validation;ols-estimates;sources-6;model-diagnostics</x:v>
      </x:c>
      <x:c r="W15" s="2" t="str">
        <x:v>C-OLS</x:v>
      </x:c>
      <x:c r="X15" s="2" t="str">
        <x:v>CL-demography-headline;CL-demography-chart_2026;CL-demography-chart_2051;CL-validation-headline;CL-validation-body1;CL-validation-body2;CL-validation-table_row1;CL-validation-table_row2;CL-validation-table_row3;CL-validation-table_row4;CL-validation-table_row5;CL-ols-estimates-headline;CL-ols-estimates-table_row1;CL-ols-estimates-table_row2;CL-ols-estimates-table_row3;CL-ols-estimates-table_row4;CL-sources-6-headline;CL-sources-6-table_row1;CL-sources-6-table_row2;CL-sources-6-table_row3;CL-sources-6-table_row4;CL-sources-6-table_row5;CL-sources-6-table_row6;CL-model-diagnostics-headline;CL-model-diagnostics-table_row1;CL-model-diagnostics-table_row2;CL-model-diagnostics-table_row3;CL-model-diagnostics-table_row4;CL-model-diagnostics-table_row5</x:v>
      </x:c>
      <x:c r="Y15" s="2" t="str">
        <x:v>Public primary evidence; retrieval outcome in manifest. Blocked full downloads are not described as inspected.</x:v>
      </x:c>
      <x:c r="Z15" s="2" t="str">
        <x:v>Cite/link the issuing source; permitted statistical extracts retained with checksum where available. No claim of unrestricted report redistribution.</x:v>
      </x:c>
      <x:c r="AA15" s="2" t="str">
        <x:v>71b6d51ad0b451ea410cb8948bfb04ac9f42b31ec80148a3c8902ffe7b48072f</x:v>
      </x:c>
    </x:row>
    <x:row r="16" ht="65" customHeight="1">
      <x:c r="A16" s="2" t="str">
        <x:v>WB_urban</x:v>
      </x:c>
      <x:c r="B16" s="2" t="str">
        <x:v>World Bank WDI: Urban population (% of total population)</x:v>
      </x:c>
      <x:c r="C16" s="2" t="str">
        <x:v>World Bank; WDI compiler, underlying national/institutional sources in indicator metadata</x:v>
      </x:c>
      <x:c r="D16" s="2" t="str">
        <x:v>Undated page / exact publication date not verified</x:v>
      </x:c>
      <x:c r="E16" s="2" t="str">
        <x:v>2000–2025; available years differ</x:v>
      </x:c>
      <x:c r="F16" s="2" t="str">
        <x:v>2026-10-07</x:v>
      </x:c>
      <x:c r="G16" s="2" t="str">
        <x:v>https://data.worldbank.org/indicator/SP.URB.TOTL.IN.ZS</x:v>
      </x:c>
      <x:c r="H16" s="2" t="str">
        <x:v>https://api.worldbank.org/v2/country/all/indicator/SP.URB.TOTL.IN.ZS?date=2000:2025&amp;format=json&amp;per_page=20000</x:v>
      </x:c>
      <x:c r="I16" s="2" t="str">
        <x:v>Country ISO3/year; 195-country universe, non-country aggregates excluded</x:v>
      </x:c>
      <x:c r="J16" s="2" t="str">
        <x:v>Urban population (% of total population)</x:v>
      </x:c>
      <x:c r="K16" s="2" t="str">
        <x:v>No conversion unless a calculation explicitly provides it</x:v>
      </x:c>
      <x:c r="L16" s="2" t="str">
        <x:v>Source 2; series and country/year records, update 2026-07-13</x:v>
      </x:c>
      <x:c r="M16" s="2" t="str">
        <x:v>Not applicable for web/API; PDF pinpoint retained, further page attribution not verified</x:v>
      </x:c>
      <x:c r="N16" s="2" t="str">
        <x:v>Not applicable / not independently verified</x:v>
      </x:c>
      <x:c r="O16" s="2" t="str">
        <x:v>SP.URB.TOTL.IN.ZS</x:v>
      </x:c>
      <x:c r="P16" s="2" t="str">
        <x:v>https://api.worldbank.org/v2/country/all/indicator/SP.URB.TOTL.IN.ZS?date=2000:2025&amp;format=json&amp;per_page=20000</x:v>
      </x:c>
      <x:c r="Q16" s="2" t="str">
        <x:v>ISO3 in membership-verification.csv; year 2000–2025; latest non-null, no imputation</x:v>
      </x:c>
      <x:c r="R16" s="2" t="d">
        <x:v>2026-10-07T18:48:37.819Z</x:v>
      </x:c>
      <x:c r="S16" s="2" t="str">
        <x:v>Proxy observation</x:v>
      </x:c>
      <x:c r="T16" s="2" t="str">
        <x:v>Latest available year differs by country/series. No missing value imputed.</x:v>
      </x:c>
      <x:c r="U16" s="2" t="str">
        <x:v>No conflicting series substituted; definitions/vintage retained. Unknowns stay unknown.</x:v>
      </x:c>
      <x:c r="V16" s="2" t="str">
        <x:v>demography;validation;ols-estimates;sources-12;model-diagnostics</x:v>
      </x:c>
      <x:c r="W16" s="2" t="str">
        <x:v>C-OLS</x:v>
      </x:c>
      <x:c r="X16" s="2" t="str">
        <x:v>CL-demography-headline;CL-demography-chart_2026;CL-demography-chart_2051;CL-validation-headline;CL-validation-body1;CL-validation-body2;CL-validation-table_row1;CL-validation-table_row2;CL-validation-table_row3;CL-validation-table_row4;CL-validation-table_row5;CL-ols-estimates-headline;CL-ols-estimates-table_row1;CL-ols-estimates-table_row2;CL-ols-estimates-table_row3;CL-ols-estimates-table_row4;CL-sources-12-headline;CL-sources-12-table_row1;CL-sources-12-table_row2;CL-sources-12-table_row3;CL-sources-12-table_row4;CL-sources-12-table_row5;CL-sources-12-table_row6;CL-model-diagnostics-headline;CL-model-diagnostics-table_row1;CL-model-diagnostics-table_row2;CL-model-diagnostics-table_row3;CL-model-diagnostics-table_row4;CL-model-diagnostics-table_row5</x:v>
      </x:c>
      <x:c r="Y16" s="2" t="str">
        <x:v>Public primary evidence; retrieval outcome in manifest. Blocked full downloads are not described as inspected.</x:v>
      </x:c>
      <x:c r="Z16" s="2" t="str">
        <x:v>Cite/link the issuing source; permitted statistical extracts retained with checksum where available. No claim of unrestricted report redistribution.</x:v>
      </x:c>
      <x:c r="AA16" s="2" t="str">
        <x:v>8fd11140e65a802a137745dfd3dba911e1458f89b48db6295c2abb2ce94963ee</x:v>
      </x:c>
    </x:row>
    <x:row r="17" ht="65" customHeight="1">
      <x:c r="A17" s="2" t="str">
        <x:v>WB_inflation</x:v>
      </x:c>
      <x:c r="B17" s="2" t="str">
        <x:v>World Bank WDI: Inflation, consumer prices (annual %)</x:v>
      </x:c>
      <x:c r="C17" s="2" t="str">
        <x:v>World Bank; WDI compiler, underlying national/institutional sources in indicator metadata</x:v>
      </x:c>
      <x:c r="D17" s="2" t="str">
        <x:v>Undated page / exact publication date not verified</x:v>
      </x:c>
      <x:c r="E17" s="2" t="str">
        <x:v>2000–2025; available years differ</x:v>
      </x:c>
      <x:c r="F17" s="2" t="str">
        <x:v>2026-10-07</x:v>
      </x:c>
      <x:c r="G17" s="2" t="str">
        <x:v>https://data.worldbank.org/indicator/FP.CPI.TOTL.ZG</x:v>
      </x:c>
      <x:c r="H17" s="2" t="str">
        <x:v>https://api.worldbank.org/v2/country/all/indicator/FP.CPI.TOTL.ZG?date=2000:2025&amp;format=json&amp;per_page=20000</x:v>
      </x:c>
      <x:c r="I17" s="2" t="str">
        <x:v>Country ISO3/year; 195-country universe, non-country aggregates excluded</x:v>
      </x:c>
      <x:c r="J17" s="2" t="str">
        <x:v>Inflation, consumer prices (annual %)</x:v>
      </x:c>
      <x:c r="K17" s="2" t="str">
        <x:v>No conversion unless a calculation explicitly provides it</x:v>
      </x:c>
      <x:c r="L17" s="2" t="str">
        <x:v>Source 2; series and country/year records, update 2026-07-13</x:v>
      </x:c>
      <x:c r="M17" s="2" t="str">
        <x:v>Not applicable for web/API; PDF pinpoint retained, further page attribution not verified</x:v>
      </x:c>
      <x:c r="N17" s="2" t="str">
        <x:v>Not applicable / not independently verified</x:v>
      </x:c>
      <x:c r="O17" s="2" t="str">
        <x:v>FP.CPI.TOTL.ZG</x:v>
      </x:c>
      <x:c r="P17" s="2" t="str">
        <x:v>https://api.worldbank.org/v2/country/all/indicator/FP.CPI.TOTL.ZG?date=2000:2025&amp;format=json&amp;per_page=20000</x:v>
      </x:c>
      <x:c r="Q17" s="2" t="str">
        <x:v>ISO3 in membership-verification.csv; year 2000–2025; latest non-null, no imputation</x:v>
      </x:c>
      <x:c r="R17" s="2" t="d">
        <x:v>2026-10-07T18:48:37.819Z</x:v>
      </x:c>
      <x:c r="S17" s="2" t="str">
        <x:v>Proxy observation</x:v>
      </x:c>
      <x:c r="T17" s="2" t="str">
        <x:v>Latest available year differs by country/series. No missing value imputed.</x:v>
      </x:c>
      <x:c r="U17" s="2" t="str">
        <x:v>No conflicting series substituted; definitions/vintage retained. Unknowns stay unknown.</x:v>
      </x:c>
      <x:c r="V17" s="2" t="str">
        <x:v>sources-12</x:v>
      </x:c>
      <x:c r="W17" s="2" t="str"/>
      <x:c r="X17" s="2" t="str">
        <x:v>CL-sources-12-headline;CL-sources-12-table_row1;CL-sources-12-table_row2;CL-sources-12-table_row3;CL-sources-12-table_row4;CL-sources-12-table_row5;CL-sources-12-table_row6</x:v>
      </x:c>
      <x:c r="Y17" s="2" t="str">
        <x:v>Public primary evidence; retrieval outcome in manifest. Blocked full downloads are not described as inspected.</x:v>
      </x:c>
      <x:c r="Z17" s="2" t="str">
        <x:v>Cite/link the issuing source; permitted statistical extracts retained with checksum where available. No claim of unrestricted report redistribution.</x:v>
      </x:c>
      <x:c r="AA17" s="2" t="str">
        <x:v>8982c015c0f292aefc7d0d450d48ced27d3007bc135cafd9cb0b33efd25af454</x:v>
      </x:c>
    </x:row>
    <x:row r="18" ht="65" customHeight="1">
      <x:c r="A18" s="2" t="str">
        <x:v>WB_food_index</x:v>
      </x:c>
      <x:c r="B18" s="2" t="str">
        <x:v>World Bank WDI: Food production index (2014-2016 = 100)</x:v>
      </x:c>
      <x:c r="C18" s="2" t="str">
        <x:v>World Bank; WDI compiler, underlying national/institutional sources in indicator metadata</x:v>
      </x:c>
      <x:c r="D18" s="2" t="str">
        <x:v>Undated page / exact publication date not verified</x:v>
      </x:c>
      <x:c r="E18" s="2" t="str">
        <x:v>2000–2025; available years differ</x:v>
      </x:c>
      <x:c r="F18" s="2" t="str">
        <x:v>2026-10-07</x:v>
      </x:c>
      <x:c r="G18" s="2" t="str">
        <x:v>https://data.worldbank.org/indicator/AG.PRD.FOOD.XD</x:v>
      </x:c>
      <x:c r="H18" s="2" t="str">
        <x:v>https://api.worldbank.org/v2/country/all/indicator/AG.PRD.FOOD.XD?date=2000:2025&amp;format=json&amp;per_page=20000</x:v>
      </x:c>
      <x:c r="I18" s="2" t="str">
        <x:v>Country ISO3/year; 195-country universe, non-country aggregates excluded</x:v>
      </x:c>
      <x:c r="J18" s="2" t="str">
        <x:v>Food production index (2014-2016 = 100)</x:v>
      </x:c>
      <x:c r="K18" s="2" t="str">
        <x:v>No conversion unless a calculation explicitly provides it</x:v>
      </x:c>
      <x:c r="L18" s="2" t="str">
        <x:v>Source 2; series and country/year records, update 2026-07-13</x:v>
      </x:c>
      <x:c r="M18" s="2" t="str">
        <x:v>Not applicable for web/API; PDF pinpoint retained, further page attribution not verified</x:v>
      </x:c>
      <x:c r="N18" s="2" t="str">
        <x:v>Not applicable / not independently verified</x:v>
      </x:c>
      <x:c r="O18" s="2" t="str">
        <x:v>AG.PRD.FOOD.XD</x:v>
      </x:c>
      <x:c r="P18" s="2" t="str">
        <x:v>https://api.worldbank.org/v2/country/all/indicator/AG.PRD.FOOD.XD?date=2000:2025&amp;format=json&amp;per_page=20000</x:v>
      </x:c>
      <x:c r="Q18" s="2" t="str">
        <x:v>ISO3 in membership-verification.csv; year 2000–2025; latest non-null, no imputation</x:v>
      </x:c>
      <x:c r="R18" s="2" t="d">
        <x:v>2026-10-07T18:48:37.819Z</x:v>
      </x:c>
      <x:c r="S18" s="2" t="str">
        <x:v>Proxy observation</x:v>
      </x:c>
      <x:c r="T18" s="2" t="str">
        <x:v>Latest available year differs by country/series. No missing value imputed.</x:v>
      </x:c>
      <x:c r="U18" s="2" t="str">
        <x:v>No conflicting series substituted; definitions/vintage retained. Unknowns stay unknown.</x:v>
      </x:c>
      <x:c r="V18" s="2" t="str">
        <x:v>validation;ols-estimates;validation-transfer;sources-12;model-diagnostics</x:v>
      </x:c>
      <x:c r="W18" s="2" t="str">
        <x:v>C-OLS</x:v>
      </x:c>
      <x:c r="X18" s="2" t="str">
        <x:v>CL-validation-headline;CL-validation-body1;CL-validation-body2;CL-validation-table_row1;CL-validation-table_row2;CL-validation-table_row3;CL-validation-table_row4;CL-validation-table_row5;CL-ols-estimates-headline;CL-ols-estimates-table_row1;CL-ols-estimates-table_row2;CL-ols-estimates-table_row3;CL-ols-estimates-table_row4;CL-validation-transfer-headline;CL-validation-transfer-body1;CL-validation-transfer-table_row1;CL-validation-transfer-table_row2;CL-validation-transfer-table_row3;CL-validation-transfer-table_row4;CL-validation-transfer-table_row5;CL-sources-12-headline;CL-sources-12-table_row1;CL-sources-12-table_row2;CL-sources-12-table_row3;CL-sources-12-table_row4;CL-sources-12-table_row5;CL-sources-12-table_row6;CL-model-diagnostics-headline;CL-model-diagnostics-table_row1;CL-model-diagnostics-table_row2;CL-model-diagnostics-table_row3;CL-model-diagnostics-table_row4;CL-model-diagnostics-table_row5</x:v>
      </x:c>
      <x:c r="Y18" s="2" t="str">
        <x:v>Public primary evidence; retrieval outcome in manifest. Blocked full downloads are not described as inspected.</x:v>
      </x:c>
      <x:c r="Z18" s="2" t="str">
        <x:v>Cite/link the issuing source; permitted statistical extracts retained with checksum where available. No claim of unrestricted report redistribution.</x:v>
      </x:c>
      <x:c r="AA18" s="2" t="str">
        <x:v>c62ba563ca036811ae1716af9f0c45a3d6d6ee00b6be6d9bbf773019444cf882</x:v>
      </x:c>
    </x:row>
    <x:row r="19" ht="65" customHeight="1">
      <x:c r="A19" s="2" t="str">
        <x:v>WB_food_import_share</x:v>
      </x:c>
      <x:c r="B19" s="2" t="str">
        <x:v>World Bank WDI: Food imports (% of merchandise imports)</x:v>
      </x:c>
      <x:c r="C19" s="2" t="str">
        <x:v>World Bank; WDI compiler, underlying national/institutional sources in indicator metadata</x:v>
      </x:c>
      <x:c r="D19" s="2" t="str">
        <x:v>Undated page / exact publication date not verified</x:v>
      </x:c>
      <x:c r="E19" s="2" t="str">
        <x:v>2000–2025; available years differ</x:v>
      </x:c>
      <x:c r="F19" s="2" t="str">
        <x:v>2026-10-07</x:v>
      </x:c>
      <x:c r="G19" s="2" t="str">
        <x:v>https://data.worldbank.org/indicator/TM.VAL.FOOD.ZS.UN</x:v>
      </x:c>
      <x:c r="H19" s="2" t="str">
        <x:v>https://api.worldbank.org/v2/country/all/indicator/TM.VAL.FOOD.ZS.UN?date=2000:2025&amp;format=json&amp;per_page=20000</x:v>
      </x:c>
      <x:c r="I19" s="2" t="str">
        <x:v>Country ISO3/year; 195-country universe, non-country aggregates excluded</x:v>
      </x:c>
      <x:c r="J19" s="2" t="str">
        <x:v>Food imports (% of merchandise imports)</x:v>
      </x:c>
      <x:c r="K19" s="2" t="str">
        <x:v>No conversion unless a calculation explicitly provides it</x:v>
      </x:c>
      <x:c r="L19" s="2" t="str">
        <x:v>Source 2; series and country/year records, update 2026-07-13</x:v>
      </x:c>
      <x:c r="M19" s="2" t="str">
        <x:v>Not applicable for web/API; PDF pinpoint retained, further page attribution not verified</x:v>
      </x:c>
      <x:c r="N19" s="2" t="str">
        <x:v>Not applicable / not independently verified</x:v>
      </x:c>
      <x:c r="O19" s="2" t="str">
        <x:v>TM.VAL.FOOD.ZS.UN</x:v>
      </x:c>
      <x:c r="P19" s="2" t="str">
        <x:v>https://api.worldbank.org/v2/country/all/indicator/TM.VAL.FOOD.ZS.UN?date=2000:2025&amp;format=json&amp;per_page=20000</x:v>
      </x:c>
      <x:c r="Q19" s="2" t="str">
        <x:v>ISO3 in membership-verification.csv; year 2000–2025; latest non-null, no imputation</x:v>
      </x:c>
      <x:c r="R19" s="2" t="d">
        <x:v>2026-10-07T18:48:37.819Z</x:v>
      </x:c>
      <x:c r="S19" s="2" t="str">
        <x:v>Proxy observation</x:v>
      </x:c>
      <x:c r="T19" s="2" t="str">
        <x:v>Latest available year differs by country/series. No missing value imputed.</x:v>
      </x:c>
      <x:c r="U19" s="2" t="str">
        <x:v>No conflicting series substituted; definitions/vintage retained. Unknowns stay unknown.</x:v>
      </x:c>
      <x:c r="V19" s="2" t="str">
        <x:v>sources-12</x:v>
      </x:c>
      <x:c r="W19" s="2" t="str">
        <x:v>C-WBFOOD-AFG;C-WBFOOD-ALB;C-WBFOOD-DZA;C-WBFOOD-AND;C-WBFOOD-AGO;C-WBFOOD-ATG;C-WBFOOD-ARG;C-WBFOOD-ARM;C-WBFOOD-AUS;C-WBFOOD-AUT;C-WBFOOD-AZE;C-WBFOOD-BHS;C-WBFOOD-BHR;C-WBFOOD-BGD;C-WBFOOD-BRB;C-WBFOOD-BLR;C-WBFOOD-BEL;C-WBFOOD-BLZ;C-WBFOOD-BEN;C-WBFOOD-BTN;C-WBFOOD-BOL;C-WBFOOD-BIH;C-WBFOOD-BWA;C-WBFOOD-BRA;C-WBFOOD-BRN;C-WBFOOD-BGR;C-WBFOOD-BFA;C-WBFOOD-BDI;C-WBFOOD-CPV;C-WBFOOD-KHM;C-WBFOOD-CMR;C-WBFOOD-CAN;C-WBFOOD-CAF;C-WBFOOD-CHL;C-WBFOOD-CHN;C-WBFOOD-COL;C-WBFOOD-COM;C-WBFOOD-COG;C-WBFOOD-CRI;C-WBFOOD-HRV;C-WBFOOD-CUB;C-WBFOOD-CYP;C-WBFOOD-CZE;C-WBFOOD-CIV;C-WBFOOD-COD;C-WBFOOD-DNK;C-WBFOOD-DJI;C-WBFOOD-DMA;C-WBFOOD-DOM;C-WBFOOD-ECU;C-WBFOOD-EGY;C-WBFOOD-SLV;C-WBFOOD-ERI;C-WBFOOD-EST;C-WBFOOD-SWZ;C-WBFOOD-ETH;C-WBFOOD-FJI;C-WBFOOD-FIN;C-WBFOOD-FRA;C-WBFOOD-GAB;C-WBFOOD-GMB;C-WBFOOD-GEO;C-WBFOOD-DEU;C-WBFOOD-GHA;C-WBFOOD-GRC;C-WBFOOD-GRD;C-WBFOOD-GTM;C-WBFOOD-GIN;C-WBFOOD-GNB;C-WBFOOD-GUY;C-WBFOOD-HTI;C-WBFOOD-HND;C-WBFOOD-HUN;C-WBFOOD-ISL;C-WBFOOD-IND;C-WBFOOD-IDN;C-WBFOOD-IRN;C-WBFOOD-IRQ;C-WBFOOD-IRL;C-WBFOOD-ISR;C-WBFOOD-ITA;C-WBFOOD-JAM;C-WBFOOD-JPN;C-WBFOOD-JOR;C-WBFOOD-KAZ;C-WBFOOD-KEN;C-WBFOOD-KIR;C-WBFOOD-KWT;C-WBFOOD-KGZ;C-WBFOOD-LAO;C-WBFOOD-LVA;C-WBFOOD-LBN;C-WBFOOD-LSO;C-WBFOOD-LBR;C-WBFOOD-LBY;C-WBFOOD-LTU;C-WBFOOD-LUX;C-WBFOOD-MDG;C-WBFOOD-MWI;C-WBFOOD-MYS;C-WBFOOD-MDV;C-WBFOOD-MLI;C-WBFOOD-MLT;C-WBFOOD-MRT;C-WBFOOD-MUS;C-WBFOOD-MEX;C-WBFOOD-FSM;C-WBFOOD-MNG;C-WBFOOD-MNE;C-WBFOOD-MAR;C-WBFOOD-MOZ;C-WBFOOD-MMR;C-WBFOOD-NAM;C-WBFOOD-NPL;C-WBFOOD-NLD;C-WBFOOD-NZL;C-WBFOOD-NIC;C-WBFOOD-NER;C-WBFOOD-NGA;C-WBFOOD-MKD;C-WBFOOD-NOR;C-WBFOOD-OMN;C-WBFOOD-PAK;C-WBFOOD-PLW;C-WBFOOD-PAN;C-WBFOOD-PNG;C-WBFOOD-PRY;C-WBFOOD-PER;C-WBFOOD-PHL;C-WBFOOD-POL;C-WBFOOD-PRT;C-WBFOOD-QAT;C-WBFOOD-KOR;C-WBFOOD-MDA;C-WBFOOD-ROU;C-WBFOOD-RUS;C-WBFOOD-RWA;C-WBFOOD-KNA;C-WBFOOD-LCA;C-WBFOOD-VCT;C-WBFOOD-WSM;C-WBFOOD-STP;C-WBFOOD-SAU;C-WBFOOD-SEN;C-WBFOOD-SRB;C-WBFOOD-SYC;C-WBFOOD-SLE;C-WBFOOD-SGP;C-WBFOOD-SVK;C-WBFOOD-SVN;C-WBFOOD-SLB;C-WBFOOD-ZAF;C-WBFOOD-ESP;C-WBFOOD-LKA;C-WBFOOD-SDN;C-WBFOOD-SUR;C-WBFOOD-SWE;C-WBFOOD-CHE;C-WBFOOD-SYR;C-WBFOOD-TJK;C-WBFOOD-THA;C-WBFOOD-TLS;C-WBFOOD-TGO;C-WBFOOD-TON;C-WBFOOD-TTO;C-WBFOOD-TUN;C-WBFOOD-TKM;C-WBFOOD-TUV;C-WBFOOD-TUR;C-WBFOOD-UGA;C-WBFOOD-UKR;C-WBFOOD-ARE;C-WBFOOD-GBR;C-WBFOOD-TZA;C-WBFOOD-USA;C-WBFOOD-URY;C-WBFOOD-UZB;C-WBFOOD-VUT;C-WBFOOD-VEN;C-WBFOOD-VNM;C-WBFOOD-YEM;C-WBFOOD-ZMB;C-WBFOOD-ZWE</x:v>
      </x:c>
      <x:c r="X19" s="2" t="str">
        <x:v>CL-sources-12-headline;CL-sources-12-table_row1;CL-sources-12-table_row2;CL-sources-12-table_row3;CL-sources-12-table_row4;CL-sources-12-table_row5;CL-sources-12-table_row6</x:v>
      </x:c>
      <x:c r="Y19" s="2" t="str">
        <x:v>Public primary evidence; retrieval outcome in manifest. Blocked full downloads are not described as inspected.</x:v>
      </x:c>
      <x:c r="Z19" s="2" t="str">
        <x:v>Cite/link the issuing source; permitted statistical extracts retained with checksum where available. No claim of unrestricted report redistribution.</x:v>
      </x:c>
      <x:c r="AA19" s="2" t="str">
        <x:v>0a135996d8a9e212972aec200f8c3b7fc54730aa272d48359cc2c61ee6acc11a</x:v>
      </x:c>
    </x:row>
    <x:row r="20" ht="65" customHeight="1">
      <x:c r="A20" s="2" t="str">
        <x:v>WB_food_export_share</x:v>
      </x:c>
      <x:c r="B20" s="2" t="str">
        <x:v>World Bank WDI: Food exports (% of merchandise exports)</x:v>
      </x:c>
      <x:c r="C20" s="2" t="str">
        <x:v>World Bank; WDI compiler, underlying national/institutional sources in indicator metadata</x:v>
      </x:c>
      <x:c r="D20" s="2" t="str">
        <x:v>Undated page / exact publication date not verified</x:v>
      </x:c>
      <x:c r="E20" s="2" t="str">
        <x:v>2000–2025; available years differ</x:v>
      </x:c>
      <x:c r="F20" s="2" t="str">
        <x:v>2026-10-07</x:v>
      </x:c>
      <x:c r="G20" s="2" t="str">
        <x:v>https://data.worldbank.org/indicator/TX.VAL.FOOD.ZS.UN</x:v>
      </x:c>
      <x:c r="H20" s="2" t="str">
        <x:v>https://api.worldbank.org/v2/country/all/indicator/TX.VAL.FOOD.ZS.UN?date=2000:2025&amp;format=json&amp;per_page=20000</x:v>
      </x:c>
      <x:c r="I20" s="2" t="str">
        <x:v>Country ISO3/year; 195-country universe, non-country aggregates excluded</x:v>
      </x:c>
      <x:c r="J20" s="2" t="str">
        <x:v>Food exports (% of merchandise exports)</x:v>
      </x:c>
      <x:c r="K20" s="2" t="str">
        <x:v>No conversion unless a calculation explicitly provides it</x:v>
      </x:c>
      <x:c r="L20" s="2" t="str">
        <x:v>Source 2; series and country/year records, update 2026-07-13</x:v>
      </x:c>
      <x:c r="M20" s="2" t="str">
        <x:v>Not applicable for web/API; PDF pinpoint retained, further page attribution not verified</x:v>
      </x:c>
      <x:c r="N20" s="2" t="str">
        <x:v>Not applicable / not independently verified</x:v>
      </x:c>
      <x:c r="O20" s="2" t="str">
        <x:v>TX.VAL.FOOD.ZS.UN</x:v>
      </x:c>
      <x:c r="P20" s="2" t="str">
        <x:v>https://api.worldbank.org/v2/country/all/indicator/TX.VAL.FOOD.ZS.UN?date=2000:2025&amp;format=json&amp;per_page=20000</x:v>
      </x:c>
      <x:c r="Q20" s="2" t="str">
        <x:v>ISO3 in membership-verification.csv; year 2000–2025; latest non-null, no imputation</x:v>
      </x:c>
      <x:c r="R20" s="2" t="d">
        <x:v>2026-10-07T18:48:37.819Z</x:v>
      </x:c>
      <x:c r="S20" s="2" t="str">
        <x:v>Proxy observation</x:v>
      </x:c>
      <x:c r="T20" s="2" t="str">
        <x:v>Latest available year differs by country/series. No missing value imputed.</x:v>
      </x:c>
      <x:c r="U20" s="2" t="str">
        <x:v>No conflicting series substituted; definitions/vintage retained. Unknowns stay unknown.</x:v>
      </x:c>
      <x:c r="V20" s="2" t="str">
        <x:v>sources-12</x:v>
      </x:c>
      <x:c r="W20" s="2" t="str"/>
      <x:c r="X20" s="2" t="str">
        <x:v>CL-sources-12-headline;CL-sources-12-table_row1;CL-sources-12-table_row2;CL-sources-12-table_row3;CL-sources-12-table_row4;CL-sources-12-table_row5;CL-sources-12-table_row6</x:v>
      </x:c>
      <x:c r="Y20" s="2" t="str">
        <x:v>Public primary evidence; retrieval outcome in manifest. Blocked full downloads are not described as inspected.</x:v>
      </x:c>
      <x:c r="Z20" s="2" t="str">
        <x:v>Cite/link the issuing source; permitted statistical extracts retained with checksum where available. No claim of unrestricted report redistribution.</x:v>
      </x:c>
      <x:c r="AA20" s="2" t="str">
        <x:v>4df9395bef03dcc4693bbb2ca756dad63f0c56a8c51b5d255260c802db009398</x:v>
      </x:c>
    </x:row>
    <x:row r="21" ht="65" customHeight="1">
      <x:c r="A21" s="2" t="str">
        <x:v>WB_imports_usd</x:v>
      </x:c>
      <x:c r="B21" s="2" t="str">
        <x:v>World Bank WDI: Merchandise imports (current US$)</x:v>
      </x:c>
      <x:c r="C21" s="2" t="str">
        <x:v>World Bank; WDI compiler, underlying national/institutional sources in indicator metadata</x:v>
      </x:c>
      <x:c r="D21" s="2" t="str">
        <x:v>Undated page / exact publication date not verified</x:v>
      </x:c>
      <x:c r="E21" s="2" t="str">
        <x:v>2000–2025; available years differ</x:v>
      </x:c>
      <x:c r="F21" s="2" t="str">
        <x:v>2026-10-07</x:v>
      </x:c>
      <x:c r="G21" s="2" t="str">
        <x:v>https://data.worldbank.org/indicator/TM.VAL.MRCH.CD.WT</x:v>
      </x:c>
      <x:c r="H21" s="2" t="str">
        <x:v>https://api.worldbank.org/v2/country/all/indicator/TM.VAL.MRCH.CD.WT?date=2000:2025&amp;format=json&amp;per_page=20000</x:v>
      </x:c>
      <x:c r="I21" s="2" t="str">
        <x:v>Country ISO3/year; 195-country universe, non-country aggregates excluded</x:v>
      </x:c>
      <x:c r="J21" s="2" t="str">
        <x:v>Merchandise imports (current US$)</x:v>
      </x:c>
      <x:c r="K21" s="2" t="str">
        <x:v>No conversion unless a calculation explicitly provides it</x:v>
      </x:c>
      <x:c r="L21" s="2" t="str">
        <x:v>Source 2; series and country/year records, update 2026-07-13</x:v>
      </x:c>
      <x:c r="M21" s="2" t="str">
        <x:v>Not applicable for web/API; PDF pinpoint retained, further page attribution not verified</x:v>
      </x:c>
      <x:c r="N21" s="2" t="str">
        <x:v>Not applicable / not independently verified</x:v>
      </x:c>
      <x:c r="O21" s="2" t="str">
        <x:v>TM.VAL.MRCH.CD.WT</x:v>
      </x:c>
      <x:c r="P21" s="2" t="str">
        <x:v>https://api.worldbank.org/v2/country/all/indicator/TM.VAL.MRCH.CD.WT?date=2000:2025&amp;format=json&amp;per_page=20000</x:v>
      </x:c>
      <x:c r="Q21" s="2" t="str">
        <x:v>ISO3 in membership-verification.csv; year 2000–2025; latest non-null, no imputation</x:v>
      </x:c>
      <x:c r="R21" s="2" t="d">
        <x:v>2026-10-07T18:48:37.819Z</x:v>
      </x:c>
      <x:c r="S21" s="2" t="str">
        <x:v>Proxy observation</x:v>
      </x:c>
      <x:c r="T21" s="2" t="str">
        <x:v>Latest available year differs by country/series. No missing value imputed.</x:v>
      </x:c>
      <x:c r="U21" s="2" t="str">
        <x:v>No conflicting series substituted; definitions/vintage retained. Unknowns stay unknown.</x:v>
      </x:c>
      <x:c r="V21" s="2" t="str">
        <x:v>sources-12</x:v>
      </x:c>
      <x:c r="W21" s="2" t="str">
        <x:v>C-WBFOOD-AFG;C-WBFOOD-ALB;C-WBFOOD-DZA;C-WBFOOD-AND;C-WBFOOD-AGO;C-WBFOOD-ATG;C-WBFOOD-ARG;C-WBFOOD-ARM;C-WBFOOD-AUS;C-WBFOOD-AUT;C-WBFOOD-AZE;C-WBFOOD-BHS;C-WBFOOD-BHR;C-WBFOOD-BGD;C-WBFOOD-BRB;C-WBFOOD-BLR;C-WBFOOD-BEL;C-WBFOOD-BLZ;C-WBFOOD-BEN;C-WBFOOD-BTN;C-WBFOOD-BOL;C-WBFOOD-BIH;C-WBFOOD-BWA;C-WBFOOD-BRA;C-WBFOOD-BRN;C-WBFOOD-BGR;C-WBFOOD-BFA;C-WBFOOD-BDI;C-WBFOOD-CPV;C-WBFOOD-KHM;C-WBFOOD-CMR;C-WBFOOD-CAN;C-WBFOOD-CAF;C-WBFOOD-CHL;C-WBFOOD-CHN;C-WBFOOD-COL;C-WBFOOD-COM;C-WBFOOD-COG;C-WBFOOD-CRI;C-WBFOOD-HRV;C-WBFOOD-CUB;C-WBFOOD-CYP;C-WBFOOD-CZE;C-WBFOOD-CIV;C-WBFOOD-COD;C-WBFOOD-DNK;C-WBFOOD-DJI;C-WBFOOD-DMA;C-WBFOOD-DOM;C-WBFOOD-ECU;C-WBFOOD-EGY;C-WBFOOD-SLV;C-WBFOOD-ERI;C-WBFOOD-EST;C-WBFOOD-SWZ;C-WBFOOD-ETH;C-WBFOOD-FJI;C-WBFOOD-FIN;C-WBFOOD-FRA;C-WBFOOD-GAB;C-WBFOOD-GMB;C-WBFOOD-GEO;C-WBFOOD-DEU;C-WBFOOD-GHA;C-WBFOOD-GRC;C-WBFOOD-GRD;C-WBFOOD-GTM;C-WBFOOD-GIN;C-WBFOOD-GNB;C-WBFOOD-GUY;C-WBFOOD-HTI;C-WBFOOD-HND;C-WBFOOD-HUN;C-WBFOOD-ISL;C-WBFOOD-IND;C-WBFOOD-IDN;C-WBFOOD-IRN;C-WBFOOD-IRQ;C-WBFOOD-IRL;C-WBFOOD-ISR;C-WBFOOD-ITA;C-WBFOOD-JAM;C-WBFOOD-JPN;C-WBFOOD-JOR;C-WBFOOD-KAZ;C-WBFOOD-KEN;C-WBFOOD-KIR;C-WBFOOD-KWT;C-WBFOOD-KGZ;C-WBFOOD-LAO;C-WBFOOD-LVA;C-WBFOOD-LBN;C-WBFOOD-LSO;C-WBFOOD-LBR;C-WBFOOD-LBY;C-WBFOOD-LTU;C-WBFOOD-LUX;C-WBFOOD-MDG;C-WBFOOD-MWI;C-WBFOOD-MYS;C-WBFOOD-MDV;C-WBFOOD-MLI;C-WBFOOD-MLT;C-WBFOOD-MRT;C-WBFOOD-MUS;C-WBFOOD-MEX;C-WBFOOD-FSM;C-WBFOOD-MNG;C-WBFOOD-MNE;C-WBFOOD-MAR;C-WBFOOD-MOZ;C-WBFOOD-MMR;C-WBFOOD-NAM;C-WBFOOD-NPL;C-WBFOOD-NLD;C-WBFOOD-NZL;C-WBFOOD-NIC;C-WBFOOD-NER;C-WBFOOD-NGA;C-WBFOOD-MKD;C-WBFOOD-NOR;C-WBFOOD-OMN;C-WBFOOD-PAK;C-WBFOOD-PLW;C-WBFOOD-PAN;C-WBFOOD-PNG;C-WBFOOD-PRY;C-WBFOOD-PER;C-WBFOOD-PHL;C-WBFOOD-POL;C-WBFOOD-PRT;C-WBFOOD-QAT;C-WBFOOD-KOR;C-WBFOOD-MDA;C-WBFOOD-ROU;C-WBFOOD-RUS;C-WBFOOD-RWA;C-WBFOOD-KNA;C-WBFOOD-LCA;C-WBFOOD-VCT;C-WBFOOD-WSM;C-WBFOOD-STP;C-WBFOOD-SAU;C-WBFOOD-SEN;C-WBFOOD-SRB;C-WBFOOD-SYC;C-WBFOOD-SLE;C-WBFOOD-SGP;C-WBFOOD-SVK;C-WBFOOD-SVN;C-WBFOOD-SLB;C-WBFOOD-ZAF;C-WBFOOD-ESP;C-WBFOOD-LKA;C-WBFOOD-SDN;C-WBFOOD-SUR;C-WBFOOD-SWE;C-WBFOOD-CHE;C-WBFOOD-SYR;C-WBFOOD-TJK;C-WBFOOD-THA;C-WBFOOD-TLS;C-WBFOOD-TGO;C-WBFOOD-TON;C-WBFOOD-TTO;C-WBFOOD-TUN;C-WBFOOD-TKM;C-WBFOOD-TUV;C-WBFOOD-TUR;C-WBFOOD-UGA;C-WBFOOD-UKR;C-WBFOOD-ARE;C-WBFOOD-GBR;C-WBFOOD-TZA;C-WBFOOD-USA;C-WBFOOD-URY;C-WBFOOD-UZB;C-WBFOOD-VUT;C-WBFOOD-VEN;C-WBFOOD-VNM;C-WBFOOD-YEM;C-WBFOOD-ZMB;C-WBFOOD-ZWE</x:v>
      </x:c>
      <x:c r="X21" s="2" t="str">
        <x:v>CL-sources-12-headline;CL-sources-12-table_row1;CL-sources-12-table_row2;CL-sources-12-table_row3;CL-sources-12-table_row4;CL-sources-12-table_row5;CL-sources-12-table_row6</x:v>
      </x:c>
      <x:c r="Y21" s="2" t="str">
        <x:v>Public primary evidence; retrieval outcome in manifest. Blocked full downloads are not described as inspected.</x:v>
      </x:c>
      <x:c r="Z21" s="2" t="str">
        <x:v>Cite/link the issuing source; permitted statistical extracts retained with checksum where available. No claim of unrestricted report redistribution.</x:v>
      </x:c>
      <x:c r="AA21" s="2" t="str">
        <x:v>5f3b4bbbcd016e899b8c946c3b161bc20a94a91edd465de53b21a83e38593046</x:v>
      </x:c>
    </x:row>
    <x:row r="22" ht="65" customHeight="1">
      <x:c r="A22" s="2" t="str">
        <x:v>WB_exports_usd</x:v>
      </x:c>
      <x:c r="B22" s="2" t="str">
        <x:v>World Bank WDI: Merchandise exports (current US$)</x:v>
      </x:c>
      <x:c r="C22" s="2" t="str">
        <x:v>World Bank; WDI compiler, underlying national/institutional sources in indicator metadata</x:v>
      </x:c>
      <x:c r="D22" s="2" t="str">
        <x:v>Undated page / exact publication date not verified</x:v>
      </x:c>
      <x:c r="E22" s="2" t="str">
        <x:v>2000–2025; available years differ</x:v>
      </x:c>
      <x:c r="F22" s="2" t="str">
        <x:v>2026-10-07</x:v>
      </x:c>
      <x:c r="G22" s="2" t="str">
        <x:v>https://data.worldbank.org/indicator/TX.VAL.MRCH.CD.WT</x:v>
      </x:c>
      <x:c r="H22" s="2" t="str">
        <x:v>https://api.worldbank.org/v2/country/all/indicator/TX.VAL.MRCH.CD.WT?date=2000:2025&amp;format=json&amp;per_page=20000</x:v>
      </x:c>
      <x:c r="I22" s="2" t="str">
        <x:v>Country ISO3/year; 195-country universe, non-country aggregates excluded</x:v>
      </x:c>
      <x:c r="J22" s="2" t="str">
        <x:v>Merchandise exports (current US$)</x:v>
      </x:c>
      <x:c r="K22" s="2" t="str">
        <x:v>No conversion unless a calculation explicitly provides it</x:v>
      </x:c>
      <x:c r="L22" s="2" t="str">
        <x:v>Source 2; series and country/year records, update 2026-07-13</x:v>
      </x:c>
      <x:c r="M22" s="2" t="str">
        <x:v>Not applicable for web/API; PDF pinpoint retained, further page attribution not verified</x:v>
      </x:c>
      <x:c r="N22" s="2" t="str">
        <x:v>Not applicable / not independently verified</x:v>
      </x:c>
      <x:c r="O22" s="2" t="str">
        <x:v>TX.VAL.MRCH.CD.WT</x:v>
      </x:c>
      <x:c r="P22" s="2" t="str">
        <x:v>https://api.worldbank.org/v2/country/all/indicator/TX.VAL.MRCH.CD.WT?date=2000:2025&amp;format=json&amp;per_page=20000</x:v>
      </x:c>
      <x:c r="Q22" s="2" t="str">
        <x:v>ISO3 in membership-verification.csv; year 2000–2025; latest non-null, no imputation</x:v>
      </x:c>
      <x:c r="R22" s="2" t="d">
        <x:v>2026-10-07T18:48:37.819Z</x:v>
      </x:c>
      <x:c r="S22" s="2" t="str">
        <x:v>Proxy observation</x:v>
      </x:c>
      <x:c r="T22" s="2" t="str">
        <x:v>Latest available year differs by country/series. No missing value imputed.</x:v>
      </x:c>
      <x:c r="U22" s="2" t="str">
        <x:v>No conflicting series substituted; definitions/vintage retained. Unknowns stay unknown.</x:v>
      </x:c>
      <x:c r="V22" s="2" t="str">
        <x:v>sources-18</x:v>
      </x:c>
      <x:c r="W22" s="2" t="str"/>
      <x:c r="X22" s="2" t="str">
        <x:v>CL-sources-18-headline;CL-sources-18-table_row1;CL-sources-18-table_row2;CL-sources-18-table_row3;CL-sources-18-table_row4;CL-sources-18-table_row5;CL-sources-18-table_row6</x:v>
      </x:c>
      <x:c r="Y22" s="2" t="str">
        <x:v>Public primary evidence; retrieval outcome in manifest. Blocked full downloads are not described as inspected.</x:v>
      </x:c>
      <x:c r="Z22" s="2" t="str">
        <x:v>Cite/link the issuing source; permitted statistical extracts retained with checksum where available. No claim of unrestricted report redistribution.</x:v>
      </x:c>
      <x:c r="AA22" s="2" t="str">
        <x:v>d146f5d949e220afce4d5c99d570ab36a0ddb9b4d0f252940aa78102071eda0c</x:v>
      </x:c>
    </x:row>
    <x:row r="23" ht="65" customHeight="1">
      <x:c r="A23" s="2" t="str">
        <x:v>WB_cereal_yield</x:v>
      </x:c>
      <x:c r="B23" s="2" t="str">
        <x:v>World Bank WDI: Cereal yield (kg per hectare)</x:v>
      </x:c>
      <x:c r="C23" s="2" t="str">
        <x:v>World Bank; WDI compiler, underlying national/institutional sources in indicator metadata</x:v>
      </x:c>
      <x:c r="D23" s="2" t="str">
        <x:v>Undated page / exact publication date not verified</x:v>
      </x:c>
      <x:c r="E23" s="2" t="str">
        <x:v>2000–2025; available years differ</x:v>
      </x:c>
      <x:c r="F23" s="2" t="str">
        <x:v>2026-10-07</x:v>
      </x:c>
      <x:c r="G23" s="2" t="str">
        <x:v>https://data.worldbank.org/indicator/AG.YLD.CREL.KG</x:v>
      </x:c>
      <x:c r="H23" s="2" t="str">
        <x:v>https://api.worldbank.org/v2/country/all/indicator/AG.YLD.CREL.KG?date=2000:2025&amp;format=json&amp;per_page=20000</x:v>
      </x:c>
      <x:c r="I23" s="2" t="str">
        <x:v>Country ISO3/year; 195-country universe, non-country aggregates excluded</x:v>
      </x:c>
      <x:c r="J23" s="2" t="str">
        <x:v>Cereal yield (kg per hectare)</x:v>
      </x:c>
      <x:c r="K23" s="2" t="str">
        <x:v>No conversion unless a calculation explicitly provides it</x:v>
      </x:c>
      <x:c r="L23" s="2" t="str">
        <x:v>Source 2; series and country/year records, update 2026-07-13</x:v>
      </x:c>
      <x:c r="M23" s="2" t="str">
        <x:v>Not applicable for web/API; PDF pinpoint retained, further page attribution not verified</x:v>
      </x:c>
      <x:c r="N23" s="2" t="str">
        <x:v>Not applicable / not independently verified</x:v>
      </x:c>
      <x:c r="O23" s="2" t="str">
        <x:v>AG.YLD.CREL.KG</x:v>
      </x:c>
      <x:c r="P23" s="2" t="str">
        <x:v>https://api.worldbank.org/v2/country/all/indicator/AG.YLD.CREL.KG?date=2000:2025&amp;format=json&amp;per_page=20000</x:v>
      </x:c>
      <x:c r="Q23" s="2" t="str">
        <x:v>ISO3 in membership-verification.csv; year 2000–2025; latest non-null, no imputation</x:v>
      </x:c>
      <x:c r="R23" s="2" t="d">
        <x:v>2026-10-07T18:48:37.819Z</x:v>
      </x:c>
      <x:c r="S23" s="2" t="str">
        <x:v>Proxy observation</x:v>
      </x:c>
      <x:c r="T23" s="2" t="str">
        <x:v>Latest available year differs by country/series. No missing value imputed.</x:v>
      </x:c>
      <x:c r="U23" s="2" t="str">
        <x:v>No conflicting series substituted; definitions/vintage retained. Unknowns stay unknown.</x:v>
      </x:c>
      <x:c r="V23" s="2" t="str">
        <x:v>validation;ols-estimates;sources-18;model-diagnostics</x:v>
      </x:c>
      <x:c r="W23" s="2" t="str">
        <x:v>C-OLS</x:v>
      </x:c>
      <x:c r="X23" s="2" t="str">
        <x:v>CL-validation-headline;CL-validation-body1;CL-validation-body2;CL-validation-table_row1;CL-validation-table_row2;CL-validation-table_row3;CL-validation-table_row4;CL-validation-table_row5;CL-ols-estimates-headline;CL-ols-estimates-table_row1;CL-ols-estimates-table_row2;CL-ols-estimates-table_row3;CL-ols-estimates-table_row4;CL-sources-18-headline;CL-sources-18-table_row1;CL-sources-18-table_row2;CL-sources-18-table_row3;CL-sources-18-table_row4;CL-sources-18-table_row5;CL-sources-18-table_row6;CL-model-diagnostics-headline;CL-model-diagnostics-table_row1;CL-model-diagnostics-table_row2;CL-model-diagnostics-table_row3;CL-model-diagnostics-table_row4;CL-model-diagnostics-table_row5</x:v>
      </x:c>
      <x:c r="Y23" s="2" t="str">
        <x:v>Public primary evidence; retrieval outcome in manifest. Blocked full downloads are not described as inspected.</x:v>
      </x:c>
      <x:c r="Z23" s="2" t="str">
        <x:v>Cite/link the issuing source; permitted statistical extracts retained with checksum where available. No claim of unrestricted report redistribution.</x:v>
      </x:c>
      <x:c r="AA23" s="2" t="str">
        <x:v>552933117cf9835ed5f0f3493f175aac3b672cdb37da9ccdca4ed207d1008a3d</x:v>
      </x:c>
    </x:row>
    <x:row r="24" ht="65" customHeight="1">
      <x:c r="A24" s="2" t="str">
        <x:v>WB_water_stress</x:v>
      </x:c>
      <x:c r="B24" s="2" t="str">
        <x:v>World Bank WDI: Level of water stress: freshwater withdrawal as a proportion of available freshwater resources</x:v>
      </x:c>
      <x:c r="C24" s="2" t="str">
        <x:v>World Bank; WDI compiler, underlying national/institutional sources in indicator metadata</x:v>
      </x:c>
      <x:c r="D24" s="2" t="str">
        <x:v>Undated page / exact publication date not verified</x:v>
      </x:c>
      <x:c r="E24" s="2" t="str">
        <x:v>2000–2025; available years differ</x:v>
      </x:c>
      <x:c r="F24" s="2" t="str">
        <x:v>2026-10-07</x:v>
      </x:c>
      <x:c r="G24" s="2" t="str">
        <x:v>https://data.worldbank.org/indicator/ER.H2O.FWST.ZS</x:v>
      </x:c>
      <x:c r="H24" s="2" t="str">
        <x:v>https://api.worldbank.org/v2/country/all/indicator/ER.H2O.FWST.ZS?date=2000:2025&amp;format=json&amp;per_page=20000</x:v>
      </x:c>
      <x:c r="I24" s="2" t="str">
        <x:v>Country ISO3/year; 195-country universe, non-country aggregates excluded</x:v>
      </x:c>
      <x:c r="J24" s="2" t="str">
        <x:v>Level of water stress: freshwater withdrawal as a proportion of available freshwater resources</x:v>
      </x:c>
      <x:c r="K24" s="2" t="str">
        <x:v>No conversion unless a calculation explicitly provides it</x:v>
      </x:c>
      <x:c r="L24" s="2" t="str">
        <x:v>Source 2; series and country/year records, update 2026-07-13</x:v>
      </x:c>
      <x:c r="M24" s="2" t="str">
        <x:v>Not applicable for web/API; PDF pinpoint retained, further page attribution not verified</x:v>
      </x:c>
      <x:c r="N24" s="2" t="str">
        <x:v>Not applicable / not independently verified</x:v>
      </x:c>
      <x:c r="O24" s="2" t="str">
        <x:v>ER.H2O.FWST.ZS</x:v>
      </x:c>
      <x:c r="P24" s="2" t="str">
        <x:v>https://api.worldbank.org/v2/country/all/indicator/ER.H2O.FWST.ZS?date=2000:2025&amp;format=json&amp;per_page=20000</x:v>
      </x:c>
      <x:c r="Q24" s="2" t="str">
        <x:v>ISO3 in membership-verification.csv; year 2000–2025; latest non-null, no imputation</x:v>
      </x:c>
      <x:c r="R24" s="2" t="d">
        <x:v>2026-10-07T18:48:37.819Z</x:v>
      </x:c>
      <x:c r="S24" s="2" t="str">
        <x:v>Proxy observation</x:v>
      </x:c>
      <x:c r="T24" s="2" t="str">
        <x:v>Latest available year differs by country/series. No missing value imputed.</x:v>
      </x:c>
      <x:c r="U24" s="2" t="str">
        <x:v>No conflicting series substituted; definitions/vintage retained. Unknowns stay unknown.</x:v>
      </x:c>
      <x:c r="V24" s="2" t="str">
        <x:v>climate;sources-18</x:v>
      </x:c>
      <x:c r="W24" s="2" t="str"/>
      <x:c r="X24" s="2" t="str">
        <x:v>CL-climate-headline;CL-climate-body1;CL-climate-body2;CL-climate-body3;CL-climate-table_row1;CL-climate-table_row2;CL-climate-table_row3;CL-sources-18-headline;CL-sources-18-table_row1;CL-sources-18-table_row2;CL-sources-18-table_row3;CL-sources-18-table_row4;CL-sources-18-table_row5;CL-sources-18-table_row6</x:v>
      </x:c>
      <x:c r="Y24" s="2" t="str">
        <x:v>Public primary evidence; retrieval outcome in manifest. Blocked full downloads are not described as inspected.</x:v>
      </x:c>
      <x:c r="Z24" s="2" t="str">
        <x:v>Cite/link the issuing source; permitted statistical extracts retained with checksum where available. No claim of unrestricted report redistribution.</x:v>
      </x:c>
      <x:c r="AA24" s="2" t="str">
        <x:v>a6a0be98d7148f86f164db84a904d56970c68aef3b694d86dc61c7686c4a5f16</x:v>
      </x:c>
    </x:row>
    <x:row r="25" ht="65" customHeight="1">
      <x:c r="A25" s="2" t="str">
        <x:v>CO_NGA</x:v>
      </x:c>
      <x:c r="B25" s="2" t="str">
        <x:v>Olam Agri Nigeria</x:v>
      </x:c>
      <x:c r="C25" s="2" t="str">
        <x:v>Olam Agri / Olam Group, company issuer</x:v>
      </x:c>
      <x:c r="D25" s="2" t="str">
        <x:v>Undated page / exact publication date not verified</x:v>
      </x:c>
      <x:c r="E25" s="2" t="str">
        <x:v>As stated at pinpoint; distinguish observation and transaction dates</x:v>
      </x:c>
      <x:c r="F25" s="2" t="str">
        <x:v>2026-10-07</x:v>
      </x:c>
      <x:c r="G25" s="2" t="str">
        <x:v>https://www.olamagri.com/locations/nigeria</x:v>
      </x:c>
      <x:c r="H25" s="2" t="str">
        <x:v>https://www.olamagri.com/locations/nigeria</x:v>
      </x:c>
      <x:c r="I25" s="2" t="str">
        <x:v>Country/product/entity scope stated at pinpoint; no cross-perimeter transfer</x:v>
      </x:c>
      <x:c r="J25" s="2" t="str">
        <x:v>See source definition; no currency conversion or financial calibration inferred</x:v>
      </x:c>
      <x:c r="K25" s="2" t="str">
        <x:v>No conversion unless a calculation explicitly provides it</x:v>
      </x:c>
      <x:c r="L25" s="2" t="str">
        <x:v>Country capability/product sections</x:v>
      </x:c>
      <x:c r="M25" s="2" t="str">
        <x:v>Not applicable for web/API; PDF pinpoint retained, further page attribution not verified</x:v>
      </x:c>
      <x:c r="N25" s="2" t="str">
        <x:v>Not applicable / not independently verified</x:v>
      </x:c>
      <x:c r="O25" s="2" t="str">
        <x:v>Not applicable / not verified</x:v>
      </x:c>
      <x:c r="P25" s="2" t="str">
        <x:v>Not applicable / not verified</x:v>
      </x:c>
      <x:c r="Q25" s="2" t="str">
        <x:v>Document sections at pinpoint</x:v>
      </x:c>
      <x:c r="R25" s="2" t="d">
        <x:v>2026-10-07T18:48:37.819Z</x:v>
      </x:c>
      <x:c r="S25" s="2" t="str">
        <x:v>Direct disclosure or original methodology; scope limitations apply</x:v>
      </x:c>
      <x:c r="T25" s="2" t="str">
        <x:v>Capability evidence does not disclose incremental project returns.</x:v>
      </x:c>
      <x:c r="U25" s="2" t="str">
        <x:v>No conflicting series substituted; definitions/vintage retained. Unknowns stay unknown.</x:v>
      </x:c>
      <x:c r="V25" s="2" t="str">
        <x:v>priorities;nigeria;sources-18</x:v>
      </x:c>
      <x:c r="W25" s="2" t="str"/>
      <x:c r="X25" s="2" t="str">
        <x:v>CL-priorities-headline;CL-priorities-table_row1;CL-priorities-table_row2;CL-priorities-table_row3;CL-priorities-table_row4;CL-priorities-table_row5;CL-nigeria-headline;CL-nigeria-table_row1;CL-nigeria-table_row2;CL-nigeria-table_row3;CL-nigeria-table_row4;CL-nigeria-table_row5;CL-nigeria-table_row6;CL-sources-18-headline;CL-sources-18-table_row1;CL-sources-18-table_row2;CL-sources-18-table_row3;CL-sources-18-table_row4;CL-sources-18-table_row5;CL-sources-18-table_row6</x:v>
      </x:c>
      <x:c r="Y25" s="2" t="str">
        <x:v>Public primary evidence; retrieval outcome in manifest. Blocked full downloads are not described as inspected.</x:v>
      </x:c>
      <x:c r="Z25" s="2" t="str">
        <x:v>Cite/link the issuing source; permitted statistical extracts retained with checksum where available. No claim of unrestricted report redistribution.</x:v>
      </x:c>
      <x:c r="AA25" s="2" t="str">
        <x:v>ee9393454a7045b0532fbc00dc6694f8c43d775bc93a7bf2b2bc7cee75854154</x:v>
      </x:c>
    </x:row>
    <x:row r="26" ht="65" customHeight="1">
      <x:c r="A26" s="2" t="str">
        <x:v>CO_GHA</x:v>
      </x:c>
      <x:c r="B26" s="2" t="str">
        <x:v>Olam Agri Ghana</x:v>
      </x:c>
      <x:c r="C26" s="2" t="str">
        <x:v>Olam Agri / Olam Group, company issuer</x:v>
      </x:c>
      <x:c r="D26" s="2" t="str">
        <x:v>Undated page / exact publication date not verified</x:v>
      </x:c>
      <x:c r="E26" s="2" t="str">
        <x:v>As stated at pinpoint; distinguish observation and transaction dates</x:v>
      </x:c>
      <x:c r="F26" s="2" t="str">
        <x:v>2026-10-07</x:v>
      </x:c>
      <x:c r="G26" s="2" t="str">
        <x:v>https://www.olamagri.com/locations/ghana</x:v>
      </x:c>
      <x:c r="H26" s="2" t="str">
        <x:v>https://www.olamagri.com/locations/ghana</x:v>
      </x:c>
      <x:c r="I26" s="2" t="str">
        <x:v>Country/product/entity scope stated at pinpoint; no cross-perimeter transfer</x:v>
      </x:c>
      <x:c r="J26" s="2" t="str">
        <x:v>See source definition; no currency conversion or financial calibration inferred</x:v>
      </x:c>
      <x:c r="K26" s="2" t="str">
        <x:v>No conversion unless a calculation explicitly provides it</x:v>
      </x:c>
      <x:c r="L26" s="2" t="str">
        <x:v>Country capability/product sections</x:v>
      </x:c>
      <x:c r="M26" s="2" t="str">
        <x:v>Not applicable for web/API; PDF pinpoint retained, further page attribution not verified</x:v>
      </x:c>
      <x:c r="N26" s="2" t="str">
        <x:v>Not applicable / not independently verified</x:v>
      </x:c>
      <x:c r="O26" s="2" t="str">
        <x:v>Not applicable / not verified</x:v>
      </x:c>
      <x:c r="P26" s="2" t="str">
        <x:v>Not applicable / not verified</x:v>
      </x:c>
      <x:c r="Q26" s="2" t="str">
        <x:v>Document sections at pinpoint</x:v>
      </x:c>
      <x:c r="R26" s="2" t="d">
        <x:v>2026-10-07T18:48:37.819Z</x:v>
      </x:c>
      <x:c r="S26" s="2" t="str">
        <x:v>Direct disclosure or original methodology; scope limitations apply</x:v>
      </x:c>
      <x:c r="T26" s="2" t="str">
        <x:v>Capability evidence does not disclose incremental project returns.</x:v>
      </x:c>
      <x:c r="U26" s="2" t="str">
        <x:v>No conflicting series substituted; definitions/vintage retained. Unknowns stay unknown.</x:v>
      </x:c>
      <x:c r="V26" s="2" t="str">
        <x:v>priorities;sources-18</x:v>
      </x:c>
      <x:c r="W26" s="2" t="str"/>
      <x:c r="X26" s="2" t="str">
        <x:v>CL-priorities-headline;CL-priorities-table_row1;CL-priorities-table_row2;CL-priorities-table_row3;CL-priorities-table_row4;CL-priorities-table_row5;CL-sources-18-headline;CL-sources-18-table_row1;CL-sources-18-table_row2;CL-sources-18-table_row3;CL-sources-18-table_row4;CL-sources-18-table_row5;CL-sources-18-table_row6</x:v>
      </x:c>
      <x:c r="Y26" s="2" t="str">
        <x:v>Public primary evidence; retrieval outcome in manifest. Blocked full downloads are not described as inspected.</x:v>
      </x:c>
      <x:c r="Z26" s="2" t="str">
        <x:v>Cite/link the issuing source; permitted statistical extracts retained with checksum where available. No claim of unrestricted report redistribution.</x:v>
      </x:c>
      <x:c r="AA26" s="2" t="str">
        <x:v>86788078bfbf971160707d8bf052ce85cc04ab4f812e28dd0eb190b8fa2c2e0e</x:v>
      </x:c>
    </x:row>
    <x:row r="27" ht="65" customHeight="1">
      <x:c r="A27" s="2" t="str">
        <x:v>CO_SEN</x:v>
      </x:c>
      <x:c r="B27" s="2" t="str">
        <x:v>Olam Agri Senegal</x:v>
      </x:c>
      <x:c r="C27" s="2" t="str">
        <x:v>Olam Agri / Olam Group, company issuer</x:v>
      </x:c>
      <x:c r="D27" s="2" t="str">
        <x:v>Undated page / exact publication date not verified</x:v>
      </x:c>
      <x:c r="E27" s="2" t="str">
        <x:v>As stated at pinpoint; distinguish observation and transaction dates</x:v>
      </x:c>
      <x:c r="F27" s="2" t="str">
        <x:v>2026-10-07</x:v>
      </x:c>
      <x:c r="G27" s="2" t="str">
        <x:v>https://www.olamagri.com/locations/senegal</x:v>
      </x:c>
      <x:c r="H27" s="2" t="str">
        <x:v>https://www.olamagri.com/locations/senegal</x:v>
      </x:c>
      <x:c r="I27" s="2" t="str">
        <x:v>Country/product/entity scope stated at pinpoint; no cross-perimeter transfer</x:v>
      </x:c>
      <x:c r="J27" s="2" t="str">
        <x:v>See source definition; no currency conversion or financial calibration inferred</x:v>
      </x:c>
      <x:c r="K27" s="2" t="str">
        <x:v>No conversion unless a calculation explicitly provides it</x:v>
      </x:c>
      <x:c r="L27" s="2" t="str">
        <x:v>Country capability/product sections</x:v>
      </x:c>
      <x:c r="M27" s="2" t="str">
        <x:v>Not applicable for web/API; PDF pinpoint retained, further page attribution not verified</x:v>
      </x:c>
      <x:c r="N27" s="2" t="str">
        <x:v>Not applicable / not independently verified</x:v>
      </x:c>
      <x:c r="O27" s="2" t="str">
        <x:v>Not applicable / not verified</x:v>
      </x:c>
      <x:c r="P27" s="2" t="str">
        <x:v>Not applicable / not verified</x:v>
      </x:c>
      <x:c r="Q27" s="2" t="str">
        <x:v>Document sections at pinpoint</x:v>
      </x:c>
      <x:c r="R27" s="2" t="d">
        <x:v>2026-10-07T18:48:37.819Z</x:v>
      </x:c>
      <x:c r="S27" s="2" t="str">
        <x:v>Direct disclosure or original methodology; scope limitations apply</x:v>
      </x:c>
      <x:c r="T27" s="2" t="str">
        <x:v>Capability evidence does not disclose incremental project returns.</x:v>
      </x:c>
      <x:c r="U27" s="2" t="str">
        <x:v>No conflicting series substituted; definitions/vintage retained. Unknowns stay unknown.</x:v>
      </x:c>
      <x:c r="V27" s="2" t="str">
        <x:v>priorities;sources-18</x:v>
      </x:c>
      <x:c r="W27" s="2" t="str"/>
      <x:c r="X27" s="2" t="str">
        <x:v>CL-priorities-headline;CL-priorities-table_row1;CL-priorities-table_row2;CL-priorities-table_row3;CL-priorities-table_row4;CL-priorities-table_row5;CL-sources-18-headline;CL-sources-18-table_row1;CL-sources-18-table_row2;CL-sources-18-table_row3;CL-sources-18-table_row4;CL-sources-18-table_row5;CL-sources-18-table_row6</x:v>
      </x:c>
      <x:c r="Y27" s="2" t="str">
        <x:v>Public primary evidence; retrieval outcome in manifest. Blocked full downloads are not described as inspected.</x:v>
      </x:c>
      <x:c r="Z27" s="2" t="str">
        <x:v>Cite/link the issuing source; permitted statistical extracts retained with checksum where available. No claim of unrestricted report redistribution.</x:v>
      </x:c>
      <x:c r="AA27" s="2" t="str">
        <x:v>45c68cb3662be4360725a86163677669d1b15b33e3159615326da2f1ddd6d4a9</x:v>
      </x:c>
    </x:row>
    <x:row r="28" ht="65" customHeight="1">
      <x:c r="A28" s="2" t="str">
        <x:v>CO_CMR</x:v>
      </x:c>
      <x:c r="B28" s="2" t="str">
        <x:v>Olam Agri Cameroon</x:v>
      </x:c>
      <x:c r="C28" s="2" t="str">
        <x:v>Olam Agri / Olam Group, company issuer</x:v>
      </x:c>
      <x:c r="D28" s="2" t="str">
        <x:v>Undated page / exact publication date not verified</x:v>
      </x:c>
      <x:c r="E28" s="2" t="str">
        <x:v>As stated at pinpoint; distinguish observation and transaction dates</x:v>
      </x:c>
      <x:c r="F28" s="2" t="str">
        <x:v>2026-10-07</x:v>
      </x:c>
      <x:c r="G28" s="2" t="str">
        <x:v>https://www.olamagri.com/locations/cameroon</x:v>
      </x:c>
      <x:c r="H28" s="2" t="str">
        <x:v>https://www.olamagri.com/locations/cameroon</x:v>
      </x:c>
      <x:c r="I28" s="2" t="str">
        <x:v>Country/product/entity scope stated at pinpoint; no cross-perimeter transfer</x:v>
      </x:c>
      <x:c r="J28" s="2" t="str">
        <x:v>See source definition; no currency conversion or financial calibration inferred</x:v>
      </x:c>
      <x:c r="K28" s="2" t="str">
        <x:v>No conversion unless a calculation explicitly provides it</x:v>
      </x:c>
      <x:c r="L28" s="2" t="str">
        <x:v>Country capability/product sections</x:v>
      </x:c>
      <x:c r="M28" s="2" t="str">
        <x:v>Not applicable for web/API; PDF pinpoint retained, further page attribution not verified</x:v>
      </x:c>
      <x:c r="N28" s="2" t="str">
        <x:v>Not applicable / not independently verified</x:v>
      </x:c>
      <x:c r="O28" s="2" t="str">
        <x:v>Not applicable / not verified</x:v>
      </x:c>
      <x:c r="P28" s="2" t="str">
        <x:v>Not applicable / not verified</x:v>
      </x:c>
      <x:c r="Q28" s="2" t="str">
        <x:v>Document sections at pinpoint</x:v>
      </x:c>
      <x:c r="R28" s="2" t="d">
        <x:v>2026-10-07T18:48:37.819Z</x:v>
      </x:c>
      <x:c r="S28" s="2" t="str">
        <x:v>Direct disclosure or original methodology; scope limitations apply</x:v>
      </x:c>
      <x:c r="T28" s="2" t="str">
        <x:v>Capability evidence does not disclose incremental project returns.</x:v>
      </x:c>
      <x:c r="U28" s="2" t="str">
        <x:v>No conflicting series substituted; definitions/vintage retained. Unknowns stay unknown.</x:v>
      </x:c>
      <x:c r="V28" s="2" t="str">
        <x:v>priorities;sources-24</x:v>
      </x:c>
      <x:c r="W28" s="2" t="str"/>
      <x:c r="X28" s="2" t="str">
        <x:v>CL-priorities-headline;CL-priorities-table_row1;CL-priorities-table_row2;CL-priorities-table_row3;CL-priorities-table_row4;CL-priorities-table_row5;CL-sources-24-headline;CL-sources-24-table_row1;CL-sources-24-table_row2;CL-sources-24-table_row3;CL-sources-24-table_row4;CL-sources-24-table_row5;CL-sources-24-table_row6</x:v>
      </x:c>
      <x:c r="Y28" s="2" t="str">
        <x:v>Public primary evidence; retrieval outcome in manifest. Blocked full downloads are not described as inspected.</x:v>
      </x:c>
      <x:c r="Z28" s="2" t="str">
        <x:v>Cite/link the issuing source; permitted statistical extracts retained with checksum where available. No claim of unrestricted report redistribution.</x:v>
      </x:c>
      <x:c r="AA28" s="2" t="str">
        <x:v>0786b3ab9ab34bd10547f15b90f2ab1e6c4e058c1771173b2f9dcf945b952277</x:v>
      </x:c>
    </x:row>
    <x:row r="29" ht="65" customHeight="1">
      <x:c r="A29" s="2" t="str">
        <x:v>CO_MOZ</x:v>
      </x:c>
      <x:c r="B29" s="2" t="str">
        <x:v>Olam Agri Mozambique</x:v>
      </x:c>
      <x:c r="C29" s="2" t="str">
        <x:v>Olam Agri / Olam Group, company issuer</x:v>
      </x:c>
      <x:c r="D29" s="2" t="str">
        <x:v>Undated page / exact publication date not verified</x:v>
      </x:c>
      <x:c r="E29" s="2" t="str">
        <x:v>As stated at pinpoint; distinguish observation and transaction dates</x:v>
      </x:c>
      <x:c r="F29" s="2" t="str">
        <x:v>2026-10-07</x:v>
      </x:c>
      <x:c r="G29" s="2" t="str">
        <x:v>https://www.olamagri.com/locations/mozambique</x:v>
      </x:c>
      <x:c r="H29" s="2" t="str">
        <x:v>https://www.olamagri.com/locations/mozambique</x:v>
      </x:c>
      <x:c r="I29" s="2" t="str">
        <x:v>Country/product/entity scope stated at pinpoint; no cross-perimeter transfer</x:v>
      </x:c>
      <x:c r="J29" s="2" t="str">
        <x:v>See source definition; no currency conversion or financial calibration inferred</x:v>
      </x:c>
      <x:c r="K29" s="2" t="str">
        <x:v>No conversion unless a calculation explicitly provides it</x:v>
      </x:c>
      <x:c r="L29" s="2" t="str">
        <x:v>Country capability/product sections</x:v>
      </x:c>
      <x:c r="M29" s="2" t="str">
        <x:v>Not applicable for web/API; PDF pinpoint retained, further page attribution not verified</x:v>
      </x:c>
      <x:c r="N29" s="2" t="str">
        <x:v>Not applicable / not independently verified</x:v>
      </x:c>
      <x:c r="O29" s="2" t="str">
        <x:v>Not applicable / not verified</x:v>
      </x:c>
      <x:c r="P29" s="2" t="str">
        <x:v>Not applicable / not verified</x:v>
      </x:c>
      <x:c r="Q29" s="2" t="str">
        <x:v>Document sections at pinpoint</x:v>
      </x:c>
      <x:c r="R29" s="2" t="d">
        <x:v>2026-10-07T18:48:37.819Z</x:v>
      </x:c>
      <x:c r="S29" s="2" t="str">
        <x:v>Direct disclosure or original methodology; scope limitations apply</x:v>
      </x:c>
      <x:c r="T29" s="2" t="str">
        <x:v>Capability evidence does not disclose incremental project returns.</x:v>
      </x:c>
      <x:c r="U29" s="2" t="str">
        <x:v>No conflicting series substituted; definitions/vintage retained. Unknowns stay unknown.</x:v>
      </x:c>
      <x:c r="V29" s="2" t="str">
        <x:v>priorities;sources-24</x:v>
      </x:c>
      <x:c r="W29" s="2" t="str"/>
      <x:c r="X29" s="2" t="str">
        <x:v>CL-priorities-headline;CL-priorities-table_row1;CL-priorities-table_row2;CL-priorities-table_row3;CL-priorities-table_row4;CL-priorities-table_row5;CL-sources-24-headline;CL-sources-24-table_row1;CL-sources-24-table_row2;CL-sources-24-table_row3;CL-sources-24-table_row4;CL-sources-24-table_row5;CL-sources-24-table_row6</x:v>
      </x:c>
      <x:c r="Y29" s="2" t="str">
        <x:v>Public primary evidence; retrieval outcome in manifest. Blocked full downloads are not described as inspected.</x:v>
      </x:c>
      <x:c r="Z29" s="2" t="str">
        <x:v>Cite/link the issuing source; permitted statistical extracts retained with checksum where available. No claim of unrestricted report redistribution.</x:v>
      </x:c>
      <x:c r="AA29" s="2" t="str">
        <x:v>f4e6c42582ee493bff667110ee048623613aa304edc50e1d2306abff204a7306</x:v>
      </x:c>
    </x:row>
    <x:row r="30" ht="65" customHeight="1">
      <x:c r="A30" s="2" t="str">
        <x:v>CO_ZAF</x:v>
      </x:c>
      <x:c r="B30" s="2" t="str">
        <x:v>Olam Agri South-Africa</x:v>
      </x:c>
      <x:c r="C30" s="2" t="str">
        <x:v>Olam Agri / Olam Group, company issuer</x:v>
      </x:c>
      <x:c r="D30" s="2" t="str">
        <x:v>Undated page / exact publication date not verified</x:v>
      </x:c>
      <x:c r="E30" s="2" t="str">
        <x:v>As stated at pinpoint; distinguish observation and transaction dates</x:v>
      </x:c>
      <x:c r="F30" s="2" t="str">
        <x:v>2026-10-07</x:v>
      </x:c>
      <x:c r="G30" s="2" t="str">
        <x:v>https://www.olamagri.com/locations/south-africa</x:v>
      </x:c>
      <x:c r="H30" s="2" t="str">
        <x:v>https://www.olamagri.com/locations/south-africa</x:v>
      </x:c>
      <x:c r="I30" s="2" t="str">
        <x:v>Country/product/entity scope stated at pinpoint; no cross-perimeter transfer</x:v>
      </x:c>
      <x:c r="J30" s="2" t="str">
        <x:v>See source definition; no currency conversion or financial calibration inferred</x:v>
      </x:c>
      <x:c r="K30" s="2" t="str">
        <x:v>No conversion unless a calculation explicitly provides it</x:v>
      </x:c>
      <x:c r="L30" s="2" t="str">
        <x:v>Country capability/product sections</x:v>
      </x:c>
      <x:c r="M30" s="2" t="str">
        <x:v>Not applicable for web/API; PDF pinpoint retained, further page attribution not verified</x:v>
      </x:c>
      <x:c r="N30" s="2" t="str">
        <x:v>Not applicable / not independently verified</x:v>
      </x:c>
      <x:c r="O30" s="2" t="str">
        <x:v>Not applicable / not verified</x:v>
      </x:c>
      <x:c r="P30" s="2" t="str">
        <x:v>Not applicable / not verified</x:v>
      </x:c>
      <x:c r="Q30" s="2" t="str">
        <x:v>Document sections at pinpoint</x:v>
      </x:c>
      <x:c r="R30" s="2" t="d">
        <x:v>2026-10-07T18:48:37.819Z</x:v>
      </x:c>
      <x:c r="S30" s="2" t="str">
        <x:v>Direct disclosure or original methodology; scope limitations apply</x:v>
      </x:c>
      <x:c r="T30" s="2" t="str">
        <x:v>Capability evidence does not disclose incremental project returns.</x:v>
      </x:c>
      <x:c r="U30" s="2" t="str">
        <x:v>No conflicting series substituted; definitions/vintage retained. Unknowns stay unknown.</x:v>
      </x:c>
      <x:c r="V30" s="2" t="str">
        <x:v>priorities;sources-24</x:v>
      </x:c>
      <x:c r="W30" s="2" t="str"/>
      <x:c r="X30" s="2" t="str">
        <x:v>CL-priorities-headline;CL-priorities-table_row1;CL-priorities-table_row2;CL-priorities-table_row3;CL-priorities-table_row4;CL-priorities-table_row5;CL-sources-24-headline;CL-sources-24-table_row1;CL-sources-24-table_row2;CL-sources-24-table_row3;CL-sources-24-table_row4;CL-sources-24-table_row5;CL-sources-24-table_row6</x:v>
      </x:c>
      <x:c r="Y30" s="2" t="str">
        <x:v>Public primary evidence; retrieval outcome in manifest. Blocked full downloads are not described as inspected.</x:v>
      </x:c>
      <x:c r="Z30" s="2" t="str">
        <x:v>Cite/link the issuing source; permitted statistical extracts retained with checksum where available. No claim of unrestricted report redistribution.</x:v>
      </x:c>
      <x:c r="AA30" s="2" t="str">
        <x:v>50944d0e83bc0168076701426b08e4d41a0686ba4fc851372194959773367c4c</x:v>
      </x:c>
    </x:row>
    <x:row r="31" ht="65" customHeight="1">
      <x:c r="A31" s="2" t="str">
        <x:v>CO_IND</x:v>
      </x:c>
      <x:c r="B31" s="2" t="str">
        <x:v>Olam Agri India</x:v>
      </x:c>
      <x:c r="C31" s="2" t="str">
        <x:v>Olam Agri / Olam Group, company issuer</x:v>
      </x:c>
      <x:c r="D31" s="2" t="str">
        <x:v>Undated page / exact publication date not verified</x:v>
      </x:c>
      <x:c r="E31" s="2" t="str">
        <x:v>As stated at pinpoint; distinguish observation and transaction dates</x:v>
      </x:c>
      <x:c r="F31" s="2" t="str">
        <x:v>2026-10-07</x:v>
      </x:c>
      <x:c r="G31" s="2" t="str">
        <x:v>https://www.olamagri.com/locations/india</x:v>
      </x:c>
      <x:c r="H31" s="2" t="str">
        <x:v>https://www.olamagri.com/locations/india</x:v>
      </x:c>
      <x:c r="I31" s="2" t="str">
        <x:v>Country/product/entity scope stated at pinpoint; no cross-perimeter transfer</x:v>
      </x:c>
      <x:c r="J31" s="2" t="str">
        <x:v>See source definition; no currency conversion or financial calibration inferred</x:v>
      </x:c>
      <x:c r="K31" s="2" t="str">
        <x:v>No conversion unless a calculation explicitly provides it</x:v>
      </x:c>
      <x:c r="L31" s="2" t="str">
        <x:v>Country capability/product sections</x:v>
      </x:c>
      <x:c r="M31" s="2" t="str">
        <x:v>Not applicable for web/API; PDF pinpoint retained, further page attribution not verified</x:v>
      </x:c>
      <x:c r="N31" s="2" t="str">
        <x:v>Not applicable / not independently verified</x:v>
      </x:c>
      <x:c r="O31" s="2" t="str">
        <x:v>Not applicable / not verified</x:v>
      </x:c>
      <x:c r="P31" s="2" t="str">
        <x:v>Not applicable / not verified</x:v>
      </x:c>
      <x:c r="Q31" s="2" t="str">
        <x:v>Document sections at pinpoint</x:v>
      </x:c>
      <x:c r="R31" s="2" t="d">
        <x:v>2026-10-07T18:48:37.819Z</x:v>
      </x:c>
      <x:c r="S31" s="2" t="str">
        <x:v>Direct disclosure or original methodology; scope limitations apply</x:v>
      </x:c>
      <x:c r="T31" s="2" t="str">
        <x:v>Capability evidence does not disclose incremental project returns.</x:v>
      </x:c>
      <x:c r="U31" s="2" t="str">
        <x:v>No conflicting series substituted; definitions/vintage retained. Unknowns stay unknown.</x:v>
      </x:c>
      <x:c r="V31" s="2" t="str">
        <x:v>priorities;corridor;sources-24</x:v>
      </x:c>
      <x:c r="W31" s="2" t="str"/>
      <x:c r="X31" s="2" t="str">
        <x:v>CL-priorities-headline;CL-priorities-table_row1;CL-priorities-table_row2;CL-priorities-table_row3;CL-priorities-table_row4;CL-priorities-table_row5;CL-corridor-headline;CL-corridor-body1;CL-corridor-body2;CL-corridor-body3;CL-sources-24-headline;CL-sources-24-table_row1;CL-sources-24-table_row2;CL-sources-24-table_row3;CL-sources-24-table_row4;CL-sources-24-table_row5;CL-sources-24-table_row6</x:v>
      </x:c>
      <x:c r="Y31" s="2" t="str">
        <x:v>Public primary evidence; retrieval outcome in manifest. Blocked full downloads are not described as inspected.</x:v>
      </x:c>
      <x:c r="Z31" s="2" t="str">
        <x:v>Cite/link the issuing source; permitted statistical extracts retained with checksum where available. No claim of unrestricted report redistribution.</x:v>
      </x:c>
      <x:c r="AA31" s="2" t="str">
        <x:v>47712551e5644f373cf743ae518e8292257094dc6d4f4f74b4298427d7204346</x:v>
      </x:c>
    </x:row>
    <x:row r="32" ht="65" customHeight="1">
      <x:c r="A32" s="2" t="str">
        <x:v>CO_VNM</x:v>
      </x:c>
      <x:c r="B32" s="2" t="str">
        <x:v>Olam Agri Vietnam</x:v>
      </x:c>
      <x:c r="C32" s="2" t="str">
        <x:v>Olam Agri / Olam Group, company issuer</x:v>
      </x:c>
      <x:c r="D32" s="2" t="str">
        <x:v>Undated page / exact publication date not verified</x:v>
      </x:c>
      <x:c r="E32" s="2" t="str">
        <x:v>As stated at pinpoint; distinguish observation and transaction dates</x:v>
      </x:c>
      <x:c r="F32" s="2" t="str">
        <x:v>2026-10-07</x:v>
      </x:c>
      <x:c r="G32" s="2" t="str">
        <x:v>https://www.olamagri.com/locations/vietnam</x:v>
      </x:c>
      <x:c r="H32" s="2" t="str">
        <x:v>https://www.olamagri.com/locations/vietnam</x:v>
      </x:c>
      <x:c r="I32" s="2" t="str">
        <x:v>Country/product/entity scope stated at pinpoint; no cross-perimeter transfer</x:v>
      </x:c>
      <x:c r="J32" s="2" t="str">
        <x:v>See source definition; no currency conversion or financial calibration inferred</x:v>
      </x:c>
      <x:c r="K32" s="2" t="str">
        <x:v>No conversion unless a calculation explicitly provides it</x:v>
      </x:c>
      <x:c r="L32" s="2" t="str">
        <x:v>Country capability/product sections</x:v>
      </x:c>
      <x:c r="M32" s="2" t="str">
        <x:v>Not applicable for web/API; PDF pinpoint retained, further page attribution not verified</x:v>
      </x:c>
      <x:c r="N32" s="2" t="str">
        <x:v>Not applicable / not independently verified</x:v>
      </x:c>
      <x:c r="O32" s="2" t="str">
        <x:v>Not applicable / not verified</x:v>
      </x:c>
      <x:c r="P32" s="2" t="str">
        <x:v>Not applicable / not verified</x:v>
      </x:c>
      <x:c r="Q32" s="2" t="str">
        <x:v>Document sections at pinpoint</x:v>
      </x:c>
      <x:c r="R32" s="2" t="d">
        <x:v>2026-10-07T18:48:37.819Z</x:v>
      </x:c>
      <x:c r="S32" s="2" t="str">
        <x:v>Direct disclosure or original methodology; scope limitations apply</x:v>
      </x:c>
      <x:c r="T32" s="2" t="str">
        <x:v>Capability evidence does not disclose incremental project returns.</x:v>
      </x:c>
      <x:c r="U32" s="2" t="str">
        <x:v>No conflicting series substituted; definitions/vintage retained. Unknowns stay unknown.</x:v>
      </x:c>
      <x:c r="V32" s="2" t="str">
        <x:v>priorities;corridor;sources-24</x:v>
      </x:c>
      <x:c r="W32" s="2" t="str"/>
      <x:c r="X32" s="2" t="str">
        <x:v>CL-priorities-headline;CL-priorities-table_row1;CL-priorities-table_row2;CL-priorities-table_row3;CL-priorities-table_row4;CL-priorities-table_row5;CL-corridor-headline;CL-corridor-body1;CL-corridor-body2;CL-corridor-body3;CL-sources-24-headline;CL-sources-24-table_row1;CL-sources-24-table_row2;CL-sources-24-table_row3;CL-sources-24-table_row4;CL-sources-24-table_row5;CL-sources-24-table_row6</x:v>
      </x:c>
      <x:c r="Y32" s="2" t="str">
        <x:v>Public primary evidence; retrieval outcome in manifest. Blocked full downloads are not described as inspected.</x:v>
      </x:c>
      <x:c r="Z32" s="2" t="str">
        <x:v>Cite/link the issuing source; permitted statistical extracts retained with checksum where available. No claim of unrestricted report redistribution.</x:v>
      </x:c>
      <x:c r="AA32" s="2" t="str">
        <x:v>6653e8010894780b28459ee8a183774eda54e12cf773a40a2da65591d25f3f8a</x:v>
      </x:c>
    </x:row>
    <x:row r="33" ht="65" customHeight="1">
      <x:c r="A33" s="2" t="str">
        <x:v>CO_BRA</x:v>
      </x:c>
      <x:c r="B33" s="2" t="str">
        <x:v>Olam Agri Brazil</x:v>
      </x:c>
      <x:c r="C33" s="2" t="str">
        <x:v>Olam Agri / Olam Group, company issuer</x:v>
      </x:c>
      <x:c r="D33" s="2" t="str">
        <x:v>Undated page / exact publication date not verified</x:v>
      </x:c>
      <x:c r="E33" s="2" t="str">
        <x:v>As stated at pinpoint; distinguish observation and transaction dates</x:v>
      </x:c>
      <x:c r="F33" s="2" t="str">
        <x:v>2026-10-07</x:v>
      </x:c>
      <x:c r="G33" s="2" t="str">
        <x:v>https://www.olamagri.com/locations/brazil</x:v>
      </x:c>
      <x:c r="H33" s="2" t="str">
        <x:v>https://www.olamagri.com/locations/brazil</x:v>
      </x:c>
      <x:c r="I33" s="2" t="str">
        <x:v>Country/product/entity scope stated at pinpoint; no cross-perimeter transfer</x:v>
      </x:c>
      <x:c r="J33" s="2" t="str">
        <x:v>See source definition; no currency conversion or financial calibration inferred</x:v>
      </x:c>
      <x:c r="K33" s="2" t="str">
        <x:v>No conversion unless a calculation explicitly provides it</x:v>
      </x:c>
      <x:c r="L33" s="2" t="str">
        <x:v>Country capability/product sections</x:v>
      </x:c>
      <x:c r="M33" s="2" t="str">
        <x:v>Not applicable for web/API; PDF pinpoint retained, further page attribution not verified</x:v>
      </x:c>
      <x:c r="N33" s="2" t="str">
        <x:v>Not applicable / not independently verified</x:v>
      </x:c>
      <x:c r="O33" s="2" t="str">
        <x:v>Not applicable / not verified</x:v>
      </x:c>
      <x:c r="P33" s="2" t="str">
        <x:v>Not applicable / not verified</x:v>
      </x:c>
      <x:c r="Q33" s="2" t="str">
        <x:v>Document sections at pinpoint</x:v>
      </x:c>
      <x:c r="R33" s="2" t="d">
        <x:v>2026-10-07T18:48:37.819Z</x:v>
      </x:c>
      <x:c r="S33" s="2" t="str">
        <x:v>Direct disclosure or original methodology; scope limitations apply</x:v>
      </x:c>
      <x:c r="T33" s="2" t="str">
        <x:v>Capability evidence does not disclose incremental project returns.</x:v>
      </x:c>
      <x:c r="U33" s="2" t="str">
        <x:v>No conflicting series substituted; definitions/vintage retained. Unknowns stay unknown.</x:v>
      </x:c>
      <x:c r="V33" s="2" t="str">
        <x:v>priorities;contrast;sources-24</x:v>
      </x:c>
      <x:c r="W33" s="2" t="str"/>
      <x:c r="X33" s="2" t="str">
        <x:v>CL-priorities-headline;CL-priorities-table_row1;CL-priorities-table_row2;CL-priorities-table_row3;CL-priorities-table_row4;CL-priorities-table_row5;CL-contrast-headline;CL-contrast-table_row1;CL-contrast-table_row2;CL-contrast-table_row3;CL-sources-24-headline;CL-sources-24-table_row1;CL-sources-24-table_row2;CL-sources-24-table_row3;CL-sources-24-table_row4;CL-sources-24-table_row5;CL-sources-24-table_row6</x:v>
      </x:c>
      <x:c r="Y33" s="2" t="str">
        <x:v>Public primary evidence; retrieval outcome in manifest. Blocked full downloads are not described as inspected.</x:v>
      </x:c>
      <x:c r="Z33" s="2" t="str">
        <x:v>Cite/link the issuing source; permitted statistical extracts retained with checksum where available. No claim of unrestricted report redistribution.</x:v>
      </x:c>
      <x:c r="AA33" s="2" t="str">
        <x:v>bb87b16759eda3976fb8cae1dfa8743a53f160b20ebcf19641029327a35f2f70</x:v>
      </x:c>
    </x:row>
    <x:row r="34" ht="65" customHeight="1">
      <x:c r="A34" s="2" t="str">
        <x:v>IPCC</x:v>
      </x:c>
      <x:c r="B34" s="2" t="str">
        <x:v>IPCC AR6 WGII Chapter 5: Food</x:v>
      </x:c>
      <x:c r="C34" s="2" t="str">
        <x:v>IPCC; assessment body</x:v>
      </x:c>
      <x:c r="D34" s="2" t="str">
        <x:v>Undated page / exact publication date not verified</x:v>
      </x:c>
      <x:c r="E34" s="2" t="str">
        <x:v>As stated at pinpoint; distinguish observation and transaction dates</x:v>
      </x:c>
      <x:c r="F34" s="2" t="str">
        <x:v>2026-10-07</x:v>
      </x:c>
      <x:c r="G34" s="2" t="str">
        <x:v>https://www.ipcc.ch/report/ar6/wg2/chapter/chapter-5/</x:v>
      </x:c>
      <x:c r="H34" s="2" t="str">
        <x:v>https://www.ipcc.ch/report/ar6/wg2/chapter/chapter-5/</x:v>
      </x:c>
      <x:c r="I34" s="2" t="str">
        <x:v>Country/product/entity scope stated at pinpoint; no cross-perimeter transfer</x:v>
      </x:c>
      <x:c r="J34" s="2" t="str">
        <x:v>See source definition; no currency conversion or financial calibration inferred</x:v>
      </x:c>
      <x:c r="K34" s="2" t="str">
        <x:v>No conversion unless a calculation explicitly provides it</x:v>
      </x:c>
      <x:c r="L34" s="2" t="str">
        <x:v>Chapter 5; food system risks, adaptation and regional limits</x:v>
      </x:c>
      <x:c r="M34" s="2" t="str">
        <x:v>Not applicable for web/API; PDF pinpoint retained, further page attribution not verified</x:v>
      </x:c>
      <x:c r="N34" s="2" t="str">
        <x:v>Not applicable / not independently verified</x:v>
      </x:c>
      <x:c r="O34" s="2" t="str">
        <x:v>Not applicable / not verified</x:v>
      </x:c>
      <x:c r="P34" s="2" t="str">
        <x:v>Not applicable / not verified</x:v>
      </x:c>
      <x:c r="Q34" s="2" t="str">
        <x:v>Document sections at pinpoint</x:v>
      </x:c>
      <x:c r="R34" s="2" t="d">
        <x:v>2026-10-07T18:48:37.819Z</x:v>
      </x:c>
      <x:c r="S34" s="2" t="str">
        <x:v>Direct disclosure or original methodology; scope limitations apply</x:v>
      </x:c>
      <x:c r="T34" s="2" t="str">
        <x:v>No country/crop coefficient transplanted to Olam assets.</x:v>
      </x:c>
      <x:c r="U34" s="2" t="str">
        <x:v>No conflicting series substituted; definitions/vintage retained. Unknowns stay unknown.</x:v>
      </x:c>
      <x:c r="V34" s="2" t="str">
        <x:v>climate;climate-methods;sources-30</x:v>
      </x:c>
      <x:c r="W34" s="2" t="str"/>
      <x:c r="X34" s="2" t="str">
        <x:v>CL-climate-headline;CL-climate-body1;CL-climate-body2;CL-climate-body3;CL-climate-table_row1;CL-climate-table_row2;CL-climate-table_row3;CL-climate-methods-headline;CL-climate-methods-body1;CL-climate-methods-body2;CL-climate-methods-body3;CL-climate-methods-body4;CL-sources-30-headline;CL-sources-30-table_row1;CL-sources-30-table_row2;CL-sources-30-table_row3;CL-sources-30-table_row4;CL-sources-30-table_row5;CL-sources-30-table_row6</x:v>
      </x:c>
      <x:c r="Y34" s="2" t="str">
        <x:v>Public primary evidence; retrieval outcome in manifest. Blocked full downloads are not described as inspected.</x:v>
      </x:c>
      <x:c r="Z34" s="2" t="str">
        <x:v>Cite/link the issuing source; permitted statistical extracts retained with checksum where available. No claim of unrestricted report redistribution.</x:v>
      </x:c>
      <x:c r="AA34" s="2" t="str">
        <x:v>608510d0befaf3aaf810f21108f577f2d1b1620d7c94ba8e196613f8b08ef9ca</x:v>
      </x:c>
    </x:row>
    <x:row r="35" ht="65" customHeight="1">
      <x:c r="A35" s="2" t="str">
        <x:v>WMO</x:v>
      </x:c>
      <x:c r="B35" s="2" t="str">
        <x:v>WMO State of the Global Climate 2025</x:v>
      </x:c>
      <x:c r="C35" s="2" t="str">
        <x:v>World Meteorological Organization; observations compiler</x:v>
      </x:c>
      <x:c r="D35" s="2" t="str">
        <x:v>Undated page / exact publication date not verified</x:v>
      </x:c>
      <x:c r="E35" s="2" t="str">
        <x:v>As stated at pinpoint; distinguish observation and transaction dates</x:v>
      </x:c>
      <x:c r="F35" s="2" t="str">
        <x:v>2026-10-07</x:v>
      </x:c>
      <x:c r="G35" s="2" t="str">
        <x:v>https://wmo.int/publication-series/state-of-global-climate/state-of-global-climate-2025</x:v>
      </x:c>
      <x:c r="H35" s="2" t="str">
        <x:v>https://wmo.int/publication-series/state-of-global-climate/state-of-global-climate-2025</x:v>
      </x:c>
      <x:c r="I35" s="2" t="str">
        <x:v>Country/product/entity scope stated at pinpoint; no cross-perimeter transfer</x:v>
      </x:c>
      <x:c r="J35" s="2" t="str">
        <x:v>See source definition; no currency conversion or financial calibration inferred</x:v>
      </x:c>
      <x:c r="K35" s="2" t="str">
        <x:v>No conversion unless a calculation explicitly provides it</x:v>
      </x:c>
      <x:c r="L35" s="2" t="str">
        <x:v>23 March 2026 release; global temperature and climate indicators</x:v>
      </x:c>
      <x:c r="M35" s="2" t="str">
        <x:v>Not applicable for web/API; PDF pinpoint retained, further page attribution not verified</x:v>
      </x:c>
      <x:c r="N35" s="2" t="str">
        <x:v>Not applicable / not independently verified</x:v>
      </x:c>
      <x:c r="O35" s="2" t="str">
        <x:v>Not applicable / not verified</x:v>
      </x:c>
      <x:c r="P35" s="2" t="str">
        <x:v>Not applicable / not verified</x:v>
      </x:c>
      <x:c r="Q35" s="2" t="str">
        <x:v>Document sections at pinpoint</x:v>
      </x:c>
      <x:c r="R35" s="2" t="d">
        <x:v>2026-10-07T18:48:37.819Z</x:v>
      </x:c>
      <x:c r="S35" s="2" t="str">
        <x:v>Direct disclosure or original methodology; scope limitations apply</x:v>
      </x:c>
      <x:c r="T35" s="2" t="str">
        <x:v>Global annual anomaly is not local crop damage.</x:v>
      </x:c>
      <x:c r="U35" s="2" t="str">
        <x:v>No conflicting series substituted; definitions/vintage retained. Unknowns stay unknown.</x:v>
      </x:c>
      <x:c r="V35" s="2" t="str">
        <x:v>climate;climate-methods;sources-30</x:v>
      </x:c>
      <x:c r="W35" s="2" t="str"/>
      <x:c r="X35" s="2" t="str">
        <x:v>CL-climate-headline;CL-climate-body1;CL-climate-body2;CL-climate-body3;CL-climate-table_row1;CL-climate-table_row2;CL-climate-table_row3;CL-climate-methods-headline;CL-climate-methods-body1;CL-climate-methods-body2;CL-climate-methods-body3;CL-climate-methods-body4;CL-sources-30-headline;CL-sources-30-table_row1;CL-sources-30-table_row2;CL-sources-30-table_row3;CL-sources-30-table_row4;CL-sources-30-table_row5;CL-sources-30-table_row6</x:v>
      </x:c>
      <x:c r="Y35" s="2" t="str">
        <x:v>Public primary evidence; retrieval outcome in manifest. Blocked full downloads are not described as inspected.</x:v>
      </x:c>
      <x:c r="Z35" s="2" t="str">
        <x:v>Cite/link the issuing source; permitted statistical extracts retained with checksum where available. No claim of unrestricted report redistribution.</x:v>
      </x:c>
      <x:c r="AA35" s="2" t="str">
        <x:v>a8230bb917b863a937f74dec2896ea5b5e23083b499b0073e0755715da104c1c</x:v>
      </x:c>
    </x:row>
    <x:row r="36" ht="65" customHeight="1">
      <x:c r="A36" s="2" t="str">
        <x:v>EUDR</x:v>
      </x:c>
      <x:c r="B36" s="2" t="str">
        <x:v>EU Regulation 2023/1115</x:v>
      </x:c>
      <x:c r="C36" s="2" t="str">
        <x:v>European Union; official legislation</x:v>
      </x:c>
      <x:c r="D36" s="2" t="str">
        <x:v>Undated page / exact publication date not verified</x:v>
      </x:c>
      <x:c r="E36" s="2" t="str">
        <x:v>As stated at pinpoint; distinguish observation and transaction dates</x:v>
      </x:c>
      <x:c r="F36" s="2" t="str">
        <x:v>2026-10-07</x:v>
      </x:c>
      <x:c r="G36" s="2" t="str">
        <x:v>https://eur-lex.europa.eu/eli/reg/2023/1115/oj/eng</x:v>
      </x:c>
      <x:c r="H36" s="2" t="str">
        <x:v>https://eur-lex.europa.eu/eli/reg/2023/1115/oj/eng</x:v>
      </x:c>
      <x:c r="I36" s="2" t="str">
        <x:v>Country/product/entity scope stated at pinpoint; no cross-perimeter transfer</x:v>
      </x:c>
      <x:c r="J36" s="2" t="str">
        <x:v>See source definition; no currency conversion or financial calibration inferred</x:v>
      </x:c>
      <x:c r="K36" s="2" t="str">
        <x:v>No conversion unless a calculation explicitly provides it</x:v>
      </x:c>
      <x:c r="L36" s="2" t="str">
        <x:v>Articles 3–4 and commodity/product annex</x:v>
      </x:c>
      <x:c r="M36" s="2" t="str">
        <x:v>Not applicable for web/API; PDF pinpoint retained, further page attribution not verified</x:v>
      </x:c>
      <x:c r="N36" s="2" t="str">
        <x:v>Not applicable / not independently verified</x:v>
      </x:c>
      <x:c r="O36" s="2" t="str">
        <x:v>Not applicable / not verified</x:v>
      </x:c>
      <x:c r="P36" s="2" t="str">
        <x:v>Not applicable / not verified</x:v>
      </x:c>
      <x:c r="Q36" s="2" t="str">
        <x:v>Document sections at pinpoint</x:v>
      </x:c>
      <x:c r="R36" s="2" t="d">
        <x:v>2026-10-07T18:48:37.819Z</x:v>
      </x:c>
      <x:c r="S36" s="2" t="str">
        <x:v>Direct disclosure or original methodology; scope limitations apply</x:v>
      </x:c>
      <x:c r="T36" s="2" t="str">
        <x:v>Product, amendments, implementation dates and jurisdiction require current counsel review; no legal clearance.</x:v>
      </x:c>
      <x:c r="U36" s="2" t="str">
        <x:v>No conflicting series substituted; definitions/vintage retained. Unknowns stay unknown.</x:v>
      </x:c>
      <x:c r="V36" s="2" t="str">
        <x:v>trade;sources-30</x:v>
      </x:c>
      <x:c r="W36" s="2" t="str"/>
      <x:c r="X36" s="2" t="str">
        <x:v>CL-trade-headline;CL-trade-body1;CL-trade-body2;CL-trade-body3;CL-sources-30-headline;CL-sources-30-table_row1;CL-sources-30-table_row2;CL-sources-30-table_row3;CL-sources-30-table_row4;CL-sources-30-table_row5;CL-sources-30-table_row6</x:v>
      </x:c>
      <x:c r="Y36" s="2" t="str">
        <x:v>Public primary evidence; retrieval outcome in manifest. Blocked full downloads are not described as inspected.</x:v>
      </x:c>
      <x:c r="Z36" s="2" t="str">
        <x:v>Cite/link the issuing source; permitted statistical extracts retained with checksum where available. No claim of unrestricted report redistribution.</x:v>
      </x:c>
      <x:c r="AA36" s="2" t="str">
        <x:v>d67d391f294e5eea20be5bebfd1f350439446526897e780ffb0c0f7af9705fd4</x:v>
      </x:c>
    </x:row>
    <x:row r="37" ht="65" customHeight="1">
      <x:c r="A37" s="2" t="str">
        <x:v>USDA_NGA</x:v>
      </x:c>
      <x:c r="B37" s="2" t="str">
        <x:v>USDA Nigeria Grain and Feed Annual 2026</x:v>
      </x:c>
      <x:c r="C37" s="2" t="str">
        <x:v>USDA FAS; country policy/agriculture analyst</x:v>
      </x:c>
      <x:c r="D37" s="2" t="str">
        <x:v>Undated page / exact publication date not verified</x:v>
      </x:c>
      <x:c r="E37" s="2" t="str">
        <x:v>As stated at pinpoint; distinguish observation and transaction dates</x:v>
      </x:c>
      <x:c r="F37" s="2" t="str">
        <x:v>2026-10-07</x:v>
      </x:c>
      <x:c r="G37" s="2" t="str">
        <x:v>https://apps.fas.usda.gov/newgainapi/api/Report/DownloadReportByFileName?fileName=Grain+and+Feed+Annual_Lagos_Nigeria_NI2026-0003.pdf</x:v>
      </x:c>
      <x:c r="H37" s="2" t="str">
        <x:v>https://apps.fas.usda.gov/newgainapi/api/Report/DownloadReportByFileName?fileName=Grain+and+Feed+Annual_Lagos_Nigeria_NI2026-0003.pdf</x:v>
      </x:c>
      <x:c r="I37" s="2" t="str">
        <x:v>Country/product/entity scope stated at pinpoint; no cross-perimeter transfer</x:v>
      </x:c>
      <x:c r="J37" s="2" t="str">
        <x:v>See source definition; no currency conversion or financial calibration inferred</x:v>
      </x:c>
      <x:c r="K37" s="2" t="str">
        <x:v>No conversion unless a calculation explicitly provides it</x:v>
      </x:c>
      <x:c r="L37" s="2" t="str">
        <x:v>Wheat supply/trade and flour-demand narrative</x:v>
      </x:c>
      <x:c r="M37" s="2" t="str">
        <x:v>Not applicable for web/API; PDF pinpoint retained, further page attribution not verified</x:v>
      </x:c>
      <x:c r="N37" s="2" t="str">
        <x:v>Not applicable / not independently verified</x:v>
      </x:c>
      <x:c r="O37" s="2" t="str">
        <x:v>Not applicable / not verified</x:v>
      </x:c>
      <x:c r="P37" s="2" t="str">
        <x:v>Not applicable / not verified</x:v>
      </x:c>
      <x:c r="Q37" s="2" t="str">
        <x:v>Document sections at pinpoint</x:v>
      </x:c>
      <x:c r="R37" s="2" t="d">
        <x:v>2026-10-07T18:48:37.819Z</x:v>
      </x:c>
      <x:c r="S37" s="2" t="str">
        <x:v>Direct disclosure or original methodology; scope limitations apply</x:v>
      </x:c>
      <x:c r="T37" s="2" t="str">
        <x:v>Marketing-year trade estimates are not Olam orders.</x:v>
      </x:c>
      <x:c r="U37" s="2" t="str">
        <x:v>No conflicting series substituted; definitions/vintage retained. Unknowns stay unknown.</x:v>
      </x:c>
      <x:c r="V37" s="2" t="str">
        <x:v>trade;sources-30</x:v>
      </x:c>
      <x:c r="W37" s="2" t="str"/>
      <x:c r="X37" s="2" t="str">
        <x:v>CL-trade-headline;CL-trade-body1;CL-trade-body2;CL-trade-body3;CL-sources-30-headline;CL-sources-30-table_row1;CL-sources-30-table_row2;CL-sources-30-table_row3;CL-sources-30-table_row4;CL-sources-30-table_row5;CL-sources-30-table_row6</x:v>
      </x:c>
      <x:c r="Y37" s="2" t="str">
        <x:v>Public primary evidence; retrieval outcome in manifest. Blocked full downloads are not described as inspected.</x:v>
      </x:c>
      <x:c r="Z37" s="2" t="str">
        <x:v>Cite/link the issuing source; permitted statistical extracts retained with checksum where available. No claim of unrestricted report redistribution.</x:v>
      </x:c>
      <x:c r="AA37" s="2" t="str">
        <x:v>db76264f68d1af4de2825910dad642511cd56e4026d192cdb857ec24ca49b888</x:v>
      </x:c>
    </x:row>
    <x:row r="38" ht="65" customHeight="1">
      <x:c r="A38" s="2" t="str">
        <x:v>USDA_OIL</x:v>
      </x:c>
      <x:c r="B38" s="2" t="str">
        <x:v>USDA Nigeria fiscal and trade policy changes 2026</x:v>
      </x:c>
      <x:c r="C38" s="2" t="str">
        <x:v>USDA FAS; country policy/agriculture analyst</x:v>
      </x:c>
      <x:c r="D38" s="2" t="str">
        <x:v>Undated page / exact publication date not verified</x:v>
      </x:c>
      <x:c r="E38" s="2" t="str">
        <x:v>As stated at pinpoint; distinguish observation and transaction dates</x:v>
      </x:c>
      <x:c r="F38" s="2" t="str">
        <x:v>2026-10-07</x:v>
      </x:c>
      <x:c r="G38" s="2" t="str">
        <x:v>https://apps.fas.usda.gov/newgainapi/api/Report/DownloadReportByFileName?fileName=Nigeria+Announces+2026+Fiscal+and+Trade+Policy+Changes_Lagos_Nigeria_NI2026-0010.pdf</x:v>
      </x:c>
      <x:c r="H38" s="2" t="str">
        <x:v>https://apps.fas.usda.gov/newgainapi/api/Report/DownloadReportByFileName?fileName=Nigeria+Announces+2026+Fiscal+and+Trade+Policy+Changes_Lagos_Nigeria_NI2026-0010.pdf</x:v>
      </x:c>
      <x:c r="I38" s="2" t="str">
        <x:v>Country/product/entity scope stated at pinpoint; no cross-perimeter transfer</x:v>
      </x:c>
      <x:c r="J38" s="2" t="str">
        <x:v>See source definition; no currency conversion or financial calibration inferred</x:v>
      </x:c>
      <x:c r="K38" s="2" t="str">
        <x:v>No conversion unless a calculation explicitly provides it</x:v>
      </x:c>
      <x:c r="L38" s="2" t="str">
        <x:v>Oilseeds/products and crude/refined policy discussion</x:v>
      </x:c>
      <x:c r="M38" s="2" t="str">
        <x:v>Not applicable for web/API; PDF pinpoint retained, further page attribution not verified</x:v>
      </x:c>
      <x:c r="N38" s="2" t="str">
        <x:v>Not applicable / not independently verified</x:v>
      </x:c>
      <x:c r="O38" s="2" t="str">
        <x:v>Not applicable / not verified</x:v>
      </x:c>
      <x:c r="P38" s="2" t="str">
        <x:v>Not applicable / not verified</x:v>
      </x:c>
      <x:c r="Q38" s="2" t="str">
        <x:v>Document sections at pinpoint</x:v>
      </x:c>
      <x:c r="R38" s="2" t="d">
        <x:v>2026-10-07T18:48:37.819Z</x:v>
      </x:c>
      <x:c r="S38" s="2" t="str">
        <x:v>Direct disclosure or original methodology; scope limitations apply</x:v>
      </x:c>
      <x:c r="T38" s="2" t="str">
        <x:v>Verify current HS subheading and Nigeria Customs rules before contracting.</x:v>
      </x:c>
      <x:c r="U38" s="2" t="str">
        <x:v>No conflicting series substituted; definitions/vintage retained. Unknowns stay unknown.</x:v>
      </x:c>
      <x:c r="V38" s="2" t="str">
        <x:v>trade;nigeria;sources-30</x:v>
      </x:c>
      <x:c r="W38" s="2" t="str"/>
      <x:c r="X38" s="2" t="str">
        <x:v>CL-trade-headline;CL-trade-body1;CL-trade-body2;CL-trade-body3;CL-nigeria-headline;CL-nigeria-table_row1;CL-nigeria-table_row2;CL-nigeria-table_row3;CL-nigeria-table_row4;CL-nigeria-table_row5;CL-nigeria-table_row6;CL-sources-30-headline;CL-sources-30-table_row1;CL-sources-30-table_row2;CL-sources-30-table_row3;CL-sources-30-table_row4;CL-sources-30-table_row5;CL-sources-30-table_row6</x:v>
      </x:c>
      <x:c r="Y38" s="2" t="str">
        <x:v>Public primary evidence; retrieval outcome in manifest. Blocked full downloads are not described as inspected.</x:v>
      </x:c>
      <x:c r="Z38" s="2" t="str">
        <x:v>Cite/link the issuing source; permitted statistical extracts retained with checksum where available. No claim of unrestricted report redistribution.</x:v>
      </x:c>
      <x:c r="AA38" s="2" t="str">
        <x:v>62db1690d5cf569b1f1c0707f88576685f79e172e2b5992d3419cad210d09662</x:v>
      </x:c>
    </x:row>
    <x:row r="39" ht="65" customHeight="1">
      <x:c r="A39" s="2" t="str">
        <x:v>COMTRADE</x:v>
      </x:c>
      <x:c r="B39" s="2" t="str">
        <x:v>UN Comtrade Nigeria wheat import preview</x:v>
      </x:c>
      <x:c r="C39" s="2" t="str">
        <x:v>UN Statistics Division; reporting-country customs trade</x:v>
      </x:c>
      <x:c r="D39" s="2" t="str">
        <x:v>Undated page / exact publication date not verified</x:v>
      </x:c>
      <x:c r="E39" s="2" t="str">
        <x:v>As stated at pinpoint; distinguish observation and transaction dates</x:v>
      </x:c>
      <x:c r="F39" s="2" t="str">
        <x:v>2026-10-07</x:v>
      </x:c>
      <x:c r="G39" s="2" t="str">
        <x:v>https://comtradeapi.un.org/public/v1/preview/C/A/HS?period=2024&amp;reporterCode=566&amp;cmdCode=1001&amp;flowCode=M&amp;partnerCode=0&amp;partner2Code=0&amp;customsCode=C00&amp;motCode=0&amp;maxRecords=500</x:v>
      </x:c>
      <x:c r="H39" s="2" t="str">
        <x:v>https://comtradeapi.un.org/public/v1/preview/C/A/HS?period=2024&amp;reporterCode=566&amp;cmdCode=1001&amp;flowCode=M&amp;partnerCode=0&amp;partner2Code=0&amp;customsCode=C00&amp;motCode=0&amp;maxRecords=500</x:v>
      </x:c>
      <x:c r="I39" s="2" t="str">
        <x:v>Country/product/entity scope stated at pinpoint; no cross-perimeter transfer</x:v>
      </x:c>
      <x:c r="J39" s="2" t="str">
        <x:v>See source definition; no currency conversion or financial calibration inferred</x:v>
      </x:c>
      <x:c r="K39" s="2" t="str">
        <x:v>No conversion unless a calculation explicitly provides it</x:v>
      </x:c>
      <x:c r="L39" s="2" t="str">
        <x:v>2024, reporter 566, HS 1001, flow M, partner 0</x:v>
      </x:c>
      <x:c r="M39" s="2" t="str">
        <x:v>Not applicable for web/API; PDF pinpoint retained, further page attribution not verified</x:v>
      </x:c>
      <x:c r="N39" s="2" t="str">
        <x:v>Not applicable / not independently verified</x:v>
      </x:c>
      <x:c r="O39" s="2" t="str">
        <x:v>Not applicable / not verified</x:v>
      </x:c>
      <x:c r="P39" s="2" t="str">
        <x:v>https://comtradeapi.un.org/public/v1/preview/C/A/HS?period=2024&amp;reporterCode=566&amp;cmdCode=1001&amp;flowCode=M&amp;partnerCode=0&amp;partner2Code=0&amp;customsCode=C00&amp;motCode=0&amp;maxRecords=500</x:v>
      </x:c>
      <x:c r="Q39" s="2" t="str">
        <x:v>Document sections at pinpoint</x:v>
      </x:c>
      <x:c r="R39" s="2" t="d">
        <x:v>2026-10-07T18:48:37.819Z</x:v>
      </x:c>
      <x:c r="S39" s="2" t="str">
        <x:v>Proxy observation</x:v>
      </x:c>
      <x:c r="T39" s="2" t="str">
        <x:v>CIF USD1.0475bn; net weight null, reported flag false. Never interpret quantity 0 with unit -1 as zero imports.</x:v>
      </x:c>
      <x:c r="U39" s="2" t="str">
        <x:v>No conflicting series substituted; definitions/vintage retained. Unknowns stay unknown.</x:v>
      </x:c>
      <x:c r="V39" s="2" t="str">
        <x:v>trade;sources-30</x:v>
      </x:c>
      <x:c r="W39" s="2" t="str">
        <x:v>C-TRADE-NGA</x:v>
      </x:c>
      <x:c r="X39" s="2" t="str">
        <x:v>CL-trade-headline;CL-trade-body1;CL-trade-body2;CL-trade-body3;CL-sources-30-headline;CL-sources-30-table_row1;CL-sources-30-table_row2;CL-sources-30-table_row3;CL-sources-30-table_row4;CL-sources-30-table_row5;CL-sources-30-table_row6</x:v>
      </x:c>
      <x:c r="Y39" s="2" t="str">
        <x:v>Public primary evidence; retrieval outcome in manifest. Blocked full downloads are not described as inspected.</x:v>
      </x:c>
      <x:c r="Z39" s="2" t="str">
        <x:v>Cite/link the issuing source; permitted statistical extracts retained with checksum where available. No claim of unrestricted report redistribution.</x:v>
      </x:c>
      <x:c r="AA39" s="2" t="str">
        <x:v>64eb3fcbb34a74bfda713e60ff5a065ca2b88cb63a4285723f6b06b3728d9e8b</x:v>
      </x:c>
    </x:row>
    <x:row r="40" ht="65" customHeight="1">
      <x:c r="A40" s="2" t="str">
        <x:v>CVAR</x:v>
      </x:c>
      <x:c r="B40" s="2" t="str">
        <x:v>Rockafellar &amp; Uryasev: Optimization of CVaR</x:v>
      </x:c>
      <x:c r="C40" s="2" t="str">
        <x:v>R. T. Rockafellar and S. Uryasev; original method authors</x:v>
      </x:c>
      <x:c r="D40" s="2" t="str">
        <x:v>Undated page / exact publication date not verified</x:v>
      </x:c>
      <x:c r="E40" s="2" t="str">
        <x:v>As stated at pinpoint; distinguish observation and transaction dates</x:v>
      </x:c>
      <x:c r="F40" s="2" t="str">
        <x:v>2026-10-07</x:v>
      </x:c>
      <x:c r="G40" s="2" t="str">
        <x:v>https://sites.math.washington.edu/~rtr/papers/rtr179-CVaR1.pdf</x:v>
      </x:c>
      <x:c r="H40" s="2" t="str">
        <x:v>https://sites.math.washington.edu/~rtr/papers/rtr179-CVaR1.pdf</x:v>
      </x:c>
      <x:c r="I40" s="2" t="str">
        <x:v>Country/product/entity scope stated at pinpoint; no cross-perimeter transfer</x:v>
      </x:c>
      <x:c r="J40" s="2" t="str">
        <x:v>See source definition; no currency conversion or financial calibration inferred</x:v>
      </x:c>
      <x:c r="K40" s="2" t="str">
        <x:v>No conversion unless a calculation explicitly provides it</x:v>
      </x:c>
      <x:c r="L40" s="2" t="str">
        <x:v>Loss definition and CVaR optimisation formulation</x:v>
      </x:c>
      <x:c r="M40" s="2" t="str">
        <x:v>Not applicable for web/API; PDF pinpoint retained, further page attribution not verified</x:v>
      </x:c>
      <x:c r="N40" s="2" t="str">
        <x:v>Not applicable / not independently verified</x:v>
      </x:c>
      <x:c r="O40" s="2" t="str">
        <x:v>Not applicable / not verified</x:v>
      </x:c>
      <x:c r="P40" s="2" t="str">
        <x:v>Not applicable / not verified</x:v>
      </x:c>
      <x:c r="Q40" s="2" t="str">
        <x:v>Document sections at pinpoint</x:v>
      </x:c>
      <x:c r="R40" s="2" t="d">
        <x:v>2026-10-07T18:48:37.819Z</x:v>
      </x:c>
      <x:c r="S40" s="2" t="str">
        <x:v>Direct disclosure or original methodology; scope limitations apply</x:v>
      </x:c>
      <x:c r="T40" s="2" t="str">
        <x:v>Implemented loss-tail example and stress summaries, not proprietary theorem.</x:v>
      </x:c>
      <x:c r="U40" s="2" t="str">
        <x:v>No conflicting series substituted; definitions/vintage retained. Unknowns stay unknown.</x:v>
      </x:c>
      <x:c r="V40" s="2" t="str">
        <x:v>example-16;math-methods;policy-prior-art;sources-36;dependence-tails</x:v>
      </x:c>
      <x:c r="W40" s="2" t="str">
        <x:v>C-E16;C-DEPENDENCE</x:v>
      </x:c>
      <x:c r="X40" s="2" t="str">
        <x:v>CL-example-16-headline;CL-example-16-body1;CL-example-16-body2;CL-example-16-body3;CL-example-16-body4;CL-math-methods-headline;CL-math-methods-body1;CL-math-methods-body2;CL-math-methods-body3;CL-math-methods-body4;CL-policy-prior-art-headline;CL-policy-prior-art-body1;CL-policy-prior-art-body2;CL-policy-prior-art-body3;CL-policy-prior-art-body4;CL-sources-36-headline;CL-sources-36-table_row1;CL-sources-36-table_row2;CL-sources-36-table_row3;CL-sources-36-table_row4;CL-sources-36-table_row5;CL-sources-36-table_row6;CL-dependence-tails-headline;CL-dependence-tails-body1;CL-dependence-tails-table_row1;CL-dependence-tails-table_row2;CL-dependence-tails-table_row3</x:v>
      </x:c>
      <x:c r="Y40" s="2" t="str">
        <x:v>Public primary evidence; retrieval outcome in manifest. Blocked full downloads are not described as inspected.</x:v>
      </x:c>
      <x:c r="Z40" s="2" t="str">
        <x:v>Cite/link the issuing source; permitted statistical extracts retained with checksum where available. No claim of unrestricted report redistribution.</x:v>
      </x:c>
      <x:c r="AA40" s="2" t="str">
        <x:v>34aff2161733085ca8e5a067053a8f144cba52f556e253d69c932f7d22d842f4</x:v>
      </x:c>
    </x:row>
    <x:row r="41" ht="65" customHeight="1">
      <x:c r="A41" s="2" t="str">
        <x:v>DID</x:v>
      </x:c>
      <x:c r="B41" s="2" t="str">
        <x:v>Callaway &amp; Sant’Anna: Difference-in-differences</x:v>
      </x:c>
      <x:c r="C41" s="2" t="str">
        <x:v>B. Callaway and P. H. C. Sant’Anna; original method authors</x:v>
      </x:c>
      <x:c r="D41" s="2" t="str">
        <x:v>Undated page / exact publication date not verified</x:v>
      </x:c>
      <x:c r="E41" s="2" t="str">
        <x:v>As stated at pinpoint; distinguish observation and transaction dates</x:v>
      </x:c>
      <x:c r="F41" s="2" t="str">
        <x:v>2026-10-07</x:v>
      </x:c>
      <x:c r="G41" s="2" t="str">
        <x:v>https://arxiv.org/abs/1803.09015</x:v>
      </x:c>
      <x:c r="H41" s="2" t="str">
        <x:v>https://arxiv.org/abs/1803.09015</x:v>
      </x:c>
      <x:c r="I41" s="2" t="str">
        <x:v>Country/product/entity scope stated at pinpoint; no cross-perimeter transfer</x:v>
      </x:c>
      <x:c r="J41" s="2" t="str">
        <x:v>See source definition; no currency conversion or financial calibration inferred</x:v>
      </x:c>
      <x:c r="K41" s="2" t="str">
        <x:v>No conversion unless a calculation explicitly provides it</x:v>
      </x:c>
      <x:c r="L41" s="2" t="str">
        <x:v>arXiv 1803.09015; identification with multiple time periods</x:v>
      </x:c>
      <x:c r="M41" s="2" t="str">
        <x:v>Not applicable for web/API; PDF pinpoint retained, further page attribution not verified</x:v>
      </x:c>
      <x:c r="N41" s="2" t="str">
        <x:v>Not applicable / not independently verified</x:v>
      </x:c>
      <x:c r="O41" s="2" t="str">
        <x:v>Not applicable / not verified</x:v>
      </x:c>
      <x:c r="P41" s="2" t="str">
        <x:v>Not applicable / not verified</x:v>
      </x:c>
      <x:c r="Q41" s="2" t="str">
        <x:v>Document sections at pinpoint</x:v>
      </x:c>
      <x:c r="R41" s="2" t="d">
        <x:v>2026-10-07T18:48:37.819Z</x:v>
      </x:c>
      <x:c r="S41" s="2" t="str">
        <x:v>Direct disclosure or original methodology; scope limitations apply</x:v>
      </x:c>
      <x:c r="T41" s="2" t="str">
        <x:v>No Olam treatment effect estimated; pilot design only.</x:v>
      </x:c>
      <x:c r="U41" s="2" t="str">
        <x:v>No conflicting series substituted; definitions/vintage retained. Unknowns stay unknown.</x:v>
      </x:c>
      <x:c r="V41" s="2" t="str">
        <x:v>causal;example-18;policy-prior-art;pilot-power;sources-36</x:v>
      </x:c>
      <x:c r="W41" s="2" t="str">
        <x:v>C-E18</x:v>
      </x:c>
      <x:c r="X41" s="2" t="str">
        <x:v>CL-causal-headline;CL-causal-table_row1;CL-causal-table_row2;CL-causal-table_row3;CL-causal-table_row4;CL-causal-table_row5;CL-example-18-headline;CL-example-18-body1;CL-example-18-body2;CL-example-18-body3;CL-example-18-body4;CL-policy-prior-art-headline;CL-policy-prior-art-body1;CL-policy-prior-art-body2;CL-policy-prior-art-body3;CL-policy-prior-art-body4;CL-pilot-power-headline;CL-pilot-power-body1;CL-pilot-power-body2;CL-pilot-power-body3;CL-pilot-power-body4;CL-sources-36-headline;CL-sources-36-table_row1;CL-sources-36-table_row2;CL-sources-36-table_row3;CL-sources-36-table_row4;CL-sources-36-table_row5;CL-sources-36-table_row6</x:v>
      </x:c>
      <x:c r="Y41" s="2" t="str">
        <x:v>Public primary evidence; retrieval outcome in manifest. Blocked full downloads are not described as inspected.</x:v>
      </x:c>
      <x:c r="Z41" s="2" t="str">
        <x:v>Cite/link the issuing source; permitted statistical extracts retained with checksum where available. No claim of unrestricted report redistribution.</x:v>
      </x:c>
      <x:c r="AA41" s="2" t="str">
        <x:v>e4b0d07a7f7f35a4aa6633824601b5515a736d2666f4cc19ef1dde46fb696f22</x:v>
      </x:c>
    </x:row>
    <x:row r="42" ht="65" customHeight="1">
      <x:c r="A42" s="2" t="str">
        <x:v>NOBEL_2003</x:v>
      </x:c>
      <x:c r="B42" s="2" t="str">
        <x:v>Economic Sciences prize 2003</x:v>
      </x:c>
      <x:c r="C42" s="2" t="str">
        <x:v>Nobel Foundation; official attribution</x:v>
      </x:c>
      <x:c r="D42" s="2" t="str">
        <x:v>Undated page / exact publication date not verified</x:v>
      </x:c>
      <x:c r="E42" s="2" t="str">
        <x:v>As stated at pinpoint; distinguish observation and transaction dates</x:v>
      </x:c>
      <x:c r="F42" s="2" t="str">
        <x:v>2026-10-07</x:v>
      </x:c>
      <x:c r="G42" s="2" t="str">
        <x:v>https://www.nobelprize.org/prizes/economic-sciences/2003/summary/</x:v>
      </x:c>
      <x:c r="H42" s="2" t="str">
        <x:v>https://www.nobelprize.org/prizes/economic-sciences/2003/summary/</x:v>
      </x:c>
      <x:c r="I42" s="2" t="str">
        <x:v>Country/product/entity scope stated at pinpoint; no cross-perimeter transfer</x:v>
      </x:c>
      <x:c r="J42" s="2" t="str">
        <x:v>See source definition; no currency conversion or financial calibration inferred</x:v>
      </x:c>
      <x:c r="K42" s="2" t="str">
        <x:v>No conversion unless a calculation explicitly provides it</x:v>
      </x:c>
      <x:c r="L42" s="2" t="str">
        <x:v>Prize motivation and research contribution</x:v>
      </x:c>
      <x:c r="M42" s="2" t="str">
        <x:v>Not applicable for web/API; PDF pinpoint retained, further page attribution not verified</x:v>
      </x:c>
      <x:c r="N42" s="2" t="str">
        <x:v>Not applicable / not independently verified</x:v>
      </x:c>
      <x:c r="O42" s="2" t="str">
        <x:v>Not applicable / not verified</x:v>
      </x:c>
      <x:c r="P42" s="2" t="str">
        <x:v>Not applicable / not verified</x:v>
      </x:c>
      <x:c r="Q42" s="2" t="str">
        <x:v>Document sections at pinpoint</x:v>
      </x:c>
      <x:c r="R42" s="2" t="d">
        <x:v>2026-10-07T18:48:37.819Z</x:v>
      </x:c>
      <x:c r="S42" s="2" t="str">
        <x:v>Direct disclosure or original methodology; scope limitations apply</x:v>
      </x:c>
      <x:c r="T42" s="2" t="str">
        <x:v>Engle/Granger (time series), Romer/Nordhaus (growth/climate), Card/Angrist/Imbens (causality) guide module choice, not parameter imports.</x:v>
      </x:c>
      <x:c r="U42" s="2" t="str">
        <x:v>No conflicting series substituted; definitions/vintage retained. Unknowns stay unknown.</x:v>
      </x:c>
      <x:c r="V42" s="2" t="str">
        <x:v>policy-prior-art;sources-36</x:v>
      </x:c>
      <x:c r="W42" s="2" t="str"/>
      <x:c r="X42" s="2" t="str">
        <x:v>CL-policy-prior-art-headline;CL-policy-prior-art-body1;CL-policy-prior-art-body2;CL-policy-prior-art-body3;CL-policy-prior-art-body4;CL-sources-36-headline;CL-sources-36-table_row1;CL-sources-36-table_row2;CL-sources-36-table_row3;CL-sources-36-table_row4;CL-sources-36-table_row5;CL-sources-36-table_row6</x:v>
      </x:c>
      <x:c r="Y42" s="2" t="str">
        <x:v>Public primary evidence; retrieval outcome in manifest. Blocked full downloads are not described as inspected.</x:v>
      </x:c>
      <x:c r="Z42" s="2" t="str">
        <x:v>Cite/link the issuing source; permitted statistical extracts retained with checksum where available. No claim of unrestricted report redistribution.</x:v>
      </x:c>
      <x:c r="AA42" s="2" t="str">
        <x:v>b1538ff5c63ba5b08799aa382b634933910e0feebbfb2f23f9db72c9f16b4b41</x:v>
      </x:c>
    </x:row>
    <x:row r="43" ht="65" customHeight="1">
      <x:c r="A43" s="2" t="str">
        <x:v>NOBEL_2018</x:v>
      </x:c>
      <x:c r="B43" s="2" t="str">
        <x:v>Economic Sciences prize 2018</x:v>
      </x:c>
      <x:c r="C43" s="2" t="str">
        <x:v>Nobel Foundation; official attribution</x:v>
      </x:c>
      <x:c r="D43" s="2" t="str">
        <x:v>Undated page / exact publication date not verified</x:v>
      </x:c>
      <x:c r="E43" s="2" t="str">
        <x:v>As stated at pinpoint; distinguish observation and transaction dates</x:v>
      </x:c>
      <x:c r="F43" s="2" t="str">
        <x:v>2026-10-07</x:v>
      </x:c>
      <x:c r="G43" s="2" t="str">
        <x:v>https://www.nobelprize.org/prizes/economic-sciences/2018/summary/</x:v>
      </x:c>
      <x:c r="H43" s="2" t="str">
        <x:v>https://www.nobelprize.org/prizes/economic-sciences/2018/summary/</x:v>
      </x:c>
      <x:c r="I43" s="2" t="str">
        <x:v>Country/product/entity scope stated at pinpoint; no cross-perimeter transfer</x:v>
      </x:c>
      <x:c r="J43" s="2" t="str">
        <x:v>See source definition; no currency conversion or financial calibration inferred</x:v>
      </x:c>
      <x:c r="K43" s="2" t="str">
        <x:v>No conversion unless a calculation explicitly provides it</x:v>
      </x:c>
      <x:c r="L43" s="2" t="str">
        <x:v>Prize motivation and research contribution</x:v>
      </x:c>
      <x:c r="M43" s="2" t="str">
        <x:v>Not applicable for web/API; PDF pinpoint retained, further page attribution not verified</x:v>
      </x:c>
      <x:c r="N43" s="2" t="str">
        <x:v>Not applicable / not independently verified</x:v>
      </x:c>
      <x:c r="O43" s="2" t="str">
        <x:v>Not applicable / not verified</x:v>
      </x:c>
      <x:c r="P43" s="2" t="str">
        <x:v>Not applicable / not verified</x:v>
      </x:c>
      <x:c r="Q43" s="2" t="str">
        <x:v>Document sections at pinpoint</x:v>
      </x:c>
      <x:c r="R43" s="2" t="d">
        <x:v>2026-10-07T18:48:37.819Z</x:v>
      </x:c>
      <x:c r="S43" s="2" t="str">
        <x:v>Direct disclosure or original methodology; scope limitations apply</x:v>
      </x:c>
      <x:c r="T43" s="2" t="str">
        <x:v>Engle/Granger (time series), Romer/Nordhaus (growth/climate), Card/Angrist/Imbens (causality) guide module choice, not parameter imports.</x:v>
      </x:c>
      <x:c r="U43" s="2" t="str">
        <x:v>No conflicting series substituted; definitions/vintage retained. Unknowns stay unknown.</x:v>
      </x:c>
      <x:c r="V43" s="2" t="str">
        <x:v>policy-prior-art;sources-36</x:v>
      </x:c>
      <x:c r="W43" s="2" t="str"/>
      <x:c r="X43" s="2" t="str">
        <x:v>CL-policy-prior-art-headline;CL-policy-prior-art-body1;CL-policy-prior-art-body2;CL-policy-prior-art-body3;CL-policy-prior-art-body4;CL-sources-36-headline;CL-sources-36-table_row1;CL-sources-36-table_row2;CL-sources-36-table_row3;CL-sources-36-table_row4;CL-sources-36-table_row5;CL-sources-36-table_row6</x:v>
      </x:c>
      <x:c r="Y43" s="2" t="str">
        <x:v>Public primary evidence; retrieval outcome in manifest. Blocked full downloads are not described as inspected.</x:v>
      </x:c>
      <x:c r="Z43" s="2" t="str">
        <x:v>Cite/link the issuing source; permitted statistical extracts retained with checksum where available. No claim of unrestricted report redistribution.</x:v>
      </x:c>
      <x:c r="AA43" s="2" t="str">
        <x:v>3c473160eabbc0d4bc68806d95b0ed2ded1c83da459f282409a32993ad5442fa</x:v>
      </x:c>
    </x:row>
    <x:row r="44" ht="65" customHeight="1">
      <x:c r="A44" s="2" t="str">
        <x:v>NOBEL_2021</x:v>
      </x:c>
      <x:c r="B44" s="2" t="str">
        <x:v>Economic Sciences prize 2021</x:v>
      </x:c>
      <x:c r="C44" s="2" t="str">
        <x:v>Nobel Foundation; official attribution</x:v>
      </x:c>
      <x:c r="D44" s="2" t="str">
        <x:v>Undated page / exact publication date not verified</x:v>
      </x:c>
      <x:c r="E44" s="2" t="str">
        <x:v>As stated at pinpoint; distinguish observation and transaction dates</x:v>
      </x:c>
      <x:c r="F44" s="2" t="str">
        <x:v>2026-10-07</x:v>
      </x:c>
      <x:c r="G44" s="2" t="str">
        <x:v>https://www.nobelprize.org/prizes/economic-sciences/2021/summary/</x:v>
      </x:c>
      <x:c r="H44" s="2" t="str">
        <x:v>https://www.nobelprize.org/prizes/economic-sciences/2021/summary/</x:v>
      </x:c>
      <x:c r="I44" s="2" t="str">
        <x:v>Country/product/entity scope stated at pinpoint; no cross-perimeter transfer</x:v>
      </x:c>
      <x:c r="J44" s="2" t="str">
        <x:v>See source definition; no currency conversion or financial calibration inferred</x:v>
      </x:c>
      <x:c r="K44" s="2" t="str">
        <x:v>No conversion unless a calculation explicitly provides it</x:v>
      </x:c>
      <x:c r="L44" s="2" t="str">
        <x:v>Prize motivation and research contribution</x:v>
      </x:c>
      <x:c r="M44" s="2" t="str">
        <x:v>Not applicable for web/API; PDF pinpoint retained, further page attribution not verified</x:v>
      </x:c>
      <x:c r="N44" s="2" t="str">
        <x:v>Not applicable / not independently verified</x:v>
      </x:c>
      <x:c r="O44" s="2" t="str">
        <x:v>Not applicable / not verified</x:v>
      </x:c>
      <x:c r="P44" s="2" t="str">
        <x:v>Not applicable / not verified</x:v>
      </x:c>
      <x:c r="Q44" s="2" t="str">
        <x:v>Document sections at pinpoint</x:v>
      </x:c>
      <x:c r="R44" s="2" t="d">
        <x:v>2026-10-07T18:48:37.819Z</x:v>
      </x:c>
      <x:c r="S44" s="2" t="str">
        <x:v>Direct disclosure or original methodology; scope limitations apply</x:v>
      </x:c>
      <x:c r="T44" s="2" t="str">
        <x:v>Engle/Granger (time series), Romer/Nordhaus (growth/climate), Card/Angrist/Imbens (causality) guide module choice, not parameter imports.</x:v>
      </x:c>
      <x:c r="U44" s="2" t="str">
        <x:v>No conflicting series substituted; definitions/vintage retained. Unknowns stay unknown.</x:v>
      </x:c>
      <x:c r="V44" s="2" t="str">
        <x:v>causal;policy-prior-art;sources-36</x:v>
      </x:c>
      <x:c r="W44" s="2" t="str"/>
      <x:c r="X44" s="2" t="str">
        <x:v>CL-causal-headline;CL-causal-table_row1;CL-causal-table_row2;CL-causal-table_row3;CL-causal-table_row4;CL-causal-table_row5;CL-policy-prior-art-headline;CL-policy-prior-art-body1;CL-policy-prior-art-body2;CL-policy-prior-art-body3;CL-policy-prior-art-body4;CL-sources-36-headline;CL-sources-36-table_row1;CL-sources-36-table_row2;CL-sources-36-table_row3;CL-sources-36-table_row4;CL-sources-36-table_row5;CL-sources-36-table_row6</x:v>
      </x:c>
      <x:c r="Y44" s="2" t="str">
        <x:v>Public primary evidence; retrieval outcome in manifest. Blocked full downloads are not described as inspected.</x:v>
      </x:c>
      <x:c r="Z44" s="2" t="str">
        <x:v>Cite/link the issuing source; permitted statistical extracts retained with checksum where available. No claim of unrestricted report redistribution.</x:v>
      </x:c>
      <x:c r="AA44" s="2" t="str">
        <x:v>9d1d1ddfe50abdb346809e9f72b0a6ca776aed579dc3fc8f4f8e49c74fb765d8</x:v>
      </x:c>
    </x:row>
    <x:row r="45" ht="65" customHeight="1">
      <x:c r="A45" s="2" t="str">
        <x:v>BASELINE</x:v>
      </x:c>
      <x:c r="B45" s="2" t="str">
        <x:v>Portfolio baseline and résumé</x:v>
      </x:c>
      <x:c r="C45" s="2" t="str">
        <x:v>Manash Protim Deori; self-reported portfolio evidence</x:v>
      </x:c>
      <x:c r="D45" s="2" t="str">
        <x:v>Undated page / exact publication date not verified</x:v>
      </x:c>
      <x:c r="E45" s="2" t="str">
        <x:v>As stated at pinpoint; distinguish observation and transaction dates</x:v>
      </x:c>
      <x:c r="F45" s="2" t="str">
        <x:v>2026-10-07</x:v>
      </x:c>
      <x:c r="G45" s="2" t="str">
        <x:v>https://github.com/ManashProtimDeori/Manash-Protim-Deori/tree/13f7393a1c69350c3cfa89bea1baa49cf08d042c</x:v>
      </x:c>
      <x:c r="H45" s="2" t="str">
        <x:v>https://github.com/ManashProtimDeori/Manash-Protim-Deori/tree/13f7393a1c69350c3cfa89bea1baa49cf08d042c</x:v>
      </x:c>
      <x:c r="I45" s="2" t="str">
        <x:v>Country/product/entity scope stated at pinpoint; no cross-perimeter transfer</x:v>
      </x:c>
      <x:c r="J45" s="2" t="str">
        <x:v>See source definition; no currency conversion or financial calibration inferred</x:v>
      </x:c>
      <x:c r="K45" s="2" t="str">
        <x:v>No conversion unless a calculation explicitly provides it</x:v>
      </x:c>
      <x:c r="L45" s="2" t="str">
        <x:v>src/data/olamAfricaStrategy.ts; src/lib/olamNigeriaDecisionModel.ts; src/data/resume.ts</x:v>
      </x:c>
      <x:c r="M45" s="2" t="str">
        <x:v>Not applicable for web/API; PDF pinpoint retained, further page attribution not verified</x:v>
      </x:c>
      <x:c r="N45" s="2" t="str">
        <x:v>Not applicable / not independently verified</x:v>
      </x:c>
      <x:c r="O45" s="2" t="str">
        <x:v>Not applicable / not verified</x:v>
      </x:c>
      <x:c r="P45" s="2" t="str">
        <x:v>Not applicable / not verified</x:v>
      </x:c>
      <x:c r="Q45" s="2" t="str">
        <x:v>Document sections at pinpoint</x:v>
      </x:c>
      <x:c r="R45" s="2" t="str">
        <x:v>2026-10-07; exact timestamp not separately recorded</x:v>
      </x:c>
      <x:c r="S45" s="2" t="str">
        <x:v>Direct disclosure or original methodology; scope limitations apply</x:v>
      </x:c>
      <x:c r="T45" s="2" t="str">
        <x:v>Self-described candidate achievements are not audited Olam outcomes.</x:v>
      </x:c>
      <x:c r="U45" s="2" t="str">
        <x:v>No conflicting series substituted; definitions/vintage retained. Unknowns stay unknown.</x:v>
      </x:c>
      <x:c r="V45" s="2" t="str">
        <x:v>global-cover;change;nigeria;contribution;example-10;audit;sources-36</x:v>
      </x:c>
      <x:c r="W45" s="2" t="str">
        <x:v>C-E10;C-LEGACY;C-CPM</x:v>
      </x:c>
      <x:c r="X45" s="2" t="str">
        <x:v>CL-global-cover-headline;CL-global-cover-body1;CL-global-cover-body2;CL-global-cover-body3;CL-change-headline;CL-change-table_row1;CL-change-table_row2;CL-change-table_row3;CL-change-table_row4;CL-change-table_row5;CL-nigeria-headline;CL-nigeria-table_row1;CL-nigeria-table_row2;CL-nigeria-table_row3;CL-nigeria-table_row4;CL-nigeria-table_row5;CL-nigeria-table_row6;CL-contribution-headline;CL-contribution-body1;CL-contribution-body2;CL-contribution-body3;CL-contribution-table_row1;CL-contribution-table_row2;CL-contribution-table_row3;CL-example-10-headline;CL-example-10-body1;CL-example-10-body2;CL-example-10-body3;CL-example-10-body4;CL-audit-headline;CL-audit-body1;CL-audit-body2;CL-audit-body3;CL-audit-body4;CL-sources-36-headline;CL-sources-36-table_row1;CL-sources-36-table_row2;CL-sources-36-table_row3;CL-sources-36-table_row4;CL-sources-36-table_row5;CL-sources-36-table_row6</x:v>
      </x:c>
      <x:c r="Y45" s="2" t="str">
        <x:v>Public primary evidence; retrieval outcome in manifest. Blocked full downloads are not described as inspected.</x:v>
      </x:c>
      <x:c r="Z45" s="2" t="str">
        <x:v>Cite/link the issuing source; permitted statistical extracts retained with checksum where available. No claim of unrestricted report redistribution.</x:v>
      </x:c>
      <x:c r="AA45" s="2" t="str">
        <x:v>Not applicable / not verified</x:v>
      </x:c>
    </x:row>
    <x:row r="46" ht="65" customHeight="1">
      <x:c r="A46" s="2" t="str">
        <x:v>WB_fertility</x:v>
      </x:c>
      <x:c r="B46" s="2" t="str">
        <x:v>World Bank WDI: Fertility rate, total (births per woman)</x:v>
      </x:c>
      <x:c r="C46" s="2" t="str">
        <x:v>World Bank; WDI compiler, underlying national/institutional sources in indicator metadata</x:v>
      </x:c>
      <x:c r="D46" s="2" t="str">
        <x:v>Undated page / exact publication date not verified</x:v>
      </x:c>
      <x:c r="E46" s="2" t="str">
        <x:v>2000–2025; available years differ</x:v>
      </x:c>
      <x:c r="F46" s="2" t="str">
        <x:v>2026-10-08</x:v>
      </x:c>
      <x:c r="G46" s="2" t="str">
        <x:v>https://data.worldbank.org/indicator/SP.DYN.TFRT.IN</x:v>
      </x:c>
      <x:c r="H46" s="2" t="str">
        <x:v>https://api.worldbank.org/v2/country/all/indicator/SP.DYN.TFRT.IN?date=2000:2025&amp;format=json&amp;per_page=20000</x:v>
      </x:c>
      <x:c r="I46" s="2" t="str">
        <x:v>Country ISO3/year; 195-country universe, non-country aggregates excluded</x:v>
      </x:c>
      <x:c r="J46" s="2" t="str">
        <x:v>Fertility rate, total (births per woman)</x:v>
      </x:c>
      <x:c r="K46" s="2" t="str">
        <x:v>No conversion unless a calculation explicitly provides it</x:v>
      </x:c>
      <x:c r="L46" s="2" t="str">
        <x:v>Series SP.DYN.TFRT.IN; country ISO3/year records; latest non-missing observation; data vintage 2026-07-13</x:v>
      </x:c>
      <x:c r="M46" s="2" t="str">
        <x:v>Not applicable for web/API; PDF pinpoint retained, further page attribution not verified</x:v>
      </x:c>
      <x:c r="N46" s="2" t="str">
        <x:v>Not applicable / not independently verified</x:v>
      </x:c>
      <x:c r="O46" s="2" t="str">
        <x:v>SP.DYN.TFRT.IN</x:v>
      </x:c>
      <x:c r="P46" s="2" t="str">
        <x:v>https://api.worldbank.org/v2/country/all/indicator/SP.DYN.TFRT.IN?date=2000:2025&amp;format=json&amp;per_page=20000</x:v>
      </x:c>
      <x:c r="Q46" s="2" t="str">
        <x:v>ISO3 in membership-verification.csv; year 2000–2025; latest non-null, no imputation</x:v>
      </x:c>
      <x:c r="R46" s="2" t="d">
        <x:v>2026-10-08T02:15:08.602Z</x:v>
      </x:c>
      <x:c r="S46" s="2" t="str">
        <x:v>Proxy observation</x:v>
      </x:c>
      <x:c r="T46" s="2" t="str">
        <x:v>Country averages and dated observations do not establish Olam customers, effective access, costs or returns. No imputation.</x:v>
      </x:c>
      <x:c r="U46" s="2" t="str">
        <x:v>No conflicting series substituted; definitions/vintage retained. Unknowns stay unknown.</x:v>
      </x:c>
      <x:c r="V46" s="2" t="str">
        <x:v>country-driver-audit</x:v>
      </x:c>
      <x:c r="W46" s="2" t="str"/>
      <x:c r="X46" s="2" t="str">
        <x:v>CL-country-driver-audit-headline;CL-country-driver-audit-body1;CL-country-driver-audit-body2;CL-country-driver-audit-body3</x:v>
      </x:c>
      <x:c r="Y46" s="2" t="str">
        <x:v>Public primary evidence; retrieval outcome in manifest. Blocked full downloads are not described as inspected.</x:v>
      </x:c>
      <x:c r="Z46" s="2" t="str">
        <x:v>Cite/link the issuing source; permitted statistical extracts retained with checksum where available. No claim of unrestricted report redistribution.</x:v>
      </x:c>
      <x:c r="AA46" s="2" t="str">
        <x:v>3d532dec8a500ca7090cfa2ddf52f18234d0998490b6ab27efc80a7bb1738b13</x:v>
      </x:c>
    </x:row>
    <x:row r="47" ht="65" customHeight="1">
      <x:c r="A47" s="2" t="str">
        <x:v>WB_life_expectancy</x:v>
      </x:c>
      <x:c r="B47" s="2" t="str">
        <x:v>World Bank WDI: Life expectancy at birth, total (years)</x:v>
      </x:c>
      <x:c r="C47" s="2" t="str">
        <x:v>World Bank; WDI compiler, underlying national/institutional sources in indicator metadata</x:v>
      </x:c>
      <x:c r="D47" s="2" t="str">
        <x:v>Undated page / exact publication date not verified</x:v>
      </x:c>
      <x:c r="E47" s="2" t="str">
        <x:v>2000–2025; available years differ</x:v>
      </x:c>
      <x:c r="F47" s="2" t="str">
        <x:v>2026-10-08</x:v>
      </x:c>
      <x:c r="G47" s="2" t="str">
        <x:v>https://data.worldbank.org/indicator/SP.DYN.LE00.IN</x:v>
      </x:c>
      <x:c r="H47" s="2" t="str">
        <x:v>https://api.worldbank.org/v2/country/all/indicator/SP.DYN.LE00.IN?date=2000:2025&amp;format=json&amp;per_page=20000</x:v>
      </x:c>
      <x:c r="I47" s="2" t="str">
        <x:v>Country ISO3/year; 195-country universe, non-country aggregates excluded</x:v>
      </x:c>
      <x:c r="J47" s="2" t="str">
        <x:v>Life expectancy at birth, total (years)</x:v>
      </x:c>
      <x:c r="K47" s="2" t="str">
        <x:v>No conversion unless a calculation explicitly provides it</x:v>
      </x:c>
      <x:c r="L47" s="2" t="str">
        <x:v>Series SP.DYN.LE00.IN; country ISO3/year records; latest non-missing observation; data vintage 2026-07-13</x:v>
      </x:c>
      <x:c r="M47" s="2" t="str">
        <x:v>Not applicable for web/API; PDF pinpoint retained, further page attribution not verified</x:v>
      </x:c>
      <x:c r="N47" s="2" t="str">
        <x:v>Not applicable / not independently verified</x:v>
      </x:c>
      <x:c r="O47" s="2" t="str">
        <x:v>SP.DYN.LE00.IN</x:v>
      </x:c>
      <x:c r="P47" s="2" t="str">
        <x:v>https://api.worldbank.org/v2/country/all/indicator/SP.DYN.LE00.IN?date=2000:2025&amp;format=json&amp;per_page=20000</x:v>
      </x:c>
      <x:c r="Q47" s="2" t="str">
        <x:v>ISO3 in membership-verification.csv; year 2000–2025; latest non-null, no imputation</x:v>
      </x:c>
      <x:c r="R47" s="2" t="d">
        <x:v>2026-10-08T02:15:08.603Z</x:v>
      </x:c>
      <x:c r="S47" s="2" t="str">
        <x:v>Proxy observation</x:v>
      </x:c>
      <x:c r="T47" s="2" t="str">
        <x:v>Country averages and dated observations do not establish Olam customers, effective access, costs or returns. No imputation.</x:v>
      </x:c>
      <x:c r="U47" s="2" t="str">
        <x:v>No conflicting series substituted; definitions/vintage retained. Unknowns stay unknown.</x:v>
      </x:c>
      <x:c r="V47" s="2" t="str"/>
      <x:c r="W47" s="2" t="str"/>
      <x:c r="X47" s="2" t="str">
        <x:v>Country driver / model-method context, not investment calibration</x:v>
      </x:c>
      <x:c r="Y47" s="2" t="str">
        <x:v>Public primary evidence; retrieval outcome in manifest. Blocked full downloads are not described as inspected.</x:v>
      </x:c>
      <x:c r="Z47" s="2" t="str">
        <x:v>Cite/link the issuing source; permitted statistical extracts retained with checksum where available. No claim of unrestricted report redistribution.</x:v>
      </x:c>
      <x:c r="AA47" s="2" t="str">
        <x:v>ffeb1b80709171dd38e4cdc3cca0d1e01db11152f60aefbe23f50576b63be950</x:v>
      </x:c>
    </x:row>
    <x:row r="48" ht="65" customHeight="1">
      <x:c r="A48" s="2" t="str">
        <x:v>WB_age_under15</x:v>
      </x:c>
      <x:c r="B48" s="2" t="str">
        <x:v>World Bank WDI: Population ages 0-14 (% of total population)</x:v>
      </x:c>
      <x:c r="C48" s="2" t="str">
        <x:v>World Bank; WDI compiler, underlying national/institutional sources in indicator metadata</x:v>
      </x:c>
      <x:c r="D48" s="2" t="str">
        <x:v>Undated page / exact publication date not verified</x:v>
      </x:c>
      <x:c r="E48" s="2" t="str">
        <x:v>2000–2025; available years differ</x:v>
      </x:c>
      <x:c r="F48" s="2" t="str">
        <x:v>2026-10-08</x:v>
      </x:c>
      <x:c r="G48" s="2" t="str">
        <x:v>https://data.worldbank.org/indicator/SP.POP.0014.TO.ZS</x:v>
      </x:c>
      <x:c r="H48" s="2" t="str">
        <x:v>https://api.worldbank.org/v2/country/all/indicator/SP.POP.0014.TO.ZS?date=2000:2025&amp;format=json&amp;per_page=20000</x:v>
      </x:c>
      <x:c r="I48" s="2" t="str">
        <x:v>Country ISO3/year; 195-country universe, non-country aggregates excluded</x:v>
      </x:c>
      <x:c r="J48" s="2" t="str">
        <x:v>Population ages 0-14 (% of total population)</x:v>
      </x:c>
      <x:c r="K48" s="2" t="str">
        <x:v>No conversion unless a calculation explicitly provides it</x:v>
      </x:c>
      <x:c r="L48" s="2" t="str">
        <x:v>Series SP.POP.0014.TO.ZS; country ISO3/year records; latest non-missing observation; data vintage 2026-07-13</x:v>
      </x:c>
      <x:c r="M48" s="2" t="str">
        <x:v>Not applicable for web/API; PDF pinpoint retained, further page attribution not verified</x:v>
      </x:c>
      <x:c r="N48" s="2" t="str">
        <x:v>Not applicable / not independently verified</x:v>
      </x:c>
      <x:c r="O48" s="2" t="str">
        <x:v>SP.POP.0014.TO.ZS</x:v>
      </x:c>
      <x:c r="P48" s="2" t="str">
        <x:v>https://api.worldbank.org/v2/country/all/indicator/SP.POP.0014.TO.ZS?date=2000:2025&amp;format=json&amp;per_page=20000</x:v>
      </x:c>
      <x:c r="Q48" s="2" t="str">
        <x:v>ISO3 in membership-verification.csv; year 2000–2025; latest non-null, no imputation</x:v>
      </x:c>
      <x:c r="R48" s="2" t="d">
        <x:v>2026-10-08T02:15:08.603Z</x:v>
      </x:c>
      <x:c r="S48" s="2" t="str">
        <x:v>Proxy observation</x:v>
      </x:c>
      <x:c r="T48" s="2" t="str">
        <x:v>Country averages and dated observations do not establish Olam customers, effective access, costs or returns. No imputation.</x:v>
      </x:c>
      <x:c r="U48" s="2" t="str">
        <x:v>No conflicting series substituted; definitions/vintage retained. Unknowns stay unknown.</x:v>
      </x:c>
      <x:c r="V48" s="2" t="str"/>
      <x:c r="W48" s="2" t="str"/>
      <x:c r="X48" s="2" t="str">
        <x:v>Country driver / model-method context, not investment calibration</x:v>
      </x:c>
      <x:c r="Y48" s="2" t="str">
        <x:v>Public primary evidence; retrieval outcome in manifest. Blocked full downloads are not described as inspected.</x:v>
      </x:c>
      <x:c r="Z48" s="2" t="str">
        <x:v>Cite/link the issuing source; permitted statistical extracts retained with checksum where available. No claim of unrestricted report redistribution.</x:v>
      </x:c>
      <x:c r="AA48" s="2" t="str">
        <x:v>400a88a276bc15cf96b5e2c565df9e02950bf47feeca9eab78ab53a63ba0123c</x:v>
      </x:c>
    </x:row>
    <x:row r="49" ht="65" customHeight="1">
      <x:c r="A49" s="2" t="str">
        <x:v>WB_age_over65</x:v>
      </x:c>
      <x:c r="B49" s="2" t="str">
        <x:v>World Bank WDI: Population ages 65 and above (% of total population)</x:v>
      </x:c>
      <x:c r="C49" s="2" t="str">
        <x:v>World Bank; WDI compiler, underlying national/institutional sources in indicator metadata</x:v>
      </x:c>
      <x:c r="D49" s="2" t="str">
        <x:v>Undated page / exact publication date not verified</x:v>
      </x:c>
      <x:c r="E49" s="2" t="str">
        <x:v>2000–2025; available years differ</x:v>
      </x:c>
      <x:c r="F49" s="2" t="str">
        <x:v>2026-10-08</x:v>
      </x:c>
      <x:c r="G49" s="2" t="str">
        <x:v>https://data.worldbank.org/indicator/SP.POP.65UP.TO.ZS</x:v>
      </x:c>
      <x:c r="H49" s="2" t="str">
        <x:v>https://api.worldbank.org/v2/country/all/indicator/SP.POP.65UP.TO.ZS?date=2000:2025&amp;format=json&amp;per_page=20000</x:v>
      </x:c>
      <x:c r="I49" s="2" t="str">
        <x:v>Country ISO3/year; 195-country universe, non-country aggregates excluded</x:v>
      </x:c>
      <x:c r="J49" s="2" t="str">
        <x:v>Population ages 65 and above (% of total population)</x:v>
      </x:c>
      <x:c r="K49" s="2" t="str">
        <x:v>No conversion unless a calculation explicitly provides it</x:v>
      </x:c>
      <x:c r="L49" s="2" t="str">
        <x:v>Series SP.POP.65UP.TO.ZS; country ISO3/year records; latest non-missing observation; data vintage 2026-07-13</x:v>
      </x:c>
      <x:c r="M49" s="2" t="str">
        <x:v>Not applicable for web/API; PDF pinpoint retained, further page attribution not verified</x:v>
      </x:c>
      <x:c r="N49" s="2" t="str">
        <x:v>Not applicable / not independently verified</x:v>
      </x:c>
      <x:c r="O49" s="2" t="str">
        <x:v>SP.POP.65UP.TO.ZS</x:v>
      </x:c>
      <x:c r="P49" s="2" t="str">
        <x:v>https://api.worldbank.org/v2/country/all/indicator/SP.POP.65UP.TO.ZS?date=2000:2025&amp;format=json&amp;per_page=20000</x:v>
      </x:c>
      <x:c r="Q49" s="2" t="str">
        <x:v>ISO3 in membership-verification.csv; year 2000–2025; latest non-null, no imputation</x:v>
      </x:c>
      <x:c r="R49" s="2" t="d">
        <x:v>2026-10-08T02:15:08.604Z</x:v>
      </x:c>
      <x:c r="S49" s="2" t="str">
        <x:v>Proxy observation</x:v>
      </x:c>
      <x:c r="T49" s="2" t="str">
        <x:v>Country averages and dated observations do not establish Olam customers, effective access, costs or returns. No imputation.</x:v>
      </x:c>
      <x:c r="U49" s="2" t="str">
        <x:v>No conflicting series substituted; definitions/vintage retained. Unknowns stay unknown.</x:v>
      </x:c>
      <x:c r="V49" s="2" t="str">
        <x:v>country-driver-audit</x:v>
      </x:c>
      <x:c r="W49" s="2" t="str"/>
      <x:c r="X49" s="2" t="str">
        <x:v>CL-country-driver-audit-headline;CL-country-driver-audit-body1;CL-country-driver-audit-body2;CL-country-driver-audit-body3</x:v>
      </x:c>
      <x:c r="Y49" s="2" t="str">
        <x:v>Public primary evidence; retrieval outcome in manifest. Blocked full downloads are not described as inspected.</x:v>
      </x:c>
      <x:c r="Z49" s="2" t="str">
        <x:v>Cite/link the issuing source; permitted statistical extracts retained with checksum where available. No claim of unrestricted report redistribution.</x:v>
      </x:c>
      <x:c r="AA49" s="2" t="str">
        <x:v>2410df447996a91780991e1ae731494ca6693af955b99f51fdfd65f73cd18f07</x:v>
      </x:c>
    </x:row>
    <x:row r="50" ht="65" customHeight="1">
      <x:c r="A50" s="2" t="str">
        <x:v>WB_dependency_ratio</x:v>
      </x:c>
      <x:c r="B50" s="2" t="str">
        <x:v>World Bank WDI: Age dependency ratio (% of working-age population)</x:v>
      </x:c>
      <x:c r="C50" s="2" t="str">
        <x:v>World Bank; WDI compiler, underlying national/institutional sources in indicator metadata</x:v>
      </x:c>
      <x:c r="D50" s="2" t="str">
        <x:v>Undated page / exact publication date not verified</x:v>
      </x:c>
      <x:c r="E50" s="2" t="str">
        <x:v>2000–2025; available years differ</x:v>
      </x:c>
      <x:c r="F50" s="2" t="str">
        <x:v>2026-10-08</x:v>
      </x:c>
      <x:c r="G50" s="2" t="str">
        <x:v>https://data.worldbank.org/indicator/SP.POP.DPND</x:v>
      </x:c>
      <x:c r="H50" s="2" t="str">
        <x:v>https://api.worldbank.org/v2/country/all/indicator/SP.POP.DPND?date=2000:2025&amp;format=json&amp;per_page=20000</x:v>
      </x:c>
      <x:c r="I50" s="2" t="str">
        <x:v>Country ISO3/year; 195-country universe, non-country aggregates excluded</x:v>
      </x:c>
      <x:c r="J50" s="2" t="str">
        <x:v>Age dependency ratio (% of working-age population)</x:v>
      </x:c>
      <x:c r="K50" s="2" t="str">
        <x:v>No conversion unless a calculation explicitly provides it</x:v>
      </x:c>
      <x:c r="L50" s="2" t="str">
        <x:v>Series SP.POP.DPND; country ISO3/year records; latest non-missing observation; data vintage 2026-07-13</x:v>
      </x:c>
      <x:c r="M50" s="2" t="str">
        <x:v>Not applicable for web/API; PDF pinpoint retained, further page attribution not verified</x:v>
      </x:c>
      <x:c r="N50" s="2" t="str">
        <x:v>Not applicable / not independently verified</x:v>
      </x:c>
      <x:c r="O50" s="2" t="str">
        <x:v>SP.POP.DPND</x:v>
      </x:c>
      <x:c r="P50" s="2" t="str">
        <x:v>https://api.worldbank.org/v2/country/all/indicator/SP.POP.DPND?date=2000:2025&amp;format=json&amp;per_page=20000</x:v>
      </x:c>
      <x:c r="Q50" s="2" t="str">
        <x:v>ISO3 in membership-verification.csv; year 2000–2025; latest non-null, no imputation</x:v>
      </x:c>
      <x:c r="R50" s="2" t="d">
        <x:v>2026-10-08T02:15:08.606Z</x:v>
      </x:c>
      <x:c r="S50" s="2" t="str">
        <x:v>Proxy observation</x:v>
      </x:c>
      <x:c r="T50" s="2" t="str">
        <x:v>Country averages and dated observations do not establish Olam customers, effective access, costs or returns. No imputation.</x:v>
      </x:c>
      <x:c r="U50" s="2" t="str">
        <x:v>No conflicting series substituted; definitions/vintage retained. Unknowns stay unknown.</x:v>
      </x:c>
      <x:c r="V50" s="2" t="str"/>
      <x:c r="W50" s="2" t="str"/>
      <x:c r="X50" s="2" t="str">
        <x:v>Country driver / model-method context, not investment calibration</x:v>
      </x:c>
      <x:c r="Y50" s="2" t="str">
        <x:v>Public primary evidence; retrieval outcome in manifest. Blocked full downloads are not described as inspected.</x:v>
      </x:c>
      <x:c r="Z50" s="2" t="str">
        <x:v>Cite/link the issuing source; permitted statistical extracts retained with checksum where available. No claim of unrestricted report redistribution.</x:v>
      </x:c>
      <x:c r="AA50" s="2" t="str">
        <x:v>e9fbd6ed999b784d1183dd7ab3e4556ee2578f95d1d37c3c000af949f1818beb</x:v>
      </x:c>
    </x:row>
    <x:row r="51" ht="65" customHeight="1">
      <x:c r="A51" s="2" t="str">
        <x:v>WB_net_migration</x:v>
      </x:c>
      <x:c r="B51" s="2" t="str">
        <x:v>World Bank WDI: Net migration</x:v>
      </x:c>
      <x:c r="C51" s="2" t="str">
        <x:v>World Bank; WDI compiler, underlying national/institutional sources in indicator metadata</x:v>
      </x:c>
      <x:c r="D51" s="2" t="str">
        <x:v>Undated page / exact publication date not verified</x:v>
      </x:c>
      <x:c r="E51" s="2" t="str">
        <x:v>2000–2025; available years differ</x:v>
      </x:c>
      <x:c r="F51" s="2" t="str">
        <x:v>2026-10-08</x:v>
      </x:c>
      <x:c r="G51" s="2" t="str">
        <x:v>https://data.worldbank.org/indicator/SM.POP.NETM</x:v>
      </x:c>
      <x:c r="H51" s="2" t="str">
        <x:v>https://api.worldbank.org/v2/country/all/indicator/SM.POP.NETM?date=2000:2025&amp;format=json&amp;per_page=20000</x:v>
      </x:c>
      <x:c r="I51" s="2" t="str">
        <x:v>Country ISO3/year; 195-country universe, non-country aggregates excluded</x:v>
      </x:c>
      <x:c r="J51" s="2" t="str">
        <x:v>Net migration</x:v>
      </x:c>
      <x:c r="K51" s="2" t="str">
        <x:v>No conversion unless a calculation explicitly provides it</x:v>
      </x:c>
      <x:c r="L51" s="2" t="str">
        <x:v>Series SM.POP.NETM; country ISO3/year records; latest non-missing observation; data vintage 2026-07-13</x:v>
      </x:c>
      <x:c r="M51" s="2" t="str">
        <x:v>Not applicable for web/API; PDF pinpoint retained, further page attribution not verified</x:v>
      </x:c>
      <x:c r="N51" s="2" t="str">
        <x:v>Not applicable / not independently verified</x:v>
      </x:c>
      <x:c r="O51" s="2" t="str">
        <x:v>SM.POP.NETM</x:v>
      </x:c>
      <x:c r="P51" s="2" t="str">
        <x:v>https://api.worldbank.org/v2/country/all/indicator/SM.POP.NETM?date=2000:2025&amp;format=json&amp;per_page=20000</x:v>
      </x:c>
      <x:c r="Q51" s="2" t="str">
        <x:v>ISO3 in membership-verification.csv; year 2000–2025; latest non-null, no imputation</x:v>
      </x:c>
      <x:c r="R51" s="2" t="d">
        <x:v>2026-10-08T02:15:08.606Z</x:v>
      </x:c>
      <x:c r="S51" s="2" t="str">
        <x:v>Proxy observation</x:v>
      </x:c>
      <x:c r="T51" s="2" t="str">
        <x:v>Country averages and dated observations do not establish Olam customers, effective access, costs or returns. No imputation.</x:v>
      </x:c>
      <x:c r="U51" s="2" t="str">
        <x:v>No conflicting series substituted; definitions/vintage retained. Unknowns stay unknown.</x:v>
      </x:c>
      <x:c r="V51" s="2" t="str"/>
      <x:c r="W51" s="2" t="str"/>
      <x:c r="X51" s="2" t="str">
        <x:v>Country driver / model-method context, not investment calibration</x:v>
      </x:c>
      <x:c r="Y51" s="2" t="str">
        <x:v>Public primary evidence; retrieval outcome in manifest. Blocked full downloads are not described as inspected.</x:v>
      </x:c>
      <x:c r="Z51" s="2" t="str">
        <x:v>Cite/link the issuing source; permitted statistical extracts retained with checksum where available. No claim of unrestricted report redistribution.</x:v>
      </x:c>
      <x:c r="AA51" s="2" t="str">
        <x:v>83f10461381010bbde67cae41244b4eff04a05732ffc897f6a1160f821b05a4b</x:v>
      </x:c>
    </x:row>
    <x:row r="52" ht="65" customHeight="1">
      <x:c r="A52" s="2" t="str">
        <x:v>WB_real_gdp</x:v>
      </x:c>
      <x:c r="B52" s="2" t="str">
        <x:v>World Bank WDI: GDP (constant 2015 US$)</x:v>
      </x:c>
      <x:c r="C52" s="2" t="str">
        <x:v>World Bank; WDI compiler, underlying national/institutional sources in indicator metadata</x:v>
      </x:c>
      <x:c r="D52" s="2" t="str">
        <x:v>Undated page / exact publication date not verified</x:v>
      </x:c>
      <x:c r="E52" s="2" t="str">
        <x:v>2000–2025; available years differ</x:v>
      </x:c>
      <x:c r="F52" s="2" t="str">
        <x:v>2026-10-08</x:v>
      </x:c>
      <x:c r="G52" s="2" t="str">
        <x:v>https://data.worldbank.org/indicator/NY.GDP.MKTP.KD</x:v>
      </x:c>
      <x:c r="H52" s="2" t="str">
        <x:v>https://api.worldbank.org/v2/country/all/indicator/NY.GDP.MKTP.KD?date=2000:2025&amp;format=json&amp;per_page=20000</x:v>
      </x:c>
      <x:c r="I52" s="2" t="str">
        <x:v>Country ISO3/year; 195-country universe, non-country aggregates excluded</x:v>
      </x:c>
      <x:c r="J52" s="2" t="str">
        <x:v>GDP (constant 2015 US$)</x:v>
      </x:c>
      <x:c r="K52" s="2" t="str">
        <x:v>No conversion unless a calculation explicitly provides it</x:v>
      </x:c>
      <x:c r="L52" s="2" t="str">
        <x:v>Series NY.GDP.MKTP.KD; country ISO3/year records; latest non-missing observation; data vintage 2026-07-13</x:v>
      </x:c>
      <x:c r="M52" s="2" t="str">
        <x:v>Not applicable for web/API; PDF pinpoint retained, further page attribution not verified</x:v>
      </x:c>
      <x:c r="N52" s="2" t="str">
        <x:v>Not applicable / not independently verified</x:v>
      </x:c>
      <x:c r="O52" s="2" t="str">
        <x:v>NY.GDP.MKTP.KD</x:v>
      </x:c>
      <x:c r="P52" s="2" t="str">
        <x:v>https://api.worldbank.org/v2/country/all/indicator/NY.GDP.MKTP.KD?date=2000:2025&amp;format=json&amp;per_page=20000</x:v>
      </x:c>
      <x:c r="Q52" s="2" t="str">
        <x:v>ISO3 in membership-verification.csv; year 2000–2025; latest non-null, no imputation</x:v>
      </x:c>
      <x:c r="R52" s="2" t="d">
        <x:v>2026-10-08T02:15:08.609Z</x:v>
      </x:c>
      <x:c r="S52" s="2" t="str">
        <x:v>Proxy observation</x:v>
      </x:c>
      <x:c r="T52" s="2" t="str">
        <x:v>Country averages and dated observations do not establish Olam customers, effective access, costs or returns. No imputation.</x:v>
      </x:c>
      <x:c r="U52" s="2" t="str">
        <x:v>No conflicting series substituted; definitions/vintage retained. Unknowns stay unknown.</x:v>
      </x:c>
      <x:c r="V52" s="2" t="str"/>
      <x:c r="W52" s="2" t="str"/>
      <x:c r="X52" s="2" t="str">
        <x:v>Country driver / model-method context, not investment calibration</x:v>
      </x:c>
      <x:c r="Y52" s="2" t="str">
        <x:v>Public primary evidence; retrieval outcome in manifest. Blocked full downloads are not described as inspected.</x:v>
      </x:c>
      <x:c r="Z52" s="2" t="str">
        <x:v>Cite/link the issuing source; permitted statistical extracts retained with checksum where available. No claim of unrestricted report redistribution.</x:v>
      </x:c>
      <x:c r="AA52" s="2" t="str">
        <x:v>aaa326c429c4a23af57f59bdcd055496fd061e556ccad7cdb0b3058a265d1f9d</x:v>
      </x:c>
    </x:row>
    <x:row r="53" ht="65" customHeight="1">
      <x:c r="A53" s="2" t="str">
        <x:v>WB_gdp_growth</x:v>
      </x:c>
      <x:c r="B53" s="2" t="str">
        <x:v>World Bank WDI: GDP growth (annual %)</x:v>
      </x:c>
      <x:c r="C53" s="2" t="str">
        <x:v>World Bank; WDI compiler, underlying national/institutional sources in indicator metadata</x:v>
      </x:c>
      <x:c r="D53" s="2" t="str">
        <x:v>Undated page / exact publication date not verified</x:v>
      </x:c>
      <x:c r="E53" s="2" t="str">
        <x:v>2000–2025; available years differ</x:v>
      </x:c>
      <x:c r="F53" s="2" t="str">
        <x:v>2026-10-08</x:v>
      </x:c>
      <x:c r="G53" s="2" t="str">
        <x:v>https://data.worldbank.org/indicator/NY.GDP.MKTP.KD.ZG</x:v>
      </x:c>
      <x:c r="H53" s="2" t="str">
        <x:v>https://api.worldbank.org/v2/country/all/indicator/NY.GDP.MKTP.KD.ZG?date=2000:2025&amp;format=json&amp;per_page=20000</x:v>
      </x:c>
      <x:c r="I53" s="2" t="str">
        <x:v>Country ISO3/year; 195-country universe, non-country aggregates excluded</x:v>
      </x:c>
      <x:c r="J53" s="2" t="str">
        <x:v>GDP growth (annual %)</x:v>
      </x:c>
      <x:c r="K53" s="2" t="str">
        <x:v>No conversion unless a calculation explicitly provides it</x:v>
      </x:c>
      <x:c r="L53" s="2" t="str">
        <x:v>Series NY.GDP.MKTP.KD.ZG; country ISO3/year records; latest non-missing observation; data vintage 2026-07-13</x:v>
      </x:c>
      <x:c r="M53" s="2" t="str">
        <x:v>Not applicable for web/API; PDF pinpoint retained, further page attribution not verified</x:v>
      </x:c>
      <x:c r="N53" s="2" t="str">
        <x:v>Not applicable / not independently verified</x:v>
      </x:c>
      <x:c r="O53" s="2" t="str">
        <x:v>NY.GDP.MKTP.KD.ZG</x:v>
      </x:c>
      <x:c r="P53" s="2" t="str">
        <x:v>https://api.worldbank.org/v2/country/all/indicator/NY.GDP.MKTP.KD.ZG?date=2000:2025&amp;format=json&amp;per_page=20000</x:v>
      </x:c>
      <x:c r="Q53" s="2" t="str">
        <x:v>ISO3 in membership-verification.csv; year 2000–2025; latest non-null, no imputation</x:v>
      </x:c>
      <x:c r="R53" s="2" t="d">
        <x:v>2026-10-08T02:15:08.610Z</x:v>
      </x:c>
      <x:c r="S53" s="2" t="str">
        <x:v>Proxy observation</x:v>
      </x:c>
      <x:c r="T53" s="2" t="str">
        <x:v>Country averages and dated observations do not establish Olam customers, effective access, costs or returns. No imputation.</x:v>
      </x:c>
      <x:c r="U53" s="2" t="str">
        <x:v>No conflicting series substituted; definitions/vintage retained. Unknowns stay unknown.</x:v>
      </x:c>
      <x:c r="V53" s="2" t="str"/>
      <x:c r="W53" s="2" t="str"/>
      <x:c r="X53" s="2" t="str">
        <x:v>Country driver / model-method context, not investment calibration</x:v>
      </x:c>
      <x:c r="Y53" s="2" t="str">
        <x:v>Public primary evidence; retrieval outcome in manifest. Blocked full downloads are not described as inspected.</x:v>
      </x:c>
      <x:c r="Z53" s="2" t="str">
        <x:v>Cite/link the issuing source; permitted statistical extracts retained with checksum where available. No claim of unrestricted report redistribution.</x:v>
      </x:c>
      <x:c r="AA53" s="2" t="str">
        <x:v>f6636a1cd3f9c0618875d3e696a735e5e2a774b9344699d7e6fdaa215bb3f53a</x:v>
      </x:c>
    </x:row>
    <x:row r="54" ht="65" customHeight="1">
      <x:c r="A54" s="2" t="str">
        <x:v>WB_real_income</x:v>
      </x:c>
      <x:c r="B54" s="2" t="str">
        <x:v>World Bank WDI: GDP per capita (constant 2015 US$)</x:v>
      </x:c>
      <x:c r="C54" s="2" t="str">
        <x:v>World Bank; WDI compiler, underlying national/institutional sources in indicator metadata</x:v>
      </x:c>
      <x:c r="D54" s="2" t="str">
        <x:v>Undated page / exact publication date not verified</x:v>
      </x:c>
      <x:c r="E54" s="2" t="str">
        <x:v>2000–2025; available years differ</x:v>
      </x:c>
      <x:c r="F54" s="2" t="str">
        <x:v>2026-10-08</x:v>
      </x:c>
      <x:c r="G54" s="2" t="str">
        <x:v>https://data.worldbank.org/indicator/NY.GDP.PCAP.KD</x:v>
      </x:c>
      <x:c r="H54" s="2" t="str">
        <x:v>https://api.worldbank.org/v2/country/all/indicator/NY.GDP.PCAP.KD?date=2000:2025&amp;format=json&amp;per_page=20000</x:v>
      </x:c>
      <x:c r="I54" s="2" t="str">
        <x:v>Country ISO3/year; 195-country universe, non-country aggregates excluded</x:v>
      </x:c>
      <x:c r="J54" s="2" t="str">
        <x:v>GDP per capita (constant 2015 US$)</x:v>
      </x:c>
      <x:c r="K54" s="2" t="str">
        <x:v>No conversion unless a calculation explicitly provides it</x:v>
      </x:c>
      <x:c r="L54" s="2" t="str">
        <x:v>Series NY.GDP.PCAP.KD; country ISO3/year records; latest non-missing observation; data vintage 2026-07-13</x:v>
      </x:c>
      <x:c r="M54" s="2" t="str">
        <x:v>Not applicable for web/API; PDF pinpoint retained, further page attribution not verified</x:v>
      </x:c>
      <x:c r="N54" s="2" t="str">
        <x:v>Not applicable / not independently verified</x:v>
      </x:c>
      <x:c r="O54" s="2" t="str">
        <x:v>NY.GDP.PCAP.KD</x:v>
      </x:c>
      <x:c r="P54" s="2" t="str">
        <x:v>https://api.worldbank.org/v2/country/all/indicator/NY.GDP.PCAP.KD?date=2000:2025&amp;format=json&amp;per_page=20000</x:v>
      </x:c>
      <x:c r="Q54" s="2" t="str">
        <x:v>ISO3 in membership-verification.csv; year 2000–2025; latest non-null, no imputation</x:v>
      </x:c>
      <x:c r="R54" s="2" t="d">
        <x:v>2026-10-08T02:15:08.611Z</x:v>
      </x:c>
      <x:c r="S54" s="2" t="str">
        <x:v>Proxy observation</x:v>
      </x:c>
      <x:c r="T54" s="2" t="str">
        <x:v>Country averages and dated observations do not establish Olam customers, effective access, costs or returns. No imputation.</x:v>
      </x:c>
      <x:c r="U54" s="2" t="str">
        <x:v>No conflicting series substituted; definitions/vintage retained. Unknowns stay unknown.</x:v>
      </x:c>
      <x:c r="V54" s="2" t="str"/>
      <x:c r="W54" s="2" t="str"/>
      <x:c r="X54" s="2" t="str">
        <x:v>Country driver / model-method context, not investment calibration</x:v>
      </x:c>
      <x:c r="Y54" s="2" t="str">
        <x:v>Public primary evidence; retrieval outcome in manifest. Blocked full downloads are not described as inspected.</x:v>
      </x:c>
      <x:c r="Z54" s="2" t="str">
        <x:v>Cite/link the issuing source; permitted statistical extracts retained with checksum where available. No claim of unrestricted report redistribution.</x:v>
      </x:c>
      <x:c r="AA54" s="2" t="str">
        <x:v>61c1a47c7507228b2e9ac380bdea22f9dac1be03d357bba278151866affa0ce2</x:v>
      </x:c>
    </x:row>
    <x:row r="55" ht="65" customHeight="1">
      <x:c r="A55" s="2" t="str">
        <x:v>WB_agriculture_gdp</x:v>
      </x:c>
      <x:c r="B55" s="2" t="str">
        <x:v>World Bank WDI: Agriculture, forestry, and fishing, value added (% of GDP)</x:v>
      </x:c>
      <x:c r="C55" s="2" t="str">
        <x:v>World Bank; WDI compiler, underlying national/institutional sources in indicator metadata</x:v>
      </x:c>
      <x:c r="D55" s="2" t="str">
        <x:v>Undated page / exact publication date not verified</x:v>
      </x:c>
      <x:c r="E55" s="2" t="str">
        <x:v>2000–2025; available years differ</x:v>
      </x:c>
      <x:c r="F55" s="2" t="str">
        <x:v>2026-10-08</x:v>
      </x:c>
      <x:c r="G55" s="2" t="str">
        <x:v>https://data.worldbank.org/indicator/NV.AGR.TOTL.ZS</x:v>
      </x:c>
      <x:c r="H55" s="2" t="str">
        <x:v>https://api.worldbank.org/v2/country/all/indicator/NV.AGR.TOTL.ZS?date=2000:2025&amp;format=json&amp;per_page=20000</x:v>
      </x:c>
      <x:c r="I55" s="2" t="str">
        <x:v>Country ISO3/year; 195-country universe, non-country aggregates excluded</x:v>
      </x:c>
      <x:c r="J55" s="2" t="str">
        <x:v>Agriculture, forestry, and fishing, value added (% of GDP)</x:v>
      </x:c>
      <x:c r="K55" s="2" t="str">
        <x:v>No conversion unless a calculation explicitly provides it</x:v>
      </x:c>
      <x:c r="L55" s="2" t="str">
        <x:v>Series NV.AGR.TOTL.ZS; country ISO3/year records; latest non-missing observation; data vintage 2026-07-13</x:v>
      </x:c>
      <x:c r="M55" s="2" t="str">
        <x:v>Not applicable for web/API; PDF pinpoint retained, further page attribution not verified</x:v>
      </x:c>
      <x:c r="N55" s="2" t="str">
        <x:v>Not applicable / not independently verified</x:v>
      </x:c>
      <x:c r="O55" s="2" t="str">
        <x:v>NV.AGR.TOTL.ZS</x:v>
      </x:c>
      <x:c r="P55" s="2" t="str">
        <x:v>https://api.worldbank.org/v2/country/all/indicator/NV.AGR.TOTL.ZS?date=2000:2025&amp;format=json&amp;per_page=20000</x:v>
      </x:c>
      <x:c r="Q55" s="2" t="str">
        <x:v>ISO3 in membership-verification.csv; year 2000–2025; latest non-null, no imputation</x:v>
      </x:c>
      <x:c r="R55" s="2" t="d">
        <x:v>2026-10-08T02:15:08.611Z</x:v>
      </x:c>
      <x:c r="S55" s="2" t="str">
        <x:v>Proxy observation</x:v>
      </x:c>
      <x:c r="T55" s="2" t="str">
        <x:v>Country averages and dated observations do not establish Olam customers, effective access, costs or returns. No imputation.</x:v>
      </x:c>
      <x:c r="U55" s="2" t="str">
        <x:v>No conflicting series substituted; definitions/vintage retained. Unknowns stay unknown.</x:v>
      </x:c>
      <x:c r="V55" s="2" t="str"/>
      <x:c r="W55" s="2" t="str"/>
      <x:c r="X55" s="2" t="str">
        <x:v>Country driver / model-method context, not investment calibration</x:v>
      </x:c>
      <x:c r="Y55" s="2" t="str">
        <x:v>Public primary evidence; retrieval outcome in manifest. Blocked full downloads are not described as inspected.</x:v>
      </x:c>
      <x:c r="Z55" s="2" t="str">
        <x:v>Cite/link the issuing source; permitted statistical extracts retained with checksum where available. No claim of unrestricted report redistribution.</x:v>
      </x:c>
      <x:c r="AA55" s="2" t="str">
        <x:v>03839ca20cb1646b16daaeafc3fc73451310b8efb840b5d094aec16db9a898db</x:v>
      </x:c>
    </x:row>
    <x:row r="56" ht="65" customHeight="1">
      <x:c r="A56" s="2" t="str">
        <x:v>WB_poverty</x:v>
      </x:c>
      <x:c r="B56" s="2" t="str">
        <x:v>World Bank WDI: Poverty headcount ratio at $3.00 a day (2021 PPP) (% of population)</x:v>
      </x:c>
      <x:c r="C56" s="2" t="str">
        <x:v>World Bank; WDI compiler, underlying national/institutional sources in indicator metadata</x:v>
      </x:c>
      <x:c r="D56" s="2" t="str">
        <x:v>Undated page / exact publication date not verified</x:v>
      </x:c>
      <x:c r="E56" s="2" t="str">
        <x:v>2000–2025; available years differ</x:v>
      </x:c>
      <x:c r="F56" s="2" t="str">
        <x:v>2026-10-08</x:v>
      </x:c>
      <x:c r="G56" s="2" t="str">
        <x:v>https://data.worldbank.org/indicator/SI.POV.DDAY</x:v>
      </x:c>
      <x:c r="H56" s="2" t="str">
        <x:v>https://api.worldbank.org/v2/country/all/indicator/SI.POV.DDAY?date=2000:2025&amp;format=json&amp;per_page=20000</x:v>
      </x:c>
      <x:c r="I56" s="2" t="str">
        <x:v>Country ISO3/year; 195-country universe, non-country aggregates excluded</x:v>
      </x:c>
      <x:c r="J56" s="2" t="str">
        <x:v>Poverty headcount ratio at $3.00 a day (2021 PPP) (% of population)</x:v>
      </x:c>
      <x:c r="K56" s="2" t="str">
        <x:v>No conversion unless a calculation explicitly provides it</x:v>
      </x:c>
      <x:c r="L56" s="2" t="str">
        <x:v>Series SI.POV.DDAY; country ISO3/year records; latest non-missing observation; data vintage 2026-07-13</x:v>
      </x:c>
      <x:c r="M56" s="2" t="str">
        <x:v>Not applicable for web/API; PDF pinpoint retained, further page attribution not verified</x:v>
      </x:c>
      <x:c r="N56" s="2" t="str">
        <x:v>Not applicable / not independently verified</x:v>
      </x:c>
      <x:c r="O56" s="2" t="str">
        <x:v>SI.POV.DDAY</x:v>
      </x:c>
      <x:c r="P56" s="2" t="str">
        <x:v>https://api.worldbank.org/v2/country/all/indicator/SI.POV.DDAY?date=2000:2025&amp;format=json&amp;per_page=20000</x:v>
      </x:c>
      <x:c r="Q56" s="2" t="str">
        <x:v>ISO3 in membership-verification.csv; year 2000–2025; latest non-null, no imputation</x:v>
      </x:c>
      <x:c r="R56" s="2" t="d">
        <x:v>2026-10-08T02:15:08.612Z</x:v>
      </x:c>
      <x:c r="S56" s="2" t="str">
        <x:v>Proxy observation</x:v>
      </x:c>
      <x:c r="T56" s="2" t="str">
        <x:v>Country averages and dated observations do not establish Olam customers, effective access, costs or returns. No imputation.</x:v>
      </x:c>
      <x:c r="U56" s="2" t="str">
        <x:v>No conflicting series substituted; definitions/vintage retained. Unknowns stay unknown.</x:v>
      </x:c>
      <x:c r="V56" s="2" t="str">
        <x:v>country-driver-audit</x:v>
      </x:c>
      <x:c r="W56" s="2" t="str"/>
      <x:c r="X56" s="2" t="str">
        <x:v>CL-country-driver-audit-headline;CL-country-driver-audit-body1;CL-country-driver-audit-body2;CL-country-driver-audit-body3</x:v>
      </x:c>
      <x:c r="Y56" s="2" t="str">
        <x:v>Public primary evidence; retrieval outcome in manifest. Blocked full downloads are not described as inspected.</x:v>
      </x:c>
      <x:c r="Z56" s="2" t="str">
        <x:v>Cite/link the issuing source; permitted statistical extracts retained with checksum where available. No claim of unrestricted report redistribution.</x:v>
      </x:c>
      <x:c r="AA56" s="2" t="str">
        <x:v>6d1b39ebbf8cb658244314058c7e56b939be27e20433be50857de1785b46fa40</x:v>
      </x:c>
    </x:row>
    <x:row r="57" ht="65" customHeight="1">
      <x:c r="A57" s="2" t="str">
        <x:v>WB_gini</x:v>
      </x:c>
      <x:c r="B57" s="2" t="str">
        <x:v>World Bank WDI: Gini index</x:v>
      </x:c>
      <x:c r="C57" s="2" t="str">
        <x:v>World Bank; WDI compiler, underlying national/institutional sources in indicator metadata</x:v>
      </x:c>
      <x:c r="D57" s="2" t="str">
        <x:v>Undated page / exact publication date not verified</x:v>
      </x:c>
      <x:c r="E57" s="2" t="str">
        <x:v>2000–2025; available years differ</x:v>
      </x:c>
      <x:c r="F57" s="2" t="str">
        <x:v>2026-10-08</x:v>
      </x:c>
      <x:c r="G57" s="2" t="str">
        <x:v>https://data.worldbank.org/indicator/SI.POV.GINI</x:v>
      </x:c>
      <x:c r="H57" s="2" t="str">
        <x:v>https://api.worldbank.org/v2/country/all/indicator/SI.POV.GINI?date=2000:2025&amp;format=json&amp;per_page=20000</x:v>
      </x:c>
      <x:c r="I57" s="2" t="str">
        <x:v>Country ISO3/year; 195-country universe, non-country aggregates excluded</x:v>
      </x:c>
      <x:c r="J57" s="2" t="str">
        <x:v>Gini index</x:v>
      </x:c>
      <x:c r="K57" s="2" t="str">
        <x:v>No conversion unless a calculation explicitly provides it</x:v>
      </x:c>
      <x:c r="L57" s="2" t="str">
        <x:v>Series SI.POV.GINI; country ISO3/year records; latest non-missing observation; data vintage 2026-07-13</x:v>
      </x:c>
      <x:c r="M57" s="2" t="str">
        <x:v>Not applicable for web/API; PDF pinpoint retained, further page attribution not verified</x:v>
      </x:c>
      <x:c r="N57" s="2" t="str">
        <x:v>Not applicable / not independently verified</x:v>
      </x:c>
      <x:c r="O57" s="2" t="str">
        <x:v>SI.POV.GINI</x:v>
      </x:c>
      <x:c r="P57" s="2" t="str">
        <x:v>https://api.worldbank.org/v2/country/all/indicator/SI.POV.GINI?date=2000:2025&amp;format=json&amp;per_page=20000</x:v>
      </x:c>
      <x:c r="Q57" s="2" t="str">
        <x:v>ISO3 in membership-verification.csv; year 2000–2025; latest non-null, no imputation</x:v>
      </x:c>
      <x:c r="R57" s="2" t="d">
        <x:v>2026-10-08T02:15:08.614Z</x:v>
      </x:c>
      <x:c r="S57" s="2" t="str">
        <x:v>Proxy observation</x:v>
      </x:c>
      <x:c r="T57" s="2" t="str">
        <x:v>Country averages and dated observations do not establish Olam customers, effective access, costs or returns. No imputation.</x:v>
      </x:c>
      <x:c r="U57" s="2" t="str">
        <x:v>No conflicting series substituted; definitions/vintage retained. Unknowns stay unknown.</x:v>
      </x:c>
      <x:c r="V57" s="2" t="str"/>
      <x:c r="W57" s="2" t="str"/>
      <x:c r="X57" s="2" t="str">
        <x:v>Country driver / model-method context, not investment calibration</x:v>
      </x:c>
      <x:c r="Y57" s="2" t="str">
        <x:v>Public primary evidence; retrieval outcome in manifest. Blocked full downloads are not described as inspected.</x:v>
      </x:c>
      <x:c r="Z57" s="2" t="str">
        <x:v>Cite/link the issuing source; permitted statistical extracts retained with checksum where available. No claim of unrestricted report redistribution.</x:v>
      </x:c>
      <x:c r="AA57" s="2" t="str">
        <x:v>97a10de645856e9fb62b20582d35c2705119446f15937ba27bb5559fb7efbb55</x:v>
      </x:c>
    </x:row>
    <x:row r="58" ht="65" customHeight="1">
      <x:c r="A58" s="2" t="str">
        <x:v>WB_unemployment</x:v>
      </x:c>
      <x:c r="B58" s="2" t="str">
        <x:v>World Bank WDI: Unemployment, total (% of total labor force) (modeled ILO estimate)</x:v>
      </x:c>
      <x:c r="C58" s="2" t="str">
        <x:v>World Bank; WDI compiler, underlying national/institutional sources in indicator metadata</x:v>
      </x:c>
      <x:c r="D58" s="2" t="str">
        <x:v>Undated page / exact publication date not verified</x:v>
      </x:c>
      <x:c r="E58" s="2" t="str">
        <x:v>2000–2025; available years differ</x:v>
      </x:c>
      <x:c r="F58" s="2" t="str">
        <x:v>2026-10-08</x:v>
      </x:c>
      <x:c r="G58" s="2" t="str">
        <x:v>https://data.worldbank.org/indicator/SL.UEM.TOTL.ZS</x:v>
      </x:c>
      <x:c r="H58" s="2" t="str">
        <x:v>https://api.worldbank.org/v2/country/all/indicator/SL.UEM.TOTL.ZS?date=2000:2025&amp;format=json&amp;per_page=20000</x:v>
      </x:c>
      <x:c r="I58" s="2" t="str">
        <x:v>Country ISO3/year; 195-country universe, non-country aggregates excluded</x:v>
      </x:c>
      <x:c r="J58" s="2" t="str">
        <x:v>Unemployment, total (% of total labor force) (modeled ILO estimate)</x:v>
      </x:c>
      <x:c r="K58" s="2" t="str">
        <x:v>No conversion unless a calculation explicitly provides it</x:v>
      </x:c>
      <x:c r="L58" s="2" t="str">
        <x:v>Series SL.UEM.TOTL.ZS; country ISO3/year records; latest non-missing observation; data vintage 2026-07-13</x:v>
      </x:c>
      <x:c r="M58" s="2" t="str">
        <x:v>Not applicable for web/API; PDF pinpoint retained, further page attribution not verified</x:v>
      </x:c>
      <x:c r="N58" s="2" t="str">
        <x:v>Not applicable / not independently verified</x:v>
      </x:c>
      <x:c r="O58" s="2" t="str">
        <x:v>SL.UEM.TOTL.ZS</x:v>
      </x:c>
      <x:c r="P58" s="2" t="str">
        <x:v>https://api.worldbank.org/v2/country/all/indicator/SL.UEM.TOTL.ZS?date=2000:2025&amp;format=json&amp;per_page=20000</x:v>
      </x:c>
      <x:c r="Q58" s="2" t="str">
        <x:v>ISO3 in membership-verification.csv; year 2000–2025; latest non-null, no imputation</x:v>
      </x:c>
      <x:c r="R58" s="2" t="d">
        <x:v>2026-10-08T02:15:08.614Z</x:v>
      </x:c>
      <x:c r="S58" s="2" t="str">
        <x:v>Proxy observation</x:v>
      </x:c>
      <x:c r="T58" s="2" t="str">
        <x:v>Country averages and dated observations do not establish Olam customers, effective access, costs or returns. No imputation.</x:v>
      </x:c>
      <x:c r="U58" s="2" t="str">
        <x:v>No conflicting series substituted; definitions/vintage retained. Unknowns stay unknown.</x:v>
      </x:c>
      <x:c r="V58" s="2" t="str"/>
      <x:c r="W58" s="2" t="str"/>
      <x:c r="X58" s="2" t="str">
        <x:v>Country driver / model-method context, not investment calibration</x:v>
      </x:c>
      <x:c r="Y58" s="2" t="str">
        <x:v>Public primary evidence; retrieval outcome in manifest. Blocked full downloads are not described as inspected.</x:v>
      </x:c>
      <x:c r="Z58" s="2" t="str">
        <x:v>Cite/link the issuing source; permitted statistical extracts retained with checksum where available. No claim of unrestricted report redistribution.</x:v>
      </x:c>
      <x:c r="AA58" s="2" t="str">
        <x:v>5b3397948a6822706d276eadb8880494d882074041f02c52385fd50cf09e799b</x:v>
      </x:c>
    </x:row>
    <x:row r="59" ht="65" customHeight="1">
      <x:c r="A59" s="2" t="str">
        <x:v>WB_private_credit</x:v>
      </x:c>
      <x:c r="B59" s="2" t="str">
        <x:v>World Bank WDI: Domestic credit to private sector (% of GDP)</x:v>
      </x:c>
      <x:c r="C59" s="2" t="str">
        <x:v>World Bank; WDI compiler, underlying national/institutional sources in indicator metadata</x:v>
      </x:c>
      <x:c r="D59" s="2" t="str">
        <x:v>Undated page / exact publication date not verified</x:v>
      </x:c>
      <x:c r="E59" s="2" t="str">
        <x:v>2000–2025; available years differ</x:v>
      </x:c>
      <x:c r="F59" s="2" t="str">
        <x:v>2026-10-08</x:v>
      </x:c>
      <x:c r="G59" s="2" t="str">
        <x:v>https://data.worldbank.org/indicator/FS.AST.PRVT.GD.ZS</x:v>
      </x:c>
      <x:c r="H59" s="2" t="str">
        <x:v>https://api.worldbank.org/v2/country/all/indicator/FS.AST.PRVT.GD.ZS?date=2000:2025&amp;format=json&amp;per_page=20000</x:v>
      </x:c>
      <x:c r="I59" s="2" t="str">
        <x:v>Country ISO3/year; 195-country universe, non-country aggregates excluded</x:v>
      </x:c>
      <x:c r="J59" s="2" t="str">
        <x:v>Domestic credit to private sector (% of GDP)</x:v>
      </x:c>
      <x:c r="K59" s="2" t="str">
        <x:v>No conversion unless a calculation explicitly provides it</x:v>
      </x:c>
      <x:c r="L59" s="2" t="str">
        <x:v>Series FS.AST.PRVT.GD.ZS; country ISO3/year records; latest non-missing observation; data vintage 2026-07-13</x:v>
      </x:c>
      <x:c r="M59" s="2" t="str">
        <x:v>Not applicable for web/API; PDF pinpoint retained, further page attribution not verified</x:v>
      </x:c>
      <x:c r="N59" s="2" t="str">
        <x:v>Not applicable / not independently verified</x:v>
      </x:c>
      <x:c r="O59" s="2" t="str">
        <x:v>FS.AST.PRVT.GD.ZS</x:v>
      </x:c>
      <x:c r="P59" s="2" t="str">
        <x:v>https://api.worldbank.org/v2/country/all/indicator/FS.AST.PRVT.GD.ZS?date=2000:2025&amp;format=json&amp;per_page=20000</x:v>
      </x:c>
      <x:c r="Q59" s="2" t="str">
        <x:v>ISO3 in membership-verification.csv; year 2000–2025; latest non-null, no imputation</x:v>
      </x:c>
      <x:c r="R59" s="2" t="d">
        <x:v>2026-10-08T02:15:08.615Z</x:v>
      </x:c>
      <x:c r="S59" s="2" t="str">
        <x:v>Proxy observation</x:v>
      </x:c>
      <x:c r="T59" s="2" t="str">
        <x:v>Country averages and dated observations do not establish Olam customers, effective access, costs or returns. No imputation.</x:v>
      </x:c>
      <x:c r="U59" s="2" t="str">
        <x:v>No conflicting series substituted; definitions/vintage retained. Unknowns stay unknown.</x:v>
      </x:c>
      <x:c r="V59" s="2" t="str"/>
      <x:c r="W59" s="2" t="str"/>
      <x:c r="X59" s="2" t="str">
        <x:v>Country driver / model-method context, not investment calibration</x:v>
      </x:c>
      <x:c r="Y59" s="2" t="str">
        <x:v>Public primary evidence; retrieval outcome in manifest. Blocked full downloads are not described as inspected.</x:v>
      </x:c>
      <x:c r="Z59" s="2" t="str">
        <x:v>Cite/link the issuing source; permitted statistical extracts retained with checksum where available. No claim of unrestricted report redistribution.</x:v>
      </x:c>
      <x:c r="AA59" s="2" t="str">
        <x:v>045f4240e426c93d09154621d167e3d02a682ff106df619d91cfe2618ba60e4e</x:v>
      </x:c>
    </x:row>
    <x:row r="60" ht="65" customHeight="1">
      <x:c r="A60" s="2" t="str">
        <x:v>WB_lending_rate</x:v>
      </x:c>
      <x:c r="B60" s="2" t="str">
        <x:v>World Bank WDI: Lending interest rate (%)</x:v>
      </x:c>
      <x:c r="C60" s="2" t="str">
        <x:v>World Bank; WDI compiler, underlying national/institutional sources in indicator metadata</x:v>
      </x:c>
      <x:c r="D60" s="2" t="str">
        <x:v>Undated page / exact publication date not verified</x:v>
      </x:c>
      <x:c r="E60" s="2" t="str">
        <x:v>2000–2025; available years differ</x:v>
      </x:c>
      <x:c r="F60" s="2" t="str">
        <x:v>2026-10-08</x:v>
      </x:c>
      <x:c r="G60" s="2" t="str">
        <x:v>https://data.worldbank.org/indicator/FR.INR.LEND</x:v>
      </x:c>
      <x:c r="H60" s="2" t="str">
        <x:v>https://api.worldbank.org/v2/country/all/indicator/FR.INR.LEND?date=2000:2025&amp;format=json&amp;per_page=20000</x:v>
      </x:c>
      <x:c r="I60" s="2" t="str">
        <x:v>Country ISO3/year; 195-country universe, non-country aggregates excluded</x:v>
      </x:c>
      <x:c r="J60" s="2" t="str">
        <x:v>Lending interest rate (%)</x:v>
      </x:c>
      <x:c r="K60" s="2" t="str">
        <x:v>No conversion unless a calculation explicitly provides it</x:v>
      </x:c>
      <x:c r="L60" s="2" t="str">
        <x:v>Series FR.INR.LEND; country ISO3/year records; latest non-missing observation; data vintage 2026-07-13</x:v>
      </x:c>
      <x:c r="M60" s="2" t="str">
        <x:v>Not applicable for web/API; PDF pinpoint retained, further page attribution not verified</x:v>
      </x:c>
      <x:c r="N60" s="2" t="str">
        <x:v>Not applicable / not independently verified</x:v>
      </x:c>
      <x:c r="O60" s="2" t="str">
        <x:v>FR.INR.LEND</x:v>
      </x:c>
      <x:c r="P60" s="2" t="str">
        <x:v>https://api.worldbank.org/v2/country/all/indicator/FR.INR.LEND?date=2000:2025&amp;format=json&amp;per_page=20000</x:v>
      </x:c>
      <x:c r="Q60" s="2" t="str">
        <x:v>ISO3 in membership-verification.csv; year 2000–2025; latest non-null, no imputation</x:v>
      </x:c>
      <x:c r="R60" s="2" t="d">
        <x:v>2026-10-08T02:15:08.615Z</x:v>
      </x:c>
      <x:c r="S60" s="2" t="str">
        <x:v>Proxy observation</x:v>
      </x:c>
      <x:c r="T60" s="2" t="str">
        <x:v>Country averages and dated observations do not establish Olam customers, effective access, costs or returns. No imputation.</x:v>
      </x:c>
      <x:c r="U60" s="2" t="str">
        <x:v>No conflicting series substituted; definitions/vintage retained. Unknowns stay unknown.</x:v>
      </x:c>
      <x:c r="V60" s="2" t="str"/>
      <x:c r="W60" s="2" t="str"/>
      <x:c r="X60" s="2" t="str">
        <x:v>Country driver / model-method context, not investment calibration</x:v>
      </x:c>
      <x:c r="Y60" s="2" t="str">
        <x:v>Public primary evidence; retrieval outcome in manifest. Blocked full downloads are not described as inspected.</x:v>
      </x:c>
      <x:c r="Z60" s="2" t="str">
        <x:v>Cite/link the issuing source; permitted statistical extracts retained with checksum where available. No claim of unrestricted report redistribution.</x:v>
      </x:c>
      <x:c r="AA60" s="2" t="str">
        <x:v>a103fd2f959d4658f88a9994ef6ee5401b775205a50226b79bc5c97018b5e626</x:v>
      </x:c>
    </x:row>
    <x:row r="61" ht="65" customHeight="1">
      <x:c r="A61" s="2" t="str">
        <x:v>WB_real_interest</x:v>
      </x:c>
      <x:c r="B61" s="2" t="str">
        <x:v>World Bank WDI: Real interest rate (%)</x:v>
      </x:c>
      <x:c r="C61" s="2" t="str">
        <x:v>World Bank; WDI compiler, underlying national/institutional sources in indicator metadata</x:v>
      </x:c>
      <x:c r="D61" s="2" t="str">
        <x:v>Undated page / exact publication date not verified</x:v>
      </x:c>
      <x:c r="E61" s="2" t="str">
        <x:v>2000–2025; available years differ</x:v>
      </x:c>
      <x:c r="F61" s="2" t="str">
        <x:v>2026-10-08</x:v>
      </x:c>
      <x:c r="G61" s="2" t="str">
        <x:v>https://data.worldbank.org/indicator/FR.INR.RINR</x:v>
      </x:c>
      <x:c r="H61" s="2" t="str">
        <x:v>https://api.worldbank.org/v2/country/all/indicator/FR.INR.RINR?date=2000:2025&amp;format=json&amp;per_page=20000</x:v>
      </x:c>
      <x:c r="I61" s="2" t="str">
        <x:v>Country ISO3/year; 195-country universe, non-country aggregates excluded</x:v>
      </x:c>
      <x:c r="J61" s="2" t="str">
        <x:v>Real interest rate (%)</x:v>
      </x:c>
      <x:c r="K61" s="2" t="str">
        <x:v>No conversion unless a calculation explicitly provides it</x:v>
      </x:c>
      <x:c r="L61" s="2" t="str">
        <x:v>Series FR.INR.RINR; country ISO3/year records; latest non-missing observation; data vintage 2026-07-13</x:v>
      </x:c>
      <x:c r="M61" s="2" t="str">
        <x:v>Not applicable for web/API; PDF pinpoint retained, further page attribution not verified</x:v>
      </x:c>
      <x:c r="N61" s="2" t="str">
        <x:v>Not applicable / not independently verified</x:v>
      </x:c>
      <x:c r="O61" s="2" t="str">
        <x:v>FR.INR.RINR</x:v>
      </x:c>
      <x:c r="P61" s="2" t="str">
        <x:v>https://api.worldbank.org/v2/country/all/indicator/FR.INR.RINR?date=2000:2025&amp;format=json&amp;per_page=20000</x:v>
      </x:c>
      <x:c r="Q61" s="2" t="str">
        <x:v>ISO3 in membership-verification.csv; year 2000–2025; latest non-null, no imputation</x:v>
      </x:c>
      <x:c r="R61" s="2" t="d">
        <x:v>2026-10-08T02:15:08.616Z</x:v>
      </x:c>
      <x:c r="S61" s="2" t="str">
        <x:v>Proxy observation</x:v>
      </x:c>
      <x:c r="T61" s="2" t="str">
        <x:v>Country averages and dated observations do not establish Olam customers, effective access, costs or returns. No imputation.</x:v>
      </x:c>
      <x:c r="U61" s="2" t="str">
        <x:v>No conflicting series substituted; definitions/vintage retained. Unknowns stay unknown.</x:v>
      </x:c>
      <x:c r="V61" s="2" t="str"/>
      <x:c r="W61" s="2" t="str"/>
      <x:c r="X61" s="2" t="str">
        <x:v>Country driver / model-method context, not investment calibration</x:v>
      </x:c>
      <x:c r="Y61" s="2" t="str">
        <x:v>Public primary evidence; retrieval outcome in manifest. Blocked full downloads are not described as inspected.</x:v>
      </x:c>
      <x:c r="Z61" s="2" t="str">
        <x:v>Cite/link the issuing source; permitted statistical extracts retained with checksum where available. No claim of unrestricted report redistribution.</x:v>
      </x:c>
      <x:c r="AA61" s="2" t="str">
        <x:v>40a8e7b637a75b68a5de31e2f79ab5f6bfa46faaa29b958eb545a38d1c73ee52</x:v>
      </x:c>
    </x:row>
    <x:row r="62" ht="65" customHeight="1">
      <x:c r="A62" s="2" t="str">
        <x:v>WB_government_debt</x:v>
      </x:c>
      <x:c r="B62" s="2" t="str">
        <x:v>World Bank WDI: Central government debt, total (% of GDP)</x:v>
      </x:c>
      <x:c r="C62" s="2" t="str">
        <x:v>World Bank; WDI compiler, underlying national/institutional sources in indicator metadata</x:v>
      </x:c>
      <x:c r="D62" s="2" t="str">
        <x:v>Undated page / exact publication date not verified</x:v>
      </x:c>
      <x:c r="E62" s="2" t="str">
        <x:v>2000–2025; available years differ</x:v>
      </x:c>
      <x:c r="F62" s="2" t="str">
        <x:v>2026-10-08</x:v>
      </x:c>
      <x:c r="G62" s="2" t="str">
        <x:v>https://data.worldbank.org/indicator/GC.DOD.TOTL.GD.ZS</x:v>
      </x:c>
      <x:c r="H62" s="2" t="str">
        <x:v>https://api.worldbank.org/v2/country/all/indicator/GC.DOD.TOTL.GD.ZS?date=2000:2025&amp;format=json&amp;per_page=20000</x:v>
      </x:c>
      <x:c r="I62" s="2" t="str">
        <x:v>Country ISO3/year; 195-country universe, non-country aggregates excluded</x:v>
      </x:c>
      <x:c r="J62" s="2" t="str">
        <x:v>Central government debt, total (% of GDP)</x:v>
      </x:c>
      <x:c r="K62" s="2" t="str">
        <x:v>No conversion unless a calculation explicitly provides it</x:v>
      </x:c>
      <x:c r="L62" s="2" t="str">
        <x:v>Series GC.DOD.TOTL.GD.ZS; country ISO3/year records; latest non-missing observation; data vintage 2026-07-13</x:v>
      </x:c>
      <x:c r="M62" s="2" t="str">
        <x:v>Not applicable for web/API; PDF pinpoint retained, further page attribution not verified</x:v>
      </x:c>
      <x:c r="N62" s="2" t="str">
        <x:v>Not applicable / not independently verified</x:v>
      </x:c>
      <x:c r="O62" s="2" t="str">
        <x:v>GC.DOD.TOTL.GD.ZS</x:v>
      </x:c>
      <x:c r="P62" s="2" t="str">
        <x:v>https://api.worldbank.org/v2/country/all/indicator/GC.DOD.TOTL.GD.ZS?date=2000:2025&amp;format=json&amp;per_page=20000</x:v>
      </x:c>
      <x:c r="Q62" s="2" t="str">
        <x:v>ISO3 in membership-verification.csv; year 2000–2025; latest non-null, no imputation</x:v>
      </x:c>
      <x:c r="R62" s="2" t="d">
        <x:v>2026-10-08T02:15:08.616Z</x:v>
      </x:c>
      <x:c r="S62" s="2" t="str">
        <x:v>Proxy observation</x:v>
      </x:c>
      <x:c r="T62" s="2" t="str">
        <x:v>Country averages and dated observations do not establish Olam customers, effective access, costs or returns. No imputation.</x:v>
      </x:c>
      <x:c r="U62" s="2" t="str">
        <x:v>No conflicting series substituted; definitions/vintage retained. Unknowns stay unknown.</x:v>
      </x:c>
      <x:c r="V62" s="2" t="str"/>
      <x:c r="W62" s="2" t="str"/>
      <x:c r="X62" s="2" t="str">
        <x:v>Country driver / model-method context, not investment calibration</x:v>
      </x:c>
      <x:c r="Y62" s="2" t="str">
        <x:v>Public primary evidence; retrieval outcome in manifest. Blocked full downloads are not described as inspected.</x:v>
      </x:c>
      <x:c r="Z62" s="2" t="str">
        <x:v>Cite/link the issuing source; permitted statistical extracts retained with checksum where available. No claim of unrestricted report redistribution.</x:v>
      </x:c>
      <x:c r="AA62" s="2" t="str">
        <x:v>6e758c24abd3c7272be1fd70dce245448962297aba3fab7ee9a3e2322e020662</x:v>
      </x:c>
    </x:row>
    <x:row r="63" ht="65" customHeight="1">
      <x:c r="A63" s="2" t="str">
        <x:v>WB_electricity_access</x:v>
      </x:c>
      <x:c r="B63" s="2" t="str">
        <x:v>World Bank WDI: Access to electricity (% of population)</x:v>
      </x:c>
      <x:c r="C63" s="2" t="str">
        <x:v>World Bank; WDI compiler, underlying national/institutional sources in indicator metadata</x:v>
      </x:c>
      <x:c r="D63" s="2" t="str">
        <x:v>Undated page / exact publication date not verified</x:v>
      </x:c>
      <x:c r="E63" s="2" t="str">
        <x:v>2000–2025; available years differ</x:v>
      </x:c>
      <x:c r="F63" s="2" t="str">
        <x:v>2026-10-08</x:v>
      </x:c>
      <x:c r="G63" s="2" t="str">
        <x:v>https://data.worldbank.org/indicator/EG.ELC.ACCS.ZS</x:v>
      </x:c>
      <x:c r="H63" s="2" t="str">
        <x:v>https://api.worldbank.org/v2/country/all/indicator/EG.ELC.ACCS.ZS?date=2000:2025&amp;format=json&amp;per_page=20000</x:v>
      </x:c>
      <x:c r="I63" s="2" t="str">
        <x:v>Country ISO3/year; 195-country universe, non-country aggregates excluded</x:v>
      </x:c>
      <x:c r="J63" s="2" t="str">
        <x:v>Access to electricity (% of population)</x:v>
      </x:c>
      <x:c r="K63" s="2" t="str">
        <x:v>No conversion unless a calculation explicitly provides it</x:v>
      </x:c>
      <x:c r="L63" s="2" t="str">
        <x:v>Series EG.ELC.ACCS.ZS; country ISO3/year records; latest non-missing observation; data vintage 2026-07-13</x:v>
      </x:c>
      <x:c r="M63" s="2" t="str">
        <x:v>Not applicable for web/API; PDF pinpoint retained, further page attribution not verified</x:v>
      </x:c>
      <x:c r="N63" s="2" t="str">
        <x:v>Not applicable / not independently verified</x:v>
      </x:c>
      <x:c r="O63" s="2" t="str">
        <x:v>EG.ELC.ACCS.ZS</x:v>
      </x:c>
      <x:c r="P63" s="2" t="str">
        <x:v>https://api.worldbank.org/v2/country/all/indicator/EG.ELC.ACCS.ZS?date=2000:2025&amp;format=json&amp;per_page=20000</x:v>
      </x:c>
      <x:c r="Q63" s="2" t="str">
        <x:v>ISO3 in membership-verification.csv; year 2000–2025; latest non-null, no imputation</x:v>
      </x:c>
      <x:c r="R63" s="2" t="d">
        <x:v>2026-10-08T02:15:08.619Z</x:v>
      </x:c>
      <x:c r="S63" s="2" t="str">
        <x:v>Proxy observation</x:v>
      </x:c>
      <x:c r="T63" s="2" t="str">
        <x:v>Country averages and dated observations do not establish Olam customers, effective access, costs or returns. No imputation.</x:v>
      </x:c>
      <x:c r="U63" s="2" t="str">
        <x:v>No conflicting series substituted; definitions/vintage retained. Unknowns stay unknown.</x:v>
      </x:c>
      <x:c r="V63" s="2" t="str"/>
      <x:c r="W63" s="2" t="str"/>
      <x:c r="X63" s="2" t="str">
        <x:v>Country driver / model-method context, not investment calibration</x:v>
      </x:c>
      <x:c r="Y63" s="2" t="str">
        <x:v>Public primary evidence; retrieval outcome in manifest. Blocked full downloads are not described as inspected.</x:v>
      </x:c>
      <x:c r="Z63" s="2" t="str">
        <x:v>Cite/link the issuing source; permitted statistical extracts retained with checksum where available. No claim of unrestricted report redistribution.</x:v>
      </x:c>
      <x:c r="AA63" s="2" t="str">
        <x:v>a33a1ba0de8adb3f6da3ef4fa0e4eb07a31099cf112a8ce72bdc7a18c6a5e533</x:v>
      </x:c>
    </x:row>
    <x:row r="64" ht="65" customHeight="1">
      <x:c r="A64" s="2" t="str">
        <x:v>WB_irrigated_land</x:v>
      </x:c>
      <x:c r="B64" s="2" t="str">
        <x:v>World Bank WDI: Agricultural irrigated land (% of total agricultural land)</x:v>
      </x:c>
      <x:c r="C64" s="2" t="str">
        <x:v>World Bank; WDI compiler, underlying national/institutional sources in indicator metadata</x:v>
      </x:c>
      <x:c r="D64" s="2" t="str">
        <x:v>Undated page / exact publication date not verified</x:v>
      </x:c>
      <x:c r="E64" s="2" t="str">
        <x:v>2000–2025; available years differ</x:v>
      </x:c>
      <x:c r="F64" s="2" t="str">
        <x:v>2026-10-08</x:v>
      </x:c>
      <x:c r="G64" s="2" t="str">
        <x:v>https://data.worldbank.org/indicator/AG.LND.IRIG.AG.ZS</x:v>
      </x:c>
      <x:c r="H64" s="2" t="str">
        <x:v>https://api.worldbank.org/v2/country/all/indicator/AG.LND.IRIG.AG.ZS?date=2000:2025&amp;format=json&amp;per_page=20000</x:v>
      </x:c>
      <x:c r="I64" s="2" t="str">
        <x:v>Country ISO3/year; 195-country universe, non-country aggregates excluded</x:v>
      </x:c>
      <x:c r="J64" s="2" t="str">
        <x:v>Agricultural irrigated land (% of total agricultural land)</x:v>
      </x:c>
      <x:c r="K64" s="2" t="str">
        <x:v>No conversion unless a calculation explicitly provides it</x:v>
      </x:c>
      <x:c r="L64" s="2" t="str">
        <x:v>Series AG.LND.IRIG.AG.ZS; country ISO3/year records; latest non-missing observation; data vintage 2026-07-13</x:v>
      </x:c>
      <x:c r="M64" s="2" t="str">
        <x:v>Not applicable for web/API; PDF pinpoint retained, further page attribution not verified</x:v>
      </x:c>
      <x:c r="N64" s="2" t="str">
        <x:v>Not applicable / not independently verified</x:v>
      </x:c>
      <x:c r="O64" s="2" t="str">
        <x:v>AG.LND.IRIG.AG.ZS</x:v>
      </x:c>
      <x:c r="P64" s="2" t="str">
        <x:v>https://api.worldbank.org/v2/country/all/indicator/AG.LND.IRIG.AG.ZS?date=2000:2025&amp;format=json&amp;per_page=20000</x:v>
      </x:c>
      <x:c r="Q64" s="2" t="str">
        <x:v>ISO3 in membership-verification.csv; year 2000–2025; latest non-null, no imputation</x:v>
      </x:c>
      <x:c r="R64" s="2" t="d">
        <x:v>2026-10-08T02:15:08.620Z</x:v>
      </x:c>
      <x:c r="S64" s="2" t="str">
        <x:v>Proxy observation</x:v>
      </x:c>
      <x:c r="T64" s="2" t="str">
        <x:v>Country averages and dated observations do not establish Olam customers, effective access, costs or returns. No imputation.</x:v>
      </x:c>
      <x:c r="U64" s="2" t="str">
        <x:v>No conflicting series substituted; definitions/vintage retained. Unknowns stay unknown.</x:v>
      </x:c>
      <x:c r="V64" s="2" t="str">
        <x:v>country-driver-audit</x:v>
      </x:c>
      <x:c r="W64" s="2" t="str"/>
      <x:c r="X64" s="2" t="str">
        <x:v>CL-country-driver-audit-headline;CL-country-driver-audit-body1;CL-country-driver-audit-body2;CL-country-driver-audit-body3</x:v>
      </x:c>
      <x:c r="Y64" s="2" t="str">
        <x:v>Public primary evidence; retrieval outcome in manifest. Blocked full downloads are not described as inspected.</x:v>
      </x:c>
      <x:c r="Z64" s="2" t="str">
        <x:v>Cite/link the issuing source; permitted statistical extracts retained with checksum where available. No claim of unrestricted report redistribution.</x:v>
      </x:c>
      <x:c r="AA64" s="2" t="str">
        <x:v>1bdd0c0966bf876c4953649012663356c87c3e105e2c0e11feeff517fc918ba2</x:v>
      </x:c>
    </x:row>
    <x:row r="65" ht="65" customHeight="1">
      <x:c r="A65" s="2" t="str">
        <x:v>WB_cereal_area</x:v>
      </x:c>
      <x:c r="B65" s="2" t="str">
        <x:v>World Bank WDI: Land under cereal production (hectares)</x:v>
      </x:c>
      <x:c r="C65" s="2" t="str">
        <x:v>World Bank; WDI compiler, underlying national/institutional sources in indicator metadata</x:v>
      </x:c>
      <x:c r="D65" s="2" t="str">
        <x:v>Undated page / exact publication date not verified</x:v>
      </x:c>
      <x:c r="E65" s="2" t="str">
        <x:v>2000–2025; available years differ</x:v>
      </x:c>
      <x:c r="F65" s="2" t="str">
        <x:v>2026-10-08</x:v>
      </x:c>
      <x:c r="G65" s="2" t="str">
        <x:v>https://data.worldbank.org/indicator/AG.LND.CREL.HA</x:v>
      </x:c>
      <x:c r="H65" s="2" t="str">
        <x:v>https://api.worldbank.org/v2/country/all/indicator/AG.LND.CREL.HA?date=2000:2025&amp;format=json&amp;per_page=20000</x:v>
      </x:c>
      <x:c r="I65" s="2" t="str">
        <x:v>Country ISO3/year; 195-country universe, non-country aggregates excluded</x:v>
      </x:c>
      <x:c r="J65" s="2" t="str">
        <x:v>Land under cereal production (hectares)</x:v>
      </x:c>
      <x:c r="K65" s="2" t="str">
        <x:v>No conversion unless a calculation explicitly provides it</x:v>
      </x:c>
      <x:c r="L65" s="2" t="str">
        <x:v>Series AG.LND.CREL.HA; country ISO3/year records; latest non-missing observation; data vintage 2026-07-13</x:v>
      </x:c>
      <x:c r="M65" s="2" t="str">
        <x:v>Not applicable for web/API; PDF pinpoint retained, further page attribution not verified</x:v>
      </x:c>
      <x:c r="N65" s="2" t="str">
        <x:v>Not applicable / not independently verified</x:v>
      </x:c>
      <x:c r="O65" s="2" t="str">
        <x:v>AG.LND.CREL.HA</x:v>
      </x:c>
      <x:c r="P65" s="2" t="str">
        <x:v>https://api.worldbank.org/v2/country/all/indicator/AG.LND.CREL.HA?date=2000:2025&amp;format=json&amp;per_page=20000</x:v>
      </x:c>
      <x:c r="Q65" s="2" t="str">
        <x:v>ISO3 in membership-verification.csv; year 2000–2025; latest non-null, no imputation</x:v>
      </x:c>
      <x:c r="R65" s="2" t="d">
        <x:v>2026-10-08T02:15:08.621Z</x:v>
      </x:c>
      <x:c r="S65" s="2" t="str">
        <x:v>Proxy observation</x:v>
      </x:c>
      <x:c r="T65" s="2" t="str">
        <x:v>Country averages and dated observations do not establish Olam customers, effective access, costs or returns. No imputation.</x:v>
      </x:c>
      <x:c r="U65" s="2" t="str">
        <x:v>No conflicting series substituted; definitions/vintage retained. Unknowns stay unknown.</x:v>
      </x:c>
      <x:c r="V65" s="2" t="str"/>
      <x:c r="W65" s="2" t="str"/>
      <x:c r="X65" s="2" t="str">
        <x:v>Country driver / model-method context, not investment calibration</x:v>
      </x:c>
      <x:c r="Y65" s="2" t="str">
        <x:v>Public primary evidence; retrieval outcome in manifest. Blocked full downloads are not described as inspected.</x:v>
      </x:c>
      <x:c r="Z65" s="2" t="str">
        <x:v>Cite/link the issuing source; permitted statistical extracts retained with checksum where available. No claim of unrestricted report redistribution.</x:v>
      </x:c>
      <x:c r="AA65" s="2" t="str">
        <x:v>9584661d5260becf77ae7506c785743c44c701cb7ae37e8bee381712188ac83f</x:v>
      </x:c>
    </x:row>
    <x:row r="66" ht="65" customHeight="1">
      <x:c r="A66" s="2" t="str">
        <x:v>WB_undernourishment</x:v>
      </x:c>
      <x:c r="B66" s="2" t="str">
        <x:v>World Bank WDI: Prevalence of undernourishment (% of population)</x:v>
      </x:c>
      <x:c r="C66" s="2" t="str">
        <x:v>World Bank; WDI compiler, underlying national/institutional sources in indicator metadata</x:v>
      </x:c>
      <x:c r="D66" s="2" t="str">
        <x:v>Undated page / exact publication date not verified</x:v>
      </x:c>
      <x:c r="E66" s="2" t="str">
        <x:v>2000–2025; available years differ</x:v>
      </x:c>
      <x:c r="F66" s="2" t="str">
        <x:v>2026-10-08</x:v>
      </x:c>
      <x:c r="G66" s="2" t="str">
        <x:v>https://data.worldbank.org/indicator/SN.ITK.DEFC.ZS</x:v>
      </x:c>
      <x:c r="H66" s="2" t="str">
        <x:v>https://api.worldbank.org/v2/country/all/indicator/SN.ITK.DEFC.ZS?date=2000:2025&amp;format=json&amp;per_page=20000</x:v>
      </x:c>
      <x:c r="I66" s="2" t="str">
        <x:v>Country ISO3/year; 195-country universe, non-country aggregates excluded</x:v>
      </x:c>
      <x:c r="J66" s="2" t="str">
        <x:v>Prevalence of undernourishment (% of population)</x:v>
      </x:c>
      <x:c r="K66" s="2" t="str">
        <x:v>No conversion unless a calculation explicitly provides it</x:v>
      </x:c>
      <x:c r="L66" s="2" t="str">
        <x:v>Series SN.ITK.DEFC.ZS; country ISO3/year records; latest non-missing observation; data vintage 2026-07-13</x:v>
      </x:c>
      <x:c r="M66" s="2" t="str">
        <x:v>Not applicable for web/API; PDF pinpoint retained, further page attribution not verified</x:v>
      </x:c>
      <x:c r="N66" s="2" t="str">
        <x:v>Not applicable / not independently verified</x:v>
      </x:c>
      <x:c r="O66" s="2" t="str">
        <x:v>SN.ITK.DEFC.ZS</x:v>
      </x:c>
      <x:c r="P66" s="2" t="str">
        <x:v>https://api.worldbank.org/v2/country/all/indicator/SN.ITK.DEFC.ZS?date=2000:2025&amp;format=json&amp;per_page=20000</x:v>
      </x:c>
      <x:c r="Q66" s="2" t="str">
        <x:v>ISO3 in membership-verification.csv; year 2000–2025; latest non-null, no imputation</x:v>
      </x:c>
      <x:c r="R66" s="2" t="d">
        <x:v>2026-10-08T02:15:08.622Z</x:v>
      </x:c>
      <x:c r="S66" s="2" t="str">
        <x:v>Proxy observation</x:v>
      </x:c>
      <x:c r="T66" s="2" t="str">
        <x:v>Country averages and dated observations do not establish Olam customers, effective access, costs or returns. No imputation.</x:v>
      </x:c>
      <x:c r="U66" s="2" t="str">
        <x:v>No conflicting series substituted; definitions/vintage retained. Unknowns stay unknown.</x:v>
      </x:c>
      <x:c r="V66" s="2" t="str"/>
      <x:c r="W66" s="2" t="str"/>
      <x:c r="X66" s="2" t="str">
        <x:v>Country driver / model-method context, not investment calibration</x:v>
      </x:c>
      <x:c r="Y66" s="2" t="str">
        <x:v>Public primary evidence; retrieval outcome in manifest. Blocked full downloads are not described as inspected.</x:v>
      </x:c>
      <x:c r="Z66" s="2" t="str">
        <x:v>Cite/link the issuing source; permitted statistical extracts retained with checksum where available. No claim of unrestricted report redistribution.</x:v>
      </x:c>
      <x:c r="AA66" s="2" t="str">
        <x:v>667b3da873e2059cf2241aabfecb500ca6ebac6ef044bfa1e9e6e3a998067fe5</x:v>
      </x:c>
    </x:row>
    <x:row r="67" ht="65" customHeight="1">
      <x:c r="A67" s="2" t="str">
        <x:v>WB_agriculture_employment</x:v>
      </x:c>
      <x:c r="B67" s="2" t="str">
        <x:v>World Bank WDI: Employment in agriculture (% of total employment) (modeled ILO estimate)</x:v>
      </x:c>
      <x:c r="C67" s="2" t="str">
        <x:v>World Bank; WDI compiler, underlying national/institutional sources in indicator metadata</x:v>
      </x:c>
      <x:c r="D67" s="2" t="str">
        <x:v>Undated page / exact publication date not verified</x:v>
      </x:c>
      <x:c r="E67" s="2" t="str">
        <x:v>2000–2025; available years differ</x:v>
      </x:c>
      <x:c r="F67" s="2" t="str">
        <x:v>2026-10-08</x:v>
      </x:c>
      <x:c r="G67" s="2" t="str">
        <x:v>https://data.worldbank.org/indicator/SL.AGR.EMPL.ZS</x:v>
      </x:c>
      <x:c r="H67" s="2" t="str">
        <x:v>https://api.worldbank.org/v2/country/all/indicator/SL.AGR.EMPL.ZS?date=2000:2025&amp;format=json&amp;per_page=20000</x:v>
      </x:c>
      <x:c r="I67" s="2" t="str">
        <x:v>Country ISO3/year; 195-country universe, non-country aggregates excluded</x:v>
      </x:c>
      <x:c r="J67" s="2" t="str">
        <x:v>Employment in agriculture (% of total employment) (modeled ILO estimate)</x:v>
      </x:c>
      <x:c r="K67" s="2" t="str">
        <x:v>No conversion unless a calculation explicitly provides it</x:v>
      </x:c>
      <x:c r="L67" s="2" t="str">
        <x:v>Series SL.AGR.EMPL.ZS; country ISO3/year records; latest non-missing observation; data vintage 2026-07-13</x:v>
      </x:c>
      <x:c r="M67" s="2" t="str">
        <x:v>Not applicable for web/API; PDF pinpoint retained, further page attribution not verified</x:v>
      </x:c>
      <x:c r="N67" s="2" t="str">
        <x:v>Not applicable / not independently verified</x:v>
      </x:c>
      <x:c r="O67" s="2" t="str">
        <x:v>SL.AGR.EMPL.ZS</x:v>
      </x:c>
      <x:c r="P67" s="2" t="str">
        <x:v>https://api.worldbank.org/v2/country/all/indicator/SL.AGR.EMPL.ZS?date=2000:2025&amp;format=json&amp;per_page=20000</x:v>
      </x:c>
      <x:c r="Q67" s="2" t="str">
        <x:v>ISO3 in membership-verification.csv; year 2000–2025; latest non-null, no imputation</x:v>
      </x:c>
      <x:c r="R67" s="2" t="d">
        <x:v>2026-10-08T02:15:08.622Z</x:v>
      </x:c>
      <x:c r="S67" s="2" t="str">
        <x:v>Proxy observation</x:v>
      </x:c>
      <x:c r="T67" s="2" t="str">
        <x:v>Country averages and dated observations do not establish Olam customers, effective access, costs or returns. No imputation.</x:v>
      </x:c>
      <x:c r="U67" s="2" t="str">
        <x:v>No conflicting series substituted; definitions/vintage retained. Unknowns stay unknown.</x:v>
      </x:c>
      <x:c r="V67" s="2" t="str"/>
      <x:c r="W67" s="2" t="str"/>
      <x:c r="X67" s="2" t="str">
        <x:v>Country driver / model-method context, not investment calibration</x:v>
      </x:c>
      <x:c r="Y67" s="2" t="str">
        <x:v>Public primary evidence; retrieval outcome in manifest. Blocked full downloads are not described as inspected.</x:v>
      </x:c>
      <x:c r="Z67" s="2" t="str">
        <x:v>Cite/link the issuing source; permitted statistical extracts retained with checksum where available. No claim of unrestricted report redistribution.</x:v>
      </x:c>
      <x:c r="AA67" s="2" t="str">
        <x:v>41d7d5f036440df191a7048fb32b61a9e82058ff32efeddba36bb4dc3051ceb5</x:v>
      </x:c>
    </x:row>
    <x:row r="68" ht="65" customHeight="1">
      <x:c r="A68" s="2" t="str">
        <x:v>WB_water_withdrawal</x:v>
      </x:c>
      <x:c r="B68" s="2" t="str">
        <x:v>World Bank WDI: Annual freshwater withdrawals, total (% of internal resources)</x:v>
      </x:c>
      <x:c r="C68" s="2" t="str">
        <x:v>World Bank; WDI compiler, underlying national/institutional sources in indicator metadata</x:v>
      </x:c>
      <x:c r="D68" s="2" t="str">
        <x:v>Undated page / exact publication date not verified</x:v>
      </x:c>
      <x:c r="E68" s="2" t="str">
        <x:v>2000–2025; available years differ</x:v>
      </x:c>
      <x:c r="F68" s="2" t="str">
        <x:v>2026-10-08</x:v>
      </x:c>
      <x:c r="G68" s="2" t="str">
        <x:v>https://data.worldbank.org/indicator/ER.H2O.FWTL.ZS</x:v>
      </x:c>
      <x:c r="H68" s="2" t="str">
        <x:v>https://api.worldbank.org/v2/country/all/indicator/ER.H2O.FWTL.ZS?date=2000:2025&amp;format=json&amp;per_page=20000</x:v>
      </x:c>
      <x:c r="I68" s="2" t="str">
        <x:v>Country ISO3/year; 195-country universe, non-country aggregates excluded</x:v>
      </x:c>
      <x:c r="J68" s="2" t="str">
        <x:v>Annual freshwater withdrawals, total (% of internal resources)</x:v>
      </x:c>
      <x:c r="K68" s="2" t="str">
        <x:v>No conversion unless a calculation explicitly provides it</x:v>
      </x:c>
      <x:c r="L68" s="2" t="str">
        <x:v>Series ER.H2O.FWTL.ZS; country ISO3/year records; latest non-missing observation; data vintage 2026-07-13</x:v>
      </x:c>
      <x:c r="M68" s="2" t="str">
        <x:v>Not applicable for web/API; PDF pinpoint retained, further page attribution not verified</x:v>
      </x:c>
      <x:c r="N68" s="2" t="str">
        <x:v>Not applicable / not independently verified</x:v>
      </x:c>
      <x:c r="O68" s="2" t="str">
        <x:v>ER.H2O.FWTL.ZS</x:v>
      </x:c>
      <x:c r="P68" s="2" t="str">
        <x:v>https://api.worldbank.org/v2/country/all/indicator/ER.H2O.FWTL.ZS?date=2000:2025&amp;format=json&amp;per_page=20000</x:v>
      </x:c>
      <x:c r="Q68" s="2" t="str">
        <x:v>ISO3 in membership-verification.csv; year 2000–2025; latest non-null, no imputation</x:v>
      </x:c>
      <x:c r="R68" s="2" t="d">
        <x:v>2026-10-08T02:15:08.623Z</x:v>
      </x:c>
      <x:c r="S68" s="2" t="str">
        <x:v>Proxy observation</x:v>
      </x:c>
      <x:c r="T68" s="2" t="str">
        <x:v>Country averages and dated observations do not establish Olam customers, effective access, costs or returns. No imputation.</x:v>
      </x:c>
      <x:c r="U68" s="2" t="str">
        <x:v>No conflicting series substituted; definitions/vintage retained. Unknowns stay unknown.</x:v>
      </x:c>
      <x:c r="V68" s="2" t="str"/>
      <x:c r="W68" s="2" t="str"/>
      <x:c r="X68" s="2" t="str">
        <x:v>Country driver / model-method context, not investment calibration</x:v>
      </x:c>
      <x:c r="Y68" s="2" t="str">
        <x:v>Public primary evidence; retrieval outcome in manifest. Blocked full downloads are not described as inspected.</x:v>
      </x:c>
      <x:c r="Z68" s="2" t="str">
        <x:v>Cite/link the issuing source; permitted statistical extracts retained with checksum where available. No claim of unrestricted report redistribution.</x:v>
      </x:c>
      <x:c r="AA68" s="2" t="str">
        <x:v>fb6e9d20f209425e33e32745aa4b9f0c4758cce2a3cd691ba18ac419ddcce400</x:v>
      </x:c>
    </x:row>
    <x:row r="69" ht="65" customHeight="1">
      <x:c r="A69" s="2" t="str">
        <x:v>ADM_2025</x:v>
      </x:c>
      <x:c r="B69" s="2" t="str">
        <x:v>ADM 2025 Form 10-K</x:v>
      </x:c>
      <x:c r="C69" s="2" t="str">
        <x:v>ADM / SEC; company issuer and filing repository</x:v>
      </x:c>
      <x:c r="D69" s="2" t="str">
        <x:v>2026-02; exact filing day not independently extracted</x:v>
      </x:c>
      <x:c r="E69" s="2" t="str">
        <x:v>2025</x:v>
      </x:c>
      <x:c r="F69" s="2" t="str">
        <x:v>2026-10-08</x:v>
      </x:c>
      <x:c r="G69" s="2" t="str">
        <x:v>https://www.sec.gov/Archives/edgar/data/7084/000000708426000011/adm-20251231.htm</x:v>
      </x:c>
      <x:c r="H69" s="2" t="str">
        <x:v>https://www.sec.gov/Archives/edgar/data/7084/000000708426000011/adm-20251231.htm</x:v>
      </x:c>
      <x:c r="I69" s="2" t="str">
        <x:v>Country/product/entity scope stated at pinpoint; no cross-perimeter transfer</x:v>
      </x:c>
      <x:c r="J69" s="2" t="str">
        <x:v>See source definition; no currency conversion or financial calibration inferred</x:v>
      </x:c>
      <x:c r="K69" s="2" t="str">
        <x:v>No conversion unless a calculation explicitly provides it</x:v>
      </x:c>
      <x:c r="L69" s="2" t="str">
        <x:v>Part I: Competition and Seasonality, Working Capital Needs; printed pp.7–8 and risk factors pp.16–18</x:v>
      </x:c>
      <x:c r="M69" s="2" t="str">
        <x:v>Not applicable for web/API; PDF pinpoint retained, further page attribution not verified</x:v>
      </x:c>
      <x:c r="N69" s="2" t="str">
        <x:v>Not applicable / not independently verified</x:v>
      </x:c>
      <x:c r="O69" s="2" t="str">
        <x:v>Not applicable / not verified</x:v>
      </x:c>
      <x:c r="P69" s="2" t="str">
        <x:v>Not applicable / not verified</x:v>
      </x:c>
      <x:c r="Q69" s="2" t="str">
        <x:v>Document sections at pinpoint</x:v>
      </x:c>
      <x:c r="R69" s="2" t="str">
        <x:v>2026-10-08; exact timestamp not separately recorded</x:v>
      </x:c>
      <x:c r="S69" s="2" t="str">
        <x:v>Direct disclosure or original methodology; scope limitations apply</x:v>
      </x:c>
      <x:c r="T69" s="2" t="str">
        <x:v>Public disclosure supports rival mechanisms; no country/category shares or comparable Olam margin</x:v>
      </x:c>
      <x:c r="U69" s="2" t="str">
        <x:v>No conflicting series substituted; definitions/vintage retained. Unknowns stay unknown.</x:v>
      </x:c>
      <x:c r="V69" s="2" t="str">
        <x:v>competitive-baseline</x:v>
      </x:c>
      <x:c r="W69" s="2" t="str"/>
      <x:c r="X69" s="2" t="str">
        <x:v>CL-competitive-baseline-headline;CL-competitive-baseline-table_row1;CL-competitive-baseline-table_row2;CL-competitive-baseline-table_row3;CL-competitive-baseline-table_row4</x:v>
      </x:c>
      <x:c r="Y69" s="2" t="str">
        <x:v>Underlying public page opened and inspected through research browser; full report not redistributed</x:v>
      </x:c>
      <x:c r="Z69" s="2" t="str">
        <x:v>Cite/link the issuing source; permitted statistical extracts retained with checksum where available. No claim of unrestricted report redistribution.</x:v>
      </x:c>
      <x:c r="AA69" s="2" t="str">
        <x:v>Not applicable / not verified</x:v>
      </x:c>
    </x:row>
    <x:row r="70" ht="65" customHeight="1">
      <x:c r="A70" s="2" t="str">
        <x:v>CARGILL_2026</x:v>
      </x:c>
      <x:c r="B70" s="2" t="str">
        <x:v>Cargill Annual Report 2026: Grow Forward</x:v>
      </x:c>
      <x:c r="C70" s="2" t="str">
        <x:v>Cargill; company issuer</x:v>
      </x:c>
      <x:c r="D70" s="2" t="str">
        <x:v>2026; exact publication day not stated on inspected page</x:v>
      </x:c>
      <x:c r="E70" s="2" t="str">
        <x:v>2026 report</x:v>
      </x:c>
      <x:c r="F70" s="2" t="str">
        <x:v>2026-10-08</x:v>
      </x:c>
      <x:c r="G70" s="2" t="str">
        <x:v>https://www.cargill.com/about/2026-annual-report</x:v>
      </x:c>
      <x:c r="H70" s="2" t="str">
        <x:v>https://www.cargill.com/about/2026-annual-report</x:v>
      </x:c>
      <x:c r="I70" s="2" t="str">
        <x:v>Country/product/entity scope stated at pinpoint; no cross-perimeter transfer</x:v>
      </x:c>
      <x:c r="J70" s="2" t="str">
        <x:v>See source definition; no currency conversion or financial calibration inferred</x:v>
      </x:c>
      <x:c r="K70" s="2" t="str">
        <x:v>No conversion unless a calculation explicitly provides it</x:v>
      </x:c>
      <x:c r="L70" s="2" t="str">
        <x:v>Opening summary; helping farmers/customers/people grow</x:v>
      </x:c>
      <x:c r="M70" s="2" t="str">
        <x:v>Not applicable for web/API; PDF pinpoint retained, further page attribution not verified</x:v>
      </x:c>
      <x:c r="N70" s="2" t="str">
        <x:v>Not applicable / not independently verified</x:v>
      </x:c>
      <x:c r="O70" s="2" t="str">
        <x:v>Not applicable / not verified</x:v>
      </x:c>
      <x:c r="P70" s="2" t="str">
        <x:v>Not applicable / not verified</x:v>
      </x:c>
      <x:c r="Q70" s="2" t="str">
        <x:v>Document sections at pinpoint</x:v>
      </x:c>
      <x:c r="R70" s="2" t="str">
        <x:v>2026-10-08; exact timestamp not separately recorded</x:v>
      </x:c>
      <x:c r="S70" s="2" t="str">
        <x:v>Direct disclosure or original methodology; scope limitations apply</x:v>
      </x:c>
      <x:c r="T70" s="2" t="str">
        <x:v>Corporate positioning is self-reported. No audited comparable EBIT or local market shares used</x:v>
      </x:c>
      <x:c r="U70" s="2" t="str">
        <x:v>No conflicting series substituted; definitions/vintage retained. Unknowns stay unknown.</x:v>
      </x:c>
      <x:c r="V70" s="2" t="str">
        <x:v>competitive-baseline</x:v>
      </x:c>
      <x:c r="W70" s="2" t="str"/>
      <x:c r="X70" s="2" t="str">
        <x:v>CL-competitive-baseline-headline;CL-competitive-baseline-table_row1;CL-competitive-baseline-table_row2;CL-competitive-baseline-table_row3;CL-competitive-baseline-table_row4</x:v>
      </x:c>
      <x:c r="Y70" s="2" t="str">
        <x:v>Underlying public page opened and inspected through research browser; full report not redistributed</x:v>
      </x:c>
      <x:c r="Z70" s="2" t="str">
        <x:v>Cite/link the issuing source; permitted statistical extracts retained with checksum where available. No claim of unrestricted report redistribution.</x:v>
      </x:c>
      <x:c r="AA70" s="2" t="str">
        <x:v>Not applicable / not verified</x:v>
      </x:c>
    </x:row>
    <x:row r="71" ht="65" customHeight="1">
      <x:c r="A71" s="2" t="str">
        <x:v>BUNGE_VITERRA</x:v>
      </x:c>
      <x:c r="B71" s="2" t="str">
        <x:v>Bunge and Viterra complete merger</x:v>
      </x:c>
      <x:c r="C71" s="2" t="str">
        <x:v>Bunge/Viterra; company issuer</x:v>
      </x:c>
      <x:c r="D71" s="2" t="str">
        <x:v>2025-07-02</x:v>
      </x:c>
      <x:c r="E71" s="2" t="str">
        <x:v>Merger completed 2025-07-02</x:v>
      </x:c>
      <x:c r="F71" s="2" t="str">
        <x:v>2026-10-08</x:v>
      </x:c>
      <x:c r="G71" s="2" t="str">
        <x:v>https://www.viterra.com/Media/News/bunge-and-viterra-complete-merger-to-create-premier-global-agribusiness-solutions-company</x:v>
      </x:c>
      <x:c r="H71" s="2" t="str">
        <x:v>https://www.viterra.com/Media/News/bunge-and-viterra-complete-merger-to-create-premier-global-agribusiness-solutions-company</x:v>
      </x:c>
      <x:c r="I71" s="2" t="str">
        <x:v>Country/product/entity scope stated at pinpoint; no cross-perimeter transfer</x:v>
      </x:c>
      <x:c r="J71" s="2" t="str">
        <x:v>See source definition; no currency conversion or financial calibration inferred</x:v>
      </x:c>
      <x:c r="K71" s="2" t="str">
        <x:v>No conversion unless a calculation explicitly provides it</x:v>
      </x:c>
      <x:c r="L71" s="2" t="str">
        <x:v>Date and opening paragraph; strategic benefits are management expectations</x:v>
      </x:c>
      <x:c r="M71" s="2" t="str">
        <x:v>Not applicable for web/API; PDF pinpoint retained, further page attribution not verified</x:v>
      </x:c>
      <x:c r="N71" s="2" t="str">
        <x:v>Not applicable / not independently verified</x:v>
      </x:c>
      <x:c r="O71" s="2" t="str">
        <x:v>Not applicable / not verified</x:v>
      </x:c>
      <x:c r="P71" s="2" t="str">
        <x:v>Not applicable / not verified</x:v>
      </x:c>
      <x:c r="Q71" s="2" t="str">
        <x:v>Document sections at pinpoint</x:v>
      </x:c>
      <x:c r="R71" s="2" t="str">
        <x:v>2026-10-08; exact timestamp not separately recorded</x:v>
      </x:c>
      <x:c r="S71" s="2" t="str">
        <x:v>Direct disclosure or original methodology; scope limitations apply</x:v>
      </x:c>
      <x:c r="T71" s="2" t="str">
        <x:v>Count as a combined competitive network after closing; projected synergies are not realized Olam synergies</x:v>
      </x:c>
      <x:c r="U71" s="2" t="str">
        <x:v>No conflicting series substituted; definitions/vintage retained. Unknowns stay unknown.</x:v>
      </x:c>
      <x:c r="V71" s="2" t="str">
        <x:v>competitive-baseline</x:v>
      </x:c>
      <x:c r="W71" s="2" t="str"/>
      <x:c r="X71" s="2" t="str">
        <x:v>CL-competitive-baseline-headline;CL-competitive-baseline-table_row1;CL-competitive-baseline-table_row2;CL-competitive-baseline-table_row3;CL-competitive-baseline-table_row4</x:v>
      </x:c>
      <x:c r="Y71" s="2" t="str">
        <x:v>Underlying public page opened and inspected through research browser; full report not redistributed</x:v>
      </x:c>
      <x:c r="Z71" s="2" t="str">
        <x:v>Cite/link the issuing source; permitted statistical extracts retained with checksum where available. No claim of unrestricted report redistribution.</x:v>
      </x:c>
      <x:c r="AA71" s="2" t="str">
        <x:v>Not applicable / not verified</x:v>
      </x:c>
    </x:row>
    <x:row r="72" ht="65" customHeight="1">
      <x:c r="A72" s="2" t="str">
        <x:v>PPML_METHOD</x:v>
      </x:c>
      <x:c r="B72" s="2" t="str">
        <x:v>Santos Silva and Tenreyro: The Log of Gravity author resource</x:v>
      </x:c>
      <x:c r="C72" s="2" t="str">
        <x:v>João Santos Silva and Silvana Tenreyro; original research authors, LSE author repository</x:v>
      </x:c>
      <x:c r="D72" s="2" t="str">
        <x:v>2006 paper; resource page update date unstated</x:v>
      </x:c>
      <x:c r="E72" s="2" t="str">
        <x:v>Method and original research, not an Olam dataset</x:v>
      </x:c>
      <x:c r="F72" s="2" t="str">
        <x:v>2026-10-08</x:v>
      </x:c>
      <x:c r="G72" s="2" t="str">
        <x:v>https://personal.lse.ac.uk/tenreyro/LGW.html</x:v>
      </x:c>
      <x:c r="H72" s="2" t="str">
        <x:v>https://personal.lse.ac.uk/tenreyro/LGW.html</x:v>
      </x:c>
      <x:c r="I72" s="2" t="str">
        <x:v>Country/product/entity scope stated at pinpoint; no cross-perimeter transfer</x:v>
      </x:c>
      <x:c r="J72" s="2" t="str">
        <x:v>See source definition; no currency conversion or financial calibration inferred</x:v>
      </x:c>
      <x:c r="K72" s="2" t="str">
        <x:v>No conversion unless a calculation explicitly provides it</x:v>
      </x:c>
      <x:c r="L72" s="2" t="str">
        <x:v>Reference, Summary, implementation and FAQs; published paper Review of Economics and Statistics88(4),641–658</x:v>
      </x:c>
      <x:c r="M72" s="2" t="str">
        <x:v>Not applicable for web/API; PDF pinpoint retained, further page attribution not verified</x:v>
      </x:c>
      <x:c r="N72" s="2" t="str">
        <x:v>Not applicable / not independently verified</x:v>
      </x:c>
      <x:c r="O72" s="2" t="str">
        <x:v>Not applicable / not verified</x:v>
      </x:c>
      <x:c r="P72" s="2" t="str">
        <x:v>Not applicable / not verified</x:v>
      </x:c>
      <x:c r="Q72" s="2" t="str">
        <x:v>Document sections at pinpoint</x:v>
      </x:c>
      <x:c r="R72" s="2" t="str">
        <x:v>2026-10-08; exact timestamp not separately recorded</x:v>
      </x:c>
      <x:c r="S72" s="2" t="str">
        <x:v>Original method author documentation, not estimated country parameters</x:v>
      </x:c>
      <x:c r="T72" s="2" t="str">
        <x:v>Author page inspected; PPML is an appropriate conditional trade module, not estimated in this package</x:v>
      </x:c>
      <x:c r="U72" s="2" t="str">
        <x:v>No conflicting series substituted; definitions/vintage retained. Unknowns stay unknown.</x:v>
      </x:c>
      <x:c r="V72" s="2" t="str"/>
      <x:c r="W72" s="2" t="str"/>
      <x:c r="X72" s="2" t="str">
        <x:v>Country driver / model-method context, not investment calibration</x:v>
      </x:c>
      <x:c r="Y72" s="2" t="str">
        <x:v>Primary author resource opened and inspected8 October2026; paper links supplied, full paper download not separately archived</x:v>
      </x:c>
      <x:c r="Z72" s="2" t="str">
        <x:v>Cite/link the issuing source; permitted statistical extracts retained with checksum where available. No claim of unrestricted report redistribution.</x:v>
      </x:c>
      <x:c r="AA72" s="2" t="str">
        <x:v>Not applicable / not verified</x:v>
      </x:c>
    </x:row>
  </x:sheetData>
  <x:mergeCells>
    <x:mergeCell ref="A1:AA1"/>
    <x:mergeCell ref="A2:AA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60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</x:cols>
  <x:sheetData>
    <x:row r="1" ht="42" customHeight="1">
      <x:c r="A1" s="5" t="str">
        <x:v>Claims / v1.1.0</x:v>
      </x:c>
      <x:c r="B1" s="2"/>
      <x:c r="C1" s="2"/>
      <x:c r="D1" s="2"/>
      <x:c r="E1" s="2"/>
      <x:c r="F1" s="2"/>
      <x:c r="G1" s="2"/>
    </x:row>
    <x:row r="2" ht="42" customHeight="1">
      <x:c r="A2" s="2" t="str">
        <x:v>Public evidence + chosen examples; no Olam internal investment valuation</x:v>
      </x:c>
      <x:c r="B2" s="2"/>
      <x:c r="C2" s="2"/>
      <x:c r="D2" s="2"/>
      <x:c r="E2" s="2"/>
      <x:c r="F2" s="2"/>
      <x:c r="G2" s="2"/>
    </x:row>
    <x:row r="3" ht="55" customHeight="1">
      <x:c r="A3" s="4" t="str">
        <x:v>ID</x:v>
      </x:c>
      <x:c r="B3" s="4" t="str">
        <x:v>Slide</x:v>
      </x:c>
      <x:c r="C3" s="4" t="str">
        <x:v>Claim</x:v>
      </x:c>
      <x:c r="D3" s="4" t="str">
        <x:v>Class</x:v>
      </x:c>
      <x:c r="E3" s="4" t="str">
        <x:v>Sources</x:v>
      </x:c>
      <x:c r="F3" s="4" t="str">
        <x:v>Assumptions</x:v>
      </x:c>
      <x:c r="G3" s="4" t="str">
        <x:v>Calculation</x:v>
      </x:c>
    </x:row>
    <x:row r="4" ht="55" customHeight="1">
      <x:c r="A4" s="2" t="str">
        <x:v>CL-global-cover-headline</x:v>
      </x:c>
      <x:c r="B4" s="2" t="n">
        <x:v>1</x:v>
      </x:c>
      <x:c r="C4" s="2" t="str">
        <x:v>Commit first to customer proof, route cash and adaptable capacity.</x:v>
      </x:c>
      <x:c r="D4" s="2" t="str">
        <x:v>Recommendation</x:v>
      </x:c>
      <x:c r="E4" s="2" t="str">
        <x:v>CO_FACT;BASELINE</x:v>
      </x:c>
      <x:c r="F4" s="2" t="str"/>
      <x:c r="G4" s="2" t="str"/>
    </x:row>
    <x:row r="5" ht="55" customHeight="1">
      <x:c r="A5" s="2" t="str">
        <x:v>CL-global-cover-body1</x:v>
      </x:c>
      <x:c r="B5" s="2" t="n">
        <x:v>1</x:v>
      </x:c>
      <x:c r="C5" s="2" t="str">
        <x:v>Manash Protim Deori · MBA, IIM Shillong · Chemical engineering</x:v>
      </x:c>
      <x:c r="D5" s="2" t="str">
        <x:v>Recommendation</x:v>
      </x:c>
      <x:c r="E5" s="2" t="str">
        <x:v>CO_FACT;BASELINE</x:v>
      </x:c>
      <x:c r="F5" s="2" t="str"/>
      <x:c r="G5" s="2" t="str"/>
    </x:row>
    <x:row r="6" ht="55" customHeight="1">
      <x:c r="A6" s="2" t="str">
        <x:v>CL-global-cover-body2</x:v>
      </x:c>
      <x:c r="B6" s="2" t="n">
        <x:v>1</x:v>
      </x:c>
      <x:c r="C6" s="2" t="str">
        <x:v>2026–2051 | Evidence audit:8 October2026 | Source access dates in the source book</x:v>
      </x:c>
      <x:c r="D6" s="2" t="str">
        <x:v>Recommendation</x:v>
      </x:c>
      <x:c r="E6" s="2" t="str">
        <x:v>CO_FACT;BASELINE</x:v>
      </x:c>
      <x:c r="F6" s="2" t="str"/>
      <x:c r="G6" s="2" t="str"/>
    </x:row>
    <x:row r="7" ht="55" customHeight="1">
      <x:c r="A7" s="2" t="str">
        <x:v>CL-global-cover-body3</x:v>
      </x:c>
      <x:c r="B7" s="2" t="n">
        <x:v>1</x:v>
      </x:c>
      <x:c r="C7" s="2" t="str">
        <x:v>Independent strategic research; company disclosures, external projections and illustrative models are distinguished.</x:v>
      </x:c>
      <x:c r="D7" s="2" t="str">
        <x:v>Recommendation</x:v>
      </x:c>
      <x:c r="E7" s="2" t="str">
        <x:v>CO_FACT;BASELINE</x:v>
      </x:c>
      <x:c r="F7" s="2" t="str"/>
      <x:c r="G7" s="2" t="str"/>
    </x:row>
    <x:row r="8" ht="55" customHeight="1">
      <x:c r="A8" s="2" t="str">
        <x:v>CL-decision-headline</x:v>
      </x:c>
      <x:c r="B8" s="2" t="n">
        <x:v>2</x:v>
      </x:c>
      <x:c r="C8" s="2" t="str">
        <x:v>Authorize a scoped 90-day proof programme; defer an unconditional asset cheque.</x:v>
      </x:c>
      <x:c r="D8" s="2" t="str">
        <x:v>Recommendation</x:v>
      </x:c>
      <x:c r="E8" s="2" t="str"/>
      <x:c r="F8" s="2" t="str">
        <x:v>A_PILOT</x:v>
      </x:c>
      <x:c r="G8" s="2" t="str"/>
    </x:row>
    <x:row r="9" ht="55" customHeight="1">
      <x:c r="A9" s="2" t="str">
        <x:v>CL-decision-body1</x:v>
      </x:c>
      <x:c r="B9" s="2" t="n">
        <x:v>2</x:v>
      </x:c>
      <x:c r="C9" s="2" t="str">
        <x:v>Finance owns the data room, costed pilot envelope and cash limits. No unsupported funding amount is requested.</x:v>
      </x:c>
      <x:c r="D9" s="2" t="str">
        <x:v>Recommendation</x:v>
      </x:c>
      <x:c r="E9" s="2" t="str"/>
      <x:c r="F9" s="2" t="str">
        <x:v>A_PILOT</x:v>
      </x:c>
      <x:c r="G9" s="2" t="str"/>
    </x:row>
    <x:row r="10" ht="55" customHeight="1">
      <x:c r="A10" s="2" t="str">
        <x:v>CL-decision-body2</x:v>
      </x:c>
      <x:c r="B10" s="2" t="n">
        <x:v>2</x:v>
      </x:c>
      <x:c r="C10" s="2" t="str">
        <x:v>Nigeria is the initial commercial laboratory; select one sourcing corridor and one transfer market after feasibility checks.</x:v>
      </x:c>
      <x:c r="D10" s="2" t="str">
        <x:v>Recommendation</x:v>
      </x:c>
      <x:c r="E10" s="2" t="str"/>
      <x:c r="F10" s="2" t="str">
        <x:v>A_PILOT</x:v>
      </x:c>
      <x:c r="G10" s="2" t="str"/>
    </x:row>
    <x:row r="11" ht="55" customHeight="1">
      <x:c r="A11" s="2" t="str">
        <x:v>CL-decision-body3</x:v>
      </x:c>
      <x:c r="B11" s="2" t="n">
        <x:v>2</x:v>
      </x:c>
      <x:c r="C11" s="2" t="str">
        <x:v>Only customer-level contribution, funding headroom and replicable learning can release a later commitment.</x:v>
      </x:c>
      <x:c r="D11" s="2" t="str">
        <x:v>Recommendation</x:v>
      </x:c>
      <x:c r="E11" s="2" t="str"/>
      <x:c r="F11" s="2" t="str">
        <x:v>A_PILOT</x:v>
      </x:c>
      <x:c r="G11" s="2" t="str"/>
    </x:row>
    <x:row r="12" ht="55" customHeight="1">
      <x:c r="A12" s="2" t="str">
        <x:v>CL-decision-table_row1</x:v>
      </x:c>
      <x:c r="B12" s="2" t="n">
        <x:v>2</x:v>
      </x:c>
      <x:c r="C12" s="2" t="str">
        <x:v>Data room | Eligible sales, cost, capacity, seasonal AR/INV/AP | Finance + operations</x:v>
      </x:c>
      <x:c r="D12" s="2" t="str">
        <x:v>Recommendation</x:v>
      </x:c>
      <x:c r="E12" s="2" t="str"/>
      <x:c r="F12" s="2" t="str">
        <x:v>A_PILOT</x:v>
      </x:c>
      <x:c r="G12" s="2" t="str"/>
    </x:row>
    <x:row r="13" ht="55" customHeight="1">
      <x:c r="A13" s="2" t="str">
        <x:v>CL-decision-table_row2</x:v>
      </x:c>
      <x:c r="B13" s="2" t="n">
        <x:v>2</x:v>
      </x:c>
      <x:c r="C13" s="2" t="str">
        <x:v>Pilot | Pre-registered counterfactual and downside limits | Country + marketing</x:v>
      </x:c>
      <x:c r="D13" s="2" t="str">
        <x:v>Recommendation</x:v>
      </x:c>
      <x:c r="E13" s="2" t="str"/>
      <x:c r="F13" s="2" t="str">
        <x:v>A_PILOT</x:v>
      </x:c>
      <x:c r="G13" s="2" t="str"/>
    </x:row>
    <x:row r="14" ht="55" customHeight="1">
      <x:c r="A14" s="2" t="str">
        <x:v>CL-decision-table_row3</x:v>
      </x:c>
      <x:c r="B14" s="2" t="n">
        <x:v>2</x:v>
      </x:c>
      <x:c r="C14" s="2" t="str">
        <x:v>Investment review | Tax, route, resilience, funded cash and positive NPV | Treasury + IC</x:v>
      </x:c>
      <x:c r="D14" s="2" t="str">
        <x:v>Recommendation</x:v>
      </x:c>
      <x:c r="E14" s="2" t="str"/>
      <x:c r="F14" s="2" t="str">
        <x:v>A_PILOT</x:v>
      </x:c>
      <x:c r="G14" s="2" t="str"/>
    </x:row>
    <x:row r="15" ht="55" customHeight="1">
      <x:c r="A15" s="2" t="str">
        <x:v>CL-change-headline</x:v>
      </x:c>
      <x:c r="B15" s="2" t="n">
        <x:v>3</x:v>
      </x:c>
      <x:c r="C15" s="2" t="str">
        <x:v>The negative legacy case remains visible; additional detail cannot manufacture approval.</x:v>
      </x:c>
      <x:c r="D15" s="2" t="str">
        <x:v>Recommendation</x:v>
      </x:c>
      <x:c r="E15" s="2" t="str">
        <x:v>BASELINE</x:v>
      </x:c>
      <x:c r="F15" s="2" t="str"/>
      <x:c r="G15" s="2" t="str">
        <x:v>C-LEGACY</x:v>
      </x:c>
    </x:row>
    <x:row r="16" ht="55" customHeight="1">
      <x:c r="A16" s="2" t="str">
        <x:v>CL-change-table_row1</x:v>
      </x:c>
      <x:c r="B16" s="2" t="n">
        <x:v>3</x:v>
      </x:c>
      <x:c r="C16" s="2" t="str">
        <x:v>44-slide Nigeria-first narrative | 37 executive slides + 61 technical slides and indexed reports</x:v>
      </x:c>
      <x:c r="D16" s="2" t="str">
        <x:v>Recommendation</x:v>
      </x:c>
      <x:c r="E16" s="2" t="str">
        <x:v>BASELINE</x:v>
      </x:c>
      <x:c r="F16" s="2" t="str"/>
      <x:c r="G16" s="2" t="str">
        <x:v>C-LEGACY</x:v>
      </x:c>
    </x:row>
    <x:row r="17" ht="55" customHeight="1">
      <x:c r="A17" s="2" t="str">
        <x:v>CL-change-table_row2</x:v>
      </x:c>
      <x:c r="B17" s="2" t="n">
        <x:v>3</x:v>
      </x:c>
      <x:c r="C17" s="2" t="str">
        <x:v>Sales-day cash proxy | AR + cost-based inventory − eligible purchases AP</x:v>
      </x:c>
      <x:c r="D17" s="2" t="str">
        <x:v>Recommendation</x:v>
      </x:c>
      <x:c r="E17" s="2" t="str">
        <x:v>BASELINE</x:v>
      </x:c>
      <x:c r="F17" s="2" t="str"/>
      <x:c r="G17" s="2" t="str">
        <x:v>C-LEGACY</x:v>
      </x:c>
    </x:row>
    <x:row r="18" ht="55" customHeight="1">
      <x:c r="A18" s="2" t="str">
        <x:v>CL-change-table_row3</x:v>
      </x:c>
      <x:c r="B18" s="2" t="n">
        <x:v>3</x:v>
      </x:c>
      <x:c r="C18" s="2" t="str">
        <x:v>Three-year uplift screen | 25 annual cash periods with replacement, tax and ramp</x:v>
      </x:c>
      <x:c r="D18" s="2" t="str">
        <x:v>Recommendation</x:v>
      </x:c>
      <x:c r="E18" s="2" t="str">
        <x:v>BASELINE</x:v>
      </x:c>
      <x:c r="F18" s="2" t="str"/>
      <x:c r="G18" s="2" t="str">
        <x:v>C-LEGACY</x:v>
      </x:c>
    </x:row>
    <x:row r="19" ht="55" customHeight="1">
      <x:c r="A19" s="2" t="str">
        <x:v>CL-change-table_row4</x:v>
      </x:c>
      <x:c r="B19" s="2" t="n">
        <x:v>3</x:v>
      </x:c>
      <x:c r="C19" s="2" t="str">
        <x:v>Independent chosen draws | Common-shock stress; no success-probability claim</x:v>
      </x:c>
      <x:c r="D19" s="2" t="str">
        <x:v>Recommendation</x:v>
      </x:c>
      <x:c r="E19" s="2" t="str">
        <x:v>BASELINE</x:v>
      </x:c>
      <x:c r="F19" s="2" t="str"/>
      <x:c r="G19" s="2" t="str">
        <x:v>C-LEGACY</x:v>
      </x:c>
    </x:row>
    <x:row r="20" ht="55" customHeight="1">
      <x:c r="A20" s="2" t="str">
        <x:v>CL-change-table_row5</x:v>
      </x:c>
      <x:c r="B20" s="2" t="n">
        <x:v>3</x:v>
      </x:c>
      <x:c r="C20" s="2" t="str">
        <x:v>Opaque review-count claim | Versioned evidence, calculation IDs and actual checks</x:v>
      </x:c>
      <x:c r="D20" s="2" t="str">
        <x:v>Recommendation</x:v>
      </x:c>
      <x:c r="E20" s="2" t="str">
        <x:v>BASELINE</x:v>
      </x:c>
      <x:c r="F20" s="2" t="str"/>
      <x:c r="G20" s="2" t="str">
        <x:v>C-LEGACY</x:v>
      </x:c>
    </x:row>
    <x:row r="21" ht="55" customHeight="1">
      <x:c r="A21" s="2" t="str">
        <x:v>CL-company-headline</x:v>
      </x:c>
      <x:c r="B21" s="2" t="n">
        <x:v>4</x:v>
      </x:c>
      <x:c r="C21" s="2" t="str">
        <x:v>FY2025 Olam Agri: revenue +15.4%, sales volume +19.1%, EBIT −8.0%.</x:v>
      </x:c>
      <x:c r="D21" s="2" t="str">
        <x:v>Derived figure</x:v>
      </x:c>
      <x:c r="E21" s="2" t="str">
        <x:v>CO_AR</x:v>
      </x:c>
      <x:c r="F21" s="2" t="str"/>
      <x:c r="G21" s="2" t="str">
        <x:v>C-E01</x:v>
      </x:c>
    </x:row>
    <x:row r="22" ht="55" customHeight="1">
      <x:c r="A22" s="2" t="str">
        <x:v>CL-company-table_row1</x:v>
      </x:c>
      <x:c r="B22" s="2" t="n">
        <x:v>4</x:v>
      </x:c>
      <x:c r="C22" s="2" t="str">
        <x:v>Revenue, USD million | 24,848 | 28,666</x:v>
      </x:c>
      <x:c r="D22" s="2" t="str">
        <x:v>Derived figure</x:v>
      </x:c>
      <x:c r="E22" s="2" t="str">
        <x:v>CO_AR</x:v>
      </x:c>
      <x:c r="F22" s="2" t="str"/>
      <x:c r="G22" s="2" t="str">
        <x:v>C-E01</x:v>
      </x:c>
    </x:row>
    <x:row r="23" ht="55" customHeight="1">
      <x:c r="A23" s="2" t="str">
        <x:v>CL-company-table_row2</x:v>
      </x:c>
      <x:c r="B23" s="2" t="n">
        <x:v>4</x:v>
      </x:c>
      <x:c r="C23" s="2" t="str">
        <x:v>Sales volume, thousand tonnes | 45,130 | 53,740</x:v>
      </x:c>
      <x:c r="D23" s="2" t="str">
        <x:v>Derived figure</x:v>
      </x:c>
      <x:c r="E23" s="2" t="str">
        <x:v>CO_AR</x:v>
      </x:c>
      <x:c r="F23" s="2" t="str"/>
      <x:c r="G23" s="2" t="str">
        <x:v>C-E01</x:v>
      </x:c>
    </x:row>
    <x:row r="24" ht="55" customHeight="1">
      <x:c r="A24" s="2" t="str">
        <x:v>CL-company-table_row3</x:v>
      </x:c>
      <x:c r="B24" s="2" t="n">
        <x:v>4</x:v>
      </x:c>
      <x:c r="C24" s="2" t="str">
        <x:v>EBIT, USD million | 765.2 | 703.7</x:v>
      </x:c>
      <x:c r="D24" s="2" t="str">
        <x:v>Derived figure</x:v>
      </x:c>
      <x:c r="E24" s="2" t="str">
        <x:v>CO_AR</x:v>
      </x:c>
      <x:c r="F24" s="2" t="str"/>
      <x:c r="G24" s="2" t="str">
        <x:v>C-E01</x:v>
      </x:c>
    </x:row>
    <x:row r="25" ht="55" customHeight="1">
      <x:c r="A25" s="2" t="str">
        <x:v>CL-company-table_row4</x:v>
      </x:c>
      <x:c r="B25" s="2" t="n">
        <x:v>4</x:v>
      </x:c>
      <x:c r="C25" s="2" t="str">
        <x:v>Derived EBIT margin | 3.08% | 2.45%</x:v>
      </x:c>
      <x:c r="D25" s="2" t="str">
        <x:v>Derived figure</x:v>
      </x:c>
      <x:c r="E25" s="2" t="str">
        <x:v>CO_AR</x:v>
      </x:c>
      <x:c r="F25" s="2" t="str"/>
      <x:c r="G25" s="2" t="str">
        <x:v>C-E01</x:v>
      </x:c>
    </x:row>
    <x:row r="26" ht="55" customHeight="1">
      <x:c r="A26" s="2" t="str">
        <x:v>CL-system-headline</x:v>
      </x:c>
      <x:c r="B26" s="2" t="n">
        <x:v>5</x:v>
      </x:c>
      <x:c r="C26" s="2" t="str">
        <x:v>Population creates context; sold tonnes require accessible demand, capture and delivery.</x:v>
      </x:c>
      <x:c r="D26" s="2" t="str">
        <x:v>Expert judgement</x:v>
      </x:c>
      <x:c r="E26" s="2" t="str"/>
      <x:c r="F26" s="2" t="str">
        <x:v>A_TEMPLATE</x:v>
      </x:c>
      <x:c r="G26" s="2" t="str"/>
    </x:row>
    <x:row r="27" ht="55" customHeight="1">
      <x:c r="A27" s="2" t="str">
        <x:v>CL-system-body1</x:v>
      </x:c>
      <x:c r="B27" s="2" t="n">
        <x:v>5</x:v>
      </x:c>
      <x:c r="C27" s="2" t="str">
        <x:v>Demand: households, bakers, industrial buyers and feed customers buy different services.</x:v>
      </x:c>
      <x:c r="D27" s="2" t="str">
        <x:v>Expert judgement</x:v>
      </x:c>
      <x:c r="E27" s="2" t="str"/>
      <x:c r="F27" s="2" t="str">
        <x:v>A_TEMPLATE</x:v>
      </x:c>
      <x:c r="G27" s="2" t="str"/>
    </x:row>
    <x:row r="28" ht="55" customHeight="1">
      <x:c r="A28" s="2" t="str">
        <x:v>CL-system-body2</x:v>
      </x:c>
      <x:c r="B28" s="2" t="n">
        <x:v>5</x:v>
      </x:c>
      <x:c r="C28" s="2" t="str">
        <x:v>Supply: origin, quality, yield, logistics and usable capacity bound delivered volume.</x:v>
      </x:c>
      <x:c r="D28" s="2" t="str">
        <x:v>Expert judgement</x:v>
      </x:c>
      <x:c r="E28" s="2" t="str"/>
      <x:c r="F28" s="2" t="str">
        <x:v>A_TEMPLATE</x:v>
      </x:c>
      <x:c r="G28" s="2" t="str"/>
    </x:row>
    <x:row r="29" ht="55" customHeight="1">
      <x:c r="A29" s="2" t="str">
        <x:v>CL-system-body3</x:v>
      </x:c>
      <x:c r="B29" s="2" t="n">
        <x:v>5</x:v>
      </x:c>
      <x:c r="C29" s="2" t="str">
        <x:v>Cash: payment, stocks, currency, replacement and tax can overturn a positive gross spread.</x:v>
      </x:c>
      <x:c r="D29" s="2" t="str">
        <x:v>Expert judgement</x:v>
      </x:c>
      <x:c r="E29" s="2" t="str"/>
      <x:c r="F29" s="2" t="str">
        <x:v>A_TEMPLATE</x:v>
      </x:c>
      <x:c r="G29" s="2" t="str"/>
    </x:row>
    <x:row r="30" ht="55" customHeight="1">
      <x:c r="A30" s="2" t="str">
        <x:v>CL-system-table_row1</x:v>
      </x:c>
      <x:c r="B30" s="2" t="n">
        <x:v>5</x:v>
      </x:c>
      <x:c r="C30" s="2" t="str">
        <x:v>Customer | Usable yield, cash ticket, counterfactual repeat | Test before scaling</x:v>
      </x:c>
      <x:c r="D30" s="2" t="str">
        <x:v>Expert judgement</x:v>
      </x:c>
      <x:c r="E30" s="2" t="str"/>
      <x:c r="F30" s="2" t="str">
        <x:v>A_TEMPLATE</x:v>
      </x:c>
      <x:c r="G30" s="2" t="str"/>
    </x:row>
    <x:row r="31" ht="55" customHeight="1">
      <x:c r="A31" s="2" t="str">
        <x:v>CL-system-table_row2</x:v>
      </x:c>
      <x:c r="B31" s="2" t="n">
        <x:v>5</x:v>
      </x:c>
      <x:c r="C31" s="2" t="str">
        <x:v>Route | HS access, landed cost, lead time, counterparty | Contract before stocking</x:v>
      </x:c>
      <x:c r="D31" s="2" t="str">
        <x:v>Expert judgement</x:v>
      </x:c>
      <x:c r="E31" s="2" t="str"/>
      <x:c r="F31" s="2" t="str">
        <x:v>A_TEMPLATE</x:v>
      </x:c>
      <x:c r="G31" s="2" t="str"/>
    </x:row>
    <x:row r="32" ht="55" customHeight="1">
      <x:c r="A32" s="2" t="str">
        <x:v>CL-system-table_row3</x:v>
      </x:c>
      <x:c r="B32" s="2" t="n">
        <x:v>5</x:v>
      </x:c>
      <x:c r="C32" s="2" t="str">
        <x:v>Asset | Utilisation, uptime, conversion and resilience | Option capacity only after proof</x:v>
      </x:c>
      <x:c r="D32" s="2" t="str">
        <x:v>Expert judgement</x:v>
      </x:c>
      <x:c r="E32" s="2" t="str"/>
      <x:c r="F32" s="2" t="str">
        <x:v>A_TEMPLATE</x:v>
      </x:c>
      <x:c r="G32" s="2" t="str"/>
    </x:row>
    <x:row r="33" ht="55" customHeight="1">
      <x:c r="A33" s="2" t="str">
        <x:v>CL-horizon-headline</x:v>
      </x:c>
      <x:c r="B33" s="2" t="n">
        <x:v>6</x:v>
      </x:c>
      <x:c r="C33" s="2" t="str">
        <x:v>Separate the official 2035 outlook from our conditional 2036–2051 extension.</x:v>
      </x:c>
      <x:c r="D33" s="2" t="str">
        <x:v>Expert judgement</x:v>
      </x:c>
      <x:c r="E33" s="2" t="str">
        <x:v>OECD;UN_WPP</x:v>
      </x:c>
      <x:c r="F33" s="2" t="str">
        <x:v>A_OUTER;A_CAPEX</x:v>
      </x:c>
      <x:c r="G33" s="2" t="str"/>
    </x:row>
    <x:row r="34" ht="55" customHeight="1">
      <x:c r="A34" s="2" t="str">
        <x:v>CL-horizon-table_row1</x:v>
      </x:c>
      <x:c r="B34" s="2" t="n">
        <x:v>6</x:v>
      </x:c>
      <x:c r="C34" s="2" t="str">
        <x:v>2026–2030 | Present operations and near-term customer tests | Repair measured bottlenecks</x:v>
      </x:c>
      <x:c r="D34" s="2" t="str">
        <x:v>Expert judgement</x:v>
      </x:c>
      <x:c r="E34" s="2" t="str">
        <x:v>OECD;UN_WPP</x:v>
      </x:c>
      <x:c r="F34" s="2" t="str">
        <x:v>A_OUTER;A_CAPEX</x:v>
      </x:c>
      <x:c r="G34" s="2" t="str"/>
    </x:row>
    <x:row r="35" ht="55" customHeight="1">
      <x:c r="A35" s="2" t="str">
        <x:v>CL-horizon-table_row2</x:v>
      </x:c>
      <x:c r="B35" s="2" t="n">
        <x:v>6</x:v>
      </x:c>
      <x:c r="C35" s="2" t="str">
        <x:v>2030–2035 | OECD–FAO outlook; UN population paths | Choose modular capacity after contracted cash proof</x:v>
      </x:c>
      <x:c r="D35" s="2" t="str">
        <x:v>Expert judgement</x:v>
      </x:c>
      <x:c r="E35" s="2" t="str">
        <x:v>OECD;UN_WPP</x:v>
      </x:c>
      <x:c r="F35" s="2" t="str">
        <x:v>A_OUTER;A_CAPEX</x:v>
      </x:c>
      <x:c r="G35" s="2" t="str"/>
    </x:row>
    <x:row r="36" ht="55" customHeight="1">
      <x:c r="A36" s="2" t="str">
        <x:v>CL-horizon-table_row3</x:v>
      </x:c>
      <x:c r="B36" s="2" t="n">
        <x:v>6</x:v>
      </x:c>
      <x:c r="C36" s="2" t="str">
        <x:v>2036–2051 | UN demography + chosen bounded operating paths | Refresh annually; commit against triggers</x:v>
      </x:c>
      <x:c r="D36" s="2" t="str">
        <x:v>Expert judgement</x:v>
      </x:c>
      <x:c r="E36" s="2" t="str">
        <x:v>OECD;UN_WPP</x:v>
      </x:c>
      <x:c r="F36" s="2" t="str">
        <x:v>A_OUTER;A_CAPEX</x:v>
      </x:c>
      <x:c r="G36" s="2" t="str"/>
    </x:row>
    <x:row r="37" ht="55" customHeight="1">
      <x:c r="A37" s="2" t="str">
        <x:v>CL-horizon-table_row4</x:v>
      </x:c>
      <x:c r="B37" s="2" t="n">
        <x:v>6</x:v>
      </x:c>
      <x:c r="C37" s="2" t="str">
        <x:v>Every stage | No guaranteed terminal franchise value | Fund closeout and replacement explicitly</x:v>
      </x:c>
      <x:c r="D37" s="2" t="str">
        <x:v>Expert judgement</x:v>
      </x:c>
      <x:c r="E37" s="2" t="str">
        <x:v>OECD;UN_WPP</x:v>
      </x:c>
      <x:c r="F37" s="2" t="str">
        <x:v>A_OUTER;A_CAPEX</x:v>
      </x:c>
      <x:c r="G37" s="2" t="str"/>
    </x:row>
    <x:row r="38" ht="55" customHeight="1">
      <x:c r="A38" s="2" t="str">
        <x:v>CL-demography-headline</x:v>
      </x:c>
      <x:c r="B38" s="2" t="n">
        <x:v>7</x:v>
      </x:c>
      <x:c r="C38" s="2" t="str">
        <x:v>UN medium population projections do not imply equal per-person purchases.</x:v>
      </x:c>
      <x:c r="D38" s="2" t="str">
        <x:v>External projection</x:v>
      </x:c>
      <x:c r="E38" s="2" t="str">
        <x:v>UN_WPP;WB_income_ppp;WB_urban</x:v>
      </x:c>
      <x:c r="F38" s="2" t="str"/>
      <x:c r="G38" s="2" t="str">
        <x:v>C-POP-NGA;C-POP-IND;C-POP-CHN;C-POP-JPN</x:v>
      </x:c>
    </x:row>
    <x:row r="39" ht="55" customHeight="1">
      <x:c r="A39" s="2" t="str">
        <x:v>CL-demography-chart_2026</x:v>
      </x:c>
      <x:c r="B39" s="2" t="n">
        <x:v>7</x:v>
      </x:c>
      <x:c r="C39" s="2" t="str">
        <x:v>{"categories": ["Nigeria", "India", "China", "Japan"], "values": [242.431832, 1476.625576, 1412.914089, 122.427731]}</x:v>
      </x:c>
      <x:c r="D39" s="2" t="str">
        <x:v>External projection</x:v>
      </x:c>
      <x:c r="E39" s="2" t="str">
        <x:v>UN_WPP;WB_income_ppp;WB_urban</x:v>
      </x:c>
      <x:c r="F39" s="2" t="str"/>
      <x:c r="G39" s="2" t="str">
        <x:v>C-POP-NGA;C-POP-IND;C-POP-CHN;C-POP-JPN</x:v>
      </x:c>
    </x:row>
    <x:row r="40" ht="55" customHeight="1">
      <x:c r="A40" s="2" t="str">
        <x:v>CL-demography-chart_2051</x:v>
      </x:c>
      <x:c r="B40" s="2" t="n">
        <x:v>7</x:v>
      </x:c>
      <x:c r="C40" s="2" t="str">
        <x:v>{"categories": ["Nigeria", "India", "China", "Japan"], "values": [363.523611, 1683.220886, 1249.692538, 104.452458]}</x:v>
      </x:c>
      <x:c r="D40" s="2" t="str">
        <x:v>External projection</x:v>
      </x:c>
      <x:c r="E40" s="2" t="str">
        <x:v>UN_WPP;WB_income_ppp;WB_urban</x:v>
      </x:c>
      <x:c r="F40" s="2" t="str"/>
      <x:c r="G40" s="2" t="str">
        <x:v>C-POP-NGA;C-POP-IND;C-POP-CHN;C-POP-JPN</x:v>
      </x:c>
    </x:row>
    <x:row r="41" ht="55" customHeight="1">
      <x:c r="A41" s="2" t="str">
        <x:v>CL-diet-headline</x:v>
      </x:c>
      <x:c r="B41" s="2" t="n">
        <x:v>8</x:v>
      </x:c>
      <x:c r="C41" s="2" t="str">
        <x:v>Health and convenience are hypotheses until customers sustain paid repeat.</x:v>
      </x:c>
      <x:c r="D41" s="2" t="str">
        <x:v>Modelled outcome</x:v>
      </x:c>
      <x:c r="E41" s="2" t="str"/>
      <x:c r="F41" s="2" t="str">
        <x:v>A_PILOT;A_EXAMPLE</x:v>
      </x:c>
      <x:c r="G41" s="2" t="str">
        <x:v>C-E05;C-E06</x:v>
      </x:c>
    </x:row>
    <x:row r="42" ht="55" customHeight="1">
      <x:c r="A42" s="2" t="str">
        <x:v>CL-diet-table_row1</x:v>
      </x:c>
      <x:c r="B42" s="2" t="n">
        <x:v>8</x:v>
      </x:c>
      <x:c r="C42" s="2" t="str">
        <x:v>Household | Cost per meal, cash ticket and preparation | Income, trust and availability</x:v>
      </x:c>
      <x:c r="D42" s="2" t="str">
        <x:v>Modelled outcome</x:v>
      </x:c>
      <x:c r="E42" s="2" t="str"/>
      <x:c r="F42" s="2" t="str">
        <x:v>A_PILOT;A_EXAMPLE</x:v>
      </x:c>
      <x:c r="G42" s="2" t="str">
        <x:v>C-E05;C-E06</x:v>
      </x:c>
    </x:row>
    <x:row r="43" ht="55" customHeight="1">
      <x:c r="A43" s="2" t="str">
        <x:v>CL-diet-table_row2</x:v>
      </x:c>
      <x:c r="B43" s="2" t="n">
        <x:v>8</x:v>
      </x:c>
      <x:c r="C43" s="2" t="str">
        <x:v>Baker | Saleable output, rejects and energy per bag | Working cash and consistency</x:v>
      </x:c>
      <x:c r="D43" s="2" t="str">
        <x:v>Modelled outcome</x:v>
      </x:c>
      <x:c r="E43" s="2" t="str"/>
      <x:c r="F43" s="2" t="str">
        <x:v>A_PILOT;A_EXAMPLE</x:v>
      </x:c>
      <x:c r="G43" s="2" t="str">
        <x:v>C-E05;C-E06</x:v>
      </x:c>
    </x:row>
    <x:row r="44" ht="55" customHeight="1">
      <x:c r="A44" s="2" t="str">
        <x:v>CL-diet-table_row3</x:v>
      </x:c>
      <x:c r="B44" s="2" t="n">
        <x:v>8</x:v>
      </x:c>
      <x:c r="C44" s="2" t="str">
        <x:v>Industrial buyer | Specification, traceability and delivery | Contract economics and substitution</x:v>
      </x:c>
      <x:c r="D44" s="2" t="str">
        <x:v>Modelled outcome</x:v>
      </x:c>
      <x:c r="E44" s="2" t="str"/>
      <x:c r="F44" s="2" t="str">
        <x:v>A_PILOT;A_EXAMPLE</x:v>
      </x:c>
      <x:c r="G44" s="2" t="str">
        <x:v>C-E05;C-E06</x:v>
      </x:c>
    </x:row>
    <x:row r="45" ht="55" customHeight="1">
      <x:c r="A45" s="2" t="str">
        <x:v>CL-diet-table_row4</x:v>
      </x:c>
      <x:c r="B45" s="2" t="n">
        <x:v>8</x:v>
      </x:c>
      <x:c r="C45" s="2" t="str">
        <x:v>Feed customer | Verified performance per animal output | Credit, formulation and biological variance</x:v>
      </x:c>
      <x:c r="D45" s="2" t="str">
        <x:v>Modelled outcome</x:v>
      </x:c>
      <x:c r="E45" s="2" t="str"/>
      <x:c r="F45" s="2" t="str">
        <x:v>A_PILOT;A_EXAMPLE</x:v>
      </x:c>
      <x:c r="G45" s="2" t="str">
        <x:v>C-E05;C-E06</x:v>
      </x:c>
    </x:row>
    <x:row r="46" ht="55" customHeight="1">
      <x:c r="A46" s="2" t="str">
        <x:v>CL-climate-headline</x:v>
      </x:c>
      <x:c r="B46" s="2" t="n">
        <x:v>9</x:v>
      </x:c>
      <x:c r="C46" s="2" t="str">
        <x:v>Map crop, basin, route and facility hazards before estimating damage or adaptation returns.</x:v>
      </x:c>
      <x:c r="D46" s="2" t="str">
        <x:v>Expert judgement</x:v>
      </x:c>
      <x:c r="E46" s="2" t="str">
        <x:v>IPCC;WMO;WB_water_stress</x:v>
      </x:c>
      <x:c r="F46" s="2" t="str">
        <x:v>A_SCENARIO</x:v>
      </x:c>
      <x:c r="G46" s="2" t="str"/>
    </x:row>
    <x:row r="47" ht="55" customHeight="1">
      <x:c r="A47" s="2" t="str">
        <x:v>CL-climate-body1</x:v>
      </x:c>
      <x:c r="B47" s="2" t="n">
        <x:v>9</x:v>
      </x:c>
      <x:c r="C47" s="2" t="str">
        <x:v>IPCC supports physical risk mechanisms; WMO global indicators do not yield local output losses.</x:v>
      </x:c>
      <x:c r="D47" s="2" t="str">
        <x:v>Expert judgement</x:v>
      </x:c>
      <x:c r="E47" s="2" t="str">
        <x:v>IPCC;WMO;WB_water_stress</x:v>
      </x:c>
      <x:c r="F47" s="2" t="str">
        <x:v>A_SCENARIO</x:v>
      </x:c>
      <x:c r="G47" s="2" t="str"/>
    </x:row>
    <x:row r="48" ht="55" customHeight="1">
      <x:c r="A48" s="2" t="str">
        <x:v>CL-climate-body2</x:v>
      </x:c>
      <x:c r="B48" s="2" t="n">
        <x:v>9</x:v>
      </x:c>
      <x:c r="C48" s="2" t="str">
        <x:v>Water-stress observations help diligence, but suppliers may draw from different basins.</x:v>
      </x:c>
      <x:c r="D48" s="2" t="str">
        <x:v>Expert judgement</x:v>
      </x:c>
      <x:c r="E48" s="2" t="str">
        <x:v>IPCC;WMO;WB_water_stress</x:v>
      </x:c>
      <x:c r="F48" s="2" t="str">
        <x:v>A_SCENARIO</x:v>
      </x:c>
      <x:c r="G48" s="2" t="str"/>
    </x:row>
    <x:row r="49" ht="55" customHeight="1">
      <x:c r="A49" s="2" t="str">
        <x:v>CL-climate-body3</x:v>
      </x:c>
      <x:c r="B49" s="2" t="n">
        <x:v>9</x:v>
      </x:c>
      <x:c r="C49" s="2" t="str">
        <x:v>Require crop calendars, asset coordinates, downscaled hazards, adaptation cost and service losses.</x:v>
      </x:c>
      <x:c r="D49" s="2" t="str">
        <x:v>Expert judgement</x:v>
      </x:c>
      <x:c r="E49" s="2" t="str">
        <x:v>IPCC;WMO;WB_water_stress</x:v>
      </x:c>
      <x:c r="F49" s="2" t="str">
        <x:v>A_SCENARIO</x:v>
      </x:c>
      <x:c r="G49" s="2" t="str"/>
    </x:row>
    <x:row r="50" ht="55" customHeight="1">
      <x:c r="A50" s="2" t="str">
        <x:v>CL-climate-table_row1</x:v>
      </x:c>
      <x:c r="B50" s="2" t="n">
        <x:v>9</x:v>
      </x:c>
      <x:c r="C50" s="2" t="str">
        <x:v>Common harvest + port stress | Alternate origin with genuinely different exposure</x:v>
      </x:c>
      <x:c r="D50" s="2" t="str">
        <x:v>Expert judgement</x:v>
      </x:c>
      <x:c r="E50" s="2" t="str">
        <x:v>IPCC;WMO;WB_water_stress</x:v>
      </x:c>
      <x:c r="F50" s="2" t="str">
        <x:v>A_SCENARIO</x:v>
      </x:c>
      <x:c r="G50" s="2" t="str"/>
    </x:row>
    <x:row r="51" ht="55" customHeight="1">
      <x:c r="A51" s="2" t="str">
        <x:v>CL-climate-table_row2</x:v>
      </x:c>
      <x:c r="B51" s="2" t="n">
        <x:v>9</x:v>
      </x:c>
      <x:c r="C51" s="2" t="str">
        <x:v>Water constraints | Basin-specific supplier practices and verified savings</x:v>
      </x:c>
      <x:c r="D51" s="2" t="str">
        <x:v>Expert judgement</x:v>
      </x:c>
      <x:c r="E51" s="2" t="str">
        <x:v>IPCC;WMO;WB_water_stress</x:v>
      </x:c>
      <x:c r="F51" s="2" t="str">
        <x:v>A_SCENARIO</x:v>
      </x:c>
      <x:c r="G51" s="2" t="str"/>
    </x:row>
    <x:row r="52" ht="55" customHeight="1">
      <x:c r="A52" s="2" t="str">
        <x:v>CL-climate-table_row3</x:v>
      </x:c>
      <x:c r="B52" s="2" t="n">
        <x:v>9</x:v>
      </x:c>
      <x:c r="C52" s="2" t="str">
        <x:v>Flood/heat asset downtime | Maintenance, redundancy and insurance economics</x:v>
      </x:c>
      <x:c r="D52" s="2" t="str">
        <x:v>Expert judgement</x:v>
      </x:c>
      <x:c r="E52" s="2" t="str">
        <x:v>IPCC;WMO;WB_water_stress</x:v>
      </x:c>
      <x:c r="F52" s="2" t="str">
        <x:v>A_SCENARIO</x:v>
      </x:c>
      <x:c r="G52" s="2" t="str"/>
    </x:row>
    <x:row r="53" ht="55" customHeight="1">
      <x:c r="A53" s="2" t="str">
        <x:v>CL-trade-headline</x:v>
      </x:c>
      <x:c r="B53" s="2" t="n">
        <x:v>10</x:v>
      </x:c>
      <x:c r="C53" s="2" t="str">
        <x:v>Routes require product-level permissions, quality, landed spreads and counterparties.</x:v>
      </x:c>
      <x:c r="D53" s="2" t="str">
        <x:v>Expert judgement</x:v>
      </x:c>
      <x:c r="E53" s="2" t="str">
        <x:v>COMTRADE;EUDR;USDA_NGA;USDA_OIL</x:v>
      </x:c>
      <x:c r="F53" s="2" t="str"/>
      <x:c r="G53" s="2" t="str">
        <x:v>C-TRADE-NGA</x:v>
      </x:c>
    </x:row>
    <x:row r="54" ht="55" customHeight="1">
      <x:c r="A54" s="2" t="str">
        <x:v>CL-trade-body1</x:v>
      </x:c>
      <x:c r="B54" s="2" t="n">
        <x:v>10</x:v>
      </x:c>
      <x:c r="C54" s="2" t="str">
        <x:v>Nigeria wheat preview: 2024 CIF value about USD1.0475 bn; missing net weight prevents a credible tonnes/unit-price calculation.</x:v>
      </x:c>
      <x:c r="D54" s="2" t="str">
        <x:v>Expert judgement</x:v>
      </x:c>
      <x:c r="E54" s="2" t="str">
        <x:v>COMTRADE;EUDR;USDA_NGA;USDA_OIL</x:v>
      </x:c>
      <x:c r="F54" s="2" t="str"/>
      <x:c r="G54" s="2" t="str">
        <x:v>C-TRADE-NGA</x:v>
      </x:c>
    </x:row>
    <x:row r="55" ht="55" customHeight="1">
      <x:c r="A55" s="2" t="str">
        <x:v>CL-trade-body2</x:v>
      </x:c>
      <x:c r="B55" s="2" t="n">
        <x:v>10</x:v>
      </x:c>
      <x:c r="C55" s="2" t="str">
        <x:v>Comtrade aggregation and reporting flags remain visible. A quantity field of zero with an unspecified unit is not zero imports.</x:v>
      </x:c>
      <x:c r="D55" s="2" t="str">
        <x:v>Expert judgement</x:v>
      </x:c>
      <x:c r="E55" s="2" t="str">
        <x:v>COMTRADE;EUDR;USDA_NGA;USDA_OIL</x:v>
      </x:c>
      <x:c r="F55" s="2" t="str"/>
      <x:c r="G55" s="2" t="str">
        <x:v>C-TRADE-NGA</x:v>
      </x:c>
    </x:row>
    <x:row r="56" ht="55" customHeight="1">
      <x:c r="A56" s="2" t="str">
        <x:v>CL-trade-body3</x:v>
      </x:c>
      <x:c r="B56" s="2" t="n">
        <x:v>10</x:v>
      </x:c>
      <x:c r="C56" s="2" t="str">
        <x:v>Sanctions, export restrictions, duties, EUDR and documentation are gates, not scalar scores.</x:v>
      </x:c>
      <x:c r="D56" s="2" t="str">
        <x:v>Expert judgement</x:v>
      </x:c>
      <x:c r="E56" s="2" t="str">
        <x:v>COMTRADE;EUDR;USDA_NGA;USDA_OIL</x:v>
      </x:c>
      <x:c r="F56" s="2" t="str"/>
      <x:c r="G56" s="2" t="str">
        <x:v>C-TRADE-NGA</x:v>
      </x:c>
    </x:row>
    <x:row r="57" ht="55" customHeight="1">
      <x:c r="A57" s="2" t="str">
        <x:v>CL-products-headline</x:v>
      </x:c>
      <x:c r="B57" s="2" t="n">
        <x:v>11</x:v>
      </x:c>
      <x:c r="C57" s="2" t="str">
        <x:v>June-2026 disclosed scope includes food, feed and non-food agricultural products.</x:v>
      </x:c>
      <x:c r="D57" s="2" t="str">
        <x:v>Reported fact</x:v>
      </x:c>
      <x:c r="E57" s="2" t="str">
        <x:v>CO_FACT;CO_ABOUT</x:v>
      </x:c>
      <x:c r="F57" s="2" t="str"/>
      <x:c r="G57" s="2" t="str"/>
    </x:row>
    <x:row r="58" ht="55" customHeight="1">
      <x:c r="A58" s="2" t="str">
        <x:v>CL-products-table_row1</x:v>
      </x:c>
      <x:c r="B58" s="2" t="n">
        <x:v>11</x:v>
      </x:c>
      <x:c r="C58" s="2" t="str">
        <x:v>Grains, rice, wheat milling/pasta | Quality, usable yield and reliable delivery | Landed spread + repeat</x:v>
      </x:c>
      <x:c r="D58" s="2" t="str">
        <x:v>Reported fact</x:v>
      </x:c>
      <x:c r="E58" s="2" t="str">
        <x:v>CO_FACT;CO_ABOUT</x:v>
      </x:c>
      <x:c r="F58" s="2" t="str"/>
      <x:c r="G58" s="2" t="str"/>
    </x:row>
    <x:row r="59" ht="55" customHeight="1">
      <x:c r="A59" s="2" t="str">
        <x:v>CL-products-table_row2</x:v>
      </x:c>
      <x:c r="B59" s="2" t="n">
        <x:v>11</x:v>
      </x:c>
      <x:c r="C59" s="2" t="str">
        <x:v>Edible oils | Local cash ticket and verified refining economics | Crude/refined HS + conversion</x:v>
      </x:c>
      <x:c r="D59" s="2" t="str">
        <x:v>Reported fact</x:v>
      </x:c>
      <x:c r="E59" s="2" t="str">
        <x:v>CO_FACT;CO_ABOUT</x:v>
      </x:c>
      <x:c r="F59" s="2" t="str"/>
      <x:c r="G59" s="2" t="str"/>
    </x:row>
    <x:row r="60" ht="55" customHeight="1">
      <x:c r="A60" s="2" t="str">
        <x:v>CL-products-table_row3</x:v>
      </x:c>
      <x:c r="B60" s="2" t="n">
        <x:v>11</x:v>
      </x:c>
      <x:c r="C60" s="2" t="str">
        <x:v>Feed/protein | Performance-based technical service | Buyer margin + biology</x:v>
      </x:c>
      <x:c r="D60" s="2" t="str">
        <x:v>Reported fact</x:v>
      </x:c>
      <x:c r="E60" s="2" t="str">
        <x:v>CO_FACT;CO_ABOUT</x:v>
      </x:c>
      <x:c r="F60" s="2" t="str"/>
      <x:c r="G60" s="2" t="str"/>
    </x:row>
    <x:row r="61" ht="55" customHeight="1">
      <x:c r="A61" s="2" t="str">
        <x:v>CL-products-table_row4</x:v>
      </x:c>
      <x:c r="B61" s="2" t="n">
        <x:v>11</x:v>
      </x:c>
      <x:c r="C61" s="2" t="str">
        <x:v>Cotton, wood, rubber | Specification, traceability, industrial contracts | Eligibility + funding</x:v>
      </x:c>
      <x:c r="D61" s="2" t="str">
        <x:v>Reported fact</x:v>
      </x:c>
      <x:c r="E61" s="2" t="str">
        <x:v>CO_FACT;CO_ABOUT</x:v>
      </x:c>
      <x:c r="F61" s="2" t="str"/>
      <x:c r="G61" s="2" t="str"/>
    </x:row>
    <x:row r="62" ht="55" customHeight="1">
      <x:c r="A62" s="2" t="str">
        <x:v>CL-products-table_row5</x:v>
      </x:c>
      <x:c r="B62" s="2" t="n">
        <x:v>11</x:v>
      </x:c>
      <x:c r="C62" s="2" t="str">
        <x:v>Sugar/biofuel | Conditional scope in June factsheet | Current perimeter + policy + process</x:v>
      </x:c>
      <x:c r="D62" s="2" t="str">
        <x:v>Reported fact</x:v>
      </x:c>
      <x:c r="E62" s="2" t="str">
        <x:v>CO_FACT;CO_ABOUT</x:v>
      </x:c>
      <x:c r="F62" s="2" t="str"/>
      <x:c r="G62" s="2" t="str"/>
    </x:row>
    <x:row r="63" ht="55" customHeight="1">
      <x:c r="A63" s="2" t="str">
        <x:v>CL-coverage-headline</x:v>
      </x:c>
      <x:c r="B63" s="2" t="n">
        <x:v>12</x:v>
      </x:c>
      <x:c r="C63" s="2" t="str">
        <x:v>195 dispositions; 34 national drivers; zero investment-grade country cases.</x:v>
      </x:c>
      <x:c r="D63" s="2" t="str">
        <x:v>Derived figure</x:v>
      </x:c>
      <x:c r="E63" s="2" t="str">
        <x:v>UN_M49;UN_WPP</x:v>
      </x:c>
      <x:c r="F63" s="2" t="str"/>
      <x:c r="G63" s="2" t="str">
        <x:v>C-COVERAGE</x:v>
      </x:c>
    </x:row>
    <x:row r="64" ht="55" customHeight="1">
      <x:c r="A64" s="2" t="str">
        <x:v>CL-coverage-table_row1</x:v>
      </x:c>
      <x:c r="B64" s="2" t="n">
        <x:v>12</x:v>
      </x:c>
      <x:c r="C64" s="2" t="str">
        <x:v>UN members + observer states | 193 + 2 = 195</x:v>
      </x:c>
      <x:c r="D64" s="2" t="str">
        <x:v>Derived figure</x:v>
      </x:c>
      <x:c r="E64" s="2" t="str">
        <x:v>UN_M49;UN_WPP</x:v>
      </x:c>
      <x:c r="F64" s="2" t="str"/>
      <x:c r="G64" s="2" t="str">
        <x:v>C-COVERAGE</x:v>
      </x:c>
    </x:row>
    <x:row r="65" ht="55" customHeight="1">
      <x:c r="A65" s="2" t="str">
        <x:v>CL-coverage-table_row2</x:v>
      </x:c>
      <x:c r="B65" s="2" t="n">
        <x:v>12</x:v>
      </x:c>
      <x:c r="C65" s="2" t="str">
        <x:v>Country-product × scenario × milestone rows | 203 ×6 ×7 = 8,526</x:v>
      </x:c>
      <x:c r="D65" s="2" t="str">
        <x:v>Derived figure</x:v>
      </x:c>
      <x:c r="E65" s="2" t="str">
        <x:v>UN_M49;UN_WPP</x:v>
      </x:c>
      <x:c r="F65" s="2" t="str"/>
      <x:c r="G65" s="2" t="str">
        <x:v>C-COVERAGE</x:v>
      </x:c>
    </x:row>
    <x:row r="66" ht="55" customHeight="1">
      <x:c r="A66" s="2" t="str">
        <x:v>CL-coverage-table_row3</x:v>
      </x:c>
      <x:c r="B66" s="2" t="n">
        <x:v>12</x:v>
      </x:c>
      <x:c r="C66" s="2" t="str">
        <x:v>Priority diligence dossiers | 10</x:v>
      </x:c>
      <x:c r="D66" s="2" t="str">
        <x:v>Derived figure</x:v>
      </x:c>
      <x:c r="E66" s="2" t="str">
        <x:v>UN_M49;UN_WPP</x:v>
      </x:c>
      <x:c r="F66" s="2" t="str"/>
      <x:c r="G66" s="2" t="str">
        <x:v>C-COVERAGE</x:v>
      </x:c>
    </x:row>
    <x:row r="67" ht="55" customHeight="1">
      <x:c r="A67" s="2" t="str">
        <x:v>CL-coverage-table_row4</x:v>
      </x:c>
      <x:c r="B67" s="2" t="n">
        <x:v>12</x:v>
      </x:c>
      <x:c r="C67" s="2" t="str">
        <x:v>Investment-grade country cases | 0</x:v>
      </x:c>
      <x:c r="D67" s="2" t="str">
        <x:v>Derived figure</x:v>
      </x:c>
      <x:c r="E67" s="2" t="str">
        <x:v>UN_M49;UN_WPP</x:v>
      </x:c>
      <x:c r="F67" s="2" t="str"/>
      <x:c r="G67" s="2" t="str">
        <x:v>C-COVERAGE</x:v>
      </x:c>
    </x:row>
    <x:row r="68" ht="55" customHeight="1">
      <x:c r="A68" s="2" t="str">
        <x:v>CL-coverage-table_row5</x:v>
      </x:c>
      <x:c r="B68" s="2" t="n">
        <x:v>12</x:v>
      </x:c>
      <x:c r="C68" s="2" t="str">
        <x:v>Remaining countries | Watch, existing-operation review, defer or no standalone asset proposal</x:v>
      </x:c>
      <x:c r="D68" s="2" t="str">
        <x:v>Derived figure</x:v>
      </x:c>
      <x:c r="E68" s="2" t="str">
        <x:v>UN_M49;UN_WPP</x:v>
      </x:c>
      <x:c r="F68" s="2" t="str"/>
      <x:c r="G68" s="2" t="str">
        <x:v>C-COVERAGE</x:v>
      </x:c>
    </x:row>
    <x:row r="69" ht="55" customHeight="1">
      <x:c r="A69" s="2" t="str">
        <x:v>CL-priorities-headline</x:v>
      </x:c>
      <x:c r="B69" s="2" t="n">
        <x:v>13</x:v>
      </x:c>
      <x:c r="C69" s="2" t="str">
        <x:v>These are evidence priorities, not a numerical attractiveness ranking.</x:v>
      </x:c>
      <x:c r="D69" s="2" t="str">
        <x:v>Recommendation</x:v>
      </x:c>
      <x:c r="E69" s="2" t="str">
        <x:v>CO_NGA;CO_GHA;CO_SEN;CO_CMR;CO_MOZ;CO_ZAF;CO_IND;CO_VNM;CO_BRA;CO_FACT</x:v>
      </x:c>
      <x:c r="F69" s="2" t="str">
        <x:v>A_TEMPLATE</x:v>
      </x:c>
      <x:c r="G69" s="2" t="str"/>
    </x:row>
    <x:row r="70" ht="55" customHeight="1">
      <x:c r="A70" s="2" t="str">
        <x:v>CL-priorities-table_row1</x:v>
      </x:c>
      <x:c r="B70" s="2" t="n">
        <x:v>13</x:v>
      </x:c>
      <x:c r="C70" s="2" t="str">
        <x:v>Nigeria, Ghana, Senegal | Semolina/oils; flour/pasta/feed service pilot | Customer and route contribution</x:v>
      </x:c>
      <x:c r="D70" s="2" t="str">
        <x:v>Recommendation</x:v>
      </x:c>
      <x:c r="E70" s="2" t="str">
        <x:v>CO_NGA;CO_GHA;CO_SEN;CO_CMR;CO_MOZ;CO_ZAF;CO_IND;CO_VNM;CO_BRA;CO_FACT</x:v>
      </x:c>
      <x:c r="F70" s="2" t="str">
        <x:v>A_TEMPLATE</x:v>
      </x:c>
      <x:c r="G70" s="2" t="str"/>
    </x:row>
    <x:row r="71" ht="55" customHeight="1">
      <x:c r="A71" s="2" t="str">
        <x:v>CL-priorities-table_row2</x:v>
      </x:c>
      <x:c r="B71" s="2" t="n">
        <x:v>13</x:v>
      </x:c>
      <x:c r="C71" s="2" t="str">
        <x:v>Cameroon, Mozambique | Flour/rice/oils distribution pilot | Credit, resilience and cash ticket</x:v>
      </x:c>
      <x:c r="D71" s="2" t="str">
        <x:v>Recommendation</x:v>
      </x:c>
      <x:c r="E71" s="2" t="str">
        <x:v>CO_NGA;CO_GHA;CO_SEN;CO_CMR;CO_MOZ;CO_ZAF;CO_IND;CO_VNM;CO_BRA;CO_FACT</x:v>
      </x:c>
      <x:c r="F71" s="2" t="str">
        <x:v>A_TEMPLATE</x:v>
      </x:c>
      <x:c r="G71" s="2" t="str"/>
    </x:row>
    <x:row r="72" ht="55" customHeight="1">
      <x:c r="A72" s="2" t="str">
        <x:v>CL-priorities-table_row3</x:v>
      </x:c>
      <x:c r="B72" s="2" t="n">
        <x:v>13</x:v>
      </x:c>
      <x:c r="C72" s="2" t="str">
        <x:v>South Africa | B2B grains/oils contract trial | Quality-adjusted landed spread</x:v>
      </x:c>
      <x:c r="D72" s="2" t="str">
        <x:v>Recommendation</x:v>
      </x:c>
      <x:c r="E72" s="2" t="str">
        <x:v>CO_NGA;CO_GHA;CO_SEN;CO_CMR;CO_MOZ;CO_ZAF;CO_IND;CO_VNM;CO_BRA;CO_FACT</x:v>
      </x:c>
      <x:c r="F72" s="2" t="str">
        <x:v>A_TEMPLATE</x:v>
      </x:c>
      <x:c r="G72" s="2" t="str"/>
    </x:row>
    <x:row r="73" ht="55" customHeight="1">
      <x:c r="A73" s="2" t="str">
        <x:v>CL-priorities-table_row4</x:v>
      </x:c>
      <x:c r="B73" s="2" t="n">
        <x:v>13</x:v>
      </x:c>
      <x:c r="C73" s="2" t="str">
        <x:v>India, Vietnam, Brazil | Rice or grains/oilseeds origination | Supplier, basin and delivered cash</x:v>
      </x:c>
      <x:c r="D73" s="2" t="str">
        <x:v>Recommendation</x:v>
      </x:c>
      <x:c r="E73" s="2" t="str">
        <x:v>CO_NGA;CO_GHA;CO_SEN;CO_CMR;CO_MOZ;CO_ZAF;CO_IND;CO_VNM;CO_BRA;CO_FACT</x:v>
      </x:c>
      <x:c r="F73" s="2" t="str">
        <x:v>A_TEMPLATE</x:v>
      </x:c>
      <x:c r="G73" s="2" t="str"/>
    </x:row>
    <x:row r="74" ht="55" customHeight="1">
      <x:c r="A74" s="2" t="str">
        <x:v>CL-priorities-table_row5</x:v>
      </x:c>
      <x:c r="B74" s="2" t="n">
        <x:v>13</x:v>
      </x:c>
      <x:c r="C74" s="2" t="str">
        <x:v>Saudi Arabia | Bankable commercial offtake diligence | Buyer commitment; no ownership-derived order</x:v>
      </x:c>
      <x:c r="D74" s="2" t="str">
        <x:v>Recommendation</x:v>
      </x:c>
      <x:c r="E74" s="2" t="str">
        <x:v>CO_NGA;CO_GHA;CO_SEN;CO_CMR;CO_MOZ;CO_ZAF;CO_IND;CO_VNM;CO_BRA;CO_FACT</x:v>
      </x:c>
      <x:c r="F74" s="2" t="str">
        <x:v>A_TEMPLATE</x:v>
      </x:c>
      <x:c r="G74" s="2" t="str"/>
    </x:row>
    <x:row r="75" ht="55" customHeight="1">
      <x:c r="A75" s="2" t="str">
        <x:v>CL-central-headline</x:v>
      </x:c>
      <x:c r="B75" s="2" t="n">
        <x:v>14</x:v>
      </x:c>
      <x:c r="C75" s="2" t="str">
        <x:v>Customer orders, capacity, stocks and taxes drive a finite real-USD example.</x:v>
      </x:c>
      <x:c r="D75" s="2" t="str">
        <x:v>Planning assumption</x:v>
      </x:c>
      <x:c r="E75" s="2" t="str"/>
      <x:c r="F75" s="2" t="str">
        <x:v>A_TEMPLATE;A_RATE;A_TAX;A_OUTER;A_CAPEX</x:v>
      </x:c>
      <x:c r="G75" s="2" t="str">
        <x:v>C-DCF-plant-managed</x:v>
      </x:c>
    </x:row>
    <x:row r="76" ht="55" customHeight="1">
      <x:c r="A76" s="2" t="str">
        <x:v>CL-central-table_row1</x:v>
      </x:c>
      <x:c r="B76" s="2" t="n">
        <x:v>14</x:v>
      </x:c>
      <x:c r="C76" s="2" t="str">
        <x:v>Orders / physical capacity | 100,000 / 150,000 tonnes per year</x:v>
      </x:c>
      <x:c r="D76" s="2" t="str">
        <x:v>Planning assumption</x:v>
      </x:c>
      <x:c r="E76" s="2" t="str"/>
      <x:c r="F76" s="2" t="str">
        <x:v>A_TEMPLATE;A_RATE;A_TAX;A_OUTER;A_CAPEX</x:v>
      </x:c>
      <x:c r="G76" s="2" t="str">
        <x:v>C-DCF-plant-managed</x:v>
      </x:c>
    </x:row>
    <x:row r="77" ht="55" customHeight="1">
      <x:c r="A77" s="2" t="str">
        <x:v>CL-central-table_row2</x:v>
      </x:c>
      <x:c r="B77" s="2" t="n">
        <x:v>14</x:v>
      </x:c>
      <x:c r="C77" s="2" t="str">
        <x:v>Price / variable cost | $400 / $340 per tonne</x:v>
      </x:c>
      <x:c r="D77" s="2" t="str">
        <x:v>Planning assumption</x:v>
      </x:c>
      <x:c r="E77" s="2" t="str"/>
      <x:c r="F77" s="2" t="str">
        <x:v>A_TEMPLATE;A_RATE;A_TAX;A_OUTER;A_CAPEX</x:v>
      </x:c>
      <x:c r="G77" s="2" t="str">
        <x:v>C-DCF-plant-managed</x:v>
      </x:c>
    </x:row>
    <x:row r="78" ht="55" customHeight="1">
      <x:c r="A78" s="2" t="str">
        <x:v>CL-central-table_row3</x:v>
      </x:c>
      <x:c r="B78" s="2" t="n">
        <x:v>14</x:v>
      </x:c>
      <x:c r="C78" s="2" t="str">
        <x:v>Capex / fixed cash cost | $20 m / $2 m per year</x:v>
      </x:c>
      <x:c r="D78" s="2" t="str">
        <x:v>Planning assumption</x:v>
      </x:c>
      <x:c r="E78" s="2" t="str"/>
      <x:c r="F78" s="2" t="str">
        <x:v>A_TEMPLATE;A_RATE;A_TAX;A_OUTER;A_CAPEX</x:v>
      </x:c>
      <x:c r="G78" s="2" t="str">
        <x:v>C-DCF-plant-managed</x:v>
      </x:c>
    </x:row>
    <x:row r="79" ht="55" customHeight="1">
      <x:c r="A79" s="2" t="str">
        <x:v>CL-central-table_row4</x:v>
      </x:c>
      <x:c r="B79" s="2" t="n">
        <x:v>14</x:v>
      </x:c>
      <x:c r="C79" s="2" t="str">
        <x:v>Ramp / growth | 50%, 80%, 100%; 1.5%, then 0.75%</x:v>
      </x:c>
      <x:c r="D79" s="2" t="str">
        <x:v>Planning assumption</x:v>
      </x:c>
      <x:c r="E79" s="2" t="str"/>
      <x:c r="F79" s="2" t="str">
        <x:v>A_TEMPLATE;A_RATE;A_TAX;A_OUTER;A_CAPEX</x:v>
      </x:c>
      <x:c r="G79" s="2" t="str">
        <x:v>C-DCF-plant-managed</x:v>
      </x:c>
    </x:row>
    <x:row r="80" ht="55" customHeight="1">
      <x:c r="A80" s="2" t="str">
        <x:v>CL-central-table_row5</x:v>
      </x:c>
      <x:c r="B80" s="2" t="n">
        <x:v>14</x:v>
      </x:c>
      <x:c r="C80" s="2" t="str">
        <x:v>Hurdle / tax convention | 10% real USD / 25% with loss carryforward</x:v>
      </x:c>
      <x:c r="D80" s="2" t="str">
        <x:v>Planning assumption</x:v>
      </x:c>
      <x:c r="E80" s="2" t="str"/>
      <x:c r="F80" s="2" t="str">
        <x:v>A_TEMPLATE;A_RATE;A_TAX;A_OUTER;A_CAPEX</x:v>
      </x:c>
      <x:c r="G80" s="2" t="str">
        <x:v>C-DCF-plant-managed</x:v>
      </x:c>
    </x:row>
    <x:row r="81" ht="55" customHeight="1">
      <x:c r="A81" s="2" t="str">
        <x:v>CL-worlds-headline</x:v>
      </x:c>
      <x:c r="B81" s="2" t="n">
        <x:v>15</x:v>
      </x:c>
      <x:c r="C81" s="2" t="str">
        <x:v>No calibrated probability is assigned to any complete 25-year path.</x:v>
      </x:c>
      <x:c r="D81" s="2" t="str">
        <x:v>Planning assumption</x:v>
      </x:c>
      <x:c r="E81" s="2" t="str"/>
      <x:c r="F81" s="2" t="str">
        <x:v>A_SCENARIO;A_RATE</x:v>
      </x:c>
      <x:c r="G81" s="2" t="str">
        <x:v>C-SCENARIOS</x:v>
      </x:c>
    </x:row>
    <x:row r="82" ht="55" customHeight="1">
      <x:c r="A82" s="2" t="str">
        <x:v>CL-worlds-table_row1</x:v>
      </x:c>
      <x:c r="B82" s="2" t="n">
        <x:v>15</x:v>
      </x:c>
      <x:c r="C82" s="2" t="str">
        <x:v>Managed transition | 1.0 | 1.0 | +0 / 10%</x:v>
      </x:c>
      <x:c r="D82" s="2" t="str">
        <x:v>Planning assumption</x:v>
      </x:c>
      <x:c r="E82" s="2" t="str"/>
      <x:c r="F82" s="2" t="str">
        <x:v>A_SCENARIO;A_RATE</x:v>
      </x:c>
      <x:c r="G82" s="2" t="str">
        <x:v>C-SCENARIOS</x:v>
      </x:c>
    </x:row>
    <x:row r="83" ht="55" customHeight="1">
      <x:c r="A83" s="2" t="str">
        <x:v>CL-worlds-table_row2</x:v>
      </x:c>
      <x:c r="B83" s="2" t="n">
        <x:v>15</x:v>
      </x:c>
      <x:c r="C83" s="2" t="str">
        <x:v>Productive integration | 1.12 | 0.985 | -5 / 9%</x:v>
      </x:c>
      <x:c r="D83" s="2" t="str">
        <x:v>Planning assumption</x:v>
      </x:c>
      <x:c r="E83" s="2" t="str"/>
      <x:c r="F83" s="2" t="str">
        <x:v>A_SCENARIO;A_RATE</x:v>
      </x:c>
      <x:c r="G83" s="2" t="str">
        <x:v>C-SCENARIOS</x:v>
      </x:c>
    </x:row>
    <x:row r="84" ht="55" customHeight="1">
      <x:c r="A84" s="2" t="str">
        <x:v>CL-worlds-table_row3</x:v>
      </x:c>
      <x:c r="B84" s="2" t="n">
        <x:v>15</x:v>
      </x:c>
      <x:c r="C84" s="2" t="str">
        <x:v>Fragmented trade | 0.9 | 1.07 | +15 / 12%</x:v>
      </x:c>
      <x:c r="D84" s="2" t="str">
        <x:v>Planning assumption</x:v>
      </x:c>
      <x:c r="E84" s="2" t="str"/>
      <x:c r="F84" s="2" t="str">
        <x:v>A_SCENARIO;A_RATE</x:v>
      </x:c>
      <x:c r="G84" s="2" t="str">
        <x:v>C-SCENARIOS</x:v>
      </x:c>
    </x:row>
    <x:row r="85" ht="55" customHeight="1">
      <x:c r="A85" s="2" t="str">
        <x:v>CL-worlds-table_row4</x:v>
      </x:c>
      <x:c r="B85" s="2" t="n">
        <x:v>15</x:v>
      </x:c>
      <x:c r="C85" s="2" t="str">
        <x:v>Compound physical stress | 0.82 | 1.15 | +25 / 12%</x:v>
      </x:c>
      <x:c r="D85" s="2" t="str">
        <x:v>Planning assumption</x:v>
      </x:c>
      <x:c r="E85" s="2" t="str"/>
      <x:c r="F85" s="2" t="str">
        <x:v>A_SCENARIO;A_RATE</x:v>
      </x:c>
      <x:c r="G85" s="2" t="str">
        <x:v>C-SCENARIOS</x:v>
      </x:c>
    </x:row>
    <x:row r="86" ht="55" customHeight="1">
      <x:c r="A86" s="2" t="str">
        <x:v>CL-worlds-table_row5</x:v>
      </x:c>
      <x:c r="B86" s="2" t="n">
        <x:v>15</x:v>
      </x:c>
      <x:c r="C86" s="2" t="str">
        <x:v>Affordability and debt squeeze | 0.82 | 1.04 | +20 / 14%</x:v>
      </x:c>
      <x:c r="D86" s="2" t="str">
        <x:v>Planning assumption</x:v>
      </x:c>
      <x:c r="E86" s="2" t="str"/>
      <x:c r="F86" s="2" t="str">
        <x:v>A_SCENARIO;A_RATE</x:v>
      </x:c>
      <x:c r="G86" s="2" t="str">
        <x:v>C-SCENARIOS</x:v>
      </x:c>
    </x:row>
    <x:row r="87" ht="55" customHeight="1">
      <x:c r="A87" s="2" t="str">
        <x:v>CL-worlds-table_row6</x:v>
      </x:c>
      <x:c r="B87" s="2" t="n">
        <x:v>15</x:v>
      </x:c>
      <x:c r="C87" s="2" t="str">
        <x:v>Nutrition and resource transition | 1.03 | 1.02 | +5 / 10%</x:v>
      </x:c>
      <x:c r="D87" s="2" t="str">
        <x:v>Planning assumption</x:v>
      </x:c>
      <x:c r="E87" s="2" t="str"/>
      <x:c r="F87" s="2" t="str">
        <x:v>A_SCENARIO;A_RATE</x:v>
      </x:c>
      <x:c r="G87" s="2" t="str">
        <x:v>C-SCENARIOS</x:v>
      </x:c>
    </x:row>
    <x:row r="88" ht="55" customHeight="1">
      <x:c r="A88" s="2" t="str">
        <x:v>CL-resilience-headline</x:v>
      </x:c>
      <x:c r="B88" s="2" t="n">
        <x:v>16</x:v>
      </x:c>
      <x:c r="C88" s="2" t="str">
        <x:v>The financial model deliberately continues fixed commitments to expose failure.</x:v>
      </x:c>
      <x:c r="D88" s="2" t="str">
        <x:v>Modelled outcome</x:v>
      </x:c>
      <x:c r="E88" s="2" t="str"/>
      <x:c r="F88" s="2" t="str">
        <x:v>A_TEMPLATE;A_SCENARIO;A_RATE;A_CAPEX</x:v>
      </x:c>
      <x:c r="G88" s="2" t="str">
        <x:v>C-DCF</x:v>
      </x:c>
    </x:row>
    <x:row r="89" ht="55" customHeight="1">
      <x:c r="A89" s="2" t="str">
        <x:v>CL-resilience-chart_Contracted trade</x:v>
      </x:c>
      <x:c r="B89" s="2" t="n">
        <x:v>16</x:v>
      </x:c>
      <x:c r="C89" s="2" t="str">
        <x:v>{"categories": ["Managed transition", "Productive integration", "Fragmented trade", "Compound physical stress", "Affordability and debt squeeze", "Nutrition and resource transition"], "values": [0.357686, 7.869359, -10.136256, -25.56085, -13.357503, -0.543371]}</x:v>
      </x:c>
      <x:c r="D89" s="2" t="str">
        <x:v>Modelled outcome</x:v>
      </x:c>
      <x:c r="E89" s="2" t="str"/>
      <x:c r="F89" s="2" t="str">
        <x:v>A_TEMPLATE;A_SCENARIO;A_RATE;A_CAPEX</x:v>
      </x:c>
      <x:c r="G89" s="2" t="str">
        <x:v>C-DCF</x:v>
      </x:c>
    </x:row>
    <x:row r="90" ht="55" customHeight="1">
      <x:c r="A90" s="2" t="str">
        <x:v>CL-resilience-chart_Partner processing</x:v>
      </x:c>
      <x:c r="B90" s="2" t="n">
        <x:v>16</x:v>
      </x:c>
      <x:c r="C90" s="2" t="str">
        <x:v>{"categories": ["Managed transition", "Productive integration", "Fragmented trade", "Compound physical stress", "Affordability and debt squeeze", "Nutrition and resource transition"], "values": [10.81737, 20.592951, -3.584731, -17.395001, -9.824949, 10.071104]}</x:v>
      </x:c>
      <x:c r="D90" s="2" t="str">
        <x:v>Modelled outcome</x:v>
      </x:c>
      <x:c r="E90" s="2" t="str"/>
      <x:c r="F90" s="2" t="str">
        <x:v>A_TEMPLATE;A_SCENARIO;A_RATE;A_CAPEX</x:v>
      </x:c>
      <x:c r="G90" s="2" t="str">
        <x:v>C-DCF</x:v>
      </x:c>
    </x:row>
    <x:row r="91" ht="55" customHeight="1">
      <x:c r="A91" s="2" t="str">
        <x:v>CL-resilience-chart_Owned processing</x:v>
      </x:c>
      <x:c r="B91" s="2" t="n">
        <x:v>16</x:v>
      </x:c>
      <x:c r="C91" s="2" t="str">
        <x:v>{"categories": ["Managed transition", "Productive integration", "Fragmented trade", "Compound physical stress", "Affordability and debt squeeze", "Nutrition and resource transition"], "values": [-1.799942, 13.879462, -17.203948, -33.292164, -24.952075, -2.878264]}</x:v>
      </x:c>
      <x:c r="D91" s="2" t="str">
        <x:v>Modelled outcome</x:v>
      </x:c>
      <x:c r="E91" s="2" t="str"/>
      <x:c r="F91" s="2" t="str">
        <x:v>A_TEMPLATE;A_SCENARIO;A_RATE;A_CAPEX</x:v>
      </x:c>
      <x:c r="G91" s="2" t="str">
        <x:v>C-DCF</x:v>
      </x:c>
    </x:row>
    <x:row r="92" ht="55" customHeight="1">
      <x:c r="A92" s="2" t="str">
        <x:v>CL-timing-headline</x:v>
      </x:c>
      <x:c r="B92" s="2" t="n">
        <x:v>17</x:v>
      </x:c>
      <x:c r="C92" s="2" t="str">
        <x:v>Test order thresholds and liquidity limits before expanding physical commitments.</x:v>
      </x:c>
      <x:c r="D92" s="2" t="str">
        <x:v>Recommendation</x:v>
      </x:c>
      <x:c r="E92" s="2" t="str"/>
      <x:c r="F92" s="2" t="str">
        <x:v>A_TEMPLATE;A_RATE</x:v>
      </x:c>
      <x:c r="G92" s="2" t="str">
        <x:v>C-THRESHOLD</x:v>
      </x:c>
    </x:row>
    <x:row r="93" ht="55" customHeight="1">
      <x:c r="A93" s="2" t="str">
        <x:v>CL-timing-table_row1</x:v>
      </x:c>
      <x:c r="B93" s="2" t="n">
        <x:v>17</x:v>
      </x:c>
      <x:c r="C93" s="2" t="str">
        <x:v>Contracted trade | 31,250.00 | 89,195.83</x:v>
      </x:c>
      <x:c r="D93" s="2" t="str">
        <x:v>Modelled outcome</x:v>
      </x:c>
      <x:c r="E93" s="2" t="str"/>
      <x:c r="F93" s="2" t="str">
        <x:v>A_TEMPLATE;A_RATE</x:v>
      </x:c>
      <x:c r="G93" s="2" t="str">
        <x:v>C-THRESHOLD</x:v>
      </x:c>
    </x:row>
    <x:row r="94" ht="55" customHeight="1">
      <x:c r="A94" s="2" t="str">
        <x:v>CL-timing-table_row2</x:v>
      </x:c>
      <x:c r="B94" s="2" t="n">
        <x:v>17</x:v>
      </x:c>
      <x:c r="C94" s="2" t="str">
        <x:v>Partner processing | 25,000.00 | 62,437.79</x:v>
      </x:c>
      <x:c r="D94" s="2" t="str">
        <x:v>Modelled outcome</x:v>
      </x:c>
      <x:c r="E94" s="2" t="str"/>
      <x:c r="F94" s="2" t="str">
        <x:v>A_TEMPLATE;A_RATE</x:v>
      </x:c>
      <x:c r="G94" s="2" t="str">
        <x:v>C-THRESHOLD</x:v>
      </x:c>
    </x:row>
    <x:row r="95" ht="55" customHeight="1">
      <x:c r="A95" s="2" t="str">
        <x:v>CL-timing-table_row3</x:v>
      </x:c>
      <x:c r="B95" s="2" t="n">
        <x:v>17</x:v>
      </x:c>
      <x:c r="C95" s="2" t="str">
        <x:v>Owned processing | 33,333.33 | 104,862.13</x:v>
      </x:c>
      <x:c r="D95" s="2" t="str">
        <x:v>Modelled outcome</x:v>
      </x:c>
      <x:c r="E95" s="2" t="str"/>
      <x:c r="F95" s="2" t="str">
        <x:v>A_TEMPLATE;A_RATE</x:v>
      </x:c>
      <x:c r="G95" s="2" t="str">
        <x:v>C-THRESHOLD</x:v>
      </x:c>
    </x:row>
    <x:row r="96" ht="55" customHeight="1">
      <x:c r="A96" s="2" t="str">
        <x:v>CL-corridor-headline</x:v>
      </x:c>
      <x:c r="B96" s="2" t="n">
        <x:v>18</x:v>
      </x:c>
      <x:c r="C96" s="2" t="str">
        <x:v>Company financing disclosure supports a corridor, not its incremental returns.</x:v>
      </x:c>
      <x:c r="D96" s="2" t="str">
        <x:v>Recommendation</x:v>
      </x:c>
      <x:c r="E96" s="2" t="str">
        <x:v>CO_AR;CO_IND;CO_VNM</x:v>
      </x:c>
      <x:c r="F96" s="2" t="str">
        <x:v>A_PILOT</x:v>
      </x:c>
      <x:c r="G96" s="2" t="str"/>
    </x:row>
    <x:row r="97" ht="55" customHeight="1">
      <x:c r="A97" s="2" t="str">
        <x:v>CL-corridor-body1</x:v>
      </x:c>
      <x:c r="B97" s="2" t="n">
        <x:v>18</x:v>
      </x:c>
      <x:c r="C97" s="2" t="str">
        <x:v>Annual report describes USD100 m seven-year FMO financing associated with rice flows from India, Thailand and Vietnam to Africa.</x:v>
      </x:c>
      <x:c r="D97" s="2" t="str">
        <x:v>Recommendation</x:v>
      </x:c>
      <x:c r="E97" s="2" t="str">
        <x:v>CO_AR;CO_IND;CO_VNM</x:v>
      </x:c>
      <x:c r="F97" s="2" t="str">
        <x:v>A_PILOT</x:v>
      </x:c>
      <x:c r="G97" s="2" t="str"/>
    </x:row>
    <x:row r="98" ht="55" customHeight="1">
      <x:c r="A98" s="2" t="str">
        <x:v>CL-corridor-body2</x:v>
      </x:c>
      <x:c r="B98" s="2" t="n">
        <x:v>18</x:v>
      </x:c>
      <x:c r="C98" s="2" t="str">
        <x:v>Choose a destination only after offtake, freight, quality, HS rules and payment are documented.</x:v>
      </x:c>
      <x:c r="D98" s="2" t="str">
        <x:v>Recommendation</x:v>
      </x:c>
      <x:c r="E98" s="2" t="str">
        <x:v>CO_AR;CO_IND;CO_VNM</x:v>
      </x:c>
      <x:c r="F98" s="2" t="str">
        <x:v>A_PILOT</x:v>
      </x:c>
      <x:c r="G98" s="2" t="str"/>
    </x:row>
    <x:row r="99" ht="55" customHeight="1">
      <x:c r="A99" s="2" t="str">
        <x:v>CL-corridor-body3</x:v>
      </x:c>
      <x:c r="B99" s="2" t="n">
        <x:v>18</x:v>
      </x:c>
      <x:c r="C99" s="2" t="str">
        <x:v>Compare delivered cash through a small contracted lot; map origin and destination common exposures.</x:v>
      </x:c>
      <x:c r="D99" s="2" t="str">
        <x:v>Recommendation</x:v>
      </x:c>
      <x:c r="E99" s="2" t="str">
        <x:v>CO_AR;CO_IND;CO_VNM</x:v>
      </x:c>
      <x:c r="F99" s="2" t="str">
        <x:v>A_PILOT</x:v>
      </x:c>
      <x:c r="G99" s="2" t="str"/>
    </x:row>
    <x:row r="100" ht="55" customHeight="1">
      <x:c r="A100" s="2" t="str">
        <x:v>CL-contrast-headline</x:v>
      </x:c>
      <x:c r="B100" s="2" t="n">
        <x:v>19</x:v>
      </x:c>
      <x:c r="C100" s="2" t="str">
        <x:v>SALIC control offers strategic alignment; it does not create guaranteed sales.</x:v>
      </x:c>
      <x:c r="D100" s="2" t="str">
        <x:v>Recommendation</x:v>
      </x:c>
      <x:c r="E100" s="2" t="str">
        <x:v>CO_FACT;CO_OWN;CO_ABOUT;CO_BRA</x:v>
      </x:c>
      <x:c r="F100" s="2" t="str"/>
      <x:c r="G100" s="2" t="str"/>
    </x:row>
    <x:row r="101" ht="55" customHeight="1">
      <x:c r="A101" s="2" t="str">
        <x:v>CL-contrast-table_row1</x:v>
      </x:c>
      <x:c r="B101" s="2" t="n">
        <x:v>19</x:v>
      </x:c>
      <x:c r="C101" s="2" t="str">
        <x:v>Saudi Arabia | Disclosed location and strategic shareholder | No verified incremental bankable order</x:v>
      </x:c>
      <x:c r="D101" s="2" t="str">
        <x:v>Recommendation</x:v>
      </x:c>
      <x:c r="E101" s="2" t="str">
        <x:v>CO_FACT;CO_OWN;CO_ABOUT;CO_BRA</x:v>
      </x:c>
      <x:c r="F101" s="2" t="str"/>
      <x:c r="G101" s="2" t="str"/>
    </x:row>
    <x:row r="102" ht="55" customHeight="1">
      <x:c r="A102" s="2" t="str">
        <x:v>CL-contrast-table_row2</x:v>
      </x:c>
      <x:c r="B102" s="2" t="n">
        <x:v>19</x:v>
      </x:c>
      <x:c r="C102" s="2" t="str">
        <x:v>Brazil | Disclosed grain/oilseed origin/export capability | No verified buyer spread, supplier/basin or port risk</x:v>
      </x:c>
      <x:c r="D102" s="2" t="str">
        <x:v>Recommendation</x:v>
      </x:c>
      <x:c r="E102" s="2" t="str">
        <x:v>CO_FACT;CO_OWN;CO_ABOUT;CO_BRA</x:v>
      </x:c>
      <x:c r="F102" s="2" t="str"/>
      <x:c r="G102" s="2" t="str"/>
    </x:row>
    <x:row r="103" ht="55" customHeight="1">
      <x:c r="A103" s="2" t="str">
        <x:v>CL-contrast-table_row3</x:v>
      </x:c>
      <x:c r="B103" s="2" t="n">
        <x:v>19</x:v>
      </x:c>
      <x:c r="C103" s="2" t="str">
        <x:v>Ownership | 81.81% SALIC; 18.19% Olam Group after CFG | About page lower 81.11% conflict recorded</x:v>
      </x:c>
      <x:c r="D103" s="2" t="str">
        <x:v>Recommendation</x:v>
      </x:c>
      <x:c r="E103" s="2" t="str">
        <x:v>CO_FACT;CO_OWN;CO_ABOUT;CO_BRA</x:v>
      </x:c>
      <x:c r="F103" s="2" t="str"/>
      <x:c r="G103" s="2" t="str"/>
    </x:row>
    <x:row r="104" ht="55" customHeight="1">
      <x:c r="A104" s="2" t="str">
        <x:v>CL-nigeria-headline</x:v>
      </x:c>
      <x:c r="B104" s="2" t="n">
        <x:v>20</x:v>
      </x:c>
      <x:c r="C104" s="2" t="str">
        <x:v>NGN0.47bn annual uplift does not fund NGN4.2bn initial capital at the chosen hurdle.</x:v>
      </x:c>
      <x:c r="D104" s="2" t="str">
        <x:v>Recommendation</x:v>
      </x:c>
      <x:c r="E104" s="2" t="str">
        <x:v>BASELINE;CO_NGA;USDA_OIL</x:v>
      </x:c>
      <x:c r="F104" s="2" t="str">
        <x:v>A_LEGACY</x:v>
      </x:c>
      <x:c r="G104" s="2" t="str">
        <x:v>C-LEGACY;C-E10</x:v>
      </x:c>
    </x:row>
    <x:row r="105" ht="55" customHeight="1">
      <x:c r="A105" s="2" t="str">
        <x:v>CL-nigeria-table_row1</x:v>
      </x:c>
      <x:c r="B105" s="2" t="n">
        <x:v>20</x:v>
      </x:c>
      <x:c r="C105" s="2" t="str">
        <x:v>Sales base / contribution margin | 100 / 8%</x:v>
      </x:c>
      <x:c r="D105" s="2" t="str">
        <x:v>Modelled outcome</x:v>
      </x:c>
      <x:c r="E105" s="2" t="str">
        <x:v>BASELINE;CO_NGA;USDA_OIL</x:v>
      </x:c>
      <x:c r="F105" s="2" t="str">
        <x:v>A_LEGACY</x:v>
      </x:c>
      <x:c r="G105" s="2" t="str">
        <x:v>C-LEGACY;C-E10</x:v>
      </x:c>
    </x:row>
    <x:row r="106" ht="55" customHeight="1">
      <x:c r="A106" s="2" t="str">
        <x:v>CL-nigeria-table_row2</x:v>
      </x:c>
      <x:c r="B106" s="2" t="n">
        <x:v>20</x:v>
      </x:c>
      <x:c r="C106" s="2" t="str">
        <x:v>Net annual uplift after chosen leakage | 0.470</x:v>
      </x:c>
      <x:c r="D106" s="2" t="str">
        <x:v>Modelled outcome</x:v>
      </x:c>
      <x:c r="E106" s="2" t="str">
        <x:v>BASELINE;CO_NGA;USDA_OIL</x:v>
      </x:c>
      <x:c r="F106" s="2" t="str">
        <x:v>A_LEGACY</x:v>
      </x:c>
      <x:c r="G106" s="2" t="str">
        <x:v>C-LEGACY;C-E10</x:v>
      </x:c>
    </x:row>
    <x:row r="107" ht="55" customHeight="1">
      <x:c r="A107" s="2" t="str">
        <x:v>CL-nigeria-table_row3</x:v>
      </x:c>
      <x:c r="B107" s="2" t="n">
        <x:v>20</x:v>
      </x:c>
      <x:c r="C107" s="2" t="str">
        <x:v>One-time 7 sales-day proxy release | 1.918</x:v>
      </x:c>
      <x:c r="D107" s="2" t="str">
        <x:v>Modelled outcome</x:v>
      </x:c>
      <x:c r="E107" s="2" t="str">
        <x:v>BASELINE;CO_NGA;USDA_OIL</x:v>
      </x:c>
      <x:c r="F107" s="2" t="str">
        <x:v>A_LEGACY</x:v>
      </x:c>
      <x:c r="G107" s="2" t="str">
        <x:v>C-LEGACY;C-E10</x:v>
      </x:c>
    </x:row>
    <x:row r="108" ht="55" customHeight="1">
      <x:c r="A108" s="2" t="str">
        <x:v>CL-nigeria-table_row4</x:v>
      </x:c>
      <x:c r="B108" s="2" t="n">
        <x:v>20</x:v>
      </x:c>
      <x:c r="C108" s="2" t="str">
        <x:v>Capital envelope | 4.200</x:v>
      </x:c>
      <x:c r="D108" s="2" t="str">
        <x:v>Modelled outcome</x:v>
      </x:c>
      <x:c r="E108" s="2" t="str">
        <x:v>BASELINE;CO_NGA;USDA_OIL</x:v>
      </x:c>
      <x:c r="F108" s="2" t="str">
        <x:v>A_LEGACY</x:v>
      </x:c>
      <x:c r="G108" s="2" t="str">
        <x:v>C-LEGACY;C-E10</x:v>
      </x:c>
    </x:row>
    <x:row r="109" ht="55" customHeight="1">
      <x:c r="A109" s="2" t="str">
        <x:v>CL-nigeria-table_row5</x:v>
      </x:c>
      <x:c r="B109" s="2" t="n">
        <x:v>20</x:v>
      </x:c>
      <x:c r="C109" s="2" t="str">
        <x:v>Three-year NPV at 28% | −2.065</x:v>
      </x:c>
      <x:c r="D109" s="2" t="str">
        <x:v>Modelled outcome</x:v>
      </x:c>
      <x:c r="E109" s="2" t="str">
        <x:v>BASELINE;CO_NGA;USDA_OIL</x:v>
      </x:c>
      <x:c r="F109" s="2" t="str">
        <x:v>A_LEGACY</x:v>
      </x:c>
      <x:c r="G109" s="2" t="str">
        <x:v>C-LEGACY;C-E10</x:v>
      </x:c>
    </x:row>
    <x:row r="110" ht="55" customHeight="1">
      <x:c r="A110" s="2" t="str">
        <x:v>CL-nigeria-table_row6</x:v>
      </x:c>
      <x:c r="B110" s="2" t="n">
        <x:v>20</x:v>
      </x:c>
      <x:c r="C110" s="2" t="str">
        <x:v>Zero-NPV annual uplift | 1.993</x:v>
      </x:c>
      <x:c r="D110" s="2" t="str">
        <x:v>Modelled outcome</x:v>
      </x:c>
      <x:c r="E110" s="2" t="str">
        <x:v>BASELINE;CO_NGA;USDA_OIL</x:v>
      </x:c>
      <x:c r="F110" s="2" t="str">
        <x:v>A_LEGACY</x:v>
      </x:c>
      <x:c r="G110" s="2" t="str">
        <x:v>C-LEGACY;C-E10</x:v>
      </x:c>
    </x:row>
    <x:row r="111" ht="55" customHeight="1">
      <x:c r="A111" s="2" t="str">
        <x:v>CL-customer-headline</x:v>
      </x:c>
      <x:c r="B111" s="2" t="n">
        <x:v>21</x:v>
      </x:c>
      <x:c r="C111" s="2" t="str">
        <x:v>A lower cost per usable output can justify price only if cash and trust permit adoption.</x:v>
      </x:c>
      <x:c r="D111" s="2" t="str">
        <x:v>Recommendation</x:v>
      </x:c>
      <x:c r="E111" s="2" t="str"/>
      <x:c r="F111" s="2" t="str">
        <x:v>A_EXAMPLE;A_PILOT</x:v>
      </x:c>
      <x:c r="G111" s="2" t="str">
        <x:v>C-E05</x:v>
      </x:c>
    </x:row>
    <x:row r="112" ht="55" customHeight="1">
      <x:c r="A112" s="2" t="str">
        <x:v>CL-customer-table_row1</x:v>
      </x:c>
      <x:c r="B112" s="2" t="n">
        <x:v>21</x:v>
      </x:c>
      <x:c r="C112" s="2" t="str">
        <x:v>Bag price + preparation cost | $30 + $5 | $32 + $4</x:v>
      </x:c>
      <x:c r="D112" s="2" t="str">
        <x:v>Modelled outcome</x:v>
      </x:c>
      <x:c r="E112" s="2" t="str"/>
      <x:c r="F112" s="2" t="str">
        <x:v>A_EXAMPLE;A_PILOT</x:v>
      </x:c>
      <x:c r="G112" s="2" t="str">
        <x:v>C-E05</x:v>
      </x:c>
    </x:row>
    <x:row r="113" ht="55" customHeight="1">
      <x:c r="A113" s="2" t="str">
        <x:v>CL-customer-table_row2</x:v>
      </x:c>
      <x:c r="B113" s="2" t="n">
        <x:v>21</x:v>
      </x:c>
      <x:c r="C113" s="2" t="str">
        <x:v>Usable output, kg | 45 | 48</x:v>
      </x:c>
      <x:c r="D113" s="2" t="str">
        <x:v>Modelled outcome</x:v>
      </x:c>
      <x:c r="E113" s="2" t="str"/>
      <x:c r="F113" s="2" t="str">
        <x:v>A_EXAMPLE;A_PILOT</x:v>
      </x:c>
      <x:c r="G113" s="2" t="str">
        <x:v>C-E05</x:v>
      </x:c>
    </x:row>
    <x:row r="114" ht="55" customHeight="1">
      <x:c r="A114" s="2" t="str">
        <x:v>CL-customer-table_row3</x:v>
      </x:c>
      <x:c r="B114" s="2" t="n">
        <x:v>21</x:v>
      </x:c>
      <x:c r="C114" s="2" t="str">
        <x:v>Cost per usable kg | $0.778 | $0.750</x:v>
      </x:c>
      <x:c r="D114" s="2" t="str">
        <x:v>Modelled outcome</x:v>
      </x:c>
      <x:c r="E114" s="2" t="str"/>
      <x:c r="F114" s="2" t="str">
        <x:v>A_EXAMPLE;A_PILOT</x:v>
      </x:c>
      <x:c r="G114" s="2" t="str">
        <x:v>C-E05</x:v>
      </x:c>
    </x:row>
    <x:row r="115" ht="55" customHeight="1">
      <x:c r="A115" s="2" t="str">
        <x:v>CL-customer-table_row4</x:v>
      </x:c>
      <x:c r="B115" s="2" t="n">
        <x:v>21</x:v>
      </x:c>
      <x:c r="C115" s="2" t="str">
        <x:v>B advantage | — | 3.57% lower output cost</x:v>
      </x:c>
      <x:c r="D115" s="2" t="str">
        <x:v>Modelled outcome</x:v>
      </x:c>
      <x:c r="E115" s="2" t="str"/>
      <x:c r="F115" s="2" t="str">
        <x:v>A_EXAMPLE;A_PILOT</x:v>
      </x:c>
      <x:c r="G115" s="2" t="str">
        <x:v>C-E05</x:v>
      </x:c>
    </x:row>
    <x:row r="116" ht="55" customHeight="1">
      <x:c r="A116" s="2" t="str">
        <x:v>CL-commercial-headline</x:v>
      </x:c>
      <x:c r="B116" s="2" t="n">
        <x:v>22</x:v>
      </x:c>
      <x:c r="C116" s="2" t="str">
        <x:v>Test price, usable yield, availability and channel economics as separate mechanisms.</x:v>
      </x:c>
      <x:c r="D116" s="2" t="str">
        <x:v>Recommendation</x:v>
      </x:c>
      <x:c r="E116" s="2" t="str"/>
      <x:c r="F116" s="2" t="str">
        <x:v>A_PILOT;A_EXAMPLE</x:v>
      </x:c>
      <x:c r="G116" s="2" t="str">
        <x:v>C-E06;C-E11</x:v>
      </x:c>
    </x:row>
    <x:row r="117" ht="55" customHeight="1">
      <x:c r="A117" s="2" t="str">
        <x:v>CL-commercial-table_row1</x:v>
      </x:c>
      <x:c r="B117" s="2" t="n">
        <x:v>22</x:v>
      </x:c>
      <x:c r="C117" s="2" t="str">
        <x:v>Pack size | Cash outlay + cost per meal | Net price, packing and route cost</x:v>
      </x:c>
      <x:c r="D117" s="2" t="str">
        <x:v>Modelled outcome</x:v>
      </x:c>
      <x:c r="E117" s="2" t="str"/>
      <x:c r="F117" s="2" t="str">
        <x:v>A_PILOT;A_EXAMPLE</x:v>
      </x:c>
      <x:c r="G117" s="2" t="str">
        <x:v>C-E06;C-E11</x:v>
      </x:c>
    </x:row>
    <x:row r="118" ht="55" customHeight="1">
      <x:c r="A118" s="2" t="str">
        <x:v>CL-commercial-table_row2</x:v>
      </x:c>
      <x:c r="B118" s="2" t="n">
        <x:v>22</x:v>
      </x:c>
      <x:c r="C118" s="2" t="str">
        <x:v>Baker technical service | Saleable output, rejects and energy | Contribution after service</x:v>
      </x:c>
      <x:c r="D118" s="2" t="str">
        <x:v>Modelled outcome</x:v>
      </x:c>
      <x:c r="E118" s="2" t="str"/>
      <x:c r="F118" s="2" t="str">
        <x:v>A_PILOT;A_EXAMPLE</x:v>
      </x:c>
      <x:c r="G118" s="2" t="str">
        <x:v>C-E06;C-E11</x:v>
      </x:c>
    </x:row>
    <x:row r="119" ht="55" customHeight="1">
      <x:c r="A119" s="2" t="str">
        <x:v>CL-commercial-table_row3</x:v>
      </x:c>
      <x:c r="B119" s="2" t="n">
        <x:v>22</x:v>
      </x:c>
      <x:c r="C119" s="2" t="str">
        <x:v>Route availability | Paid repeat and substitution | Stock turns + credit losses</x:v>
      </x:c>
      <x:c r="D119" s="2" t="str">
        <x:v>Modelled outcome</x:v>
      </x:c>
      <x:c r="E119" s="2" t="str"/>
      <x:c r="F119" s="2" t="str">
        <x:v>A_PILOT;A_EXAMPLE</x:v>
      </x:c>
      <x:c r="G119" s="2" t="str">
        <x:v>C-E06;C-E11</x:v>
      </x:c>
    </x:row>
    <x:row r="120" ht="55" customHeight="1">
      <x:c r="A120" s="2" t="str">
        <x:v>CL-commercial-table_row4</x:v>
      </x:c>
      <x:c r="B120" s="2" t="n">
        <x:v>22</x:v>
      </x:c>
      <x:c r="C120" s="2" t="str">
        <x:v>Price recovery | Pass-through timing and demand response | Retained margin, not gross price rise</x:v>
      </x:c>
      <x:c r="D120" s="2" t="str">
        <x:v>Modelled outcome</x:v>
      </x:c>
      <x:c r="E120" s="2" t="str"/>
      <x:c r="F120" s="2" t="str">
        <x:v>A_PILOT;A_EXAMPLE</x:v>
      </x:c>
      <x:c r="G120" s="2" t="str">
        <x:v>C-E06;C-E11</x:v>
      </x:c>
    </x:row>
    <x:row r="121" ht="55" customHeight="1">
      <x:c r="A121" s="2" t="str">
        <x:v>CL-capacity-headline</x:v>
      </x:c>
      <x:c r="B121" s="2" t="n">
        <x:v>23</x:v>
      </x:c>
      <x:c r="C121" s="2" t="str">
        <x:v>The lowest physical or commercial constraint determines revenue.</x:v>
      </x:c>
      <x:c r="D121" s="2" t="str">
        <x:v>Recommendation</x:v>
      </x:c>
      <x:c r="E121" s="2" t="str"/>
      <x:c r="F121" s="2" t="str">
        <x:v>A_EXAMPLE</x:v>
      </x:c>
      <x:c r="G121" s="2" t="str">
        <x:v>C-E02</x:v>
      </x:c>
    </x:row>
    <x:row r="122" ht="55" customHeight="1">
      <x:c r="A122" s="2" t="str">
        <x:v>CL-capacity-table_row1</x:v>
      </x:c>
      <x:c r="B122" s="2" t="n">
        <x:v>23</x:v>
      </x:c>
      <x:c r="C122" s="2" t="str">
        <x:v>1 m people ×100 kg/person/year | 100,000 category demand</x:v>
      </x:c>
      <x:c r="D122" s="2" t="str">
        <x:v>Modelled outcome</x:v>
      </x:c>
      <x:c r="E122" s="2" t="str"/>
      <x:c r="F122" s="2" t="str">
        <x:v>A_EXAMPLE</x:v>
      </x:c>
      <x:c r="G122" s="2" t="str">
        <x:v>C-E02</x:v>
      </x:c>
    </x:row>
    <x:row r="123" ht="55" customHeight="1">
      <x:c r="A123" s="2" t="str">
        <x:v>CL-capacity-table_row2</x:v>
      </x:c>
      <x:c r="B123" s="2" t="n">
        <x:v>23</x:v>
      </x:c>
      <x:c r="C123" s="2" t="str">
        <x:v>50% accessible ×20% capture | 10,000 buyer orders</x:v>
      </x:c>
      <x:c r="D123" s="2" t="str">
        <x:v>Modelled outcome</x:v>
      </x:c>
      <x:c r="E123" s="2" t="str"/>
      <x:c r="F123" s="2" t="str">
        <x:v>A_EXAMPLE</x:v>
      </x:c>
      <x:c r="G123" s="2" t="str">
        <x:v>C-E02</x:v>
      </x:c>
    </x:row>
    <x:row r="124" ht="55" customHeight="1">
      <x:c r="A124" s="2" t="str">
        <x:v>CL-capacity-table_row3</x:v>
      </x:c>
      <x:c r="B124" s="2" t="n">
        <x:v>23</x:v>
      </x:c>
      <x:c r="C124" s="2" t="str">
        <x:v>Saleable capacity | 8,000</x:v>
      </x:c>
      <x:c r="D124" s="2" t="str">
        <x:v>Modelled outcome</x:v>
      </x:c>
      <x:c r="E124" s="2" t="str"/>
      <x:c r="F124" s="2" t="str">
        <x:v>A_EXAMPLE</x:v>
      </x:c>
      <x:c r="G124" s="2" t="str">
        <x:v>C-E02</x:v>
      </x:c>
    </x:row>
    <x:row r="125" ht="55" customHeight="1">
      <x:c r="A125" s="2" t="str">
        <x:v>CL-capacity-table_row4</x:v>
      </x:c>
      <x:c r="B125" s="2" t="n">
        <x:v>23</x:v>
      </x:c>
      <x:c r="C125" s="2" t="str">
        <x:v>Route delivery limit | 7,000</x:v>
      </x:c>
      <x:c r="D125" s="2" t="str">
        <x:v>Modelled outcome</x:v>
      </x:c>
      <x:c r="E125" s="2" t="str"/>
      <x:c r="F125" s="2" t="str">
        <x:v>A_EXAMPLE</x:v>
      </x:c>
      <x:c r="G125" s="2" t="str">
        <x:v>C-E02</x:v>
      </x:c>
    </x:row>
    <x:row r="126" ht="55" customHeight="1">
      <x:c r="A126" s="2" t="str">
        <x:v>CL-capacity-table_row5</x:v>
      </x:c>
      <x:c r="B126" s="2" t="n">
        <x:v>23</x:v>
      </x:c>
      <x:c r="C126" s="2" t="str">
        <x:v>Delivered sales | 7,000, not 10,000</x:v>
      </x:c>
      <x:c r="D126" s="2" t="str">
        <x:v>Modelled outcome</x:v>
      </x:c>
      <x:c r="E126" s="2" t="str"/>
      <x:c r="F126" s="2" t="str">
        <x:v>A_EXAMPLE</x:v>
      </x:c>
      <x:c r="G126" s="2" t="str">
        <x:v>C-E02</x:v>
      </x:c>
    </x:row>
    <x:row r="127" ht="55" customHeight="1">
      <x:c r="A127" s="2" t="str">
        <x:v>CL-cash-headline</x:v>
      </x:c>
      <x:c r="B127" s="2" t="n">
        <x:v>24</x:v>
      </x:c>
      <x:c r="C127" s="2" t="str">
        <x:v>Inventory and purchases use cost; receivables use credit sales.</x:v>
      </x:c>
      <x:c r="D127" s="2" t="str">
        <x:v>Modelled outcome</x:v>
      </x:c>
      <x:c r="E127" s="2" t="str"/>
      <x:c r="F127" s="2" t="str">
        <x:v>A_EXAMPLE;A_NWC</x:v>
      </x:c>
      <x:c r="G127" s="2" t="str">
        <x:v>C-E09</x:v>
      </x:c>
    </x:row>
    <x:row r="128" ht="55" customHeight="1">
      <x:c r="A128" s="2" t="str">
        <x:v>CL-cash-table_row1</x:v>
      </x:c>
      <x:c r="B128" s="2" t="n">
        <x:v>24</x:v>
      </x:c>
      <x:c r="C128" s="2" t="str">
        <x:v>Receivables | 40 ×5 /365 | 0.548</x:v>
      </x:c>
      <x:c r="D128" s="2" t="str">
        <x:v>Modelled outcome</x:v>
      </x:c>
      <x:c r="E128" s="2" t="str"/>
      <x:c r="F128" s="2" t="str">
        <x:v>A_EXAMPLE;A_NWC</x:v>
      </x:c>
      <x:c r="G128" s="2" t="str">
        <x:v>C-E09</x:v>
      </x:c>
    </x:row>
    <x:row r="129" ht="55" customHeight="1">
      <x:c r="A129" s="2" t="str">
        <x:v>CL-cash-table_row2</x:v>
      </x:c>
      <x:c r="B129" s="2" t="n">
        <x:v>24</x:v>
      </x:c>
      <x:c r="C129" s="2" t="str">
        <x:v>Inventory | 34 ×7 /365 | 0.652</x:v>
      </x:c>
      <x:c r="D129" s="2" t="str">
        <x:v>Modelled outcome</x:v>
      </x:c>
      <x:c r="E129" s="2" t="str"/>
      <x:c r="F129" s="2" t="str">
        <x:v>A_EXAMPLE;A_NWC</x:v>
      </x:c>
      <x:c r="G129" s="2" t="str">
        <x:v>C-E09</x:v>
      </x:c>
    </x:row>
    <x:row r="130" ht="55" customHeight="1">
      <x:c r="A130" s="2" t="str">
        <x:v>CL-cash-table_row3</x:v>
      </x:c>
      <x:c r="B130" s="2" t="n">
        <x:v>24</x:v>
      </x:c>
      <x:c r="C130" s="2" t="str">
        <x:v>Payables | DPO unchanged | 0.000</x:v>
      </x:c>
      <x:c r="D130" s="2" t="str">
        <x:v>Modelled outcome</x:v>
      </x:c>
      <x:c r="E130" s="2" t="str"/>
      <x:c r="F130" s="2" t="str">
        <x:v>A_EXAMPLE;A_NWC</x:v>
      </x:c>
      <x:c r="G130" s="2" t="str">
        <x:v>C-E09</x:v>
      </x:c>
    </x:row>
    <x:row r="131" ht="55" customHeight="1">
      <x:c r="A131" s="2" t="str">
        <x:v>CL-cash-table_row4</x:v>
      </x:c>
      <x:c r="B131" s="2" t="n">
        <x:v>24</x:v>
      </x:c>
      <x:c r="C131" s="2" t="str">
        <x:v>Total once-only transition cash | 0.548 +0.652 | 1.200</x:v>
      </x:c>
      <x:c r="D131" s="2" t="str">
        <x:v>Modelled outcome</x:v>
      </x:c>
      <x:c r="E131" s="2" t="str"/>
      <x:c r="F131" s="2" t="str">
        <x:v>A_EXAMPLE;A_NWC</x:v>
      </x:c>
      <x:c r="G131" s="2" t="str">
        <x:v>C-E09</x:v>
      </x:c>
    </x:row>
    <x:row r="132" ht="55" customHeight="1">
      <x:c r="A132" s="2" t="str">
        <x:v>CL-finance-headline</x:v>
      </x:c>
      <x:c r="B132" s="2" t="n">
        <x:v>25</x:v>
      </x:c>
      <x:c r="C132" s="2" t="str">
        <x:v>Managed owned-processing template: NPV −USD1.80m; peak annual funding USD22.56m.</x:v>
      </x:c>
      <x:c r="D132" s="2" t="str">
        <x:v>Modelled outcome</x:v>
      </x:c>
      <x:c r="E132" s="2" t="str"/>
      <x:c r="F132" s="2" t="str">
        <x:v>A_TEMPLATE;A_TAX;A_RATE;A_CAPEX;A_NWC</x:v>
      </x:c>
      <x:c r="G132" s="2" t="str">
        <x:v>C-DCF-plant-managed</x:v>
      </x:c>
    </x:row>
    <x:row r="133" ht="55" customHeight="1">
      <x:c r="A133" s="2" t="str">
        <x:v>CL-finance-body1</x:v>
      </x:c>
      <x:c r="B133" s="2" t="n">
        <x:v>25</x:v>
      </x:c>
      <x:c r="C133" s="2" t="str">
        <x:v>Managed owned: IRR 9.04%; year3 ROIC 7.20%; capital turns 1.92×. Chosen10% real hurdle; all figures remain normalized, not Olam economics.</x:v>
      </x:c>
      <x:c r="D133" s="2" t="str">
        <x:v>Modelled outcome</x:v>
      </x:c>
      <x:c r="E133" s="2" t="str"/>
      <x:c r="F133" s="2" t="str">
        <x:v>A_TEMPLATE;A_TAX;A_RATE;A_CAPEX;A_NWC</x:v>
      </x:c>
      <x:c r="G133" s="2" t="str">
        <x:v>C-DCF-plant-managed</x:v>
      </x:c>
    </x:row>
    <x:row r="134" ht="55" customHeight="1">
      <x:c r="A134" s="2" t="str">
        <x:v>CL-finance-table_row1</x:v>
      </x:c>
      <x:c r="B134" s="2" t="n">
        <x:v>25</x:v>
      </x:c>
      <x:c r="C134" s="2" t="str">
        <x:v>Initial capex | 60% now +40% in first operating year</x:v>
      </x:c>
      <x:c r="D134" s="2" t="str">
        <x:v>Modelled outcome</x:v>
      </x:c>
      <x:c r="E134" s="2" t="str"/>
      <x:c r="F134" s="2" t="str">
        <x:v>A_TEMPLATE;A_TAX;A_RATE;A_CAPEX;A_NWC</x:v>
      </x:c>
      <x:c r="G134" s="2" t="str">
        <x:v>C-DCF-plant-managed</x:v>
      </x:c>
    </x:row>
    <x:row r="135" ht="55" customHeight="1">
      <x:c r="A135" s="2" t="str">
        <x:v>CL-finance-table_row2</x:v>
      </x:c>
      <x:c r="B135" s="2" t="n">
        <x:v>25</x:v>
      </x:c>
      <x:c r="C135" s="2" t="str">
        <x:v>Maintenance / replacement | 2% annually; 70% in years 11 and 21</x:v>
      </x:c>
      <x:c r="D135" s="2" t="str">
        <x:v>Modelled outcome</x:v>
      </x:c>
      <x:c r="E135" s="2" t="str"/>
      <x:c r="F135" s="2" t="str">
        <x:v>A_TEMPLATE;A_TAX;A_RATE;A_CAPEX;A_NWC</x:v>
      </x:c>
      <x:c r="G135" s="2" t="str">
        <x:v>C-DCF-plant-managed</x:v>
      </x:c>
    </x:row>
    <x:row r="136" ht="55" customHeight="1">
      <x:c r="A136" s="2" t="str">
        <x:v>CL-finance-table_row3</x:v>
      </x:c>
      <x:c r="B136" s="2" t="n">
        <x:v>25</x:v>
      </x:c>
      <x:c r="C136" s="2" t="str">
        <x:v>Tax / depreciation | 25% simplified carryforward; capital cohorts over 10 years</x:v>
      </x:c>
      <x:c r="D136" s="2" t="str">
        <x:v>Modelled outcome</x:v>
      </x:c>
      <x:c r="E136" s="2" t="str"/>
      <x:c r="F136" s="2" t="str">
        <x:v>A_TEMPLATE;A_TAX;A_RATE;A_CAPEX;A_NWC</x:v>
      </x:c>
      <x:c r="G136" s="2" t="str">
        <x:v>C-DCF-plant-managed</x:v>
      </x:c>
    </x:row>
    <x:row r="137" ht="55" customHeight="1">
      <x:c r="A137" s="2" t="str">
        <x:v>CL-finance-table_row4</x:v>
      </x:c>
      <x:c r="B137" s="2" t="n">
        <x:v>25</x:v>
      </x:c>
      <x:c r="C137" s="2" t="str">
        <x:v>Working cash | 80% credit-sales AR + cost inventory −80% eligible-purchases AP</x:v>
      </x:c>
      <x:c r="D137" s="2" t="str">
        <x:v>Modelled outcome</x:v>
      </x:c>
      <x:c r="E137" s="2" t="str"/>
      <x:c r="F137" s="2" t="str">
        <x:v>A_TEMPLATE;A_TAX;A_RATE;A_CAPEX;A_NWC</x:v>
      </x:c>
      <x:c r="G137" s="2" t="str">
        <x:v>C-DCF-plant-managed</x:v>
      </x:c>
    </x:row>
    <x:row r="138" ht="55" customHeight="1">
      <x:c r="A138" s="2" t="str">
        <x:v>CL-finance-table_row5</x:v>
      </x:c>
      <x:c r="B138" s="2" t="n">
        <x:v>25</x:v>
      </x:c>
      <x:c r="C138" s="2" t="str">
        <x:v>End of 2051 | 90% NWC closeout; no franchise value</x:v>
      </x:c>
      <x:c r="D138" s="2" t="str">
        <x:v>Modelled outcome</x:v>
      </x:c>
      <x:c r="E138" s="2" t="str"/>
      <x:c r="F138" s="2" t="str">
        <x:v>A_TEMPLATE;A_TAX;A_RATE;A_CAPEX;A_NWC</x:v>
      </x:c>
      <x:c r="G138" s="2" t="str">
        <x:v>C-DCF-plant-managed</x:v>
      </x:c>
    </x:row>
    <x:row r="139" ht="55" customHeight="1">
      <x:c r="A139" s="2" t="str">
        <x:v>CL-downside-headline</x:v>
      </x:c>
      <x:c r="B139" s="2" t="n">
        <x:v>26</x:v>
      </x:c>
      <x:c r="C139" s="2" t="str">
        <x:v>Chosen stress distribution illustrates failure; it does not estimate the probability of loss.</x:v>
      </x:c>
      <x:c r="D139" s="2" t="str">
        <x:v>Modelled outcome</x:v>
      </x:c>
      <x:c r="E139" s="2" t="str"/>
      <x:c r="F139" s="2" t="str">
        <x:v>A_STRESS;A_TEMPLATE</x:v>
      </x:c>
      <x:c r="G139" s="2" t="str">
        <x:v>C-STRESS;C-THRESHOLD</x:v>
      </x:c>
    </x:row>
    <x:row r="140" ht="55" customHeight="1">
      <x:c r="A140" s="2" t="str">
        <x:v>CL-downside-table_row1</x:v>
      </x:c>
      <x:c r="B140" s="2" t="n">
        <x:v>26</x:v>
      </x:c>
      <x:c r="C140" s="2" t="str">
        <x:v>10 th /50 th /90 th percentile NPV | -19.27 / -1.65 / 21.48</x:v>
      </x:c>
      <x:c r="D140" s="2" t="str">
        <x:v>Modelled outcome</x:v>
      </x:c>
      <x:c r="E140" s="2" t="str"/>
      <x:c r="F140" s="2" t="str">
        <x:v>A_STRESS;A_TEMPLATE</x:v>
      </x:c>
      <x:c r="G140" s="2" t="str">
        <x:v>C-STRESS;C-THRESHOLD</x:v>
      </x:c>
    </x:row>
    <x:row r="141" ht="55" customHeight="1">
      <x:c r="A141" s="2" t="str">
        <x:v>CL-downside-table_row2</x:v>
      </x:c>
      <x:c r="B141" s="2" t="n">
        <x:v>26</x:v>
      </x:c>
      <x:c r="C141" s="2" t="str">
        <x:v>Loss VaR95 | 24.54</x:v>
      </x:c>
      <x:c r="D141" s="2" t="str">
        <x:v>Modelled outcome</x:v>
      </x:c>
      <x:c r="E141" s="2" t="str"/>
      <x:c r="F141" s="2" t="str">
        <x:v>A_STRESS;A_TEMPLATE</x:v>
      </x:c>
      <x:c r="G141" s="2" t="str">
        <x:v>C-STRESS;C-THRESHOLD</x:v>
      </x:c>
    </x:row>
    <x:row r="142" ht="55" customHeight="1">
      <x:c r="A142" s="2" t="str">
        <x:v>CL-downside-table_row3</x:v>
      </x:c>
      <x:c r="B142" s="2" t="n">
        <x:v>26</x:v>
      </x:c>
      <x:c r="C142" s="2" t="str">
        <x:v>Loss CVaR95 | 29.25</x:v>
      </x:c>
      <x:c r="D142" s="2" t="str">
        <x:v>Modelled outcome</x:v>
      </x:c>
      <x:c r="E142" s="2" t="str"/>
      <x:c r="F142" s="2" t="str">
        <x:v>A_STRESS;A_TEMPLATE</x:v>
      </x:c>
      <x:c r="G142" s="2" t="str">
        <x:v>C-STRESS;C-THRESHOLD</x:v>
      </x:c>
    </x:row>
    <x:row r="143" ht="55" customHeight="1">
      <x:c r="A143" s="2" t="str">
        <x:v>CL-downside-table_row4</x:v>
      </x:c>
      <x:c r="B143" s="2" t="n">
        <x:v>26</x:v>
      </x:c>
      <x:c r="C143" s="2" t="str">
        <x:v>Managed zero-NPV order boundary | 104,862 tonnes of initial annual orders</x:v>
      </x:c>
      <x:c r="D143" s="2" t="str">
        <x:v>Modelled outcome</x:v>
      </x:c>
      <x:c r="E143" s="2" t="str"/>
      <x:c r="F143" s="2" t="str">
        <x:v>A_STRESS;A_TEMPLATE</x:v>
      </x:c>
      <x:c r="G143" s="2" t="str">
        <x:v>C-STRESS;C-THRESHOLD</x:v>
      </x:c>
    </x:row>
    <x:row r="144" ht="55" customHeight="1">
      <x:c r="A144" s="2" t="str">
        <x:v>CL-downside-table_row5</x:v>
      </x:c>
      <x:c r="B144" s="2" t="n">
        <x:v>26</x:v>
      </x:c>
      <x:c r="C144" s="2" t="str">
        <x:v>Response | Reprice, resize, delay or stop; never assume automatic recovery</x:v>
      </x:c>
      <x:c r="D144" s="2" t="str">
        <x:v>Modelled outcome</x:v>
      </x:c>
      <x:c r="E144" s="2" t="str"/>
      <x:c r="F144" s="2" t="str">
        <x:v>A_STRESS;A_TEMPLATE</x:v>
      </x:c>
      <x:c r="G144" s="2" t="str">
        <x:v>C-STRESS;C-THRESHOLD</x:v>
      </x:c>
    </x:row>
    <x:row r="145" ht="55" customHeight="1">
      <x:c r="A145" s="2" t="str">
        <x:v>CL-portfolio-headline</x:v>
      </x:c>
      <x:c r="B145" s="2" t="n">
        <x:v>27</x:v>
      </x:c>
      <x:c r="C145" s="2" t="str">
        <x:v>Allocate only among legally feasible, funded and physically deliverable choices.</x:v>
      </x:c>
      <x:c r="D145" s="2" t="str">
        <x:v>Recommendation</x:v>
      </x:c>
      <x:c r="E145" s="2" t="str"/>
      <x:c r="F145" s="2" t="str">
        <x:v>A_PRIOR;A_STRESS</x:v>
      </x:c>
      <x:c r="G145" s="2" t="str">
        <x:v>C-E17;C-REGRET</x:v>
      </x:c>
    </x:row>
    <x:row r="146" ht="55" customHeight="1">
      <x:c r="A146" s="2" t="str">
        <x:v>CL-portfolio-body1</x:v>
      </x:c>
      <x:c r="B146" s="2" t="n">
        <x:v>27</x:v>
      </x:c>
      <x:c r="C146" s="2" t="str">
        <x:v>Group projects by crop/season, basin, port, shipping lane, buyer, FX and lender before optimizing.</x:v>
      </x:c>
      <x:c r="D146" s="2" t="str">
        <x:v>Modelled outcome</x:v>
      </x:c>
      <x:c r="E146" s="2" t="str"/>
      <x:c r="F146" s="2" t="str">
        <x:v>A_PRIOR;A_STRESS</x:v>
      </x:c>
      <x:c r="G146" s="2" t="str">
        <x:v>C-E17;C-REGRET</x:v>
      </x:c>
    </x:row>
    <x:row r="147" ht="55" customHeight="1">
      <x:c r="A147" s="2" t="str">
        <x:v>CL-portfolio-body2</x:v>
      </x:c>
      <x:c r="B147" s="2" t="n">
        <x:v>27</x:v>
      </x:c>
      <x:c r="C147" s="2" t="str">
        <x:v>Use budget, peak cash, capacity, water/carbon and counterparty constraints with explicit shadow costs.</x:v>
      </x:c>
      <x:c r="D147" s="2" t="str">
        <x:v>Modelled outcome</x:v>
      </x:c>
      <x:c r="E147" s="2" t="str"/>
      <x:c r="F147" s="2" t="str">
        <x:v>A_PRIOR;A_STRESS</x:v>
      </x:c>
      <x:c r="G147" s="2" t="str">
        <x:v>C-E17;C-REGRET</x:v>
      </x:c>
    </x:row>
    <x:row r="148" ht="55" customHeight="1">
      <x:c r="A148" s="2" t="str">
        <x:v>CL-portfolio-body3</x:v>
      </x:c>
      <x:c r="B148" s="2" t="n">
        <x:v>27</x:v>
      </x:c>
      <x:c r="C148" s="2" t="str">
        <x:v>No optimal all-country allocation is claimed without country economics and dependence data.</x:v>
      </x:c>
      <x:c r="D148" s="2" t="str">
        <x:v>Modelled outcome</x:v>
      </x:c>
      <x:c r="E148" s="2" t="str"/>
      <x:c r="F148" s="2" t="str">
        <x:v>A_PRIOR;A_STRESS</x:v>
      </x:c>
      <x:c r="G148" s="2" t="str">
        <x:v>C-E17;C-REGRET</x:v>
      </x:c>
    </x:row>
    <x:row r="149" ht="55" customHeight="1">
      <x:c r="A149" s="2" t="str">
        <x:v>CL-portfolio-table_row1</x:v>
      </x:c>
      <x:c r="B149" s="2" t="n">
        <x:v>27</x:v>
      </x:c>
      <x:c r="C149" s="2" t="str">
        <x:v>Population / import-size ranking | Capture, spread, seasonal funding</x:v>
      </x:c>
      <x:c r="D149" s="2" t="str">
        <x:v>Modelled outcome</x:v>
      </x:c>
      <x:c r="E149" s="2" t="str"/>
      <x:c r="F149" s="2" t="str">
        <x:v>A_PRIOR;A_STRESS</x:v>
      </x:c>
      <x:c r="G149" s="2" t="str">
        <x:v>C-E17;C-REGRET</x:v>
      </x:c>
    </x:row>
    <x:row r="150" ht="55" customHeight="1">
      <x:c r="A150" s="2" t="str">
        <x:v>CL-portfolio-table_row2</x:v>
      </x:c>
      <x:c r="B150" s="2" t="n">
        <x:v>27</x:v>
      </x:c>
      <x:c r="C150" s="2" t="str">
        <x:v>Expected NPV only | Joint tail loss and cash breach</x:v>
      </x:c>
      <x:c r="D150" s="2" t="str">
        <x:v>Modelled outcome</x:v>
      </x:c>
      <x:c r="E150" s="2" t="str"/>
      <x:c r="F150" s="2" t="str">
        <x:v>A_PRIOR;A_STRESS</x:v>
      </x:c>
      <x:c r="G150" s="2" t="str">
        <x:v>C-E17;C-REGRET</x:v>
      </x:c>
    </x:row>
    <x:row r="151" ht="55" customHeight="1">
      <x:c r="A151" s="2" t="str">
        <x:v>CL-portfolio-table_row3</x:v>
      </x:c>
      <x:c r="B151" s="2" t="n">
        <x:v>27</x:v>
      </x:c>
      <x:c r="C151" s="2" t="str">
        <x:v>Country count diversification | Shared port, crop season or lender</x:v>
      </x:c>
      <x:c r="D151" s="2" t="str">
        <x:v>Modelled outcome</x:v>
      </x:c>
      <x:c r="E151" s="2" t="str"/>
      <x:c r="F151" s="2" t="str">
        <x:v>A_PRIOR;A_STRESS</x:v>
      </x:c>
      <x:c r="G151" s="2" t="str">
        <x:v>C-E17;C-REGRET</x:v>
      </x:c>
    </x:row>
    <x:row r="152" ht="55" customHeight="1">
      <x:c r="A152" s="2" t="str">
        <x:v>CL-adaptive-headline</x:v>
      </x:c>
      <x:c r="B152" s="2" t="n">
        <x:v>28</x:v>
      </x:c>
      <x:c r="C152" s="2" t="str">
        <x:v>The proposed model combines established methods into an executable decision workflow.</x:v>
      </x:c>
      <x:c r="D152" s="2" t="str">
        <x:v>Recommendation</x:v>
      </x:c>
      <x:c r="E152" s="2" t="str"/>
      <x:c r="F152" s="2" t="str">
        <x:v>A_PRIOR</x:v>
      </x:c>
      <x:c r="G152" s="2" t="str">
        <x:v>C-REGRET;C-E20</x:v>
      </x:c>
    </x:row>
    <x:row r="153" ht="55" customHeight="1">
      <x:c r="A153" s="2" t="str">
        <x:v>CL-counterexample-headline</x:v>
      </x:c>
      <x:c r="B153" s="2" t="n">
        <x:v>29</x:v>
      </x:c>
      <x:c r="C153" s="2" t="str">
        <x:v>A transparent teaching case changes the decision under the same USD20m maximum envelope.</x:v>
      </x:c>
      <x:c r="D153" s="2" t="str">
        <x:v>Modelled outcome</x:v>
      </x:c>
      <x:c r="E153" s="2" t="str"/>
      <x:c r="F153" s="2" t="str">
        <x:v>A_PRIOR;A_EXAMPLE</x:v>
      </x:c>
      <x:c r="G153" s="2" t="str">
        <x:v>C-REGRET</x:v>
      </x:c>
    </x:row>
    <x:row r="154" ht="55" customHeight="1">
      <x:c r="A154" s="2" t="str">
        <x:v>CL-counterexample-table_row1</x:v>
      </x:c>
      <x:c r="B154" s="2" t="n">
        <x:v>29</x:v>
      </x:c>
      <x:c r="C154" s="2" t="str">
        <x:v>Wait | 0.0 | 0.0 | 0.0 | 14.0</x:v>
      </x:c>
      <x:c r="D154" s="2" t="str">
        <x:v>Modelled outcome</x:v>
      </x:c>
      <x:c r="E154" s="2" t="str"/>
      <x:c r="F154" s="2" t="str">
        <x:v>A_PRIOR;A_EXAMPLE</x:v>
      </x:c>
      <x:c r="G154" s="2" t="str">
        <x:v>C-REGRET</x:v>
      </x:c>
    </x:row>
    <x:row r="155" ht="55" customHeight="1">
      <x:c r="A155" s="2" t="str">
        <x:v>CL-counterexample-table_row2</x:v>
      </x:c>
      <x:c r="B155" s="2" t="n">
        <x:v>29</x:v>
      </x:c>
      <x:c r="C155" s="2" t="str">
        <x:v>Large owned plant | 9.0 | 14.0 | -8.0 | 8.0</x:v>
      </x:c>
      <x:c r="D155" s="2" t="str">
        <x:v>Modelled outcome</x:v>
      </x:c>
      <x:c r="E155" s="2" t="str"/>
      <x:c r="F155" s="2" t="str">
        <x:v>A_PRIOR;A_EXAMPLE</x:v>
      </x:c>
      <x:c r="G155" s="2" t="str">
        <x:v>C-REGRET</x:v>
      </x:c>
    </x:row>
    <x:row r="156" ht="55" customHeight="1">
      <x:c r="A156" s="2" t="str">
        <x:v>CL-counterexample-table_row3</x:v>
      </x:c>
      <x:c r="B156" s="2" t="n">
        <x:v>29</x:v>
      </x:c>
      <x:c r="C156" s="2" t="str">
        <x:v>Partner processing | 6.0 | 10.0 | -1.0 | 4.0</x:v>
      </x:c>
      <x:c r="D156" s="2" t="str">
        <x:v>Modelled outcome</x:v>
      </x:c>
      <x:c r="E156" s="2" t="str"/>
      <x:c r="F156" s="2" t="str">
        <x:v>A_PRIOR;A_EXAMPLE</x:v>
      </x:c>
      <x:c r="G156" s="2" t="str">
        <x:v>C-REGRET</x:v>
      </x:c>
    </x:row>
    <x:row r="157" ht="55" customHeight="1">
      <x:c r="A157" s="2" t="str">
        <x:v>CL-counterexample-table_row4</x:v>
      </x:c>
      <x:c r="B157" s="2" t="n">
        <x:v>29</x:v>
      </x:c>
      <x:c r="C157" s="2" t="str">
        <x:v>Capped contracted trade | 4.0 | 7.0 | 0.0 | 7.0</x:v>
      </x:c>
      <x:c r="D157" s="2" t="str">
        <x:v>Modelled outcome</x:v>
      </x:c>
      <x:c r="E157" s="2" t="str"/>
      <x:c r="F157" s="2" t="str">
        <x:v>A_PRIOR;A_EXAMPLE</x:v>
      </x:c>
      <x:c r="G157" s="2" t="str">
        <x:v>C-REGRET</x:v>
      </x:c>
    </x:row>
    <x:row r="158" ht="55" customHeight="1">
      <x:c r="A158" s="2" t="str">
        <x:v>CL-validation-headline</x:v>
      </x:c>
      <x:c r="B158" s="2" t="n">
        <x:v>30</x:v>
      </x:c>
      <x:c r="C158" s="2" t="str">
        <x:v>A small error gain does not turn aggregate food production into product demand.</x:v>
      </x:c>
      <x:c r="D158" s="2" t="str">
        <x:v>Modelled outcome</x:v>
      </x:c>
      <x:c r="E158" s="2" t="str">
        <x:v>WB_food_index;WB_income_ppp;WB_urban;WB_cereal_yield</x:v>
      </x:c>
      <x:c r="F158" s="2" t="str"/>
      <x:c r="G158" s="2" t="str">
        <x:v>C-OLS</x:v>
      </x:c>
    </x:row>
    <x:row r="159" ht="55" customHeight="1">
      <x:c r="A159" s="2" t="str">
        <x:v>CL-validation-body1</x:v>
      </x:c>
      <x:c r="B159" s="2" t="n">
        <x:v>30</x:v>
      </x:c>
      <x:c r="C159" s="2" t="str">
        <x:v>Executed teaching tests: imperfect EVSI0.70 USDm; marketing/capacity contribution changes sign; regret, network and same-input ablations are in the verification appendix.</x:v>
      </x:c>
      <x:c r="D159" s="2" t="str">
        <x:v>Modelled outcome</x:v>
      </x:c>
      <x:c r="E159" s="2" t="str">
        <x:v>WB_food_index;WB_income_ppp;WB_urban;WB_cereal_yield</x:v>
      </x:c>
      <x:c r="F159" s="2" t="str"/>
      <x:c r="G159" s="2" t="str">
        <x:v>C-OLS</x:v>
      </x:c>
    </x:row>
    <x:row r="160" ht="55" customHeight="1">
      <x:c r="A160" s="2" t="str">
        <x:v>CL-validation-body2</x:v>
      </x:c>
      <x:c r="B160" s="2" t="n">
        <x:v>30</x:v>
      </x:c>
      <x:c r="C160" s="2" t="str">
        <x:v>Supply OLS remains rejected for investment forecasting. Internal causal effects, empirical policy superiority and exclusive originality are unproved.</x:v>
      </x:c>
      <x:c r="D160" s="2" t="str">
        <x:v>Modelled outcome</x:v>
      </x:c>
      <x:c r="E160" s="2" t="str">
        <x:v>WB_food_index;WB_income_ppp;WB_urban;WB_cereal_yield</x:v>
      </x:c>
      <x:c r="F160" s="2" t="str"/>
      <x:c r="G160" s="2" t="str">
        <x:v>C-OLS</x:v>
      </x:c>
    </x:row>
    <x:row r="161" ht="55" customHeight="1">
      <x:c r="A161" s="2" t="str">
        <x:v>CL-validation-table_row1</x:v>
      </x:c>
      <x:c r="B161" s="2" t="n">
        <x:v>30</x:v>
      </x:c>
      <x:c r="C161" s="2" t="str">
        <x:v>Train / held-out records | 2,856 /680</x:v>
      </x:c>
      <x:c r="D161" s="2" t="str">
        <x:v>Modelled outcome</x:v>
      </x:c>
      <x:c r="E161" s="2" t="str">
        <x:v>WB_food_index;WB_income_ppp;WB_urban;WB_cereal_yield</x:v>
      </x:c>
      <x:c r="F161" s="2" t="str"/>
      <x:c r="G161" s="2" t="str">
        <x:v>C-OLS</x:v>
      </x:c>
    </x:row>
    <x:row r="162" ht="55" customHeight="1">
      <x:c r="A162" s="2" t="str">
        <x:v>CL-validation-table_row2</x:v>
      </x:c>
      <x:c r="B162" s="2" t="n">
        <x:v>30</x:v>
      </x:c>
      <x:c r="C162" s="2" t="str">
        <x:v>Holdout period | 2019–2022</x:v>
      </x:c>
      <x:c r="D162" s="2" t="str">
        <x:v>Modelled outcome</x:v>
      </x:c>
      <x:c r="E162" s="2" t="str">
        <x:v>WB_food_index;WB_income_ppp;WB_urban;WB_cereal_yield</x:v>
      </x:c>
      <x:c r="F162" s="2" t="str"/>
      <x:c r="G162" s="2" t="str">
        <x:v>C-OLS</x:v>
      </x:c>
    </x:row>
    <x:row r="163" ht="55" customHeight="1">
      <x:c r="A163" s="2" t="str">
        <x:v>CL-validation-table_row3</x:v>
      </x:c>
      <x:c r="B163" s="2" t="n">
        <x:v>30</x:v>
      </x:c>
      <x:c r="C163" s="2" t="str">
        <x:v>Model MAE /country-mean MAE | 0.04830 /0.04979</x:v>
      </x:c>
      <x:c r="D163" s="2" t="str">
        <x:v>Modelled outcome</x:v>
      </x:c>
      <x:c r="E163" s="2" t="str">
        <x:v>WB_food_index;WB_income_ppp;WB_urban;WB_cereal_yield</x:v>
      </x:c>
      <x:c r="F163" s="2" t="str"/>
      <x:c r="G163" s="2" t="str">
        <x:v>C-OLS</x:v>
      </x:c>
    </x:row>
    <x:row r="164" ht="55" customHeight="1">
      <x:c r="A164" s="2" t="str">
        <x:v>CL-validation-table_row4</x:v>
      </x:c>
      <x:c r="B164" s="2" t="n">
        <x:v>30</x:v>
      </x:c>
      <x:c r="C164" s="2" t="str">
        <x:v>In-sample R² | 0.00618</x:v>
      </x:c>
      <x:c r="D164" s="2" t="str">
        <x:v>Modelled outcome</x:v>
      </x:c>
      <x:c r="E164" s="2" t="str">
        <x:v>WB_food_index;WB_income_ppp;WB_urban;WB_cereal_yield</x:v>
      </x:c>
      <x:c r="F164" s="2" t="str"/>
      <x:c r="G164" s="2" t="str">
        <x:v>C-OLS</x:v>
      </x:c>
    </x:row>
    <x:row r="165" ht="55" customHeight="1">
      <x:c r="A165" s="2" t="str">
        <x:v>CL-validation-table_row5</x:v>
      </x:c>
      <x:c r="B165" s="2" t="n">
        <x:v>30</x:v>
      </x:c>
      <x:c r="C165" s="2" t="str">
        <x:v>Selection | Reject for investment forecasting; retain benchmarks</x:v>
      </x:c>
      <x:c r="D165" s="2" t="str">
        <x:v>Modelled outcome</x:v>
      </x:c>
      <x:c r="E165" s="2" t="str">
        <x:v>WB_food_index;WB_income_ppp;WB_urban;WB_cereal_yield</x:v>
      </x:c>
      <x:c r="F165" s="2" t="str"/>
      <x:c r="G165" s="2" t="str">
        <x:v>C-OLS</x:v>
      </x:c>
    </x:row>
    <x:row r="166" ht="55" customHeight="1">
      <x:c r="A166" s="2" t="str">
        <x:v>CL-causal-headline</x:v>
      </x:c>
      <x:c r="B166" s="2" t="n">
        <x:v>31</x:v>
      </x:c>
      <x:c r="C166" s="2" t="str">
        <x:v>Use randomised route clusters when feasible; otherwise defend the counterfactual.</x:v>
      </x:c>
      <x:c r="D166" s="2" t="str">
        <x:v>Recommendation</x:v>
      </x:c>
      <x:c r="E166" s="2" t="str">
        <x:v>DID;NOBEL_2021</x:v>
      </x:c>
      <x:c r="F166" s="2" t="str">
        <x:v>A_PILOT</x:v>
      </x:c>
      <x:c r="G166" s="2" t="str">
        <x:v>C-E18;C-E19</x:v>
      </x:c>
    </x:row>
    <x:row r="167" ht="55" customHeight="1">
      <x:c r="A167" s="2" t="str">
        <x:v>CL-causal-table_row1</x:v>
      </x:c>
      <x:c r="B167" s="2" t="n">
        <x:v>31</x:v>
      </x:c>
      <x:c r="C167" s="2" t="str">
        <x:v>Eligible outcome | Paid sell-through × incremental contribution, net of service/trade cost</x:v>
      </x:c>
      <x:c r="D167" s="2" t="str">
        <x:v>Modelled outcome</x:v>
      </x:c>
      <x:c r="E167" s="2" t="str">
        <x:v>DID;NOBEL_2021</x:v>
      </x:c>
      <x:c r="F167" s="2" t="str">
        <x:v>A_PILOT</x:v>
      </x:c>
      <x:c r="G167" s="2" t="str">
        <x:v>C-E18;C-E19</x:v>
      </x:c>
    </x:row>
    <x:row r="168" ht="55" customHeight="1">
      <x:c r="A168" s="2" t="str">
        <x:v>CL-causal-table_row2</x:v>
      </x:c>
      <x:c r="B168" s="2" t="n">
        <x:v>31</x:v>
      </x:c>
      <x:c r="C168" s="2" t="str">
        <x:v>Counterfactual | Holdout routes with baseline and spillover checks</x:v>
      </x:c>
      <x:c r="D168" s="2" t="str">
        <x:v>Modelled outcome</x:v>
      </x:c>
      <x:c r="E168" s="2" t="str">
        <x:v>DID;NOBEL_2021</x:v>
      </x:c>
      <x:c r="F168" s="2" t="str">
        <x:v>A_PILOT</x:v>
      </x:c>
      <x:c r="G168" s="2" t="str">
        <x:v>C-E18;C-E19</x:v>
      </x:c>
    </x:row>
    <x:row r="169" ht="55" customHeight="1">
      <x:c r="A169" s="2" t="str">
        <x:v>CL-causal-table_row3</x:v>
      </x:c>
      <x:c r="B169" s="2" t="n">
        <x:v>31</x:v>
      </x:c>
      <x:c r="C169" s="2" t="str">
        <x:v>Sizing | Baseline variance, detectable effect, clustering and attrition</x:v>
      </x:c>
      <x:c r="D169" s="2" t="str">
        <x:v>Modelled outcome</x:v>
      </x:c>
      <x:c r="E169" s="2" t="str">
        <x:v>DID;NOBEL_2021</x:v>
      </x:c>
      <x:c r="F169" s="2" t="str">
        <x:v>A_PILOT</x:v>
      </x:c>
      <x:c r="G169" s="2" t="str">
        <x:v>C-E18;C-E19</x:v>
      </x:c>
    </x:row>
    <x:row r="170" ht="55" customHeight="1">
      <x:c r="A170" s="2" t="str">
        <x:v>CL-causal-table_row4</x:v>
      </x:c>
      <x:c r="B170" s="2" t="n">
        <x:v>31</x:v>
      </x:c>
      <x:c r="C170" s="2" t="str">
        <x:v>Decision | Confidence interval + contribution + funding + sustained repeat</x:v>
      </x:c>
      <x:c r="D170" s="2" t="str">
        <x:v>Modelled outcome</x:v>
      </x:c>
      <x:c r="E170" s="2" t="str">
        <x:v>DID;NOBEL_2021</x:v>
      </x:c>
      <x:c r="F170" s="2" t="str">
        <x:v>A_PILOT</x:v>
      </x:c>
      <x:c r="G170" s="2" t="str">
        <x:v>C-E18;C-E19</x:v>
      </x:c>
    </x:row>
    <x:row r="171" ht="55" customHeight="1">
      <x:c r="A171" s="2" t="str">
        <x:v>CL-causal-table_row5</x:v>
      </x:c>
      <x:c r="B171" s="2" t="n">
        <x:v>31</x:v>
      </x:c>
      <x:c r="C171" s="2" t="str">
        <x:v>No claim today | No measured Olam treatment effect or causal ROMI</x:v>
      </x:c>
      <x:c r="D171" s="2" t="str">
        <x:v>Modelled outcome</x:v>
      </x:c>
      <x:c r="E171" s="2" t="str">
        <x:v>DID;NOBEL_2021</x:v>
      </x:c>
      <x:c r="F171" s="2" t="str">
        <x:v>A_PILOT</x:v>
      </x:c>
      <x:c r="G171" s="2" t="str">
        <x:v>C-E18;C-E19</x:v>
      </x:c>
    </x:row>
    <x:row r="172" ht="55" customHeight="1">
      <x:c r="A172" s="2" t="str">
        <x:v>CL-roadmap-headline</x:v>
      </x:c>
      <x:c r="B172" s="2" t="n">
        <x:v>32</x:v>
      </x:c>
      <x:c r="C172" s="2" t="str">
        <x:v>Milestones through 2051 are review windows, not promises of expansion.</x:v>
      </x:c>
      <x:c r="D172" s="2" t="str">
        <x:v>Recommendation</x:v>
      </x:c>
      <x:c r="E172" s="2" t="str">
        <x:v>OECD;UN_WPP</x:v>
      </x:c>
      <x:c r="F172" s="2" t="str">
        <x:v>A_OUTER</x:v>
      </x:c>
      <x:c r="G172" s="2" t="str"/>
    </x:row>
    <x:row r="173" ht="55" customHeight="1">
      <x:c r="A173" s="2" t="str">
        <x:v>CL-roadmap-table_row1</x:v>
      </x:c>
      <x:c r="B173" s="2" t="n">
        <x:v>32</x:v>
      </x:c>
      <x:c r="C173" s="2" t="str">
        <x:v>2026–2030 | Customer data, route P&amp;L and seasonal cash | Replicated contribution and legal clearance</x:v>
      </x:c>
      <x:c r="D173" s="2" t="str">
        <x:v>Recommendation</x:v>
      </x:c>
      <x:c r="E173" s="2" t="str">
        <x:v>OECD;UN_WPP</x:v>
      </x:c>
      <x:c r="F173" s="2" t="str">
        <x:v>A_OUTER</x:v>
      </x:c>
      <x:c r="G173" s="2" t="str"/>
    </x:row>
    <x:row r="174" ht="55" customHeight="1">
      <x:c r="A174" s="2" t="str">
        <x:v>CL-roadmap-table_row2</x:v>
      </x:c>
      <x:c r="B174" s="2" t="n">
        <x:v>32</x:v>
      </x:c>
      <x:c r="C174" s="2" t="str">
        <x:v>2030–2035 | Supplier diversity and modular processing | Contracted demand, financed cash and resilient delivery</x:v>
      </x:c>
      <x:c r="D174" s="2" t="str">
        <x:v>Recommendation</x:v>
      </x:c>
      <x:c r="E174" s="2" t="str">
        <x:v>OECD;UN_WPP</x:v>
      </x:c>
      <x:c r="F174" s="2" t="str">
        <x:v>A_OUTER</x:v>
      </x:c>
      <x:c r="G174" s="2" t="str"/>
    </x:row>
    <x:row r="175" ht="55" customHeight="1">
      <x:c r="A175" s="2" t="str">
        <x:v>CL-roadmap-table_row3</x:v>
      </x:c>
      <x:c r="B175" s="2" t="n">
        <x:v>32</x:v>
      </x:c>
      <x:c r="C175" s="2" t="str">
        <x:v>2035–2045 | Reconfigure origins, assets and offers | Updated hazards, customer preferences and opportunity cost</x:v>
      </x:c>
      <x:c r="D175" s="2" t="str">
        <x:v>Recommendation</x:v>
      </x:c>
      <x:c r="E175" s="2" t="str">
        <x:v>OECD;UN_WPP</x:v>
      </x:c>
      <x:c r="F175" s="2" t="str">
        <x:v>A_OUTER</x:v>
      </x:c>
      <x:c r="G175" s="2" t="str"/>
    </x:row>
    <x:row r="176" ht="55" customHeight="1">
      <x:c r="A176" s="2" t="str">
        <x:v>CL-roadmap-table_row4</x:v>
      </x:c>
      <x:c r="B176" s="2" t="n">
        <x:v>32</x:v>
      </x:c>
      <x:c r="C176" s="2" t="str">
        <x:v>2045–2051 | Renew, repurpose or close capacity | Replacement economics and funded orderly exit</x:v>
      </x:c>
      <x:c r="D176" s="2" t="str">
        <x:v>Recommendation</x:v>
      </x:c>
      <x:c r="E176" s="2" t="str">
        <x:v>OECD;UN_WPP</x:v>
      </x:c>
      <x:c r="F176" s="2" t="str">
        <x:v>A_OUTER</x:v>
      </x:c>
      <x:c r="G176" s="2" t="str"/>
    </x:row>
    <x:row r="177" ht="55" customHeight="1">
      <x:c r="A177" s="2" t="str">
        <x:v>CL-gates-headline</x:v>
      </x:c>
      <x:c r="B177" s="2" t="n">
        <x:v>33</x:v>
      </x:c>
      <x:c r="C177" s="2" t="str">
        <x:v>Legal and liquidity failures override an attractive demand story.</x:v>
      </x:c>
      <x:c r="D177" s="2" t="str">
        <x:v>Recommendation</x:v>
      </x:c>
      <x:c r="E177" s="2" t="str"/>
      <x:c r="F177" s="2" t="str">
        <x:v>A_PILOT</x:v>
      </x:c>
      <x:c r="G177" s="2" t="str"/>
    </x:row>
    <x:row r="178" ht="55" customHeight="1">
      <x:c r="A178" s="2" t="str">
        <x:v>CL-gates-table_row1</x:v>
      </x:c>
      <x:c r="B178" s="2" t="n">
        <x:v>33</x:v>
      </x:c>
      <x:c r="C178" s="2" t="str">
        <x:v>G0 perimeter + G1 access | Strategy/Legal: right entity, HS, sanctions, rights and licenses</x:v>
      </x:c>
      <x:c r="D178" s="2" t="str">
        <x:v>Recommendation</x:v>
      </x:c>
      <x:c r="E178" s="2" t="str"/>
      <x:c r="F178" s="2" t="str">
        <x:v>A_PILOT</x:v>
      </x:c>
      <x:c r="G178" s="2" t="str"/>
    </x:row>
    <x:row r="179" ht="55" customHeight="1">
      <x:c r="A179" s="2" t="str">
        <x:v>CL-gates-table_row2</x:v>
      </x:c>
      <x:c r="B179" s="2" t="n">
        <x:v>33</x:v>
      </x:c>
      <x:c r="C179" s="2" t="str">
        <x:v>G2 customer + G3 contribution | Marketing/Finance: paid repeat and costed counterfactual</x:v>
      </x:c>
      <x:c r="D179" s="2" t="str">
        <x:v>Recommendation</x:v>
      </x:c>
      <x:c r="E179" s="2" t="str"/>
      <x:c r="F179" s="2" t="str">
        <x:v>A_PILOT</x:v>
      </x:c>
      <x:c r="G179" s="2" t="str"/>
    </x:row>
    <x:row r="180" ht="55" customHeight="1">
      <x:c r="A180" s="2" t="str">
        <x:v>CL-gates-table_row3</x:v>
      </x:c>
      <x:c r="B180" s="2" t="n">
        <x:v>33</x:v>
      </x:c>
      <x:c r="C180" s="2" t="str">
        <x:v>G4 capacity + G5 resilience | Operations: throughput, yield, route and common-shock response</x:v>
      </x:c>
      <x:c r="D180" s="2" t="str">
        <x:v>Recommendation</x:v>
      </x:c>
      <x:c r="E180" s="2" t="str"/>
      <x:c r="F180" s="2" t="str">
        <x:v>A_PILOT</x:v>
      </x:c>
      <x:c r="G180" s="2" t="str"/>
    </x:row>
    <x:row r="181" ht="55" customHeight="1">
      <x:c r="A181" s="2" t="str">
        <x:v>CL-gates-table_row4</x:v>
      </x:c>
      <x:c r="B181" s="2" t="n">
        <x:v>33</x:v>
      </x:c>
      <x:c r="C181" s="2" t="str">
        <x:v>G6 cash + G7 replication | Treasury/IC: seasonal cash, stress funding and transfer proof</x:v>
      </x:c>
      <x:c r="D181" s="2" t="str">
        <x:v>Recommendation</x:v>
      </x:c>
      <x:c r="E181" s="2" t="str"/>
      <x:c r="F181" s="2" t="str">
        <x:v>A_PILOT</x:v>
      </x:c>
      <x:c r="G181" s="2" t="str"/>
    </x:row>
    <x:row r="182" ht="55" customHeight="1">
      <x:c r="A182" s="2" t="str">
        <x:v>CL-gates-table_row5</x:v>
      </x:c>
      <x:c r="B182" s="2" t="n">
        <x:v>33</x:v>
      </x:c>
      <x:c r="C182" s="2" t="str">
        <x:v>Monitor / stop | Monthly operational signals; immediate breach escalation</x:v>
      </x:c>
      <x:c r="D182" s="2" t="str">
        <x:v>Recommendation</x:v>
      </x:c>
      <x:c r="E182" s="2" t="str"/>
      <x:c r="F182" s="2" t="str">
        <x:v>A_PILOT</x:v>
      </x:c>
      <x:c r="G182" s="2" t="str"/>
    </x:row>
    <x:row r="183" ht="55" customHeight="1">
      <x:c r="A183" s="2" t="str">
        <x:v>CL-contribution-headline</x:v>
      </x:c>
      <x:c r="B183" s="2" t="n">
        <x:v>34</x:v>
      </x:c>
      <x:c r="C183" s="2" t="str">
        <x:v>My offer is an operating measurement system with Finance-controlled economics.</x:v>
      </x:c>
      <x:c r="D183" s="2" t="str">
        <x:v>Portfolio evidence</x:v>
      </x:c>
      <x:c r="E183" s="2" t="str">
        <x:v>BASELINE</x:v>
      </x:c>
      <x:c r="F183" s="2" t="str"/>
      <x:c r="G183" s="2" t="str">
        <x:v>C-CPM</x:v>
      </x:c>
    </x:row>
    <x:row r="184" ht="55" customHeight="1">
      <x:c r="A184" s="2" t="str">
        <x:v>CL-contribution-body1</x:v>
      </x:c>
      <x:c r="B184" s="2" t="n">
        <x:v>34</x:v>
      </x:c>
      <x:c r="C184" s="2" t="str">
        <x:v>MBA at IIM Shillong and chemical engineering combine commercial framing with conversion, constraint and process reasoning.</x:v>
      </x:c>
      <x:c r="D184" s="2" t="str">
        <x:v>Portfolio evidence</x:v>
      </x:c>
      <x:c r="E184" s="2" t="str">
        <x:v>BASELINE</x:v>
      </x:c>
      <x:c r="F184" s="2" t="str"/>
      <x:c r="G184" s="2" t="str">
        <x:v>C-CPM</x:v>
      </x:c>
    </x:row>
    <x:row r="185" ht="55" customHeight="1">
      <x:c r="A185" s="2" t="str">
        <x:v>CL-contribution-body2</x:v>
      </x:c>
      <x:c r="B185" s="2" t="n">
        <x:v>34</x:v>
      </x:c>
      <x:c r="C185" s="2" t="str">
        <x:v>Portfolio evidence records a ₹20 m budget and CPM reduction from ₹35.8 to ₹15.5: 56.7% lower CPM. It does not establish Olam sales, profit or category-management outcomes.</x:v>
      </x:c>
      <x:c r="D185" s="2" t="str">
        <x:v>Portfolio evidence</x:v>
      </x:c>
      <x:c r="E185" s="2" t="str">
        <x:v>BASELINE</x:v>
      </x:c>
      <x:c r="F185" s="2" t="str"/>
      <x:c r="G185" s="2" t="str">
        <x:v>C-CPM</x:v>
      </x:c>
    </x:row>
    <x:row r="186" ht="55" customHeight="1">
      <x:c r="A186" s="2" t="str">
        <x:v>CL-contribution-body3</x:v>
      </x:c>
      <x:c r="B186" s="2" t="n">
        <x:v>34</x:v>
      </x:c>
      <x:c r="C186" s="2" t="str">
        <x:v>Meghalaya work was a simulation informed by government records; no realised savings are asserted.</x:v>
      </x:c>
      <x:c r="D186" s="2" t="str">
        <x:v>Portfolio evidence</x:v>
      </x:c>
      <x:c r="E186" s="2" t="str">
        <x:v>BASELINE</x:v>
      </x:c>
      <x:c r="F186" s="2" t="str"/>
      <x:c r="G186" s="2" t="str">
        <x:v>C-CPM</x:v>
      </x:c>
    </x:row>
    <x:row r="187" ht="55" customHeight="1">
      <x:c r="A187" s="2" t="str">
        <x:v>CL-contribution-table_row1</x:v>
      </x:c>
      <x:c r="B187" s="2" t="n">
        <x:v>34</x:v>
      </x:c>
      <x:c r="C187" s="2" t="str">
        <x:v>Data dictionary + experiment design | Reconcile eligible records with Finance</x:v>
      </x:c>
      <x:c r="D187" s="2" t="str">
        <x:v>Portfolio evidence</x:v>
      </x:c>
      <x:c r="E187" s="2" t="str">
        <x:v>BASELINE</x:v>
      </x:c>
      <x:c r="F187" s="2" t="str"/>
      <x:c r="G187" s="2" t="str">
        <x:v>C-CPM</x:v>
      </x:c>
    </x:row>
    <x:row r="188" ht="55" customHeight="1">
      <x:c r="A188" s="2" t="str">
        <x:v>CL-contribution-table_row2</x:v>
      </x:c>
      <x:c r="B188" s="2" t="n">
        <x:v>34</x:v>
      </x:c>
      <x:c r="C188" s="2" t="str">
        <x:v>Country/customer evidence system | Version sources and falsifiers</x:v>
      </x:c>
      <x:c r="D188" s="2" t="str">
        <x:v>Portfolio evidence</x:v>
      </x:c>
      <x:c r="E188" s="2" t="str">
        <x:v>BASELINE</x:v>
      </x:c>
      <x:c r="F188" s="2" t="str"/>
      <x:c r="G188" s="2" t="str">
        <x:v>C-CPM</x:v>
      </x:c>
    </x:row>
    <x:row r="189" ht="55" customHeight="1">
      <x:c r="A189" s="2" t="str">
        <x:v>CL-contribution-table_row3</x:v>
      </x:c>
      <x:c r="B189" s="2" t="n">
        <x:v>34</x:v>
      </x:c>
      <x:c r="C189" s="2" t="str">
        <x:v>Commercial proof-to-cash reporting | Separate causal sales, service cost and stock funding</x:v>
      </x:c>
      <x:c r="D189" s="2" t="str">
        <x:v>Portfolio evidence</x:v>
      </x:c>
      <x:c r="E189" s="2" t="str">
        <x:v>BASELINE</x:v>
      </x:c>
      <x:c r="F189" s="2" t="str"/>
      <x:c r="G189" s="2" t="str">
        <x:v>C-CPM</x:v>
      </x:c>
    </x:row>
    <x:row r="190" ht="55" customHeight="1">
      <x:c r="A190" s="2" t="str">
        <x:v>CL-pilot-headline</x:v>
      </x:c>
      <x:c r="B190" s="2" t="n">
        <x:v>35</x:v>
      </x:c>
      <x:c r="C190" s="2" t="str">
        <x:v>Cost and size the pilot only after inspecting baseline variance and available routes.</x:v>
      </x:c>
      <x:c r="D190" s="2" t="str">
        <x:v>Recommendation</x:v>
      </x:c>
      <x:c r="E190" s="2" t="str"/>
      <x:c r="F190" s="2" t="str">
        <x:v>A_PILOT</x:v>
      </x:c>
      <x:c r="G190" s="2" t="str"/>
    </x:row>
    <x:row r="191" ht="55" customHeight="1">
      <x:c r="A191" s="2" t="str">
        <x:v>CL-pilot-table_row1</x:v>
      </x:c>
      <x:c r="B191" s="2" t="n">
        <x:v>35</x:v>
      </x:c>
      <x:c r="C191" s="2" t="str">
        <x:v>1–15 | Data room, entity and customer/route baseline | Finance reconciliation and scope signed</x:v>
      </x:c>
      <x:c r="D191" s="2" t="str">
        <x:v>Recommendation</x:v>
      </x:c>
      <x:c r="E191" s="2" t="str"/>
      <x:c r="F191" s="2" t="str">
        <x:v>A_PILOT</x:v>
      </x:c>
      <x:c r="G191" s="2" t="str"/>
    </x:row>
    <x:row r="192" ht="55" customHeight="1">
      <x:c r="A192" s="2" t="str">
        <x:v>CL-pilot-table_row2</x:v>
      </x:c>
      <x:c r="B192" s="2" t="n">
        <x:v>35</x:v>
      </x:c>
      <x:c r="C192" s="2" t="str">
        <x:v>16–30 | Pre-registration, power and controlled rollout plan | Economically detectable effect and bounded cash cost</x:v>
      </x:c>
      <x:c r="D192" s="2" t="str">
        <x:v>Recommendation</x:v>
      </x:c>
      <x:c r="E192" s="2" t="str"/>
      <x:c r="F192" s="2" t="str">
        <x:v>A_PILOT</x:v>
      </x:c>
      <x:c r="G192" s="2" t="str"/>
    </x:row>
    <x:row r="193" ht="55" customHeight="1">
      <x:c r="A193" s="2" t="str">
        <x:v>CL-pilot-table_row3</x:v>
      </x:c>
      <x:c r="B193" s="2" t="n">
        <x:v>35</x:v>
      </x:c>
      <x:c r="C193" s="2" t="str">
        <x:v>31–60 | Execute, audit treatment and delivery | Track attrition, spillover, service and stock</x:v>
      </x:c>
      <x:c r="D193" s="2" t="str">
        <x:v>Recommendation</x:v>
      </x:c>
      <x:c r="E193" s="2" t="str"/>
      <x:c r="F193" s="2" t="str">
        <x:v>A_PILOT</x:v>
      </x:c>
      <x:c r="G193" s="2" t="str"/>
    </x:row>
    <x:row r="194" ht="55" customHeight="1">
      <x:c r="A194" s="2" t="str">
        <x:v>CL-pilot-table_row4</x:v>
      </x:c>
      <x:c r="B194" s="2" t="n">
        <x:v>35</x:v>
      </x:c>
      <x:c r="C194" s="2" t="str">
        <x:v>61–75 | Cash proof and one transferability test | Repeat after support; contribution interval</x:v>
      </x:c>
      <x:c r="D194" s="2" t="str">
        <x:v>Recommendation</x:v>
      </x:c>
      <x:c r="E194" s="2" t="str"/>
      <x:c r="F194" s="2" t="str">
        <x:v>A_PILOT</x:v>
      </x:c>
      <x:c r="G194" s="2" t="str"/>
    </x:row>
    <x:row r="195" ht="55" customHeight="1">
      <x:c r="A195" s="2" t="str">
        <x:v>CL-pilot-table_row5</x:v>
      </x:c>
      <x:c r="B195" s="2" t="n">
        <x:v>35</x:v>
      </x:c>
      <x:c r="C195" s="2" t="str">
        <x:v>76–90 | Independent review: scale, resize, wait or stop | Decision memo with falsifiers and funded exposure</x:v>
      </x:c>
      <x:c r="D195" s="2" t="str">
        <x:v>Recommendation</x:v>
      </x:c>
      <x:c r="E195" s="2" t="str"/>
      <x:c r="F195" s="2" t="str">
        <x:v>A_PILOT</x:v>
      </x:c>
      <x:c r="G195" s="2" t="str"/>
    </x:row>
    <x:row r="196" ht="55" customHeight="1">
      <x:c r="A196" s="2" t="str">
        <x:v>CL-final-ask-headline</x:v>
      </x:c>
      <x:c r="B196" s="2" t="n">
        <x:v>36</x:v>
      </x:c>
      <x:c r="C196" s="2" t="str">
        <x:v>No country asset approval is supported by the present public-data package.</x:v>
      </x:c>
      <x:c r="D196" s="2" t="str">
        <x:v>Recommendation</x:v>
      </x:c>
      <x:c r="E196" s="2" t="str"/>
      <x:c r="F196" s="2" t="str">
        <x:v>A_PILOT</x:v>
      </x:c>
      <x:c r="G196" s="2" t="str"/>
    </x:row>
    <x:row r="197" ht="55" customHeight="1">
      <x:c r="A197" s="2" t="str">
        <x:v>CL-final-ask-body1</x:v>
      </x:c>
      <x:c r="B197" s="2" t="n">
        <x:v>36</x:v>
      </x:c>
      <x:c r="C197" s="2" t="str">
        <x:v>Request customer orders, product/route cost, plant constraints, monthly inventory, AR/AP, tax and currency/hedge records.</x:v>
      </x:c>
      <x:c r="D197" s="2" t="str">
        <x:v>Recommendation</x:v>
      </x:c>
      <x:c r="E197" s="2" t="str"/>
      <x:c r="F197" s="2" t="str">
        <x:v>A_PILOT</x:v>
      </x:c>
      <x:c r="G197" s="2" t="str"/>
    </x:row>
    <x:row r="198" ht="55" customHeight="1">
      <x:c r="A198" s="2" t="str">
        <x:v>CL-final-ask-body2</x:v>
      </x:c>
      <x:c r="B198" s="2" t="n">
        <x:v>36</x:v>
      </x:c>
      <x:c r="C198" s="2" t="str">
        <x:v>Ask country leads to validate ten diligence cases; all other countries retain their explicit atlas disposition.</x:v>
      </x:c>
      <x:c r="D198" s="2" t="str">
        <x:v>Recommendation</x:v>
      </x:c>
      <x:c r="E198" s="2" t="str"/>
      <x:c r="F198" s="2" t="str">
        <x:v>A_PILOT</x:v>
      </x:c>
      <x:c r="G198" s="2" t="str"/>
    </x:row>
    <x:row r="199" ht="55" customHeight="1">
      <x:c r="A199" s="2" t="str">
        <x:v>CL-final-ask-body3</x:v>
      </x:c>
      <x:c r="B199" s="2" t="n">
        <x:v>36</x:v>
      </x:c>
      <x:c r="C199" s="2" t="str">
        <x:v>Set the costed pilot cap, cash-breach limit and minimum economically material effect with Finance.</x:v>
      </x:c>
      <x:c r="D199" s="2" t="str">
        <x:v>Recommendation</x:v>
      </x:c>
      <x:c r="E199" s="2" t="str"/>
      <x:c r="F199" s="2" t="str">
        <x:v>A_PILOT</x:v>
      </x:c>
      <x:c r="G199" s="2" t="str"/>
    </x:row>
    <x:row r="200" ht="55" customHeight="1">
      <x:c r="A200" s="2" t="str">
        <x:v>CL-final-ask-body4</x:v>
      </x:c>
      <x:c r="B200" s="2" t="n">
        <x:v>36</x:v>
      </x:c>
      <x:c r="C200" s="2" t="str">
        <x:v>Return in 90 days with measured contribution, repeat, funding and a specific expand/wait/stop proposal.</x:v>
      </x:c>
      <x:c r="D200" s="2" t="str">
        <x:v>Recommendation</x:v>
      </x:c>
      <x:c r="E200" s="2" t="str"/>
      <x:c r="F200" s="2" t="str">
        <x:v>A_PILOT</x:v>
      </x:c>
      <x:c r="G200" s="2" t="str"/>
    </x:row>
    <x:row r="201" ht="55" customHeight="1">
      <x:c r="A201" s="2" t="str">
        <x:v>CL-thank-you-headline</x:v>
      </x:c>
      <x:c r="B201" s="2" t="n">
        <x:v>37</x:v>
      </x:c>
      <x:c r="C201" s="2" t="str">
        <x:v>Questions about the assumptions are the next evidence commitment.</x:v>
      </x:c>
      <x:c r="D201" s="2" t="str">
        <x:v>Portfolio evidence</x:v>
      </x:c>
      <x:c r="E201" s="2" t="str"/>
      <x:c r="F201" s="2" t="str"/>
      <x:c r="G201" s="2" t="str"/>
    </x:row>
    <x:row r="202" ht="55" customHeight="1">
      <x:c r="A202" s="2" t="str">
        <x:v>CL-thank-you-body1</x:v>
      </x:c>
      <x:c r="B202" s="2" t="n">
        <x:v>37</x:v>
      </x:c>
      <x:c r="C202" s="2" t="str">
        <x:v>Manash Protim Deori</x:v>
      </x:c>
      <x:c r="D202" s="2" t="str">
        <x:v>Portfolio evidence</x:v>
      </x:c>
      <x:c r="E202" s="2" t="str"/>
      <x:c r="F202" s="2" t="str"/>
      <x:c r="G202" s="2" t="str"/>
    </x:row>
    <x:row r="203" ht="55" customHeight="1">
      <x:c r="A203" s="2" t="str">
        <x:v>CL-thank-you-body2</x:v>
      </x:c>
      <x:c r="B203" s="2" t="n">
        <x:v>37</x:v>
      </x:c>
      <x:c r="C203" s="2" t="str">
        <x:v>Complete country atlas, editable workbook, source book and reproducible code accompany this presentation.</x:v>
      </x:c>
      <x:c r="D203" s="2" t="str">
        <x:v>Portfolio evidence</x:v>
      </x:c>
      <x:c r="E203" s="2" t="str"/>
      <x:c r="F203" s="2" t="str"/>
      <x:c r="G203" s="2" t="str"/>
    </x:row>
    <x:row r="204" ht="55" customHeight="1">
      <x:c r="A204" s="2" t="str">
        <x:v>CL-thank-you-body3</x:v>
      </x:c>
      <x:c r="B204" s="2" t="n">
        <x:v>37</x:v>
      </x:c>
      <x:c r="C204" s="2" t="str">
        <x:v>The technical appendix begins on the next slide.</x:v>
      </x:c>
      <x:c r="D204" s="2" t="str">
        <x:v>Portfolio evidence</x:v>
      </x:c>
      <x:c r="E204" s="2" t="str"/>
      <x:c r="F204" s="2" t="str"/>
      <x:c r="G204" s="2" t="str"/>
    </x:row>
    <x:row r="205" ht="55" customHeight="1">
      <x:c r="A205" s="2" t="str">
        <x:v>CL-appendix-guide-headline</x:v>
      </x:c>
      <x:c r="B205" s="2" t="n">
        <x:v>38</x:v>
      </x:c>
      <x:c r="C205" s="2" t="str">
        <x:v>Source IDs, assumption IDs and calculation IDs travel with every decision.</x:v>
      </x:c>
      <x:c r="D205" s="2" t="str">
        <x:v>Expert judgement</x:v>
      </x:c>
      <x:c r="E205" s="2" t="str"/>
      <x:c r="F205" s="2" t="str"/>
      <x:c r="G205" s="2" t="str"/>
    </x:row>
    <x:row r="206" ht="55" customHeight="1">
      <x:c r="A206" s="2" t="str">
        <x:v>CL-appendix-guide-body1</x:v>
      </x:c>
      <x:c r="B206" s="2" t="n">
        <x:v>38</x:v>
      </x:c>
      <x:c r="C206" s="2" t="str">
        <x:v>Reported facts: company perimeter and dated primary statistics. External projections: UN medium population and OECD–FAO through 2035.</x:v>
      </x:c>
      <x:c r="D206" s="2" t="str">
        <x:v>Expert judgement</x:v>
      </x:c>
      <x:c r="E206" s="2" t="str"/>
      <x:c r="F206" s="2" t="str"/>
      <x:c r="G206" s="2" t="str"/>
    </x:row>
    <x:row r="207" ht="55" customHeight="1">
      <x:c r="A207" s="2" t="str">
        <x:v>CL-appendix-guide-body2</x:v>
      </x:c>
      <x:c r="B207" s="2" t="n">
        <x:v>38</x:v>
      </x:c>
      <x:c r="C207" s="2" t="str">
        <x:v>Derived values: arithmetic from sourced inputs. Chosen scenarios/templates: assumptions, not forecasts. Unknown values remain blank.</x:v>
      </x:c>
      <x:c r="D207" s="2" t="str">
        <x:v>Expert judgement</x:v>
      </x:c>
      <x:c r="E207" s="2" t="str"/>
      <x:c r="F207" s="2" t="str"/>
      <x:c r="G207" s="2" t="str"/>
    </x:row>
    <x:row r="208" ht="55" customHeight="1">
      <x:c r="A208" s="2" t="str">
        <x:v>CL-appendix-guide-body3</x:v>
      </x:c>
      <x:c r="B208" s="2" t="n">
        <x:v>38</x:v>
      </x:c>
      <x:c r="C208" s="2" t="str">
        <x:v>C-E01–C-E22 teach arithmetic. C-DCF follows full cash; C-OLS records executed validation; C-STRESS and C-REGRET record chosen decision examples.</x:v>
      </x:c>
      <x:c r="D208" s="2" t="str">
        <x:v>Expert judgement</x:v>
      </x:c>
      <x:c r="E208" s="2" t="str"/>
      <x:c r="F208" s="2" t="str"/>
      <x:c r="G208" s="2" t="str"/>
    </x:row>
    <x:row r="209" ht="55" customHeight="1">
      <x:c r="A209" s="2" t="str">
        <x:v>CL-example-01-headline</x:v>
      </x:c>
      <x:c r="B209" s="2" t="n">
        <x:v>39</x:v>
      </x:c>
      <x:c r="C209" s="2" t="str">
        <x:v>2.45% derived EBIT margin</x:v>
      </x:c>
      <x:c r="D209" s="2" t="str">
        <x:v>Derived figure</x:v>
      </x:c>
      <x:c r="E209" s="2" t="str">
        <x:v>CO_AR</x:v>
      </x:c>
      <x:c r="F209" s="2" t="str"/>
      <x:c r="G209" s="2" t="str">
        <x:v>C-E01</x:v>
      </x:c>
    </x:row>
    <x:row r="210" ht="55" customHeight="1">
      <x:c r="A210" s="2" t="str">
        <x:v>CL-example-01-body1</x:v>
      </x:c>
      <x:c r="B210" s="2" t="n">
        <x:v>39</x:v>
      </x:c>
      <x:c r="C210" s="2" t="str">
        <x:v>Reported/derived evidence</x:v>
      </x:c>
      <x:c r="D210" s="2" t="str">
        <x:v>Derived figure</x:v>
      </x:c>
      <x:c r="E210" s="2" t="str">
        <x:v>CO_AR</x:v>
      </x:c>
      <x:c r="F210" s="2" t="str"/>
      <x:c r="G210" s="2" t="str">
        <x:v>C-E01</x:v>
      </x:c>
    </x:row>
    <x:row r="211" ht="55" customHeight="1">
      <x:c r="A211" s="2" t="str">
        <x:v>CL-example-01-body2</x:v>
      </x:c>
      <x:c r="B211" s="2" t="n">
        <x:v>39</x:v>
      </x:c>
      <x:c r="C211" s="2" t="str">
        <x:v>703.7 / 28,666 × 100 = 2.4548%</x:v>
      </x:c>
      <x:c r="D211" s="2" t="str">
        <x:v>Derived figure</x:v>
      </x:c>
      <x:c r="E211" s="2" t="str">
        <x:v>CO_AR</x:v>
      </x:c>
      <x:c r="F211" s="2" t="str"/>
      <x:c r="G211" s="2" t="str">
        <x:v>C-E01</x:v>
      </x:c>
    </x:row>
    <x:row r="212" ht="55" customHeight="1">
      <x:c r="A212" s="2" t="str">
        <x:v>CL-example-01-body3</x:v>
      </x:c>
      <x:c r="B212" s="2" t="n">
        <x:v>39</x:v>
      </x:c>
      <x:c r="C212" s="2" t="str">
        <x:v>Using rounded revenue of USD28.7 bn gives 2.4519%; keep the same entity, period and currency.</x:v>
      </x:c>
      <x:c r="D212" s="2" t="str">
        <x:v>Derived figure</x:v>
      </x:c>
      <x:c r="E212" s="2" t="str">
        <x:v>CO_AR</x:v>
      </x:c>
      <x:c r="F212" s="2" t="str"/>
      <x:c r="G212" s="2" t="str">
        <x:v>C-E01</x:v>
      </x:c>
    </x:row>
    <x:row r="213" ht="55" customHeight="1">
      <x:c r="A213" s="2" t="str">
        <x:v>CL-example-01-body4</x:v>
      </x:c>
      <x:c r="B213" s="2" t="n">
        <x:v>39</x:v>
      </x:c>
      <x:c r="C213" s="2" t="str">
        <x:v>Revenue can grow while margin falls.</x:v>
      </x:c>
      <x:c r="D213" s="2" t="str">
        <x:v>Derived figure</x:v>
      </x:c>
      <x:c r="E213" s="2" t="str">
        <x:v>CO_AR</x:v>
      </x:c>
      <x:c r="F213" s="2" t="str"/>
      <x:c r="G213" s="2" t="str">
        <x:v>C-E01</x:v>
      </x:c>
    </x:row>
    <x:row r="214" ht="55" customHeight="1">
      <x:c r="A214" s="2" t="str">
        <x:v>CL-example-02-headline</x:v>
      </x:c>
      <x:c r="B214" s="2" t="n">
        <x:v>40</x:v>
      </x:c>
      <x:c r="C214" s="2" t="str">
        <x:v>7,000 delivered tonnes</x:v>
      </x:c>
      <x:c r="D214" s="2" t="str">
        <x:v>Modelled outcome</x:v>
      </x:c>
      <x:c r="E214" s="2" t="str"/>
      <x:c r="F214" s="2" t="str">
        <x:v>A_EXAMPLE</x:v>
      </x:c>
      <x:c r="G214" s="2" t="str">
        <x:v>C-E02</x:v>
      </x:c>
    </x:row>
    <x:row r="215" ht="55" customHeight="1">
      <x:c r="A215" s="2" t="str">
        <x:v>CL-example-02-body1</x:v>
      </x:c>
      <x:c r="B215" s="2" t="n">
        <x:v>40</x:v>
      </x:c>
      <x:c r="C215" s="2" t="str">
        <x:v>Illustrative example—not Olam data</x:v>
      </x:c>
      <x:c r="D215" s="2" t="str">
        <x:v>Modelled outcome</x:v>
      </x:c>
      <x:c r="E215" s="2" t="str"/>
      <x:c r="F215" s="2" t="str">
        <x:v>A_EXAMPLE</x:v>
      </x:c>
      <x:c r="G215" s="2" t="str">
        <x:v>C-E02</x:v>
      </x:c>
    </x:row>
    <x:row r="216" ht="55" customHeight="1">
      <x:c r="A216" s="2" t="str">
        <x:v>CL-example-02-body2</x:v>
      </x:c>
      <x:c r="B216" s="2" t="n">
        <x:v>40</x:v>
      </x:c>
      <x:c r="C216" s="2" t="str">
        <x:v>1 m people × 0.1 t × 50% access × 20% capture = 10,000 t orders; min(10,000, 8,000, 7,000) = 7,000 t.</x:v>
      </x:c>
      <x:c r="D216" s="2" t="str">
        <x:v>Modelled outcome</x:v>
      </x:c>
      <x:c r="E216" s="2" t="str"/>
      <x:c r="F216" s="2" t="str">
        <x:v>A_EXAMPLE</x:v>
      </x:c>
      <x:c r="G216" s="2" t="str">
        <x:v>C-E02</x:v>
      </x:c>
    </x:row>
    <x:row r="217" ht="55" customHeight="1">
      <x:c r="A217" s="2" t="str">
        <x:v>CL-example-02-body3</x:v>
      </x:c>
      <x:c r="B217" s="2" t="n">
        <x:v>40</x:v>
      </x:c>
      <x:c r="C217" s="2" t="str">
        <x:v>Demand, access and capture are chosen inputs. Unmet orders cannot count as revenue.</x:v>
      </x:c>
      <x:c r="D217" s="2" t="str">
        <x:v>Modelled outcome</x:v>
      </x:c>
      <x:c r="E217" s="2" t="str"/>
      <x:c r="F217" s="2" t="str">
        <x:v>A_EXAMPLE</x:v>
      </x:c>
      <x:c r="G217" s="2" t="str">
        <x:v>C-E02</x:v>
      </x:c>
    </x:row>
    <x:row r="218" ht="55" customHeight="1">
      <x:c r="A218" s="2" t="str">
        <x:v>CL-example-02-body4</x:v>
      </x:c>
      <x:c r="B218" s="2" t="n">
        <x:v>40</x:v>
      </x:c>
      <x:c r="C218" s="2" t="str">
        <x:v>If route capacity reaches 9,000 t, plant capacity still caps delivery at 8,000 t.</x:v>
      </x:c>
      <x:c r="D218" s="2" t="str">
        <x:v>Modelled outcome</x:v>
      </x:c>
      <x:c r="E218" s="2" t="str"/>
      <x:c r="F218" s="2" t="str">
        <x:v>A_EXAMPLE</x:v>
      </x:c>
      <x:c r="G218" s="2" t="str">
        <x:v>C-E02</x:v>
      </x:c>
    </x:row>
    <x:row r="219" ht="55" customHeight="1">
      <x:c r="A219" s="2" t="str">
        <x:v>CL-example-03-headline</x:v>
      </x:c>
      <x:c r="B219" s="2" t="n">
        <x:v>41</x:v>
      </x:c>
      <x:c r="C219" s="2" t="str">
        <x:v>USD4m EBITDA</x:v>
      </x:c>
      <x:c r="D219" s="2" t="str">
        <x:v>Modelled outcome</x:v>
      </x:c>
      <x:c r="E219" s="2" t="str"/>
      <x:c r="F219" s="2" t="str">
        <x:v>A_EXAMPLE</x:v>
      </x:c>
      <x:c r="G219" s="2" t="str">
        <x:v>C-E03</x:v>
      </x:c>
    </x:row>
    <x:row r="220" ht="55" customHeight="1">
      <x:c r="A220" s="2" t="str">
        <x:v>CL-example-03-body1</x:v>
      </x:c>
      <x:c r="B220" s="2" t="n">
        <x:v>41</x:v>
      </x:c>
      <x:c r="C220" s="2" t="str">
        <x:v>Illustrative example—not Olam data</x:v>
      </x:c>
      <x:c r="D220" s="2" t="str">
        <x:v>Modelled outcome</x:v>
      </x:c>
      <x:c r="E220" s="2" t="str"/>
      <x:c r="F220" s="2" t="str">
        <x:v>A_EXAMPLE</x:v>
      </x:c>
      <x:c r="G220" s="2" t="str">
        <x:v>C-E03</x:v>
      </x:c>
    </x:row>
    <x:row r="221" ht="55" customHeight="1">
      <x:c r="A221" s="2" t="str">
        <x:v>CL-example-03-body2</x:v>
      </x:c>
      <x:c r="B221" s="2" t="n">
        <x:v>41</x:v>
      </x:c>
      <x:c r="C221" s="2" t="str">
        <x:v>100,000 t × USD400/t = USD40 m revenue; costs = USD34 m; contribution = USD6 m; less USD2 m fixed cost = USD4 m EBITDA.</x:v>
      </x:c>
      <x:c r="D221" s="2" t="str">
        <x:v>Modelled outcome</x:v>
      </x:c>
      <x:c r="E221" s="2" t="str"/>
      <x:c r="F221" s="2" t="str">
        <x:v>A_EXAMPLE</x:v>
      </x:c>
      <x:c r="G221" s="2" t="str">
        <x:v>C-E03</x:v>
      </x:c>
    </x:row>
    <x:row r="222" ht="55" customHeight="1">
      <x:c r="A222" s="2" t="str">
        <x:v>CL-example-03-body3</x:v>
      </x:c>
      <x:c r="B222" s="2" t="n">
        <x:v>41</x:v>
      </x:c>
      <x:c r="C222" s="2" t="str">
        <x:v>EBITDA omits cash tax, capital spending and working cash. These are chosen saleable-volume and net-price inputs.</x:v>
      </x:c>
      <x:c r="D222" s="2" t="str">
        <x:v>Modelled outcome</x:v>
      </x:c>
      <x:c r="E222" s="2" t="str"/>
      <x:c r="F222" s="2" t="str">
        <x:v>A_EXAMPLE</x:v>
      </x:c>
      <x:c r="G222" s="2" t="str">
        <x:v>C-E03</x:v>
      </x:c>
    </x:row>
    <x:row r="223" ht="55" customHeight="1">
      <x:c r="A223" s="2" t="str">
        <x:v>CL-example-03-body4</x:v>
      </x:c>
      <x:c r="B223" s="2" t="n">
        <x:v>41</x:v>
      </x:c>
      <x:c r="C223" s="2" t="str">
        <x:v>A USD10/t price change at unchanged volume changes EBITDA by USD1 m.</x:v>
      </x:c>
      <x:c r="D223" s="2" t="str">
        <x:v>Modelled outcome</x:v>
      </x:c>
      <x:c r="E223" s="2" t="str"/>
      <x:c r="F223" s="2" t="str">
        <x:v>A_EXAMPLE</x:v>
      </x:c>
      <x:c r="G223" s="2" t="str">
        <x:v>C-E03</x:v>
      </x:c>
    </x:row>
    <x:row r="224" ht="55" customHeight="1">
      <x:c r="A224" s="2" t="str">
        <x:v>CL-example-04-headline</x:v>
      </x:c>
      <x:c r="B224" s="2" t="n">
        <x:v>42</x:v>
      </x:c>
      <x:c r="C224" s="2" t="str">
        <x:v>111,111 tonnes of input</x:v>
      </x:c>
      <x:c r="D224" s="2" t="str">
        <x:v>Modelled outcome</x:v>
      </x:c>
      <x:c r="E224" s="2" t="str"/>
      <x:c r="F224" s="2" t="str">
        <x:v>A_EXAMPLE</x:v>
      </x:c>
      <x:c r="G224" s="2" t="str">
        <x:v>C-E04</x:v>
      </x:c>
    </x:row>
    <x:row r="225" ht="55" customHeight="1">
      <x:c r="A225" s="2" t="str">
        <x:v>CL-example-04-body1</x:v>
      </x:c>
      <x:c r="B225" s="2" t="n">
        <x:v>42</x:v>
      </x:c>
      <x:c r="C225" s="2" t="str">
        <x:v>Illustrative example—not Olam data</x:v>
      </x:c>
      <x:c r="D225" s="2" t="str">
        <x:v>Modelled outcome</x:v>
      </x:c>
      <x:c r="E225" s="2" t="str"/>
      <x:c r="F225" s="2" t="str">
        <x:v>A_EXAMPLE</x:v>
      </x:c>
      <x:c r="G225" s="2" t="str">
        <x:v>C-E04</x:v>
      </x:c>
    </x:row>
    <x:row r="226" ht="55" customHeight="1">
      <x:c r="A226" s="2" t="str">
        <x:v>CL-example-04-body2</x:v>
      </x:c>
      <x:c r="B226" s="2" t="n">
        <x:v>42</x:v>
      </x:c>
      <x:c r="C226" s="2" t="str">
        <x:v>100,000 t output / 90% yield = 111,111 t input; 6% by-product = 6,667 t; 4% loss = 4,444 t.</x:v>
      </x:c>
      <x:c r="D226" s="2" t="str">
        <x:v>Modelled outcome</x:v>
      </x:c>
      <x:c r="E226" s="2" t="str"/>
      <x:c r="F226" s="2" t="str">
        <x:v>A_EXAMPLE</x:v>
      </x:c>
      <x:c r="G226" s="2" t="str">
        <x:v>C-E04</x:v>
      </x:c>
    </x:row>
    <x:row r="227" ht="55" customHeight="1">
      <x:c r="A227" s="2" t="str">
        <x:v>CL-example-04-body3</x:v>
      </x:c>
      <x:c r="B227" s="2" t="n">
        <x:v>42</x:v>
      </x:c>
      <x:c r="C227" s="2" t="str">
        <x:v>By-products may earn revenue. Their quality, price and conversion cost need evidence.</x:v>
      </x:c>
      <x:c r="D227" s="2" t="str">
        <x:v>Modelled outcome</x:v>
      </x:c>
      <x:c r="E227" s="2" t="str"/>
      <x:c r="F227" s="2" t="str">
        <x:v>A_EXAMPLE</x:v>
      </x:c>
      <x:c r="G227" s="2" t="str">
        <x:v>C-E04</x:v>
      </x:c>
    </x:row>
    <x:row r="228" ht="55" customHeight="1">
      <x:c r="A228" s="2" t="str">
        <x:v>CL-example-04-body4</x:v>
      </x:c>
      <x:c r="B228" s="2" t="n">
        <x:v>42</x:v>
      </x:c>
      <x:c r="C228" s="2" t="str">
        <x:v>At 95% main yield, input is 105,263 t. Reconcile the remaining mass separately.</x:v>
      </x:c>
      <x:c r="D228" s="2" t="str">
        <x:v>Modelled outcome</x:v>
      </x:c>
      <x:c r="E228" s="2" t="str"/>
      <x:c r="F228" s="2" t="str">
        <x:v>A_EXAMPLE</x:v>
      </x:c>
      <x:c r="G228" s="2" t="str">
        <x:v>C-E04</x:v>
      </x:c>
    </x:row>
    <x:row r="229" ht="55" customHeight="1">
      <x:c r="A229" s="2" t="str">
        <x:v>CL-example-05-headline</x:v>
      </x:c>
      <x:c r="B229" s="2" t="n">
        <x:v>43</x:v>
      </x:c>
      <x:c r="C229" s="2" t="str">
        <x:v>B costs 3.57% less per usable kg</x:v>
      </x:c>
      <x:c r="D229" s="2" t="str">
        <x:v>Modelled outcome</x:v>
      </x:c>
      <x:c r="E229" s="2" t="str"/>
      <x:c r="F229" s="2" t="str">
        <x:v>A_EXAMPLE</x:v>
      </x:c>
      <x:c r="G229" s="2" t="str">
        <x:v>C-E05</x:v>
      </x:c>
    </x:row>
    <x:row r="230" ht="55" customHeight="1">
      <x:c r="A230" s="2" t="str">
        <x:v>CL-example-05-body1</x:v>
      </x:c>
      <x:c r="B230" s="2" t="n">
        <x:v>43</x:v>
      </x:c>
      <x:c r="C230" s="2" t="str">
        <x:v>Illustrative example—not Olam data</x:v>
      </x:c>
      <x:c r="D230" s="2" t="str">
        <x:v>Modelled outcome</x:v>
      </x:c>
      <x:c r="E230" s="2" t="str"/>
      <x:c r="F230" s="2" t="str">
        <x:v>A_EXAMPLE</x:v>
      </x:c>
      <x:c r="G230" s="2" t="str">
        <x:v>C-E05</x:v>
      </x:c>
    </x:row>
    <x:row r="231" ht="55" customHeight="1">
      <x:c r="A231" s="2" t="str">
        <x:v>CL-example-05-body2</x:v>
      </x:c>
      <x:c r="B231" s="2" t="n">
        <x:v>43</x:v>
      </x:c>
      <x:c r="C231" s="2" t="str">
        <x:v>Offer A: (USD30 + USD5) / 45 kg = USD0.7778/kg. Offer B: (USD32 + USD4) / 48 kg = USD0.7500/kg.</x:v>
      </x:c>
      <x:c r="D231" s="2" t="str">
        <x:v>Modelled outcome</x:v>
      </x:c>
      <x:c r="E231" s="2" t="str"/>
      <x:c r="F231" s="2" t="str">
        <x:v>A_EXAMPLE</x:v>
      </x:c>
      <x:c r="G231" s="2" t="str">
        <x:v>C-E05</x:v>
      </x:c>
    </x:row>
    <x:row r="232" ht="55" customHeight="1">
      <x:c r="A232" s="2" t="str">
        <x:v>CL-example-05-body3</x:v>
      </x:c>
      <x:c r="B232" s="2" t="n">
        <x:v>43</x:v>
      </x:c>
      <x:c r="C232" s="2" t="str">
        <x:v>Chosen flour-like inputs. Paid adoption also depends on cash, trust and availability.</x:v>
      </x:c>
      <x:c r="D232" s="2" t="str">
        <x:v>Modelled outcome</x:v>
      </x:c>
      <x:c r="E232" s="2" t="str"/>
      <x:c r="F232" s="2" t="str">
        <x:v>A_EXAMPLE</x:v>
      </x:c>
      <x:c r="G232" s="2" t="str">
        <x:v>C-E05</x:v>
      </x:c>
    </x:row>
    <x:row r="233" ht="55" customHeight="1">
      <x:c r="A233" s="2" t="str">
        <x:v>CL-example-05-body4</x:v>
      </x:c>
      <x:c r="B233" s="2" t="n">
        <x:v>43</x:v>
      </x:c>
      <x:c r="C233" s="2" t="str">
        <x:v>If B produces only 45 kg, cost rises to USD0.80/kg and reverses the advantage.</x:v>
      </x:c>
      <x:c r="D233" s="2" t="str">
        <x:v>Modelled outcome</x:v>
      </x:c>
      <x:c r="E233" s="2" t="str"/>
      <x:c r="F233" s="2" t="str">
        <x:v>A_EXAMPLE</x:v>
      </x:c>
      <x:c r="G233" s="2" t="str">
        <x:v>C-E05</x:v>
      </x:c>
    </x:row>
    <x:row r="234" ht="55" customHeight="1">
      <x:c r="A234" s="2" t="str">
        <x:v>CL-example-06-headline</x:v>
      </x:c>
      <x:c r="B234" s="2" t="n">
        <x:v>44</x:v>
      </x:c>
      <x:c r="C234" s="2" t="str">
        <x:v>Small cash ticket ₦600; large pack 14.29% cheaper per meal</x:v>
      </x:c>
      <x:c r="D234" s="2" t="str">
        <x:v>Modelled outcome</x:v>
      </x:c>
      <x:c r="E234" s="2" t="str"/>
      <x:c r="F234" s="2" t="str">
        <x:v>A_EXAMPLE</x:v>
      </x:c>
      <x:c r="G234" s="2" t="str">
        <x:v>C-E06</x:v>
      </x:c>
    </x:row>
    <x:row r="235" ht="55" customHeight="1">
      <x:c r="A235" s="2" t="str">
        <x:v>CL-example-06-body1</x:v>
      </x:c>
      <x:c r="B235" s="2" t="n">
        <x:v>44</x:v>
      </x:c>
      <x:c r="C235" s="2" t="str">
        <x:v>Illustrative example—not Olam data</x:v>
      </x:c>
      <x:c r="D235" s="2" t="str">
        <x:v>Modelled outcome</x:v>
      </x:c>
      <x:c r="E235" s="2" t="str"/>
      <x:c r="F235" s="2" t="str">
        <x:v>A_EXAMPLE</x:v>
      </x:c>
      <x:c r="G235" s="2" t="str">
        <x:v>C-E06</x:v>
      </x:c>
    </x:row>
    <x:row r="236" ht="55" customHeight="1">
      <x:c r="A236" s="2" t="str">
        <x:v>CL-example-06-body2</x:v>
      </x:c>
      <x:c r="B236" s="2" t="n">
        <x:v>44</x:v>
      </x:c>
      <x:c r="C236" s="2" t="str">
        <x:v>Small: (₦600 + ₦100 prep) / 5 meals = ₦140/meal. Large: (₦2,000 + ₦400 prep) / 20 meals = ₦120/meal.</x:v>
      </x:c>
      <x:c r="D236" s="2" t="str">
        <x:v>Modelled outcome</x:v>
      </x:c>
      <x:c r="E236" s="2" t="str"/>
      <x:c r="F236" s="2" t="str">
        <x:v>A_EXAMPLE</x:v>
      </x:c>
      <x:c r="G236" s="2" t="str">
        <x:v>C-E06</x:v>
      </x:c>
    </x:row>
    <x:row r="237" ht="55" customHeight="1">
      <x:c r="A237" s="2" t="str">
        <x:v>CL-example-06-body3</x:v>
      </x:c>
      <x:c r="B237" s="2" t="n">
        <x:v>44</x:v>
      </x:c>
      <x:c r="C237" s="2" t="str">
        <x:v>Chosen Nigerian cash units and serving size. The large pack needs more upfront cash.</x:v>
      </x:c>
      <x:c r="D237" s="2" t="str">
        <x:v>Modelled outcome</x:v>
      </x:c>
      <x:c r="E237" s="2" t="str"/>
      <x:c r="F237" s="2" t="str">
        <x:v>A_EXAMPLE</x:v>
      </x:c>
      <x:c r="G237" s="2" t="str">
        <x:v>C-E06</x:v>
      </x:c>
    </x:row>
    <x:row r="238" ht="55" customHeight="1">
      <x:c r="A238" s="2" t="str">
        <x:v>CL-example-06-body4</x:v>
      </x:c>
      <x:c r="B238" s="2" t="n">
        <x:v>44</x:v>
      </x:c>
      <x:c r="C238" s="2" t="str">
        <x:v>Large purchase cash is 3.33 times the small pack, despite lower cost per meal.</x:v>
      </x:c>
      <x:c r="D238" s="2" t="str">
        <x:v>Modelled outcome</x:v>
      </x:c>
      <x:c r="E238" s="2" t="str"/>
      <x:c r="F238" s="2" t="str">
        <x:v>A_EXAMPLE</x:v>
      </x:c>
      <x:c r="G238" s="2" t="str">
        <x:v>C-E06</x:v>
      </x:c>
    </x:row>
    <x:row r="239" ht="55" customHeight="1">
      <x:c r="A239" s="2" t="str">
        <x:v>CL-example-07-headline</x:v>
      </x:c>
      <x:c r="B239" s="2" t="n">
        <x:v>45</x:v>
      </x:c>
      <x:c r="C239" s="2" t="str">
        <x:v>2 percentage points; 25% relative increase</x:v>
      </x:c>
      <x:c r="D239" s="2" t="str">
        <x:v>Modelled outcome</x:v>
      </x:c>
      <x:c r="E239" s="2" t="str"/>
      <x:c r="F239" s="2" t="str">
        <x:v>A_EXAMPLE</x:v>
      </x:c>
      <x:c r="G239" s="2" t="str">
        <x:v>C-E07</x:v>
      </x:c>
    </x:row>
    <x:row r="240" ht="55" customHeight="1">
      <x:c r="A240" s="2" t="str">
        <x:v>CL-example-07-body1</x:v>
      </x:c>
      <x:c r="B240" s="2" t="n">
        <x:v>45</x:v>
      </x:c>
      <x:c r="C240" s="2" t="str">
        <x:v>Illustrative example—not Olam data</x:v>
      </x:c>
      <x:c r="D240" s="2" t="str">
        <x:v>Modelled outcome</x:v>
      </x:c>
      <x:c r="E240" s="2" t="str"/>
      <x:c r="F240" s="2" t="str">
        <x:v>A_EXAMPLE</x:v>
      </x:c>
      <x:c r="G240" s="2" t="str">
        <x:v>C-E07</x:v>
      </x:c>
    </x:row>
    <x:row r="241" ht="55" customHeight="1">
      <x:c r="A241" s="2" t="str">
        <x:v>CL-example-07-body2</x:v>
      </x:c>
      <x:c r="B241" s="2" t="n">
        <x:v>45</x:v>
      </x:c>
      <x:c r="C241" s="2" t="str">
        <x:v>10% − 8% = 2 percentage points. Relative increase = (10 − 8) / 8 = 25%.</x:v>
      </x:c>
      <x:c r="D241" s="2" t="str">
        <x:v>Modelled outcome</x:v>
      </x:c>
      <x:c r="E241" s="2" t="str"/>
      <x:c r="F241" s="2" t="str">
        <x:v>A_EXAMPLE</x:v>
      </x:c>
      <x:c r="G241" s="2" t="str">
        <x:v>C-E07</x:v>
      </x:c>
    </x:row>
    <x:row r="242" ht="55" customHeight="1">
      <x:c r="A242" s="2" t="str">
        <x:v>CL-example-07-body3</x:v>
      </x:c>
      <x:c r="B242" s="2" t="n">
        <x:v>45</x:v>
      </x:c>
      <x:c r="C242" s="2" t="str">
        <x:v>A margin change is not the same measure as revenue growth.</x:v>
      </x:c>
      <x:c r="D242" s="2" t="str">
        <x:v>Modelled outcome</x:v>
      </x:c>
      <x:c r="E242" s="2" t="str"/>
      <x:c r="F242" s="2" t="str">
        <x:v>A_EXAMPLE</x:v>
      </x:c>
      <x:c r="G242" s="2" t="str">
        <x:v>C-E07</x:v>
      </x:c>
    </x:row>
    <x:row r="243" ht="55" customHeight="1">
      <x:c r="A243" s="2" t="str">
        <x:v>CL-example-07-body4</x:v>
      </x:c>
      <x:c r="B243" s="2" t="n">
        <x:v>45</x:v>
      </x:c>
      <x:c r="C243" s="2" t="str">
        <x:v>On USD100 revenue, profit rises from USD8 to USD10.</x:v>
      </x:c>
      <x:c r="D243" s="2" t="str">
        <x:v>Modelled outcome</x:v>
      </x:c>
      <x:c r="E243" s="2" t="str"/>
      <x:c r="F243" s="2" t="str">
        <x:v>A_EXAMPLE</x:v>
      </x:c>
      <x:c r="G243" s="2" t="str">
        <x:v>C-E07</x:v>
      </x:c>
    </x:row>
    <x:row r="244" ht="55" customHeight="1">
      <x:c r="A244" s="2" t="str">
        <x:v>CL-example-08-headline</x:v>
      </x:c>
      <x:c r="B244" s="2" t="n">
        <x:v>46</x:v>
      </x:c>
      <x:c r="C244" s="2" t="str">
        <x:v>USD1.25m free cash flow</x:v>
      </x:c>
      <x:c r="D244" s="2" t="str">
        <x:v>Modelled outcome</x:v>
      </x:c>
      <x:c r="E244" s="2" t="str"/>
      <x:c r="F244" s="2" t="str">
        <x:v>A_EXAMPLE</x:v>
      </x:c>
      <x:c r="G244" s="2" t="str">
        <x:v>C-E08</x:v>
      </x:c>
    </x:row>
    <x:row r="245" ht="55" customHeight="1">
      <x:c r="A245" s="2" t="str">
        <x:v>CL-example-08-body1</x:v>
      </x:c>
      <x:c r="B245" s="2" t="n">
        <x:v>46</x:v>
      </x:c>
      <x:c r="C245" s="2" t="str">
        <x:v>Illustrative example—not Olam data</x:v>
      </x:c>
      <x:c r="D245" s="2" t="str">
        <x:v>Modelled outcome</x:v>
      </x:c>
      <x:c r="E245" s="2" t="str"/>
      <x:c r="F245" s="2" t="str">
        <x:v>A_EXAMPLE</x:v>
      </x:c>
      <x:c r="G245" s="2" t="str">
        <x:v>C-E08</x:v>
      </x:c>
    </x:row>
    <x:row r="246" ht="55" customHeight="1">
      <x:c r="A246" s="2" t="str">
        <x:v>CL-example-08-body2</x:v>
      </x:c>
      <x:c r="B246" s="2" t="n">
        <x:v>46</x:v>
      </x:c>
      <x:c r="C246" s="2" t="str">
        <x:v>EBITDA 4 − D&amp;A 1 = EBIT 3; tax = 0.75. FCFF = 3 − 0.75 + 1 − 0.6 − 0.4 − 1 = 1.25 (USDm).</x:v>
      </x:c>
      <x:c r="D246" s="2" t="str">
        <x:v>Modelled outcome</x:v>
      </x:c>
      <x:c r="E246" s="2" t="str"/>
      <x:c r="F246" s="2" t="str">
        <x:v>A_EXAMPLE</x:v>
      </x:c>
      <x:c r="G246" s="2" t="str">
        <x:v>C-E08</x:v>
      </x:c>
    </x:row>
    <x:row r="247" ht="55" customHeight="1">
      <x:c r="A247" s="2" t="str">
        <x:v>CL-example-08-body3</x:v>
      </x:c>
      <x:c r="B247" s="2" t="n">
        <x:v>46</x:v>
      </x:c>
      <x:c r="C247" s="2" t="str">
        <x:v>Assume no prior tax losses, 25% tax, USD0.6 m maintenance and USD0.4 m growth capex.</x:v>
      </x:c>
      <x:c r="D247" s="2" t="str">
        <x:v>Modelled outcome</x:v>
      </x:c>
      <x:c r="E247" s="2" t="str"/>
      <x:c r="F247" s="2" t="str">
        <x:v>A_EXAMPLE</x:v>
      </x:c>
      <x:c r="G247" s="2" t="str">
        <x:v>C-E08</x:v>
      </x:c>
    </x:row>
    <x:row r="248" ht="55" customHeight="1">
      <x:c r="A248" s="2" t="str">
        <x:v>CL-example-08-body4</x:v>
      </x:c>
      <x:c r="B248" s="2" t="n">
        <x:v>46</x:v>
      </x:c>
      <x:c r="C248" s="2" t="str">
        <x:v>If NWC does not increase, this period’s cash rises by USD1 m.</x:v>
      </x:c>
      <x:c r="D248" s="2" t="str">
        <x:v>Modelled outcome</x:v>
      </x:c>
      <x:c r="E248" s="2" t="str"/>
      <x:c r="F248" s="2" t="str">
        <x:v>A_EXAMPLE</x:v>
      </x:c>
      <x:c r="G248" s="2" t="str">
        <x:v>C-E08</x:v>
      </x:c>
    </x:row>
    <x:row r="249" ht="55" customHeight="1">
      <x:c r="A249" s="2" t="str">
        <x:v>CL-example-09-headline</x:v>
      </x:c>
      <x:c r="B249" s="2" t="n">
        <x:v>47</x:v>
      </x:c>
      <x:c r="C249" s="2" t="str">
        <x:v>USD1.20m once-only cash release</x:v>
      </x:c>
      <x:c r="D249" s="2" t="str">
        <x:v>Modelled outcome</x:v>
      </x:c>
      <x:c r="E249" s="2" t="str"/>
      <x:c r="F249" s="2" t="str">
        <x:v>A_EXAMPLE</x:v>
      </x:c>
      <x:c r="G249" s="2" t="str">
        <x:v>C-E09</x:v>
      </x:c>
    </x:row>
    <x:row r="250" ht="55" customHeight="1">
      <x:c r="A250" s="2" t="str">
        <x:v>CL-example-09-body1</x:v>
      </x:c>
      <x:c r="B250" s="2" t="n">
        <x:v>47</x:v>
      </x:c>
      <x:c r="C250" s="2" t="str">
        <x:v>Illustrative example—not Olam data</x:v>
      </x:c>
      <x:c r="D250" s="2" t="str">
        <x:v>Modelled outcome</x:v>
      </x:c>
      <x:c r="E250" s="2" t="str"/>
      <x:c r="F250" s="2" t="str">
        <x:v>A_EXAMPLE</x:v>
      </x:c>
      <x:c r="G250" s="2" t="str">
        <x:v>C-E09</x:v>
      </x:c>
    </x:row>
    <x:row r="251" ht="55" customHeight="1">
      <x:c r="A251" s="2" t="str">
        <x:v>CL-example-09-body2</x:v>
      </x:c>
      <x:c r="B251" s="2" t="n">
        <x:v>47</x:v>
      </x:c>
      <x:c r="C251" s="2" t="str">
        <x:v>AR: USD40 m × 5 / 365 = USD0.547945 m. Inventory: USD34 m × 7 / 365 = USD0.652055 m. Total = USD1.20 m.</x:v>
      </x:c>
      <x:c r="D251" s="2" t="str">
        <x:v>Modelled outcome</x:v>
      </x:c>
      <x:c r="E251" s="2" t="str"/>
      <x:c r="F251" s="2" t="str">
        <x:v>A_EXAMPLE</x:v>
      </x:c>
      <x:c r="G251" s="2" t="str">
        <x:v>C-E09</x:v>
      </x:c>
    </x:row>
    <x:row r="252" ht="55" customHeight="1">
      <x:c r="A252" s="2" t="str">
        <x:v>CL-example-09-body3</x:v>
      </x:c>
      <x:c r="B252" s="2" t="n">
        <x:v>47</x:v>
      </x:c>
      <x:c r="C252" s="2" t="str">
        <x:v>All sales are credit in this example. The transition release is not recurring annual profit.</x:v>
      </x:c>
      <x:c r="D252" s="2" t="str">
        <x:v>Modelled outcome</x:v>
      </x:c>
      <x:c r="E252" s="2" t="str"/>
      <x:c r="F252" s="2" t="str">
        <x:v>A_EXAMPLE</x:v>
      </x:c>
      <x:c r="G252" s="2" t="str">
        <x:v>C-E09</x:v>
      </x:c>
    </x:row>
    <x:row r="253" ht="55" customHeight="1">
      <x:c r="A253" s="2" t="str">
        <x:v>CL-example-09-body4</x:v>
      </x:c>
      <x:c r="B253" s="2" t="n">
        <x:v>47</x:v>
      </x:c>
      <x:c r="C253" s="2" t="str">
        <x:v>One further DSO day releases USD0.109589 m at this sales base.</x:v>
      </x:c>
      <x:c r="D253" s="2" t="str">
        <x:v>Modelled outcome</x:v>
      </x:c>
      <x:c r="E253" s="2" t="str"/>
      <x:c r="F253" s="2" t="str">
        <x:v>A_EXAMPLE</x:v>
      </x:c>
      <x:c r="G253" s="2" t="str">
        <x:v>C-E09</x:v>
      </x:c>
    </x:row>
    <x:row r="254" ht="55" customHeight="1">
      <x:c r="A254" s="2" t="str">
        <x:v>CL-example-10-headline</x:v>
      </x:c>
      <x:c r="B254" s="2" t="n">
        <x:v>48</x:v>
      </x:c>
      <x:c r="C254" s="2" t="str">
        <x:v>NPV −NGN2.0645bn; zero-NPV uplift NGN1.9928bn/year</x:v>
      </x:c>
      <x:c r="D254" s="2" t="str">
        <x:v>Modelled outcome</x:v>
      </x:c>
      <x:c r="E254" s="2" t="str">
        <x:v>BASELINE</x:v>
      </x:c>
      <x:c r="F254" s="2" t="str">
        <x:v>A_EXAMPLE</x:v>
      </x:c>
      <x:c r="G254" s="2" t="str">
        <x:v>C-E10</x:v>
      </x:c>
    </x:row>
    <x:row r="255" ht="55" customHeight="1">
      <x:c r="A255" s="2" t="str">
        <x:v>CL-example-10-body1</x:v>
      </x:c>
      <x:c r="B255" s="2" t="n">
        <x:v>48</x:v>
      </x:c>
      <x:c r="C255" s="2" t="str">
        <x:v>Illustrative example—not Olam data</x:v>
      </x:c>
      <x:c r="D255" s="2" t="str">
        <x:v>Modelled outcome</x:v>
      </x:c>
      <x:c r="E255" s="2" t="str">
        <x:v>BASELINE</x:v>
      </x:c>
      <x:c r="F255" s="2" t="str">
        <x:v>A_EXAMPLE</x:v>
      </x:c>
      <x:c r="G255" s="2" t="str">
        <x:v>C-E10</x:v>
      </x:c>
    </x:row>
    <x:row r="256" ht="55" customHeight="1">
      <x:c r="A256" s="2" t="str">
        <x:v>CL-example-10-body2</x:v>
      </x:c>
      <x:c r="B256" s="2" t="n">
        <x:v>48</x:v>
      </x:c>
      <x:c r="C256" s="2" t="str">
        <x:v>100 × (2% + 2%) × 8% + 0.7 + 0.6 − 0.4 − 0.45 − 0.30 = 0.47; 100 × 7 / 365 = 1.9178 (NGNbn).</x:v>
      </x:c>
      <x:c r="D256" s="2" t="str">
        <x:v>Modelled outcome</x:v>
      </x:c>
      <x:c r="E256" s="2" t="str">
        <x:v>BASELINE</x:v>
      </x:c>
      <x:c r="F256" s="2" t="str">
        <x:v>A_EXAMPLE</x:v>
      </x:c>
      <x:c r="G256" s="2" t="str">
        <x:v>C-E10</x:v>
      </x:c>
    </x:row>
    <x:row r="257" ht="55" customHeight="1">
      <x:c r="A257" s="2" t="str">
        <x:v>CL-example-10-body3</x:v>
      </x:c>
      <x:c r="B257" s="2" t="n">
        <x:v>48</x:v>
      </x:c>
      <x:c r="C257" s="2" t="str">
        <x:v>NGN4.2 bn initial capital; 28% hurdle; 50/80/100% benefit ramp. Tax, replacement and actual cash bases are absent.</x:v>
      </x:c>
      <x:c r="D257" s="2" t="str">
        <x:v>Modelled outcome</x:v>
      </x:c>
      <x:c r="E257" s="2" t="str">
        <x:v>BASELINE</x:v>
      </x:c>
      <x:c r="F257" s="2" t="str">
        <x:v>A_EXAMPLE</x:v>
      </x:c>
      <x:c r="G257" s="2" t="str">
        <x:v>C-E10</x:v>
      </x:c>
    </x:row>
    <x:row r="258" ht="55" customHeight="1">
      <x:c r="A258" s="2" t="str">
        <x:v>CL-example-10-body4</x:v>
      </x:c>
      <x:c r="B258" s="2" t="n">
        <x:v>48</x:v>
      </x:c>
      <x:c r="C258" s="2" t="str">
        <x:v>Repair procurement FX overlap, AR/inventory/AP, capex, tax and currency before a production decision.</x:v>
      </x:c>
      <x:c r="D258" s="2" t="str">
        <x:v>Modelled outcome</x:v>
      </x:c>
      <x:c r="E258" s="2" t="str">
        <x:v>BASELINE</x:v>
      </x:c>
      <x:c r="F258" s="2" t="str">
        <x:v>A_EXAMPLE</x:v>
      </x:c>
      <x:c r="G258" s="2" t="str">
        <x:v>C-E10</x:v>
      </x:c>
    </x:row>
    <x:row r="259" ht="55" customHeight="1">
      <x:c r="A259" s="2" t="str">
        <x:v>CL-example-11-headline</x:v>
      </x:c>
      <x:c r="B259" s="2" t="n">
        <x:v>49</x:v>
      </x:c>
      <x:c r="C259" s="2" t="str">
        <x:v>21% combined input-cost increase</x:v>
      </x:c>
      <x:c r="D259" s="2" t="str">
        <x:v>Modelled outcome</x:v>
      </x:c>
      <x:c r="E259" s="2" t="str"/>
      <x:c r="F259" s="2" t="str">
        <x:v>A_EXAMPLE</x:v>
      </x:c>
      <x:c r="G259" s="2" t="str">
        <x:v>C-E11</x:v>
      </x:c>
    </x:row>
    <x:row r="260" ht="55" customHeight="1">
      <x:c r="A260" s="2" t="str">
        <x:v>CL-example-11-body1</x:v>
      </x:c>
      <x:c r="B260" s="2" t="n">
        <x:v>49</x:v>
      </x:c>
      <x:c r="C260" s="2" t="str">
        <x:v>Illustrative example—not Olam data</x:v>
      </x:c>
      <x:c r="D260" s="2" t="str">
        <x:v>Modelled outcome</x:v>
      </x:c>
      <x:c r="E260" s="2" t="str"/>
      <x:c r="F260" s="2" t="str">
        <x:v>A_EXAMPLE</x:v>
      </x:c>
      <x:c r="G260" s="2" t="str">
        <x:v>C-E11</x:v>
      </x:c>
    </x:row>
    <x:row r="261" ht="55" customHeight="1">
      <x:c r="A261" s="2" t="str">
        <x:v>CL-example-11-body2</x:v>
      </x:c>
      <x:c r="B261" s="2" t="n">
        <x:v>49</x:v>
      </x:c>
      <x:c r="C261" s="2" t="str">
        <x:v>USD100 × ₦1,000/USD = ₦100,000. With both factors +10%: USD110 × ₦1,100 = ₦121,000, or +21%.</x:v>
      </x:c>
      <x:c r="D261" s="2" t="str">
        <x:v>Modelled outcome</x:v>
      </x:c>
      <x:c r="E261" s="2" t="str"/>
      <x:c r="F261" s="2" t="str">
        <x:v>A_EXAMPLE</x:v>
      </x:c>
      <x:c r="G261" s="2" t="str">
        <x:v>C-E11</x:v>
      </x:c>
    </x:row>
    <x:row r="262" ht="55" customHeight="1">
      <x:c r="A262" s="2" t="str">
        <x:v>CL-example-11-body3</x:v>
      </x:c>
      <x:c r="B262" s="2" t="n">
        <x:v>49</x:v>
      </x:c>
      <x:c r="C262" s="2" t="str">
        <x:v>Both shocks hit the same procurement base. Hedge effects need documented contracts.</x:v>
      </x:c>
      <x:c r="D262" s="2" t="str">
        <x:v>Modelled outcome</x:v>
      </x:c>
      <x:c r="E262" s="2" t="str"/>
      <x:c r="F262" s="2" t="str">
        <x:v>A_EXAMPLE</x:v>
      </x:c>
      <x:c r="G262" s="2" t="str">
        <x:v>C-E11</x:v>
      </x:c>
    </x:row>
    <x:row r="263" ht="55" customHeight="1">
      <x:c r="A263" s="2" t="str">
        <x:v>CL-example-11-body4</x:v>
      </x:c>
      <x:c r="B263" s="2" t="n">
        <x:v>49</x:v>
      </x:c>
      <x:c r="C263" s="2" t="str">
        <x:v>Chosen 70% cost pass-through recovers 14.7% initially; weaker customer volume may reduce retained margin.</x:v>
      </x:c>
      <x:c r="D263" s="2" t="str">
        <x:v>Modelled outcome</x:v>
      </x:c>
      <x:c r="E263" s="2" t="str"/>
      <x:c r="F263" s="2" t="str">
        <x:v>A_EXAMPLE</x:v>
      </x:c>
      <x:c r="G263" s="2" t="str">
        <x:v>C-E11</x:v>
      </x:c>
    </x:row>
    <x:row r="264" ht="55" customHeight="1">
      <x:c r="A264" s="2" t="str">
        <x:v>CL-example-12-headline</x:v>
      </x:c>
      <x:c r="B264" s="2" t="n">
        <x:v>50</x:v>
      </x:c>
      <x:c r="C264" s="2" t="str">
        <x:v>NPV −USD0.0263m</x:v>
      </x:c>
      <x:c r="D264" s="2" t="str">
        <x:v>Modelled outcome</x:v>
      </x:c>
      <x:c r="E264" s="2" t="str"/>
      <x:c r="F264" s="2" t="str">
        <x:v>A_EXAMPLE</x:v>
      </x:c>
      <x:c r="G264" s="2" t="str">
        <x:v>C-E12</x:v>
      </x:c>
    </x:row>
    <x:row r="265" ht="55" customHeight="1">
      <x:c r="A265" s="2" t="str">
        <x:v>CL-example-12-body1</x:v>
      </x:c>
      <x:c r="B265" s="2" t="n">
        <x:v>50</x:v>
      </x:c>
      <x:c r="C265" s="2" t="str">
        <x:v>Illustrative example—not Olam data</x:v>
      </x:c>
      <x:c r="D265" s="2" t="str">
        <x:v>Modelled outcome</x:v>
      </x:c>
      <x:c r="E265" s="2" t="str"/>
      <x:c r="F265" s="2" t="str">
        <x:v>A_EXAMPLE</x:v>
      </x:c>
      <x:c r="G265" s="2" t="str">
        <x:v>C-E12</x:v>
      </x:c>
    </x:row>
    <x:row r="266" ht="55" customHeight="1">
      <x:c r="A266" s="2" t="str">
        <x:v>CL-example-12-body2</x:v>
      </x:c>
      <x:c r="B266" s="2" t="n">
        <x:v>50</x:v>
      </x:c>
      <x:c r="C266" s="2" t="str">
        <x:v>NPV = −5 + 2/1.10 + 2/1.10² + 2/1.10³ = −0.0263 (USDm).</x:v>
      </x:c>
      <x:c r="D266" s="2" t="str">
        <x:v>Modelled outcome</x:v>
      </x:c>
      <x:c r="E266" s="2" t="str"/>
      <x:c r="F266" s="2" t="str">
        <x:v>A_EXAMPLE</x:v>
      </x:c>
      <x:c r="G266" s="2" t="str">
        <x:v>C-E12</x:v>
      </x:c>
    </x:row>
    <x:row r="267" ht="55" customHeight="1">
      <x:c r="A267" s="2" t="str">
        <x:v>CL-example-12-body3</x:v>
      </x:c>
      <x:c r="B267" s="2" t="n">
        <x:v>50</x:v>
      </x:c>
      <x:c r="C267" s="2" t="str">
        <x:v>No terminal value. Staging USD3 m now and USD2 m in year 1, with cash in years 2–4, gives −USD0.2966 m.</x:v>
      </x:c>
      <x:c r="D267" s="2" t="str">
        <x:v>Modelled outcome</x:v>
      </x:c>
      <x:c r="E267" s="2" t="str"/>
      <x:c r="F267" s="2" t="str">
        <x:v>A_EXAMPLE</x:v>
      </x:c>
      <x:c r="G267" s="2" t="str">
        <x:v>C-E12</x:v>
      </x:c>
    </x:row>
    <x:row r="268" ht="55" customHeight="1">
      <x:c r="A268" s="2" t="str">
        <x:v>CL-example-12-body4</x:v>
      </x:c>
      <x:c r="B268" s="2" t="n">
        <x:v>50</x:v>
      </x:c>
      <x:c r="C268" s="2" t="str">
        <x:v>Paying USD5 m now with a one-year cash delay gives −USD0.4784 m.</x:v>
      </x:c>
      <x:c r="D268" s="2" t="str">
        <x:v>Modelled outcome</x:v>
      </x:c>
      <x:c r="E268" s="2" t="str"/>
      <x:c r="F268" s="2" t="str">
        <x:v>A_EXAMPLE</x:v>
      </x:c>
      <x:c r="G268" s="2" t="str">
        <x:v>C-E12</x:v>
      </x:c>
    </x:row>
    <x:row r="269" ht="55" customHeight="1">
      <x:c r="A269" s="2" t="str">
        <x:v>CL-example-13-headline</x:v>
      </x:c>
      <x:c r="B269" s="2" t="n">
        <x:v>51</x:v>
      </x:c>
      <x:c r="C269" s="2" t="str">
        <x:v>Real and nominal three-year NPVs both −USD0.0263m</x:v>
      </x:c>
      <x:c r="D269" s="2" t="str">
        <x:v>Modelled outcome</x:v>
      </x:c>
      <x:c r="E269" s="2" t="str"/>
      <x:c r="F269" s="2" t="str">
        <x:v>A_EXAMPLE</x:v>
      </x:c>
      <x:c r="G269" s="2" t="str">
        <x:v>C-E13</x:v>
      </x:c>
    </x:row>
    <x:row r="270" ht="55" customHeight="1">
      <x:c r="A270" s="2" t="str">
        <x:v>CL-example-13-body1</x:v>
      </x:c>
      <x:c r="B270" s="2" t="n">
        <x:v>51</x:v>
      </x:c>
      <x:c r="C270" s="2" t="str">
        <x:v>Illustrative example—not Olam data</x:v>
      </x:c>
      <x:c r="D270" s="2" t="str">
        <x:v>Modelled outcome</x:v>
      </x:c>
      <x:c r="E270" s="2" t="str"/>
      <x:c r="F270" s="2" t="str">
        <x:v>A_EXAMPLE</x:v>
      </x:c>
      <x:c r="G270" s="2" t="str">
        <x:v>C-E13</x:v>
      </x:c>
    </x:row>
    <x:row r="271" ht="55" customHeight="1">
      <x:c r="A271" s="2" t="str">
        <x:v>CL-example-13-body2</x:v>
      </x:c>
      <x:c r="B271" s="2" t="n">
        <x:v>51</x:v>
      </x:c>
      <x:c r="C271" s="2" t="str">
        <x:v>(1.10 × 1.05) − 1 = 15.5% nominal hurdle. Year 1: 2.10 / 1.155 = 2.00 / 1.10.</x:v>
      </x:c>
      <x:c r="D271" s="2" t="str">
        <x:v>Modelled outcome</x:v>
      </x:c>
      <x:c r="E271" s="2" t="str"/>
      <x:c r="F271" s="2" t="str">
        <x:v>A_EXAMPLE</x:v>
      </x:c>
      <x:c r="G271" s="2" t="str">
        <x:v>C-E13</x:v>
      </x:c>
    </x:row>
    <x:row r="272" ht="55" customHeight="1">
      <x:c r="A272" s="2" t="str">
        <x:v>CL-example-13-body3</x:v>
      </x:c>
      <x:c r="B272" s="2" t="n">
        <x:v>51</x:v>
      </x:c>
      <x:c r="C272" s="2" t="str">
        <x:v>Nominal cash grows by 5% inflation and is discounted at 15.5%. Project and currency risk require separate care.</x:v>
      </x:c>
      <x:c r="D272" s="2" t="str">
        <x:v>Modelled outcome</x:v>
      </x:c>
      <x:c r="E272" s="2" t="str"/>
      <x:c r="F272" s="2" t="str">
        <x:v>A_EXAMPLE</x:v>
      </x:c>
      <x:c r="G272" s="2" t="str">
        <x:v>C-E13</x:v>
      </x:c>
    </x:row>
    <x:row r="273" ht="55" customHeight="1">
      <x:c r="A273" s="2" t="str">
        <x:v>CL-example-13-body4</x:v>
      </x:c>
      <x:c r="B273" s="2" t="n">
        <x:v>51</x:v>
      </x:c>
      <x:c r="C273" s="2" t="str">
        <x:v>Mixing nominal cash with a real hurdle overstates value.</x:v>
      </x:c>
      <x:c r="D273" s="2" t="str">
        <x:v>Modelled outcome</x:v>
      </x:c>
      <x:c r="E273" s="2" t="str"/>
      <x:c r="F273" s="2" t="str">
        <x:v>A_EXAMPLE</x:v>
      </x:c>
      <x:c r="G273" s="2" t="str">
        <x:v>C-E13</x:v>
      </x:c>
    </x:row>
    <x:row r="274" ht="55" customHeight="1">
      <x:c r="A274" s="2" t="str">
        <x:v>CL-example-14-headline</x:v>
      </x:c>
      <x:c r="B274" s="2" t="n">
        <x:v>52</x:v>
      </x:c>
      <x:c r="C274" s="2" t="str">
        <x:v>Operating 33,333t; investment boundary 104,862 initial order tonnes</x:v>
      </x:c>
      <x:c r="D274" s="2" t="str">
        <x:v>Modelled outcome</x:v>
      </x:c>
      <x:c r="E274" s="2" t="str"/>
      <x:c r="F274" s="2" t="str">
        <x:v>A_EXAMPLE</x:v>
      </x:c>
      <x:c r="G274" s="2" t="str">
        <x:v>C-E14</x:v>
      </x:c>
    </x:row>
    <x:row r="275" ht="55" customHeight="1">
      <x:c r="A275" s="2" t="str">
        <x:v>CL-example-14-body1</x:v>
      </x:c>
      <x:c r="B275" s="2" t="n">
        <x:v>52</x:v>
      </x:c>
      <x:c r="C275" s="2" t="str">
        <x:v>Illustrative example—not Olam data</x:v>
      </x:c>
      <x:c r="D275" s="2" t="str">
        <x:v>Modelled outcome</x:v>
      </x:c>
      <x:c r="E275" s="2" t="str"/>
      <x:c r="F275" s="2" t="str">
        <x:v>A_EXAMPLE</x:v>
      </x:c>
      <x:c r="G275" s="2" t="str">
        <x:v>C-E14</x:v>
      </x:c>
    </x:row>
    <x:row r="276" ht="55" customHeight="1">
      <x:c r="A276" s="2" t="str">
        <x:v>CL-example-14-body2</x:v>
      </x:c>
      <x:c r="B276" s="2" t="n">
        <x:v>52</x:v>
      </x:c>
      <x:c r="C276" s="2" t="str">
        <x:v>USD2 m / (USD400 − USD340 per tonne) = 33,333 t; / 150,000 t capacity = 22.22% utilization.</x:v>
      </x:c>
      <x:c r="D276" s="2" t="str">
        <x:v>Modelled outcome</x:v>
      </x:c>
      <x:c r="E276" s="2" t="str"/>
      <x:c r="F276" s="2" t="str">
        <x:v>A_EXAMPLE</x:v>
      </x:c>
      <x:c r="G276" s="2" t="str">
        <x:v>C-E14</x:v>
      </x:c>
    </x:row>
    <x:row r="277" ht="55" customHeight="1">
      <x:c r="A277" s="2" t="str">
        <x:v>CL-example-14-body3</x:v>
      </x:c>
      <x:c r="B277" s="2" t="n">
        <x:v>52</x:v>
      </x:c>
      <x:c r="C277" s="2" t="str">
        <x:v>Full NPV includes ramp, tax, replacement, working cash and the finite horizon.</x:v>
      </x:c>
      <x:c r="D277" s="2" t="str">
        <x:v>Modelled outcome</x:v>
      </x:c>
      <x:c r="E277" s="2" t="str"/>
      <x:c r="F277" s="2" t="str">
        <x:v>A_EXAMPLE</x:v>
      </x:c>
      <x:c r="G277" s="2" t="str">
        <x:v>C-E14</x:v>
      </x:c>
    </x:row>
    <x:row r="278" ht="55" customHeight="1">
      <x:c r="A278" s="2" t="str">
        <x:v>CL-example-14-body4</x:v>
      </x:c>
      <x:c r="B278" s="2" t="n">
        <x:v>52</x:v>
      </x:c>
      <x:c r="C278" s="2" t="str">
        <x:v>Operating above 22.22% utilization can still give negative investment NPV.</x:v>
      </x:c>
      <x:c r="D278" s="2" t="str">
        <x:v>Modelled outcome</x:v>
      </x:c>
      <x:c r="E278" s="2" t="str"/>
      <x:c r="F278" s="2" t="str">
        <x:v>A_EXAMPLE</x:v>
      </x:c>
      <x:c r="G278" s="2" t="str">
        <x:v>C-E14</x:v>
      </x:c>
    </x:row>
    <x:row r="279" ht="55" customHeight="1">
      <x:c r="A279" s="2" t="str">
        <x:v>CL-example-15-headline</x:v>
      </x:c>
      <x:c r="B279" s="2" t="n">
        <x:v>53</x:v>
      </x:c>
      <x:c r="C279" s="2" t="str">
        <x:v>USD3m judgement-weighted mean</x:v>
      </x:c>
      <x:c r="D279" s="2" t="str">
        <x:v>Modelled outcome</x:v>
      </x:c>
      <x:c r="E279" s="2" t="str"/>
      <x:c r="F279" s="2" t="str">
        <x:v>A_EXAMPLE</x:v>
      </x:c>
      <x:c r="G279" s="2" t="str">
        <x:v>C-E15</x:v>
      </x:c>
    </x:row>
    <x:row r="280" ht="55" customHeight="1">
      <x:c r="A280" s="2" t="str">
        <x:v>CL-example-15-body1</x:v>
      </x:c>
      <x:c r="B280" s="2" t="n">
        <x:v>53</x:v>
      </x:c>
      <x:c r="C280" s="2" t="str">
        <x:v>Illustrative example—not Olam data</x:v>
      </x:c>
      <x:c r="D280" s="2" t="str">
        <x:v>Modelled outcome</x:v>
      </x:c>
      <x:c r="E280" s="2" t="str"/>
      <x:c r="F280" s="2" t="str">
        <x:v>A_EXAMPLE</x:v>
      </x:c>
      <x:c r="G280" s="2" t="str">
        <x:v>C-E15</x:v>
      </x:c>
    </x:row>
    <x:row r="281" ht="55" customHeight="1">
      <x:c r="A281" s="2" t="str">
        <x:v>CL-example-15-body2</x:v>
      </x:c>
      <x:c r="B281" s="2" t="n">
        <x:v>53</x:v>
      </x:c>
      <x:c r="C281" s="2" t="str">
        <x:v>Chosen NPVs [10, −8, 2] and weights [0.5, 0.3, 0.2]: 5 − 2.4 + 0.4 = USD3 m.</x:v>
      </x:c>
      <x:c r="D281" s="2" t="str">
        <x:v>Modelled outcome</x:v>
      </x:c>
      <x:c r="E281" s="2" t="str"/>
      <x:c r="F281" s="2" t="str">
        <x:v>A_EXAMPLE</x:v>
      </x:c>
      <x:c r="G281" s="2" t="str">
        <x:v>C-E15</x:v>
      </x:c>
    </x:row>
    <x:row r="282" ht="55" customHeight="1">
      <x:c r="A282" s="2" t="str">
        <x:v>CL-example-15-body3</x:v>
      </x:c>
      <x:c r="B282" s="2" t="n">
        <x:v>53</x:v>
      </x:c>
      <x:c r="C282" s="2" t="str">
        <x:v>The central USD10 m case is not a calibrated most-likely future. The adverse loss can breach funding.</x:v>
      </x:c>
      <x:c r="D282" s="2" t="str">
        <x:v>Modelled outcome</x:v>
      </x:c>
      <x:c r="E282" s="2" t="str"/>
      <x:c r="F282" s="2" t="str">
        <x:v>A_EXAMPLE</x:v>
      </x:c>
      <x:c r="G282" s="2" t="str">
        <x:v>C-E15</x:v>
      </x:c>
    </x:row>
    <x:row r="283" ht="55" customHeight="1">
      <x:c r="A283" s="2" t="str">
        <x:v>CL-example-15-body4</x:v>
      </x:c>
      <x:c r="B283" s="2" t="n">
        <x:v>53</x:v>
      </x:c>
      <x:c r="C283" s="2" t="str">
        <x:v>If adverse weight is 0.5 and central weight 0.3, the mean becomes −USD0.6 m.</x:v>
      </x:c>
      <x:c r="D283" s="2" t="str">
        <x:v>Modelled outcome</x:v>
      </x:c>
      <x:c r="E283" s="2" t="str"/>
      <x:c r="F283" s="2" t="str">
        <x:v>A_EXAMPLE</x:v>
      </x:c>
      <x:c r="G283" s="2" t="str">
        <x:v>C-E15</x:v>
      </x:c>
    </x:row>
    <x:row r="284" ht="55" customHeight="1">
      <x:c r="A284" s="2" t="str">
        <x:v>CL-example-16-headline</x:v>
      </x:c>
      <x:c r="B284" s="2" t="n">
        <x:v>54</x:v>
      </x:c>
      <x:c r="C284" s="2" t="str">
        <x:v>Loss VaR80 USD4m; tail CVaR80 USD8m</x:v>
      </x:c>
      <x:c r="D284" s="2" t="str">
        <x:v>Modelled outcome</x:v>
      </x:c>
      <x:c r="E284" s="2" t="str">
        <x:v>CVAR</x:v>
      </x:c>
      <x:c r="F284" s="2" t="str">
        <x:v>A_EXAMPLE</x:v>
      </x:c>
      <x:c r="G284" s="2" t="str">
        <x:v>C-E16</x:v>
      </x:c>
    </x:row>
    <x:row r="285" ht="55" customHeight="1">
      <x:c r="A285" s="2" t="str">
        <x:v>CL-example-16-body1</x:v>
      </x:c>
      <x:c r="B285" s="2" t="n">
        <x:v>54</x:v>
      </x:c>
      <x:c r="C285" s="2" t="str">
        <x:v>Illustrative example—not Olam data</x:v>
      </x:c>
      <x:c r="D285" s="2" t="str">
        <x:v>Modelled outcome</x:v>
      </x:c>
      <x:c r="E285" s="2" t="str">
        <x:v>CVAR</x:v>
      </x:c>
      <x:c r="F285" s="2" t="str">
        <x:v>A_EXAMPLE</x:v>
      </x:c>
      <x:c r="G285" s="2" t="str">
        <x:v>C-E16</x:v>
      </x:c>
    </x:row>
    <x:row r="286" ht="55" customHeight="1">
      <x:c r="A286" s="2" t="str">
        <x:v>CL-example-16-body2</x:v>
      </x:c>
      <x:c r="B286" s="2" t="n">
        <x:v>54</x:v>
      </x:c>
      <x:c r="C286" s="2" t="str">
        <x:v>NPVs [−8, −4, 0, 2, 6] imply losses [0, 0, 0, 4, 8]. Nearest-rank VaR80 = 4; worst-20% CVaR80 = 8 (USDm).</x:v>
      </x:c>
      <x:c r="D286" s="2" t="str">
        <x:v>Modelled outcome</x:v>
      </x:c>
      <x:c r="E286" s="2" t="str">
        <x:v>CVAR</x:v>
      </x:c>
      <x:c r="F286" s="2" t="str">
        <x:v>A_EXAMPLE</x:v>
      </x:c>
      <x:c r="G286" s="2" t="str">
        <x:v>C-E16</x:v>
      </x:c>
    </x:row>
    <x:row r="287" ht="55" customHeight="1">
      <x:c r="A287" s="2" t="str">
        <x:v>CL-example-16-body3</x:v>
      </x:c>
      <x:c r="B287" s="2" t="n">
        <x:v>54</x:v>
      </x:c>
      <x:c r="C287" s="2" t="str">
        <x:v>Declare discrete tie treatment: mean(loss ≥ VaR) would be USD6 m here, a different convention.</x:v>
      </x:c>
      <x:c r="D287" s="2" t="str">
        <x:v>Modelled outcome</x:v>
      </x:c>
      <x:c r="E287" s="2" t="str">
        <x:v>CVAR</x:v>
      </x:c>
      <x:c r="F287" s="2" t="str">
        <x:v>A_EXAMPLE</x:v>
      </x:c>
      <x:c r="G287" s="2" t="str">
        <x:v>C-E16</x:v>
      </x:c>
    </x:row>
    <x:row r="288" ht="55" customHeight="1">
      <x:c r="A288" s="2" t="str">
        <x:v>CL-example-16-body4</x:v>
      </x:c>
      <x:c r="B288" s="2" t="n">
        <x:v>54</x:v>
      </x:c>
      <x:c r="C288" s="2" t="str">
        <x:v>Stress code uses mean(loss ≥ 95% quantile). Its chosen continuous generator has negligible ties.</x:v>
      </x:c>
      <x:c r="D288" s="2" t="str">
        <x:v>Modelled outcome</x:v>
      </x:c>
      <x:c r="E288" s="2" t="str">
        <x:v>CVAR</x:v>
      </x:c>
      <x:c r="F288" s="2" t="str">
        <x:v>A_EXAMPLE</x:v>
      </x:c>
      <x:c r="G288" s="2" t="str">
        <x:v>C-E16</x:v>
      </x:c>
    </x:row>
    <x:row r="289" ht="55" customHeight="1">
      <x:c r="A289" s="2" t="str">
        <x:v>CL-example-17-headline</x:v>
      </x:c>
      <x:c r="B289" s="2" t="n">
        <x:v>55</x:v>
      </x:c>
      <x:c r="C289" s="2" t="str">
        <x:v>Expected total loss USD4m in both; joint tail differs</x:v>
      </x:c>
      <x:c r="D289" s="2" t="str">
        <x:v>Modelled outcome</x:v>
      </x:c>
      <x:c r="E289" s="2" t="str"/>
      <x:c r="F289" s="2" t="str">
        <x:v>A_EXAMPLE</x:v>
      </x:c>
      <x:c r="G289" s="2" t="str">
        <x:v>C-E17</x:v>
      </x:c>
    </x:row>
    <x:row r="290" ht="55" customHeight="1">
      <x:c r="A290" s="2" t="str">
        <x:v>CL-example-17-body1</x:v>
      </x:c>
      <x:c r="B290" s="2" t="n">
        <x:v>55</x:v>
      </x:c>
      <x:c r="C290" s="2" t="str">
        <x:v>Illustrative example—not Olam data</x:v>
      </x:c>
      <x:c r="D290" s="2" t="str">
        <x:v>Modelled outcome</x:v>
      </x:c>
      <x:c r="E290" s="2" t="str"/>
      <x:c r="F290" s="2" t="str">
        <x:v>A_EXAMPLE</x:v>
      </x:c>
      <x:c r="G290" s="2" t="str">
        <x:v>C-E17</x:v>
      </x:c>
    </x:row>
    <x:row r="291" ht="55" customHeight="1">
      <x:c r="A291" s="2" t="str">
        <x:v>CL-example-17-body2</x:v>
      </x:c>
      <x:c r="B291" s="2" t="n">
        <x:v>55</x:v>
      </x:c>
      <x:c r="C291" s="2" t="str">
        <x:v>Each source loses USD10 m with chosen probability 0.2. A shared port produces joint loss USD20 m with probability 0.2; independent joint probability is 0.04.</x:v>
      </x:c>
      <x:c r="D291" s="2" t="str">
        <x:v>Modelled outcome</x:v>
      </x:c>
      <x:c r="E291" s="2" t="str"/>
      <x:c r="F291" s="2" t="str">
        <x:v>A_EXAMPLE</x:v>
      </x:c>
      <x:c r="G291" s="2" t="str">
        <x:v>C-E17</x:v>
      </x:c>
    </x:row>
    <x:row r="292" ht="55" customHeight="1">
      <x:c r="A292" s="2" t="str">
        <x:v>CL-example-17-body3</x:v>
      </x:c>
      <x:c r="B292" s="2" t="n">
        <x:v>55</x:v>
      </x:c>
      <x:c r="C292" s="2" t="str">
        <x:v>Chosen probabilities illustrate dependence. Country flags do not remove a shared crop season or port.</x:v>
      </x:c>
      <x:c r="D292" s="2" t="str">
        <x:v>Modelled outcome</x:v>
      </x:c>
      <x:c r="E292" s="2" t="str"/>
      <x:c r="F292" s="2" t="str">
        <x:v>A_EXAMPLE</x:v>
      </x:c>
      <x:c r="G292" s="2" t="str">
        <x:v>C-E17</x:v>
      </x:c>
    </x:row>
    <x:row r="293" ht="55" customHeight="1">
      <x:c r="A293" s="2" t="str">
        <x:v>CL-example-17-body4</x:v>
      </x:c>
      <x:c r="B293" s="2" t="n">
        <x:v>55</x:v>
      </x:c>
      <x:c r="C293" s="2" t="str">
        <x:v>A different basin without a different port can leave route exposure unchanged.</x:v>
      </x:c>
      <x:c r="D293" s="2" t="str">
        <x:v>Modelled outcome</x:v>
      </x:c>
      <x:c r="E293" s="2" t="str"/>
      <x:c r="F293" s="2" t="str">
        <x:v>A_EXAMPLE</x:v>
      </x:c>
      <x:c r="G293" s="2" t="str">
        <x:v>C-E17</x:v>
      </x:c>
    </x:row>
    <x:row r="294" ht="55" customHeight="1">
      <x:c r="A294" s="2" t="str">
        <x:v>CL-example-18-headline</x:v>
      </x:c>
      <x:c r="B294" s="2" t="n">
        <x:v>56</x:v>
      </x:c>
      <x:c r="C294" s="2" t="str">
        <x:v>20 illustrative incremental eligible sales units</x:v>
      </x:c>
      <x:c r="D294" s="2" t="str">
        <x:v>Modelled outcome</x:v>
      </x:c>
      <x:c r="E294" s="2" t="str">
        <x:v>DID</x:v>
      </x:c>
      <x:c r="F294" s="2" t="str">
        <x:v>A_EXAMPLE</x:v>
      </x:c>
      <x:c r="G294" s="2" t="str">
        <x:v>C-E18</x:v>
      </x:c>
    </x:row>
    <x:row r="295" ht="55" customHeight="1">
      <x:c r="A295" s="2" t="str">
        <x:v>CL-example-18-body1</x:v>
      </x:c>
      <x:c r="B295" s="2" t="n">
        <x:v>56</x:v>
      </x:c>
      <x:c r="C295" s="2" t="str">
        <x:v>Illustrative example—not Olam data</x:v>
      </x:c>
      <x:c r="D295" s="2" t="str">
        <x:v>Modelled outcome</x:v>
      </x:c>
      <x:c r="E295" s="2" t="str">
        <x:v>DID</x:v>
      </x:c>
      <x:c r="F295" s="2" t="str">
        <x:v>A_EXAMPLE</x:v>
      </x:c>
      <x:c r="G295" s="2" t="str">
        <x:v>C-E18</x:v>
      </x:c>
    </x:row>
    <x:row r="296" ht="55" customHeight="1">
      <x:c r="A296" s="2" t="str">
        <x:v>CL-example-18-body2</x:v>
      </x:c>
      <x:c r="B296" s="2" t="n">
        <x:v>56</x:v>
      </x:c>
      <x:c r="C296" s="2" t="str">
        <x:v>Treated sales: 100 → 130. Control: 100 → 110. DiD = (130 − 100) − (110 − 100) = 20.</x:v>
      </x:c>
      <x:c r="D296" s="2" t="str">
        <x:v>Modelled outcome</x:v>
      </x:c>
      <x:c r="E296" s="2" t="str">
        <x:v>DID</x:v>
      </x:c>
      <x:c r="F296" s="2" t="str">
        <x:v>A_EXAMPLE</x:v>
      </x:c>
      <x:c r="G296" s="2" t="str">
        <x:v>C-E18</x:v>
      </x:c>
    </x:row>
    <x:row r="297" ht="55" customHeight="1">
      <x:c r="A297" s="2" t="str">
        <x:v>CL-example-18-body3</x:v>
      </x:c>
      <x:c r="B297" s="2" t="n">
        <x:v>56</x:v>
      </x:c>
      <x:c r="C297" s="2" t="str">
        <x:v>Parallel trends and no material spillovers are required. Four chosen means cannot support an estimated interval.</x:v>
      </x:c>
      <x:c r="D297" s="2" t="str">
        <x:v>Modelled outcome</x:v>
      </x:c>
      <x:c r="E297" s="2" t="str">
        <x:v>DID</x:v>
      </x:c>
      <x:c r="F297" s="2" t="str">
        <x:v>A_EXAMPLE</x:v>
      </x:c>
      <x:c r="G297" s="2" t="str">
        <x:v>C-E18</x:v>
      </x:c>
    </x:row>
    <x:row r="298" ht="55" customHeight="1">
      <x:c r="A298" s="2" t="str">
        <x:v>CL-example-18-body4</x:v>
      </x:c>
      <x:c r="B298" s="2" t="n">
        <x:v>56</x:v>
      </x:c>
      <x:c r="C298" s="2" t="str">
        <x:v>At USD2 contribution/unit, gross incremental contribution is USD40 before service and pilot cost.</x:v>
      </x:c>
      <x:c r="D298" s="2" t="str">
        <x:v>Modelled outcome</x:v>
      </x:c>
      <x:c r="E298" s="2" t="str">
        <x:v>DID</x:v>
      </x:c>
      <x:c r="F298" s="2" t="str">
        <x:v>A_EXAMPLE</x:v>
      </x:c>
      <x:c r="G298" s="2" t="str">
        <x:v>C-E18</x:v>
      </x:c>
    </x:row>
    <x:row r="299" ht="55" customHeight="1">
      <x:c r="A299" s="2" t="str">
        <x:v>CL-example-19-headline</x:v>
      </x:c>
      <x:c r="B299" s="2" t="n">
        <x:v>57</x:v>
      </x:c>
      <x:c r="C299" s="2" t="str">
        <x:v>100% net ROMI; contribution/spend is 2.0 times</x:v>
      </x:c>
      <x:c r="D299" s="2" t="str">
        <x:v>Modelled outcome</x:v>
      </x:c>
      <x:c r="E299" s="2" t="str"/>
      <x:c r="F299" s="2" t="str">
        <x:v>A_EXAMPLE</x:v>
      </x:c>
      <x:c r="G299" s="2" t="str">
        <x:v>C-E19</x:v>
      </x:c>
    </x:row>
    <x:row r="300" ht="55" customHeight="1">
      <x:c r="A300" s="2" t="str">
        <x:v>CL-example-19-body1</x:v>
      </x:c>
      <x:c r="B300" s="2" t="n">
        <x:v>57</x:v>
      </x:c>
      <x:c r="C300" s="2" t="str">
        <x:v>Illustrative example—not Olam data</x:v>
      </x:c>
      <x:c r="D300" s="2" t="str">
        <x:v>Modelled outcome</x:v>
      </x:c>
      <x:c r="E300" s="2" t="str"/>
      <x:c r="F300" s="2" t="str">
        <x:v>A_EXAMPLE</x:v>
      </x:c>
      <x:c r="G300" s="2" t="str">
        <x:v>C-E19</x:v>
      </x:c>
    </x:row>
    <x:row r="301" ht="55" customHeight="1">
      <x:c r="A301" s="2" t="str">
        <x:v>CL-example-19-body2</x:v>
      </x:c>
      <x:c r="B301" s="2" t="n">
        <x:v>57</x:v>
      </x:c>
      <x:c r="C301" s="2" t="str">
        <x:v>Incremental contribution 120 − service 20 − trade 10 − cannibalisation 10 = 80. Marketing spend 40. Net ROMI = (80 − 40)/40 = 100%.</x:v>
      </x:c>
      <x:c r="D301" s="2" t="str">
        <x:v>Modelled outcome</x:v>
      </x:c>
      <x:c r="E301" s="2" t="str"/>
      <x:c r="F301" s="2" t="str">
        <x:v>A_EXAMPLE</x:v>
      </x:c>
      <x:c r="G301" s="2" t="str">
        <x:v>C-E19</x:v>
      </x:c>
    </x:row>
    <x:row r="302" ht="55" customHeight="1">
      <x:c r="A302" s="2" t="str">
        <x:v>CL-example-19-body3</x:v>
      </x:c>
      <x:c r="B302" s="2" t="n">
        <x:v>57</x:v>
      </x:c>
      <x:c r="C302" s="2" t="str">
        <x:v>All inputs are chosen currency-thousands. Use a paid-sales counterfactual and full incremental costs.</x:v>
      </x:c>
      <x:c r="D302" s="2" t="str">
        <x:v>Modelled outcome</x:v>
      </x:c>
      <x:c r="E302" s="2" t="str"/>
      <x:c r="F302" s="2" t="str">
        <x:v>A_EXAMPLE</x:v>
      </x:c>
      <x:c r="G302" s="2" t="str">
        <x:v>C-E19</x:v>
      </x:c>
    </x:row>
    <x:row r="303" ht="55" customHeight="1">
      <x:c r="A303" s="2" t="str">
        <x:v>CL-example-19-body4</x:v>
      </x:c>
      <x:c r="B303" s="2" t="n">
        <x:v>57</x:v>
      </x:c>
      <x:c r="C303" s="2" t="str">
        <x:v>If contribution after other costs is only 40, net ROMI is zero. Multi-year proposals need NPV.</x:v>
      </x:c>
      <x:c r="D303" s="2" t="str">
        <x:v>Modelled outcome</x:v>
      </x:c>
      <x:c r="E303" s="2" t="str"/>
      <x:c r="F303" s="2" t="str">
        <x:v>A_EXAMPLE</x:v>
      </x:c>
      <x:c r="G303" s="2" t="str">
        <x:v>C-E19</x:v>
      </x:c>
    </x:row>
    <x:row r="304" ht="55" customHeight="1">
      <x:c r="A304" s="2" t="str">
        <x:v>CL-example-20-headline</x:v>
      </x:c>
      <x:c r="B304" s="2" t="n">
        <x:v>58</x:v>
      </x:c>
      <x:c r="C304" s="2" t="str">
        <x:v>USD2.5m net perfect-information ceiling</x:v>
      </x:c>
      <x:c r="D304" s="2" t="str">
        <x:v>Modelled outcome</x:v>
      </x:c>
      <x:c r="E304" s="2" t="str"/>
      <x:c r="F304" s="2" t="str">
        <x:v>A_EXAMPLE</x:v>
      </x:c>
      <x:c r="G304" s="2" t="str">
        <x:v>C-E20</x:v>
      </x:c>
    </x:row>
    <x:row r="305" ht="55" customHeight="1">
      <x:c r="A305" s="2" t="str">
        <x:v>CL-example-20-body1</x:v>
      </x:c>
      <x:c r="B305" s="2" t="n">
        <x:v>58</x:v>
      </x:c>
      <x:c r="C305" s="2" t="str">
        <x:v>Illustrative example—not Olam data</x:v>
      </x:c>
      <x:c r="D305" s="2" t="str">
        <x:v>Modelled outcome</x:v>
      </x:c>
      <x:c r="E305" s="2" t="str"/>
      <x:c r="F305" s="2" t="str">
        <x:v>A_EXAMPLE</x:v>
      </x:c>
      <x:c r="G305" s="2" t="str">
        <x:v>C-E20</x:v>
      </x:c>
    </x:row>
    <x:row r="306" ht="55" customHeight="1">
      <x:c r="A306" s="2" t="str">
        <x:v>CL-example-20-body2</x:v>
      </x:c>
      <x:c r="B306" s="2" t="n">
        <x:v>58</x:v>
      </x:c>
      <x:c r="C306" s="2" t="str">
        <x:v>Good state p=0.5: investment NPV 10; bad state p=0.5: −8; wait 0. Best prior EV=1; perfect-information EV=5; less study 1 and delay 0.5 gives net gain 2.5.</x:v>
      </x:c>
      <x:c r="D306" s="2" t="str">
        <x:v>Modelled outcome</x:v>
      </x:c>
      <x:c r="E306" s="2" t="str"/>
      <x:c r="F306" s="2" t="str">
        <x:v>A_EXAMPLE</x:v>
      </x:c>
      <x:c r="G306" s="2" t="str">
        <x:v>C-E20</x:v>
      </x:c>
    </x:row>
    <x:row r="307" ht="55" customHeight="1">
      <x:c r="A307" s="2" t="str">
        <x:v>CL-example-20-body3</x:v>
      </x:c>
      <x:c r="B307" s="2" t="n">
        <x:v>58</x:v>
      </x:c>
      <x:c r="C307" s="2" t="str">
        <x:v>A perfect study is an upper bound. Do not add its benefit again to a policy that already includes learning.</x:v>
      </x:c>
      <x:c r="D307" s="2" t="str">
        <x:v>Modelled outcome</x:v>
      </x:c>
      <x:c r="E307" s="2" t="str"/>
      <x:c r="F307" s="2" t="str">
        <x:v>A_EXAMPLE</x:v>
      </x:c>
      <x:c r="G307" s="2" t="str">
        <x:v>C-E20</x:v>
      </x:c>
    </x:row>
    <x:row r="308" ht="55" customHeight="1">
      <x:c r="A308" s="2" t="str">
        <x:v>CL-example-20-body4</x:v>
      </x:c>
      <x:c r="B308" s="2" t="n">
        <x:v>58</x:v>
      </x:c>
      <x:c r="C308" s="2" t="str">
        <x:v>An imperfect pilot may be worth less than its cost; keep the wait option.</x:v>
      </x:c>
      <x:c r="D308" s="2" t="str">
        <x:v>Modelled outcome</x:v>
      </x:c>
      <x:c r="E308" s="2" t="str"/>
      <x:c r="F308" s="2" t="str">
        <x:v>A_EXAMPLE</x:v>
      </x:c>
      <x:c r="G308" s="2" t="str">
        <x:v>C-E20</x:v>
      </x:c>
    </x:row>
    <x:row r="309" ht="55" customHeight="1">
      <x:c r="A309" s="2" t="str">
        <x:v>CL-example-21-headline</x:v>
      </x:c>
      <x:c r="B309" s="2" t="n">
        <x:v>59</x:v>
      </x:c>
      <x:c r="C309" s="2" t="str">
        <x:v>About 4.86% more initial orders needed</x:v>
      </x:c>
      <x:c r="D309" s="2" t="str">
        <x:v>Modelled outcome</x:v>
      </x:c>
      <x:c r="E309" s="2" t="str"/>
      <x:c r="F309" s="2" t="str">
        <x:v>A_EXAMPLE</x:v>
      </x:c>
      <x:c r="G309" s="2" t="str">
        <x:v>C-E21</x:v>
      </x:c>
    </x:row>
    <x:row r="310" ht="55" customHeight="1">
      <x:c r="A310" s="2" t="str">
        <x:v>CL-example-21-body1</x:v>
      </x:c>
      <x:c r="B310" s="2" t="n">
        <x:v>59</x:v>
      </x:c>
      <x:c r="C310" s="2" t="str">
        <x:v>Illustrative example—not Olam data</x:v>
      </x:c>
      <x:c r="D310" s="2" t="str">
        <x:v>Modelled outcome</x:v>
      </x:c>
      <x:c r="E310" s="2" t="str"/>
      <x:c r="F310" s="2" t="str">
        <x:v>A_EXAMPLE</x:v>
      </x:c>
      <x:c r="G310" s="2" t="str">
        <x:v>C-E21</x:v>
      </x:c>
    </x:row>
    <x:row r="311" ht="55" customHeight="1">
      <x:c r="A311" s="2" t="str">
        <x:v>CL-example-21-body2</x:v>
      </x:c>
      <x:c r="B311" s="2" t="n">
        <x:v>59</x:v>
      </x:c>
      <x:c r="C311" s="2" t="str">
        <x:v>The managed owned template reaches zero NPV at 104,862 initial annual order tonnes. The current 100,000 t base needs 4.86% more initial orders.</x:v>
      </x:c>
      <x:c r="D311" s="2" t="str">
        <x:v>Modelled outcome</x:v>
      </x:c>
      <x:c r="E311" s="2" t="str"/>
      <x:c r="F311" s="2" t="str">
        <x:v>A_EXAMPLE</x:v>
      </x:c>
      <x:c r="G311" s="2" t="str">
        <x:v>C-E21</x:v>
      </x:c>
    </x:row>
    <x:row r="312" ht="55" customHeight="1">
      <x:c r="A312" s="2" t="str">
        <x:v>CL-example-21-body3</x:v>
      </x:c>
      <x:c r="B312" s="2" t="n">
        <x:v>59</x:v>
      </x:c>
      <x:c r="C312" s="2" t="str">
        <x:v>The threshold depends on cost, hurdle, tax and capacity; volume cannot repair a negative unit contribution.</x:v>
      </x:c>
      <x:c r="D312" s="2" t="str">
        <x:v>Modelled outcome</x:v>
      </x:c>
      <x:c r="E312" s="2" t="str"/>
      <x:c r="F312" s="2" t="str">
        <x:v>A_EXAMPLE</x:v>
      </x:c>
      <x:c r="G312" s="2" t="str">
        <x:v>C-E21</x:v>
      </x:c>
    </x:row>
    <x:row r="313" ht="55" customHeight="1">
      <x:c r="A313" s="2" t="str">
        <x:v>CL-example-21-body4</x:v>
      </x:c>
      <x:c r="B313" s="2" t="n">
        <x:v>59</x:v>
      </x:c>
      <x:c r="C313" s="2" t="str">
        <x:v>Cost, FX or commissioning shocks shift the boundary. Monitor orders together with cash.</x:v>
      </x:c>
      <x:c r="D313" s="2" t="str">
        <x:v>Modelled outcome</x:v>
      </x:c>
      <x:c r="E313" s="2" t="str"/>
      <x:c r="F313" s="2" t="str">
        <x:v>A_EXAMPLE</x:v>
      </x:c>
      <x:c r="G313" s="2" t="str">
        <x:v>C-E21</x:v>
      </x:c>
    </x:row>
    <x:row r="314" ht="55" customHeight="1">
      <x:c r="A314" s="2" t="str">
        <x:v>CL-example-22-headline</x:v>
      </x:c>
      <x:c r="B314" s="2" t="n">
        <x:v>60</x:v>
      </x:c>
      <x:c r="C314" s="2" t="str">
        <x:v>B has 3 times EBITDA despite half the category size</x:v>
      </x:c>
      <x:c r="D314" s="2" t="str">
        <x:v>Modelled outcome</x:v>
      </x:c>
      <x:c r="E314" s="2" t="str"/>
      <x:c r="F314" s="2" t="str">
        <x:v>A_EXAMPLE</x:v>
      </x:c>
      <x:c r="G314" s="2" t="str">
        <x:v>C-E22</x:v>
      </x:c>
    </x:row>
    <x:row r="315" ht="55" customHeight="1">
      <x:c r="A315" s="2" t="str">
        <x:v>CL-example-22-body1</x:v>
      </x:c>
      <x:c r="B315" s="2" t="n">
        <x:v>60</x:v>
      </x:c>
      <x:c r="C315" s="2" t="str">
        <x:v>Illustrative example—not Olam data</x:v>
      </x:c>
      <x:c r="D315" s="2" t="str">
        <x:v>Modelled outcome</x:v>
      </x:c>
      <x:c r="E315" s="2" t="str"/>
      <x:c r="F315" s="2" t="str">
        <x:v>A_EXAMPLE</x:v>
      </x:c>
      <x:c r="G315" s="2" t="str">
        <x:v>C-E22</x:v>
      </x:c>
    </x:row>
    <x:row r="316" ht="55" customHeight="1">
      <x:c r="A316" s="2" t="str">
        <x:v>CL-example-22-body2</x:v>
      </x:c>
      <x:c r="B316" s="2" t="n">
        <x:v>60</x:v>
      </x:c>
      <x:c r="C316" s="2" t="str">
        <x:v>Country A: demand 200 kt, capture 50 kt, unit contribution USD20, fixed USD0.7 m → EBITDA USD0.3 m. B: demand 100 kt, capture 40 kt, contribution USD40 → USD0.9 m.</x:v>
      </x:c>
      <x:c r="D316" s="2" t="str">
        <x:v>Modelled outcome</x:v>
      </x:c>
      <x:c r="E316" s="2" t="str"/>
      <x:c r="F316" s="2" t="str">
        <x:v>A_EXAMPLE</x:v>
      </x:c>
      <x:c r="G316" s="2" t="str">
        <x:v>C-E22</x:v>
      </x:c>
    </x:row>
    <x:row r="317" ht="55" customHeight="1">
      <x:c r="A317" s="2" t="str">
        <x:v>CL-example-22-body3</x:v>
      </x:c>
      <x:c r="B317" s="2" t="n">
        <x:v>60</x:v>
      </x:c>
      <x:c r="C317" s="2" t="str">
        <x:v>A and B are fictional teaching cases. Chosen capex USD5 m vs USD2 m and NWC USD2 m vs USD0.5 m further favour testing B.</x:v>
      </x:c>
      <x:c r="D317" s="2" t="str">
        <x:v>Modelled outcome</x:v>
      </x:c>
      <x:c r="E317" s="2" t="str"/>
      <x:c r="F317" s="2" t="str">
        <x:v>A_EXAMPLE</x:v>
      </x:c>
      <x:c r="G317" s="2" t="str">
        <x:v>C-E22</x:v>
      </x:c>
    </x:row>
    <x:row r="318" ht="55" customHeight="1">
      <x:c r="A318" s="2" t="str">
        <x:v>CL-example-22-body4</x:v>
      </x:c>
      <x:c r="B318" s="2" t="n">
        <x:v>60</x:v>
      </x:c>
      <x:c r="C318" s="2" t="str">
        <x:v>Before capital differences, A overtakes B above 80 kt captured at USD20/t while B stays at 40 kt.</x:v>
      </x:c>
      <x:c r="D318" s="2" t="str">
        <x:v>Modelled outcome</x:v>
      </x:c>
      <x:c r="E318" s="2" t="str"/>
      <x:c r="F318" s="2" t="str">
        <x:v>A_EXAMPLE</x:v>
      </x:c>
      <x:c r="G318" s="2" t="str">
        <x:v>C-E22</x:v>
      </x:c>
    </x:row>
    <x:row r="319" ht="55" customHeight="1">
      <x:c r="A319" s="2" t="str">
        <x:v>CL-data-dictionary-headline</x:v>
      </x:c>
      <x:c r="B319" s="2" t="n">
        <x:v>61</x:v>
      </x:c>
      <x:c r="C319" s="2" t="str">
        <x:v>Missing observations remain unknown; identifiers and vintages are retained.</x:v>
      </x:c>
      <x:c r="D319" s="2" t="str">
        <x:v>Expert judgement</x:v>
      </x:c>
      <x:c r="E319" s="2" t="str">
        <x:v>UN_M49;UN_WPP</x:v>
      </x:c>
      <x:c r="F319" s="2" t="str"/>
      <x:c r="G319" s="2" t="str"/>
    </x:row>
    <x:row r="320" ht="55" customHeight="1">
      <x:c r="A320" s="2" t="str">
        <x:v>CL-data-dictionary-body1</x:v>
      </x:c>
      <x:c r="B320" s="2" t="n">
        <x:v>61</x:v>
      </x:c>
      <x:c r="C320" s="2" t="str">
        <x:v>Join UN M49 identifiers to WDI by ISO3 and year; observers are VAT and PSE. Territories have a separate annex.</x:v>
      </x:c>
      <x:c r="D320" s="2" t="str">
        <x:v>Expert judgement</x:v>
      </x:c>
      <x:c r="E320" s="2" t="str">
        <x:v>UN_M49;UN_WPP</x:v>
      </x:c>
      <x:c r="F320" s="2" t="str"/>
      <x:c r="G320" s="2" t="str"/>
    </x:row>
    <x:row r="321" ht="55" customHeight="1">
      <x:c r="A321" s="2" t="str">
        <x:v>CL-data-dictionary-body2</x:v>
      </x:c>
      <x:c r="B321" s="2" t="n">
        <x:v>61</x:v>
      </x:c>
      <x:c r="C321" s="2" t="str">
        <x:v>Convert WPP population from thousands to persons. A broad food-import proxy uses food share and merchandise imports from the same year.</x:v>
      </x:c>
      <x:c r="D321" s="2" t="str">
        <x:v>Expert judgement</x:v>
      </x:c>
      <x:c r="E321" s="2" t="str">
        <x:v>UN_M49;UN_WPP</x:v>
      </x:c>
      <x:c r="F321" s="2" t="str"/>
      <x:c r="G321" s="2" t="str"/>
    </x:row>
    <x:row r="322" ht="55" customHeight="1">
      <x:c r="A322" s="2" t="str">
        <x:v>CL-data-dictionary-body3</x:v>
      </x:c>
      <x:c r="B322" s="2" t="n">
        <x:v>61</x:v>
      </x:c>
      <x:c r="C322" s="2" t="str">
        <x:v>Food production is a supply index; real PPP income, urban share and water stress are dated observations, not customer demand.</x:v>
      </x:c>
      <x:c r="D322" s="2" t="str">
        <x:v>Expert judgement</x:v>
      </x:c>
      <x:c r="E322" s="2" t="str">
        <x:v>UN_M49;UN_WPP</x:v>
      </x:c>
      <x:c r="F322" s="2" t="str"/>
      <x:c r="G322" s="2" t="str"/>
    </x:row>
    <x:row r="323" ht="55" customHeight="1">
      <x:c r="A323" s="2" t="str">
        <x:v>CL-data-dictionary-body4</x:v>
      </x:c>
      <x:c r="B323" s="2" t="n">
        <x:v>61</x:v>
      </x:c>
      <x:c r="C323" s="2" t="str">
        <x:v>Complete-case regression uses no imputation. Macro availability does not establish candidate feasibility.</x:v>
      </x:c>
      <x:c r="D323" s="2" t="str">
        <x:v>Expert judgement</x:v>
      </x:c>
      <x:c r="E323" s="2" t="str">
        <x:v>UN_M49;UN_WPP</x:v>
      </x:c>
      <x:c r="F323" s="2" t="str"/>
      <x:c r="G323" s="2" t="str"/>
    </x:row>
    <x:row r="324" ht="55" customHeight="1">
      <x:c r="A324" s="2" t="str">
        <x:v>CL-demand-trade-methods-headline</x:v>
      </x:c>
      <x:c r="B324" s="2" t="n">
        <x:v>62</x:v>
      </x:c>
      <x:c r="C324" s="2" t="str">
        <x:v>Implemented descriptive supply benchmark; product demand and trade models await data.</x:v>
      </x:c>
      <x:c r="D324" s="2" t="str">
        <x:v>Expert judgement</x:v>
      </x:c>
      <x:c r="E324" s="2" t="str">
        <x:v>OECD_METHOD</x:v>
      </x:c>
      <x:c r="F324" s="2" t="str"/>
      <x:c r="G324" s="2" t="str"/>
    </x:row>
    <x:row r="325" ht="55" customHeight="1">
      <x:c r="A325" s="2" t="str">
        <x:v>CL-demand-trade-methods-body1</x:v>
      </x:c>
      <x:c r="B325" s="2" t="n">
        <x:v>62</x:v>
      </x:c>
      <x:c r="C325" s="2" t="str">
        <x:v>Demand begins with population and per-person quantity by segment; accessible customers, capture and delivery then bound sales.</x:v>
      </x:c>
      <x:c r="D325" s="2" t="str">
        <x:v>Expert judgement</x:v>
      </x:c>
      <x:c r="E325" s="2" t="str">
        <x:v>OECD_METHOD</x:v>
      </x:c>
      <x:c r="F325" s="2" t="str"/>
      <x:c r="G325" s="2" t="str"/>
    </x:row>
    <x:row r="326" ht="55" customHeight="1">
      <x:c r="A326" s="2" t="str">
        <x:v>CL-demand-trade-methods-body2</x:v>
      </x:c>
      <x:c r="B326" s="2" t="n">
        <x:v>62</x:v>
      </x:c>
      <x:c r="C326" s="2" t="str">
        <x:v>AIDS/QUAIDS and discrete-choice models need observed spending, prices and identification. No imported elasticity is used.</x:v>
      </x:c>
      <x:c r="D326" s="2" t="str">
        <x:v>Expert judgement</x:v>
      </x:c>
      <x:c r="E326" s="2" t="str">
        <x:v>OECD_METHOD</x:v>
      </x:c>
      <x:c r="F326" s="2" t="str"/>
      <x:c r="G326" s="2" t="str"/>
    </x:row>
    <x:row r="327" ht="55" customHeight="1">
      <x:c r="A327" s="2" t="str">
        <x:v>CL-demand-trade-methods-body3</x:v>
      </x:c>
      <x:c r="B327" s="2" t="n">
        <x:v>62</x:v>
      </x:c>
      <x:c r="C327" s="2" t="str">
        <x:v>A PPML gravity module would need bilateral product flows, fixed effects and barrier data. No fitted gravity result is claimed.</x:v>
      </x:c>
      <x:c r="D327" s="2" t="str">
        <x:v>Expert judgement</x:v>
      </x:c>
      <x:c r="E327" s="2" t="str">
        <x:v>OECD_METHOD</x:v>
      </x:c>
      <x:c r="F327" s="2" t="str"/>
      <x:c r="G327" s="2" t="str"/>
    </x:row>
    <x:row r="328" ht="55" customHeight="1">
      <x:c r="A328" s="2" t="str">
        <x:v>CL-demand-trade-methods-body4</x:v>
      </x:c>
      <x:c r="B328" s="2" t="n">
        <x:v>62</x:v>
      </x:c>
      <x:c r="C328" s="2" t="str">
        <x:v>Aglink-Cosimo is an institutional benchmark. Its official projection is not extended mechanically to 2051.</x:v>
      </x:c>
      <x:c r="D328" s="2" t="str">
        <x:v>Expert judgement</x:v>
      </x:c>
      <x:c r="E328" s="2" t="str">
        <x:v>OECD_METHOD</x:v>
      </x:c>
      <x:c r="F328" s="2" t="str"/>
      <x:c r="G328" s="2" t="str"/>
    </x:row>
    <x:row r="329" ht="55" customHeight="1">
      <x:c r="A329" s="2" t="str">
        <x:v>CL-climate-methods-headline</x:v>
      </x:c>
      <x:c r="B329" s="2" t="n">
        <x:v>63</x:v>
      </x:c>
      <x:c r="C329" s="2" t="str">
        <x:v>Do not turn a global warming number into a plant or crop loss coefficient.</x:v>
      </x:c>
      <x:c r="D329" s="2" t="str">
        <x:v>Expert judgement</x:v>
      </x:c>
      <x:c r="E329" s="2" t="str">
        <x:v>IPCC;WMO</x:v>
      </x:c>
      <x:c r="F329" s="2" t="str"/>
      <x:c r="G329" s="2" t="str"/>
    </x:row>
    <x:row r="330" ht="55" customHeight="1">
      <x:c r="A330" s="2" t="str">
        <x:v>CL-climate-methods-body1</x:v>
      </x:c>
      <x:c r="B330" s="2" t="n">
        <x:v>63</x:v>
      </x:c>
      <x:c r="C330" s="2" t="str">
        <x:v>A crop panel would link calendar-specific weather and basin conditions to yields, with fixed effects and validated nonlinear responses.</x:v>
      </x:c>
      <x:c r="D330" s="2" t="str">
        <x:v>Expert judgement</x:v>
      </x:c>
      <x:c r="E330" s="2" t="str">
        <x:v>IPCC;WMO</x:v>
      </x:c>
      <x:c r="F330" s="2" t="str"/>
      <x:c r="G330" s="2" t="str"/>
    </x:row>
    <x:row r="331" ht="55" customHeight="1">
      <x:c r="A331" s="2" t="str">
        <x:v>CL-climate-methods-body2</x:v>
      </x:c>
      <x:c r="B331" s="2" t="n">
        <x:v>63</x:v>
      </x:c>
      <x:c r="C331" s="2" t="str">
        <x:v>Convert fitted yield or downtime into saleable volume, procurement cost and stock days; price adaptation explicitly.</x:v>
      </x:c>
      <x:c r="D331" s="2" t="str">
        <x:v>Expert judgement</x:v>
      </x:c>
      <x:c r="E331" s="2" t="str">
        <x:v>IPCC;WMO</x:v>
      </x:c>
      <x:c r="F331" s="2" t="str"/>
      <x:c r="G331" s="2" t="str"/>
    </x:row>
    <x:row r="332" ht="55" customHeight="1">
      <x:c r="A332" s="2" t="str">
        <x:v>CL-climate-methods-body3</x:v>
      </x:c>
      <x:c r="B332" s="2" t="n">
        <x:v>63</x:v>
      </x:c>
      <x:c r="C332" s="2" t="str">
        <x:v>Traceability and standards affect access and compliance cost. Include a premium only when buyers pay it.</x:v>
      </x:c>
      <x:c r="D332" s="2" t="str">
        <x:v>Expert judgement</x:v>
      </x:c>
      <x:c r="E332" s="2" t="str">
        <x:v>IPCC;WMO</x:v>
      </x:c>
      <x:c r="F332" s="2" t="str"/>
      <x:c r="G332" s="2" t="str"/>
    </x:row>
    <x:row r="333" ht="55" customHeight="1">
      <x:c r="A333" s="2" t="str">
        <x:v>CL-climate-methods-body4</x:v>
      </x:c>
      <x:c r="B333" s="2" t="n">
        <x:v>63</x:v>
      </x:c>
      <x:c r="C333" s="2" t="str">
        <x:v>Asset coordinates, hazards and measured adaptation effects are unavailable; financial damage outputs remain conditional.</x:v>
      </x:c>
      <x:c r="D333" s="2" t="str">
        <x:v>Expert judgement</x:v>
      </x:c>
      <x:c r="E333" s="2" t="str">
        <x:v>IPCC;WMO</x:v>
      </x:c>
      <x:c r="F333" s="2" t="str"/>
      <x:c r="G333" s="2" t="str"/>
    </x:row>
    <x:row r="334" ht="55" customHeight="1">
      <x:c r="A334" s="2" t="str">
        <x:v>CL-equations-headline</x:v>
      </x:c>
      <x:c r="B334" s="2" t="n">
        <x:v>64</x:v>
      </x:c>
      <x:c r="C334" s="2" t="str">
        <x:v>Reconcile quantities and cash before computing returns.</x:v>
      </x:c>
      <x:c r="D334" s="2" t="str">
        <x:v>Expert judgement</x:v>
      </x:c>
      <x:c r="E334" s="2" t="str"/>
      <x:c r="F334" s="2" t="str">
        <x:v>A_TEMPLATE</x:v>
      </x:c>
      <x:c r="G334" s="2" t="str"/>
    </x:row>
    <x:row r="335" ht="55" customHeight="1">
      <x:c r="A335" s="2" t="str">
        <x:v>CL-equations-body1</x:v>
      </x:c>
      <x:c r="B335" s="2" t="n">
        <x:v>64</x:v>
      </x:c>
      <x:c r="C335" s="2" t="str">
        <x:v>Delivered volume = min(eligible orders, usable capacity, route capacity). Revenue = delivered volume × net price.</x:v>
      </x:c>
      <x:c r="D335" s="2" t="str">
        <x:v>Expert judgement</x:v>
      </x:c>
      <x:c r="E335" s="2" t="str"/>
      <x:c r="F335" s="2" t="str">
        <x:v>A_TEMPLATE</x:v>
      </x:c>
      <x:c r="G335" s="2" t="str"/>
    </x:row>
    <x:row r="336" ht="55" customHeight="1">
      <x:c r="A336" s="2" t="str">
        <x:v>CL-equations-body2</x:v>
      </x:c>
      <x:c r="B336" s="2" t="n">
        <x:v>64</x:v>
      </x:c>
      <x:c r="C336" s="2" t="str">
        <x:v>EBITDA = volume × (price − variable cost per unit) − fixed cash cost. EBIT = EBITDA − D&amp;A.</x:v>
      </x:c>
      <x:c r="D336" s="2" t="str">
        <x:v>Expert judgement</x:v>
      </x:c>
      <x:c r="E336" s="2" t="str"/>
      <x:c r="F336" s="2" t="str">
        <x:v>A_TEMPLATE</x:v>
      </x:c>
      <x:c r="G336" s="2" t="str"/>
    </x:row>
    <x:row r="337" ht="55" customHeight="1">
      <x:c r="A337" s="2" t="str">
        <x:v>CL-equations-body3</x:v>
      </x:c>
      <x:c r="B337" s="2" t="n">
        <x:v>64</x:v>
      </x:c>
      <x:c r="C337" s="2" t="str">
        <x:v>NWC = credit revenue × DSO/365 + inventory cost × DIO/365 − eligible purchases × DPO/365.</x:v>
      </x:c>
      <x:c r="D337" s="2" t="str">
        <x:v>Expert judgement</x:v>
      </x:c>
      <x:c r="E337" s="2" t="str"/>
      <x:c r="F337" s="2" t="str">
        <x:v>A_TEMPLATE</x:v>
      </x:c>
      <x:c r="G337" s="2" t="str"/>
    </x:row>
    <x:row r="338" ht="55" customHeight="1">
      <x:c r="A338" s="2" t="str">
        <x:v>CL-equations-body4</x:v>
      </x:c>
      <x:c r="B338" s="2" t="n">
        <x:v>64</x:v>
      </x:c>
      <x:c r="C338" s="2" t="str">
        <x:v>FCFF = EBIT − cash tax + D&amp;A − capex − change in NWC + closeout. NPV discounts all incremental cash.</x:v>
      </x:c>
      <x:c r="D338" s="2" t="str">
        <x:v>Expert judgement</x:v>
      </x:c>
      <x:c r="E338" s="2" t="str"/>
      <x:c r="F338" s="2" t="str">
        <x:v>A_TEMPLATE</x:v>
      </x:c>
      <x:c r="G338" s="2" t="str"/>
    </x:row>
    <x:row r="339" ht="55" customHeight="1">
      <x:c r="A339" s="2" t="str">
        <x:v>CL-math-methods-headline</x:v>
      </x:c>
      <x:c r="B339" s="2" t="n">
        <x:v>65</x:v>
      </x:c>
      <x:c r="C339" s="2" t="str">
        <x:v>Use the smallest method that answers the question and validates on relevant data.</x:v>
      </x:c>
      <x:c r="D339" s="2" t="str">
        <x:v>Expert judgement</x:v>
      </x:c>
      <x:c r="E339" s="2" t="str">
        <x:v>CVAR</x:v>
      </x:c>
      <x:c r="F339" s="2" t="str"/>
      <x:c r="G339" s="2" t="str"/>
    </x:row>
    <x:row r="340" ht="55" customHeight="1">
      <x:c r="A340" s="2" t="str">
        <x:v>CL-math-methods-body1</x:v>
      </x:c>
      <x:c r="B340" s="2" t="n">
        <x:v>65</x:v>
      </x:c>
      <x:c r="C340" s="2" t="str">
        <x:v>Linear algebra supports regression and dependence; uncertainty requires an appropriate error structure.</x:v>
      </x:c>
      <x:c r="D340" s="2" t="str">
        <x:v>Expert judgement</x:v>
      </x:c>
      <x:c r="E340" s="2" t="str">
        <x:v>CVAR</x:v>
      </x:c>
      <x:c r="F340" s="2" t="str"/>
      <x:c r="G340" s="2" t="str"/>
    </x:row>
    <x:row r="341" ht="55" customHeight="1">
      <x:c r="A341" s="2" t="str">
        <x:v>CL-math-methods-body2</x:v>
      </x:c>
      <x:c r="B341" s="2" t="n">
        <x:v>65</x:v>
      </x:c>
      <x:c r="C341" s="2" t="str">
        <x:v>Calculus and root finding locate margin and NPV thresholds. Capacity breakpoints can invalidate smooth derivatives.</x:v>
      </x:c>
      <x:c r="D341" s="2" t="str">
        <x:v>Expert judgement</x:v>
      </x:c>
      <x:c r="E341" s="2" t="str">
        <x:v>CVAR</x:v>
      </x:c>
      <x:c r="F341" s="2" t="str"/>
      <x:c r="G341" s="2" t="str"/>
    </x:row>
    <x:row r="342" ht="55" customHeight="1">
      <x:c r="A342" s="2" t="str">
        <x:v>CL-math-methods-body3</x:v>
      </x:c>
      <x:c r="B342" s="2" t="n">
        <x:v>65</x:v>
      </x:c>
      <x:c r="C342" s="2" t="str">
        <x:v>Network flow connects origin, port and customer constraints. Inventory and queues need lead-time and service data.</x:v>
      </x:c>
      <x:c r="D342" s="2" t="str">
        <x:v>Expert judgement</x:v>
      </x:c>
      <x:c r="E342" s="2" t="str">
        <x:v>CVAR</x:v>
      </x:c>
      <x:c r="F342" s="2" t="str"/>
      <x:c r="G342" s="2" t="str"/>
    </x:row>
    <x:row r="343" ht="55" customHeight="1">
      <x:c r="A343" s="2" t="str">
        <x:v>CL-math-methods-body4</x:v>
      </x:c>
      <x:c r="B343" s="2" t="n">
        <x:v>65</x:v>
      </x:c>
      <x:c r="C343" s="2" t="str">
        <x:v>Optimization, dynamic programming and Bayes structure actions and learning. Priors and transitions need evidence.</x:v>
      </x:c>
      <x:c r="D343" s="2" t="str">
        <x:v>Expert judgement</x:v>
      </x:c>
      <x:c r="E343" s="2" t="str">
        <x:v>CVAR</x:v>
      </x:c>
      <x:c r="F343" s="2" t="str"/>
      <x:c r="G343" s="2" t="str"/>
    </x:row>
    <x:row r="344" ht="55" customHeight="1">
      <x:c r="A344" s="2" t="str">
        <x:v>CL-ols-estimates-headline</x:v>
      </x:c>
      <x:c r="B344" s="2" t="n">
        <x:v>66</x:v>
      </x:c>
      <x:c r="C344" s="2" t="str">
        <x:v>No coefficient here is a country demand elasticity.</x:v>
      </x:c>
      <x:c r="D344" s="2" t="str">
        <x:v>Estimated model parameter</x:v>
      </x:c>
      <x:c r="E344" s="2" t="str">
        <x:v>WB_food_index;WB_income_ppp;WB_urban;WB_cereal_yield</x:v>
      </x:c>
      <x:c r="F344" s="2" t="str"/>
      <x:c r="G344" s="2" t="str">
        <x:v>C-OLS</x:v>
      </x:c>
    </x:row>
    <x:row r="345" ht="55" customHeight="1">
      <x:c r="A345" s="2" t="str">
        <x:v>CL-ols-estimates-table_row1</x:v>
      </x:c>
      <x:c r="B345" s="2" t="n">
        <x:v>66</x:v>
      </x:c>
      <x:c r="C345" s="2" t="str">
        <x:v>Intercept | 0.01852 | 0.00231 | 0.01398 to 0.02305</x:v>
      </x:c>
      <x:c r="D345" s="2" t="str">
        <x:v>Estimated model parameter</x:v>
      </x:c>
      <x:c r="E345" s="2" t="str">
        <x:v>WB_food_index;WB_income_ppp;WB_urban;WB_cereal_yield</x:v>
      </x:c>
      <x:c r="F345" s="2" t="str"/>
      <x:c r="G345" s="2" t="str">
        <x:v>C-OLS</x:v>
      </x:c>
    </x:row>
    <x:row r="346" ht="55" customHeight="1">
      <x:c r="A346" s="2" t="str">
        <x:v>CL-ols-estimates-table_row2</x:v>
      </x:c>
      <x:c r="B346" s="2" t="n">
        <x:v>66</x:v>
      </x:c>
      <x:c r="C346" s="2" t="str">
        <x:v>g_income_ppp | 0.06197 | 0.03750 | -0.01153 to 0.13546</x:v>
      </x:c>
      <x:c r="D346" s="2" t="str">
        <x:v>Estimated model parameter</x:v>
      </x:c>
      <x:c r="E346" s="2" t="str">
        <x:v>WB_food_index;WB_income_ppp;WB_urban;WB_cereal_yield</x:v>
      </x:c>
      <x:c r="F346" s="2" t="str"/>
      <x:c r="G346" s="2" t="str">
        <x:v>C-OLS</x:v>
      </x:c>
    </x:row>
    <x:row r="347" ht="55" customHeight="1">
      <x:c r="A347" s="2" t="str">
        <x:v>CL-ols-estimates-table_row3</x:v>
      </x:c>
      <x:c r="B347" s="2" t="n">
        <x:v>66</x:v>
      </x:c>
      <x:c r="C347" s="2" t="str">
        <x:v>du | 0.19450 | 0.40929 | -0.60770 to 0.99670</x:v>
      </x:c>
      <x:c r="D347" s="2" t="str">
        <x:v>Estimated model parameter</x:v>
      </x:c>
      <x:c r="E347" s="2" t="str">
        <x:v>WB_food_index;WB_income_ppp;WB_urban;WB_cereal_yield</x:v>
      </x:c>
      <x:c r="F347" s="2" t="str"/>
      <x:c r="G347" s="2" t="str">
        <x:v>C-OLS</x:v>
      </x:c>
    </x:row>
    <x:row r="348" ht="55" customHeight="1">
      <x:c r="A348" s="2" t="str">
        <x:v>CL-ols-estimates-table_row4</x:v>
      </x:c>
      <x:c r="B348" s="2" t="n">
        <x:v>66</x:v>
      </x:c>
      <x:c r="C348" s="2" t="str">
        <x:v>g_cereal_yield | -0.02331 | 0.01987 | -0.06226 to 0.01563</x:v>
      </x:c>
      <x:c r="D348" s="2" t="str">
        <x:v>Estimated model parameter</x:v>
      </x:c>
      <x:c r="E348" s="2" t="str">
        <x:v>WB_food_index;WB_income_ppp;WB_urban;WB_cereal_yield</x:v>
      </x:c>
      <x:c r="F348" s="2" t="str"/>
      <x:c r="G348" s="2" t="str">
        <x:v>C-OLS</x:v>
      </x:c>
    </x:row>
    <x:row r="349" ht="55" customHeight="1">
      <x:c r="A349" s="2" t="str">
        <x:v>CL-validation-transfer-headline</x:v>
      </x:c>
      <x:c r="B349" s="2" t="n">
        <x:v>67</x:v>
      </x:c>
      <x:c r="C349" s="2" t="str">
        <x:v>Temporal improvement is small; geographic transfer is uneven.</x:v>
      </x:c>
      <x:c r="D349" s="2" t="str">
        <x:v>Modelled outcome</x:v>
      </x:c>
      <x:c r="E349" s="2" t="str">
        <x:v>WB_food_index</x:v>
      </x:c>
      <x:c r="F349" s="2" t="str"/>
      <x:c r="G349" s="2" t="str">
        <x:v>C-OLS</x:v>
      </x:c>
    </x:row>
    <x:row r="350" ht="55" customHeight="1">
      <x:c r="A350" s="2" t="str">
        <x:v>CL-validation-transfer-body1</x:v>
      </x:c>
      <x:c r="B350" s="2" t="n">
        <x:v>67</x:v>
      </x:c>
      <x:c r="C350" s="2" t="str">
        <x:v>Latest-vintage temporal validation is retrospective. The small error gain and uneven geographic transfer do not justify investment forecasting.</x:v>
      </x:c>
      <x:c r="D350" s="2" t="str">
        <x:v>Modelled outcome</x:v>
      </x:c>
      <x:c r="E350" s="2" t="str">
        <x:v>WB_food_index</x:v>
      </x:c>
      <x:c r="F350" s="2" t="str"/>
      <x:c r="G350" s="2" t="str">
        <x:v>C-OLS</x:v>
      </x:c>
    </x:row>
    <x:row r="351" ht="55" customHeight="1">
      <x:c r="A351" s="2" t="str">
        <x:v>CL-validation-transfer-table_row1</x:v>
      </x:c>
      <x:c r="B351" s="2" t="n">
        <x:v>67</x:v>
      </x:c>
      <x:c r="C351" s="2" t="str">
        <x:v>Asia | 0.04888 | 0.04863</x:v>
      </x:c>
      <x:c r="D351" s="2" t="str">
        <x:v>Modelled outcome</x:v>
      </x:c>
      <x:c r="E351" s="2" t="str">
        <x:v>WB_food_index</x:v>
      </x:c>
      <x:c r="F351" s="2" t="str"/>
      <x:c r="G351" s="2" t="str">
        <x:v>C-OLS</x:v>
      </x:c>
    </x:row>
    <x:row r="352" ht="55" customHeight="1">
      <x:c r="A352" s="2" t="str">
        <x:v>CL-validation-transfer-table_row2</x:v>
      </x:c>
      <x:c r="B352" s="2" t="n">
        <x:v>67</x:v>
      </x:c>
      <x:c r="C352" s="2" t="str">
        <x:v>Africa | 0.04444 | 0.04118</x:v>
      </x:c>
      <x:c r="D352" s="2" t="str">
        <x:v>Modelled outcome</x:v>
      </x:c>
      <x:c r="E352" s="2" t="str">
        <x:v>WB_food_index</x:v>
      </x:c>
      <x:c r="F352" s="2" t="str"/>
      <x:c r="G352" s="2" t="str">
        <x:v>C-OLS</x:v>
      </x:c>
    </x:row>
    <x:row r="353" ht="55" customHeight="1">
      <x:c r="A353" s="2" t="str">
        <x:v>CL-validation-transfer-table_row3</x:v>
      </x:c>
      <x:c r="B353" s="2" t="n">
        <x:v>67</x:v>
      </x:c>
      <x:c r="C353" s="2" t="str">
        <x:v>Europe | 0.06458 | 0.06461</x:v>
      </x:c>
      <x:c r="D353" s="2" t="str">
        <x:v>Modelled outcome</x:v>
      </x:c>
      <x:c r="E353" s="2" t="str">
        <x:v>WB_food_index</x:v>
      </x:c>
      <x:c r="F353" s="2" t="str"/>
      <x:c r="G353" s="2" t="str">
        <x:v>C-OLS</x:v>
      </x:c>
    </x:row>
    <x:row r="354" ht="55" customHeight="1">
      <x:c r="A354" s="2" t="str">
        <x:v>CL-validation-transfer-table_row4</x:v>
      </x:c>
      <x:c r="B354" s="2" t="n">
        <x:v>67</x:v>
      </x:c>
      <x:c r="C354" s="2" t="str">
        <x:v>Americas | 0.04561 | 0.04558</x:v>
      </x:c>
      <x:c r="D354" s="2" t="str">
        <x:v>Modelled outcome</x:v>
      </x:c>
      <x:c r="E354" s="2" t="str">
        <x:v>WB_food_index</x:v>
      </x:c>
      <x:c r="F354" s="2" t="str"/>
      <x:c r="G354" s="2" t="str">
        <x:v>C-OLS</x:v>
      </x:c>
    </x:row>
    <x:row r="355" ht="55" customHeight="1">
      <x:c r="A355" s="2" t="str">
        <x:v>CL-validation-transfer-table_row5</x:v>
      </x:c>
      <x:c r="B355" s="2" t="n">
        <x:v>67</x:v>
      </x:c>
      <x:c r="C355" s="2" t="str">
        <x:v>Oceania | 0.03681 | 0.03757</x:v>
      </x:c>
      <x:c r="D355" s="2" t="str">
        <x:v>Modelled outcome</x:v>
      </x:c>
      <x:c r="E355" s="2" t="str">
        <x:v>WB_food_index</x:v>
      </x:c>
      <x:c r="F355" s="2" t="str"/>
      <x:c r="G355" s="2" t="str">
        <x:v>C-OLS</x:v>
      </x:c>
    </x:row>
    <x:row r="356" ht="55" customHeight="1">
      <x:c r="A356" s="2" t="str">
        <x:v>CL-stress-spec-headline</x:v>
      </x:c>
      <x:c r="B356" s="2" t="n">
        <x:v>68</x:v>
      </x:c>
      <x:c r="C356" s="2" t="str">
        <x:v>Simulation quantiles describe the chosen generator only.</x:v>
      </x:c>
      <x:c r="D356" s="2" t="str">
        <x:v>Expert judgement</x:v>
      </x:c>
      <x:c r="E356" s="2" t="str"/>
      <x:c r="F356" s="2" t="str"/>
      <x:c r="G356" s="2" t="str"/>
    </x:row>
    <x:row r="357" ht="55" customHeight="1">
      <x:c r="A357" s="2" t="str">
        <x:v>CL-stress-spec-body1</x:v>
      </x:c>
      <x:c r="B357" s="2" t="n">
        <x:v>68</x:v>
      </x:c>
      <x:c r="C357" s="2" t="str">
        <x:v>Chosen latent factors jointly alter volume, costs, stocks and rates. Seed 20261008; covariance is constructed, not fitted to country data.</x:v>
      </x:c>
      <x:c r="D357" s="2" t="str">
        <x:v>Expert judgement</x:v>
      </x:c>
      <x:c r="E357" s="2" t="str"/>
      <x:c r="F357" s="2" t="str"/>
      <x:c r="G357" s="2" t="str"/>
    </x:row>
    <x:row r="358" ht="55" customHeight="1">
      <x:c r="A358" s="2" t="str">
        <x:v>CL-stress-spec-table_row1</x:v>
      </x:c>
      <x:c r="B358" s="2" t="n">
        <x:v>68</x:v>
      </x:c>
      <x:c r="C358" s="2" t="str">
        <x:v>2500 | -18.91 | -1.65 | 29.14</x:v>
      </x:c>
      <x:c r="D358" s="2" t="str">
        <x:v>Expert judgement</x:v>
      </x:c>
      <x:c r="E358" s="2" t="str"/>
      <x:c r="F358" s="2" t="str"/>
      <x:c r="G358" s="2" t="str"/>
    </x:row>
    <x:row r="359" ht="55" customHeight="1">
      <x:c r="A359" s="2" t="str">
        <x:v>CL-stress-spec-table_row2</x:v>
      </x:c>
      <x:c r="B359" s="2" t="n">
        <x:v>68</x:v>
      </x:c>
      <x:c r="C359" s="2" t="str">
        <x:v>5000 | -19.16 | -1.89 | 28.98</x:v>
      </x:c>
      <x:c r="D359" s="2" t="str">
        <x:v>Expert judgement</x:v>
      </x:c>
      <x:c r="E359" s="2" t="str"/>
      <x:c r="F359" s="2" t="str"/>
      <x:c r="G359" s="2" t="str"/>
    </x:row>
    <x:row r="360" ht="55" customHeight="1">
      <x:c r="A360" s="2" t="str">
        <x:v>CL-stress-spec-table_row3</x:v>
      </x:c>
      <x:c r="B360" s="2" t="n">
        <x:v>68</x:v>
      </x:c>
      <x:c r="C360" s="2" t="str">
        <x:v>10000 | -19.27 | -1.65 | 29.25</x:v>
      </x:c>
      <x:c r="D360" s="2" t="str">
        <x:v>Expert judgement</x:v>
      </x:c>
      <x:c r="E360" s="2" t="str"/>
      <x:c r="F360" s="2" t="str"/>
      <x:c r="G360" s="2" t="str"/>
    </x:row>
    <x:row r="361" ht="55" customHeight="1">
      <x:c r="A361" s="2" t="str">
        <x:v>CL-policy-prior-art-headline</x:v>
      </x:c>
      <x:c r="B361" s="2" t="n">
        <x:v>69</x:v>
      </x:c>
      <x:c r="C361" s="2" t="str">
        <x:v>Integration is the proposal; mathematical novelty is not asserted.</x:v>
      </x:c>
      <x:c r="D361" s="2" t="str">
        <x:v>Expert judgement</x:v>
      </x:c>
      <x:c r="E361" s="2" t="str">
        <x:v>CVAR;DID;NOBEL_2003;NOBEL_2018;NOBEL_2021</x:v>
      </x:c>
      <x:c r="F361" s="2" t="str"/>
      <x:c r="G361" s="2" t="str"/>
    </x:row>
    <x:row r="362" ht="55" customHeight="1">
      <x:c r="A362" s="2" t="str">
        <x:v>CL-policy-prior-art-body1</x:v>
      </x:c>
      <x:c r="B362" s="2" t="n">
        <x:v>69</x:v>
      </x:c>
      <x:c r="C362" s="2" t="str">
        <x:v>Robust regret, CVaR, constrained optimization, causal experiments, real options and EVSI are established methods.</x:v>
      </x:c>
      <x:c r="D362" s="2" t="str">
        <x:v>Expert judgement</x:v>
      </x:c>
      <x:c r="E362" s="2" t="str">
        <x:v>CVAR;DID;NOBEL_2003;NOBEL_2018;NOBEL_2021</x:v>
      </x:c>
      <x:c r="F362" s="2" t="str"/>
      <x:c r="G362" s="2" t="str"/>
    </x:row>
    <x:row r="363" ht="55" customHeight="1">
      <x:c r="A363" s="2" t="str">
        <x:v>CL-policy-prior-art-body2</x:v>
      </x:c>
      <x:c r="B363" s="2" t="n">
        <x:v>69</x:v>
      </x:c>
      <x:c r="C363" s="2" t="str">
        <x:v>Growth, climate, time-series and causal research guide module choice; no Nobel research parameter is imported into company forecasts.</x:v>
      </x:c>
      <x:c r="D363" s="2" t="str">
        <x:v>Expert judgement</x:v>
      </x:c>
      <x:c r="E363" s="2" t="str">
        <x:v>CVAR;DID;NOBEL_2003;NOBEL_2018;NOBEL_2021</x:v>
      </x:c>
      <x:c r="F363" s="2" t="str"/>
      <x:c r="G363" s="2" t="str"/>
    </x:row>
    <x:row r="364" ht="55" customHeight="1">
      <x:c r="A364" s="2" t="str">
        <x:v>CL-policy-prior-art-body3</x:v>
      </x:c>
      <x:c r="B364" s="2" t="n">
        <x:v>69</x:v>
      </x:c>
      <x:c r="C364" s="2" t="str">
        <x:v>The proposed integration links usable customer output to seasonal cash and transferable learning.</x:v>
      </x:c>
      <x:c r="D364" s="2" t="str">
        <x:v>Expert judgement</x:v>
      </x:c>
      <x:c r="E364" s="2" t="str">
        <x:v>CVAR;DID;NOBEL_2003;NOBEL_2018;NOBEL_2021</x:v>
      </x:c>
      <x:c r="F364" s="2" t="str"/>
      <x:c r="G364" s="2" t="str"/>
    </x:row>
    <x:row r="365" ht="55" customHeight="1">
      <x:c r="A365" s="2" t="str">
        <x:v>CL-policy-prior-art-body4</x:v>
      </x:c>
      <x:c r="B365" s="2" t="n">
        <x:v>69</x:v>
      </x:c>
      <x:c r="C365" s="2" t="str">
        <x:v>Only the transparent teaching comparison is executed. Superiority over real country allocation is unvalidated.</x:v>
      </x:c>
      <x:c r="D365" s="2" t="str">
        <x:v>Expert judgement</x:v>
      </x:c>
      <x:c r="E365" s="2" t="str">
        <x:v>CVAR;DID;NOBEL_2003;NOBEL_2018;NOBEL_2021</x:v>
      </x:c>
      <x:c r="F365" s="2" t="str"/>
      <x:c r="G365" s="2" t="str"/>
    </x:row>
    <x:row r="366" ht="55" customHeight="1">
      <x:c r="A366" s="2" t="str">
        <x:v>CL-pilot-power-headline</x:v>
      </x:c>
      <x:c r="B366" s="2" t="n">
        <x:v>70</x:v>
      </x:c>
      <x:c r="C366" s="2" t="str">
        <x:v>A convenient sample is not proof of an economically meaningful effect.</x:v>
      </x:c>
      <x:c r="D366" s="2" t="str">
        <x:v>Expert judgement</x:v>
      </x:c>
      <x:c r="E366" s="2" t="str">
        <x:v>DID</x:v>
      </x:c>
      <x:c r="F366" s="2" t="str"/>
      <x:c r="G366" s="2" t="str"/>
    </x:row>
    <x:row r="367" ht="55" customHeight="1">
      <x:c r="A367" s="2" t="str">
        <x:v>CL-pilot-power-body1</x:v>
      </x:c>
      <x:c r="B367" s="2" t="n">
        <x:v>70</x:v>
      </x:c>
      <x:c r="C367" s="2" t="str">
        <x:v>For two independent arms, n ≈ 2(zα/2 + zβ)²σ²/δ² per arm. Cluster design effect = 1 + (m − 1)ICC.</x:v>
      </x:c>
      <x:c r="D367" s="2" t="str">
        <x:v>Expert judgement</x:v>
      </x:c>
      <x:c r="E367" s="2" t="str">
        <x:v>DID</x:v>
      </x:c>
      <x:c r="F367" s="2" t="str"/>
      <x:c r="G367" s="2" t="str"/>
    </x:row>
    <x:row r="368" ht="55" customHeight="1">
      <x:c r="A368" s="2" t="str">
        <x:v>CL-pilot-power-body2</x:v>
      </x:c>
      <x:c r="B368" s="2" t="n">
        <x:v>70</x:v>
      </x:c>
      <x:c r="C368" s="2" t="str">
        <x:v>Chosen σ=10, δ=5, α=.05 and 80% power imply about 63 observations per arm before clustering or attrition.</x:v>
      </x:c>
      <x:c r="D368" s="2" t="str">
        <x:v>Expert judgement</x:v>
      </x:c>
      <x:c r="E368" s="2" t="str">
        <x:v>DID</x:v>
      </x:c>
      <x:c r="F368" s="2" t="str"/>
      <x:c r="G368" s="2" t="str"/>
    </x:row>
    <x:row r="369" ht="55" customHeight="1">
      <x:c r="A369" s="2" t="str">
        <x:v>CL-pilot-power-body3</x:v>
      </x:c>
      <x:c r="B369" s="2" t="n">
        <x:v>70</x:v>
      </x:c>
      <x:c r="C369" s="2" t="str">
        <x:v>With 10 customers per cluster and ICC=.10, the design effect is 1.9: about 120 adjusted observations per arm.</x:v>
      </x:c>
      <x:c r="D369" s="2" t="str">
        <x:v>Expert judgement</x:v>
      </x:c>
      <x:c r="E369" s="2" t="str">
        <x:v>DID</x:v>
      </x:c>
      <x:c r="F369" s="2" t="str"/>
      <x:c r="G369" s="2" t="str"/>
    </x:row>
    <x:row r="370" ht="55" customHeight="1">
      <x:c r="A370" s="2" t="str">
        <x:v>CL-pilot-power-body4</x:v>
      </x:c>
      <x:c r="B370" s="2" t="n">
        <x:v>70</x:v>
      </x:c>
      <x:c r="C370" s="2" t="str">
        <x:v>Actual route variance, balance, spillovers and attrition determine the final sample. No actual sample size is approved.</x:v>
      </x:c>
      <x:c r="D370" s="2" t="str">
        <x:v>Expert judgement</x:v>
      </x:c>
      <x:c r="E370" s="2" t="str">
        <x:v>DID</x:v>
      </x:c>
      <x:c r="F370" s="2" t="str"/>
      <x:c r="G370" s="2" t="str"/>
    </x:row>
    <x:row r="371" ht="55" customHeight="1">
      <x:c r="A371" s="2" t="str">
        <x:v>CL-atlas-navigation-headline</x:v>
      </x:c>
      <x:c r="B371" s="2" t="n">
        <x:v>71</x:v>
      </x:c>
      <x:c r="C371" s="2" t="str">
        <x:v>8,526 matrix rows preserve unknown finance rather than fabricate forecasts.</x:v>
      </x:c>
      <x:c r="D371" s="2" t="str">
        <x:v>Recommendation</x:v>
      </x:c>
      <x:c r="E371" s="2" t="str">
        <x:v>UN_M49;UN_WPP</x:v>
      </x:c>
      <x:c r="F371" s="2" t="str"/>
      <x:c r="G371" s="2" t="str"/>
    </x:row>
    <x:row r="372" ht="55" customHeight="1">
      <x:c r="A372" s="2" t="str">
        <x:v>CL-atlas-navigation-body1</x:v>
      </x:c>
      <x:c r="B372" s="2" t="n">
        <x:v>71</x:v>
      </x:c>
      <x:c r="C372" s="2" t="str">
        <x:v>195 countries, 203 separate product/unselected units, six worlds, seven milestones.</x:v>
      </x:c>
      <x:c r="D372" s="2" t="str">
        <x:v>Recommendation</x:v>
      </x:c>
      <x:c r="E372" s="2" t="str">
        <x:v>UN_M49;UN_WPP</x:v>
      </x:c>
      <x:c r="F372" s="2" t="str"/>
      <x:c r="G372" s="2" t="str"/>
    </x:row>
    <x:row r="373" ht="55" customHeight="1">
      <x:c r="A373" s="2" t="str">
        <x:v>CL-atlas-navigation-body2</x:v>
      </x:c>
      <x:c r="B373" s="2" t="n">
        <x:v>71</x:v>
      </x:c>
      <x:c r="C373" s="2" t="str">
        <x:v>Eighteen priority product plans are separate commercial hypotheses, with counterfactual, service/cash mechanism and stop gate.</x:v>
      </x:c>
      <x:c r="D373" s="2" t="str">
        <x:v>Recommendation</x:v>
      </x:c>
      <x:c r="E373" s="2" t="str">
        <x:v>UN_M49;UN_WPP</x:v>
      </x:c>
      <x:c r="F373" s="2" t="str"/>
      <x:c r="G373" s="2" t="str"/>
    </x:row>
    <x:row r="374" ht="55" customHeight="1">
      <x:c r="A374" s="2" t="str">
        <x:v>CL-atlas-navigation-body3</x:v>
      </x:c>
      <x:c r="B374" s="2" t="n">
        <x:v>71</x:v>
      </x:c>
      <x:c r="C374" s="2" t="str">
        <x:v>Country NPV stays unknown; normalized order roots and sensitivities support diligence rather than investment approval.</x:v>
      </x:c>
      <x:c r="D374" s="2" t="str">
        <x:v>Recommendation</x:v>
      </x:c>
      <x:c r="E374" s="2" t="str">
        <x:v>UN_M49;UN_WPP</x:v>
      </x:c>
      <x:c r="F374" s="2" t="str"/>
      <x:c r="G374" s="2" t="str"/>
    </x:row>
    <x:row r="375" ht="55" customHeight="1">
      <x:c r="A375" s="2" t="str">
        <x:v>CL-atlas-navigation-body4</x:v>
      </x:c>
      <x:c r="B375" s="2" t="n">
        <x:v>71</x:v>
      </x:c>
      <x:c r="C375" s="2" t="str">
        <x:v>country-driver-coverage.csv records34 national variables and dates; territories indexed separately.</x:v>
      </x:c>
      <x:c r="D375" s="2" t="str">
        <x:v>Recommendation</x:v>
      </x:c>
      <x:c r="E375" s="2" t="str">
        <x:v>UN_M49;UN_WPP</x:v>
      </x:c>
      <x:c r="F375" s="2" t="str"/>
      <x:c r="G375" s="2" t="str"/>
    </x:row>
    <x:row r="376" ht="55" customHeight="1">
      <x:c r="A376" s="2" t="str">
        <x:v>CL-limitations-headline</x:v>
      </x:c>
      <x:c r="B376" s="2" t="n">
        <x:v>72</x:v>
      </x:c>
      <x:c r="C376" s="2" t="str">
        <x:v>The package is a complete public-data decision scaffold; internal investment cases remain open.</x:v>
      </x:c>
      <x:c r="D376" s="2" t="str">
        <x:v>Recommendation</x:v>
      </x:c>
      <x:c r="E376" s="2" t="str"/>
      <x:c r="F376" s="2" t="str">
        <x:v>A_TEMPLATE</x:v>
      </x:c>
      <x:c r="G376" s="2" t="str"/>
    </x:row>
    <x:row r="377" ht="55" customHeight="1">
      <x:c r="A377" s="2" t="str">
        <x:v>CL-limitations-body1</x:v>
      </x:c>
      <x:c r="B377" s="2" t="n">
        <x:v>72</x:v>
      </x:c>
      <x:c r="C377" s="2" t="str">
        <x:v>Orders, capture, prices and costs can reverse contribution, NPV and country priorities.</x:v>
      </x:c>
      <x:c r="D377" s="2" t="str">
        <x:v>Recommendation</x:v>
      </x:c>
      <x:c r="E377" s="2" t="str"/>
      <x:c r="F377" s="2" t="str">
        <x:v>A_TEMPLATE</x:v>
      </x:c>
      <x:c r="G377" s="2" t="str"/>
    </x:row>
    <x:row r="378" ht="55" customHeight="1">
      <x:c r="A378" s="2" t="str">
        <x:v>CL-limitations-body2</x:v>
      </x:c>
      <x:c r="B378" s="2" t="n">
        <x:v>72</x:v>
      </x:c>
      <x:c r="C378" s="2" t="str">
        <x:v>Monthly cash, FX, hedges and tax can create unfunded losses despite positive annual EBITDA.</x:v>
      </x:c>
      <x:c r="D378" s="2" t="str">
        <x:v>Recommendation</x:v>
      </x:c>
      <x:c r="E378" s="2" t="str"/>
      <x:c r="F378" s="2" t="str">
        <x:v>A_TEMPLATE</x:v>
      </x:c>
      <x:c r="G378" s="2" t="str"/>
    </x:row>
    <x:row r="379" ht="55" customHeight="1">
      <x:c r="A379" s="2" t="str">
        <x:v>CL-limitations-body3</x:v>
      </x:c>
      <x:c r="B379" s="2" t="n">
        <x:v>72</x:v>
      </x:c>
      <x:c r="C379" s="2" t="str">
        <x:v>Yield, capacity, route access and rights can remove a candidate from the feasible set.</x:v>
      </x:c>
      <x:c r="D379" s="2" t="str">
        <x:v>Recommendation</x:v>
      </x:c>
      <x:c r="E379" s="2" t="str"/>
      <x:c r="F379" s="2" t="str">
        <x:v>A_TEMPLATE</x:v>
      </x:c>
      <x:c r="G379" s="2" t="str"/>
    </x:row>
    <x:row r="380" ht="55" customHeight="1">
      <x:c r="A380" s="2" t="str">
        <x:v>CL-limitations-body4</x:v>
      </x:c>
      <x:c r="B380" s="2" t="n">
        <x:v>72</x:v>
      </x:c>
      <x:c r="C380" s="2" t="str">
        <x:v>Asset hazards, competitors and causal adoption can reverse resilience and transferability.</x:v>
      </x:c>
      <x:c r="D380" s="2" t="str">
        <x:v>Recommendation</x:v>
      </x:c>
      <x:c r="E380" s="2" t="str"/>
      <x:c r="F380" s="2" t="str">
        <x:v>A_TEMPLATE</x:v>
      </x:c>
      <x:c r="G380" s="2" t="str"/>
    </x:row>
    <x:row r="381" ht="55" customHeight="1">
      <x:c r="A381" s="2" t="str">
        <x:v>CL-refresh-headline</x:v>
      </x:c>
      <x:c r="B381" s="2" t="n">
        <x:v>73</x:v>
      </x:c>
      <x:c r="C381" s="2" t="str">
        <x:v>Keep a dated reproducible version; do not silently revise the investment case.</x:v>
      </x:c>
      <x:c r="D381" s="2" t="str">
        <x:v>Recommendation</x:v>
      </x:c>
      <x:c r="E381" s="2" t="str"/>
      <x:c r="F381" s="2" t="str"/>
      <x:c r="G381" s="2" t="str"/>
    </x:row>
    <x:row r="382" ht="55" customHeight="1">
      <x:c r="A382" s="2" t="str">
        <x:v>CL-refresh-body1</x:v>
      </x:c>
      <x:c r="B382" s="2" t="n">
        <x:v>73</x:v>
      </x:c>
      <x:c r="C382" s="2" t="str">
        <x:v>Recheck company and ownership evidence at material transactions and results; preserve perimeter conflicts.</x:v>
      </x:c>
      <x:c r="D382" s="2" t="str">
        <x:v>Recommendation</x:v>
      </x:c>
      <x:c r="E382" s="2" t="str"/>
      <x:c r="F382" s="2" t="str"/>
      <x:c r="G382" s="2" t="str"/>
    </x:row>
    <x:row r="383" ht="55" customHeight="1">
      <x:c r="A383" s="2" t="str">
        <x:v>CL-refresh-body2</x:v>
      </x:c>
      <x:c r="B383" s="2" t="n">
        <x:v>73</x:v>
      </x:c>
      <x:c r="C383" s="2" t="str">
        <x:v>Legal rechecks rules, taxes, sanctions and rights before a named route commitment.</x:v>
      </x:c>
      <x:c r="D383" s="2" t="str">
        <x:v>Recommendation</x:v>
      </x:c>
      <x:c r="E383" s="2" t="str"/>
      <x:c r="F383" s="2" t="str"/>
      <x:c r="G383" s="2" t="str"/>
    </x:row>
    <x:row r="384" ht="55" customHeight="1">
      <x:c r="A384" s="2" t="str">
        <x:v>CL-refresh-body3</x:v>
      </x:c>
      <x:c r="B384" s="2" t="n">
        <x:v>73</x:v>
      </x:c>
      <x:c r="C384" s="2" t="str">
        <x:v>Review customer orders and stock cash monthly; escalate breaches immediately and test repeat after support ends.</x:v>
      </x:c>
      <x:c r="D384" s="2" t="str">
        <x:v>Recommendation</x:v>
      </x:c>
      <x:c r="E384" s="2" t="str"/>
      <x:c r="F384" s="2" t="str"/>
      <x:c r="G384" s="2" t="str"/>
    </x:row>
    <x:row r="385" ht="55" customHeight="1">
      <x:c r="A385" s="2" t="str">
        <x:v>CL-refresh-body4</x:v>
      </x:c>
      <x:c r="B385" s="2" t="n">
        <x:v>73</x:v>
      </x:c>
      <x:c r="C385" s="2" t="str">
        <x:v>Refresh data vintages, holdouts and scenarios annually; explain changed decisions, not only better fit.</x:v>
      </x:c>
      <x:c r="D385" s="2" t="str">
        <x:v>Recommendation</x:v>
      </x:c>
      <x:c r="E385" s="2" t="str"/>
      <x:c r="F385" s="2" t="str"/>
      <x:c r="G385" s="2" t="str"/>
    </x:row>
    <x:row r="386" ht="55" customHeight="1">
      <x:c r="A386" s="2" t="str">
        <x:v>CL-audit-headline</x:v>
      </x:c>
      <x:c r="B386" s="2" t="n">
        <x:v>74</x:v>
      </x:c>
      <x:c r="C386" s="2" t="str">
        <x:v>Detailed44-row audit retains arithmetic and replaces unsupported certainty.</x:v>
      </x:c>
      <x:c r="D386" s="2" t="str">
        <x:v>Recommendation</x:v>
      </x:c>
      <x:c r="E386" s="2" t="str">
        <x:v>BASELINE</x:v>
      </x:c>
      <x:c r="F386" s="2" t="str"/>
      <x:c r="G386" s="2" t="str"/>
    </x:row>
    <x:row r="387" ht="55" customHeight="1">
      <x:c r="A387" s="2" t="str">
        <x:v>CL-audit-body1</x:v>
      </x:c>
      <x:c r="B387" s="2" t="n">
        <x:v>74</x:v>
      </x:c>
      <x:c r="C387" s="2" t="str">
        <x:v>Preserve customer economics, cash discipline, the Nigeria laboratory and accurately bounded candidate experience.</x:v>
      </x:c>
      <x:c r="D387" s="2" t="str">
        <x:v>Recommendation</x:v>
      </x:c>
      <x:c r="E387" s="2" t="str">
        <x:v>BASELINE</x:v>
      </x:c>
      <x:c r="F387" s="2" t="str"/>
      <x:c r="G387" s="2" t="str"/>
    </x:row>
    <x:row r="388" ht="55" customHeight="1">
      <x:c r="A388" s="2" t="str">
        <x:v>CL-audit-body2</x:v>
      </x:c>
      <x:c r="B388" s="2" t="n">
        <x:v>74</x:v>
      </x:c>
      <x:c r="C388" s="2" t="str">
        <x:v>Repair ownership, tonnage definitions, official projection horizons, procurement FX overlap and working-capital bases.</x:v>
      </x:c>
      <x:c r="D388" s="2" t="str">
        <x:v>Recommendation</x:v>
      </x:c>
      <x:c r="E388" s="2" t="str">
        <x:v>BASELINE</x:v>
      </x:c>
      <x:c r="F388" s="2" t="str"/>
      <x:c r="G388" s="2" t="str"/>
    </x:row>
    <x:row r="389" ht="55" customHeight="1">
      <x:c r="A389" s="2" t="str">
        <x:v>CL-audit-body3</x:v>
      </x:c>
      <x:c r="B389" s="2" t="n">
        <x:v>74</x:v>
      </x:c>
      <x:c r="C389" s="2" t="str">
        <x:v>Expand to 195 countries, six worlds, full cash flow, causal pilot design and a linked technical package.</x:v>
      </x:c>
      <x:c r="D389" s="2" t="str">
        <x:v>Recommendation</x:v>
      </x:c>
      <x:c r="E389" s="2" t="str">
        <x:v>BASELINE</x:v>
      </x:c>
      <x:c r="F389" s="2" t="str"/>
      <x:c r="G389" s="2" t="str"/>
    </x:row>
    <x:row r="390" ht="55" customHeight="1">
      <x:c r="A390" s="2" t="str">
        <x:v>CL-audit-body4</x:v>
      </x:c>
      <x:c r="B390" s="2" t="n">
        <x:v>74</x:v>
      </x:c>
      <x:c r="C390" s="2" t="str">
        <x:v>Replace unverified review counts, model probability claims and implied funding with evidence and actual validation.</x:v>
      </x:c>
      <x:c r="D390" s="2" t="str">
        <x:v>Recommendation</x:v>
      </x:c>
      <x:c r="E390" s="2" t="str">
        <x:v>BASELINE</x:v>
      </x:c>
      <x:c r="F390" s="2" t="str"/>
      <x:c r="G390" s="2" t="str"/>
    </x:row>
    <x:row r="391" ht="55" customHeight="1">
      <x:c r="A391" s="2" t="str">
        <x:v>CL-sources-0-headline</x:v>
      </x:c>
      <x:c r="B391" s="2" t="n">
        <x:v>75</x:v>
      </x:c>
      <x:c r="C391" s="2" t="str">
        <x:v>Exact URLs and limitations are in the linked source book.</x:v>
      </x:c>
      <x:c r="D391" s="2" t="str">
        <x:v>Reported fact</x:v>
      </x:c>
      <x:c r="E391" s="2" t="str">
        <x:v>CO_AR;CO_FACT;CO_OWN;CO_ABOUT;OECD;OECD_METHOD</x:v>
      </x:c>
      <x:c r="F391" s="2" t="str"/>
      <x:c r="G391" s="2" t="str"/>
    </x:row>
    <x:row r="392" ht="55" customHeight="1">
      <x:c r="A392" s="2" t="str">
        <x:v>CL-sources-0-table_row1</x:v>
      </x:c>
      <x:c r="B392" s="2" t="n">
        <x:v>75</x:v>
      </x:c>
      <x:c r="C392" s="2" t="str">
        <x:v>CO_AR | Olam Agri Annual Report 2025 · Printed pp. 3, 10–11; CFO overview and performance charts</x:v>
      </x:c>
      <x:c r="D392" s="2" t="str">
        <x:v>Reported fact</x:v>
      </x:c>
      <x:c r="E392" s="2" t="str">
        <x:v>CO_AR;CO_FACT;CO_OWN;CO_ABOUT;OECD;OECD_METHOD</x:v>
      </x:c>
      <x:c r="F392" s="2" t="str"/>
      <x:c r="G392" s="2" t="str"/>
    </x:row>
    <x:row r="393" ht="55" customHeight="1">
      <x:c r="A393" s="2" t="str">
        <x:v>CL-sources-0-table_row2</x:v>
      </x:c>
      <x:c r="B393" s="2" t="n">
        <x:v>75</x:v>
      </x:c>
      <x:c r="C393" s="2" t="str">
        <x:v>CO_FACT | Olam Agri factsheet, June 2026 · pp. 1–2; footprint, products, ownership</x:v>
      </x:c>
      <x:c r="D393" s="2" t="str">
        <x:v>Reported fact</x:v>
      </x:c>
      <x:c r="E393" s="2" t="str">
        <x:v>CO_AR;CO_FACT;CO_OWN;CO_ABOUT;OECD;OECD_METHOD</x:v>
      </x:c>
      <x:c r="F393" s="2" t="str"/>
      <x:c r="G393" s="2" t="str"/>
    </x:row>
    <x:row r="394" ht="55" customHeight="1">
      <x:c r="A394" s="2" t="str">
        <x:v>CL-sources-0-table_row3</x:v>
      </x:c>
      <x:c r="B394" s="2" t="n">
        <x:v>75</x:v>
      </x:c>
      <x:c r="C394" s="2" t="str">
        <x:v>CO_OWN | Olam Group reorganisation / Olam Agri · Olam Agri section: 27 April 2026 sale and 30 June CFG share issuance</x:v>
      </x:c>
      <x:c r="D394" s="2" t="str">
        <x:v>Reported fact</x:v>
      </x:c>
      <x:c r="E394" s="2" t="str">
        <x:v>CO_AR;CO_FACT;CO_OWN;CO_ABOUT;OECD;OECD_METHOD</x:v>
      </x:c>
      <x:c r="F394" s="2" t="str"/>
      <x:c r="G394" s="2" t="str"/>
    </x:row>
    <x:row r="395" ht="55" customHeight="1">
      <x:c r="A395" s="2" t="str">
        <x:v>CL-sources-0-table_row4</x:v>
      </x:c>
      <x:c r="B395" s="2" t="n">
        <x:v>75</x:v>
      </x:c>
      <x:c r="C395" s="2" t="str">
        <x:v>CO_ABOUT | Olam Agri About Us · At a glance, products and ownership blocks</x:v>
      </x:c>
      <x:c r="D395" s="2" t="str">
        <x:v>Reported fact</x:v>
      </x:c>
      <x:c r="E395" s="2" t="str">
        <x:v>CO_AR;CO_FACT;CO_OWN;CO_ABOUT;OECD;OECD_METHOD</x:v>
      </x:c>
      <x:c r="F395" s="2" t="str"/>
      <x:c r="G395" s="2" t="str"/>
    </x:row>
    <x:row r="396" ht="55" customHeight="1">
      <x:c r="A396" s="2" t="str">
        <x:v>CL-sources-0-table_row5</x:v>
      </x:c>
      <x:c r="B396" s="2" t="n">
        <x:v>75</x:v>
      </x:c>
      <x:c r="C396" s="2" t="str">
        <x:v>OECD | OECD–FAO Agricultural Outlook 2026–2035 · Publication 29 June 2026; executive summary, methodology; DOI 10.1787/47874669-en</x:v>
      </x:c>
      <x:c r="D396" s="2" t="str">
        <x:v>Reported fact</x:v>
      </x:c>
      <x:c r="E396" s="2" t="str">
        <x:v>CO_AR;CO_FACT;CO_OWN;CO_ABOUT;OECD;OECD_METHOD</x:v>
      </x:c>
      <x:c r="F396" s="2" t="str"/>
      <x:c r="G396" s="2" t="str"/>
    </x:row>
    <x:row r="397" ht="55" customHeight="1">
      <x:c r="A397" s="2" t="str">
        <x:v>CL-sources-0-table_row6</x:v>
      </x:c>
      <x:c r="B397" s="2" t="n">
        <x:v>75</x:v>
      </x:c>
      <x:c r="C397" s="2" t="str">
        <x:v>OECD_METHOD | Aglink-Cosimo methodology · Model overview and projection assumptions</x:v>
      </x:c>
      <x:c r="D397" s="2" t="str">
        <x:v>Reported fact</x:v>
      </x:c>
      <x:c r="E397" s="2" t="str">
        <x:v>CO_AR;CO_FACT;CO_OWN;CO_ABOUT;OECD;OECD_METHOD</x:v>
      </x:c>
      <x:c r="F397" s="2" t="str"/>
      <x:c r="G397" s="2" t="str"/>
    </x:row>
    <x:row r="398" ht="55" customHeight="1">
      <x:c r="A398" s="2" t="str">
        <x:v>CL-sources-6-headline</x:v>
      </x:c>
      <x:c r="B398" s="2" t="n">
        <x:v>76</x:v>
      </x:c>
      <x:c r="C398" s="2" t="str">
        <x:v>Exact URLs and limitations are in the linked source book.</x:v>
      </x:c>
      <x:c r="D398" s="2" t="str">
        <x:v>Reported fact</x:v>
      </x:c>
      <x:c r="E398" s="2" t="str">
        <x:v>UN_M49;UN_MEMBERS;UN_OBSERVERS;UN_WPP;WB_population;WB_income_ppp</x:v>
      </x:c>
      <x:c r="F398" s="2" t="str"/>
      <x:c r="G398" s="2" t="str"/>
    </x:row>
    <x:row r="399" ht="55" customHeight="1">
      <x:c r="A399" s="2" t="str">
        <x:v>CL-sources-6-table_row1</x:v>
      </x:c>
      <x:c r="B399" s="2" t="n">
        <x:v>76</x:v>
      </x:c>
      <x:c r="C399" s="2" t="str">
        <x:v>UN_M49 | UN Statistics Division M49 · Country/area codes and region/subregion table</x:v>
      </x:c>
      <x:c r="D399" s="2" t="str">
        <x:v>Reported fact</x:v>
      </x:c>
      <x:c r="E399" s="2" t="str">
        <x:v>UN_M49;UN_MEMBERS;UN_OBSERVERS;UN_WPP;WB_population;WB_income_ppp</x:v>
      </x:c>
      <x:c r="F399" s="2" t="str"/>
      <x:c r="G399" s="2" t="str"/>
    </x:row>
    <x:row r="400" ht="55" customHeight="1">
      <x:c r="A400" s="2" t="str">
        <x:v>CL-sources-6-table_row2</x:v>
      </x:c>
      <x:c r="B400" s="2" t="n">
        <x:v>76</x:v>
      </x:c>
      <x:c r="C400" s="2" t="str">
        <x:v>UN_MEMBERS | UN Dag Hammarskjöld Library: current member states · All 193 country sections, crosswalked to UN M49 ISO3</x:v>
      </x:c>
      <x:c r="D400" s="2" t="str">
        <x:v>Reported fact</x:v>
      </x:c>
      <x:c r="E400" s="2" t="str">
        <x:v>UN_M49;UN_MEMBERS;UN_OBSERVERS;UN_WPP;WB_population;WB_income_ppp</x:v>
      </x:c>
      <x:c r="F400" s="2" t="str"/>
      <x:c r="G400" s="2" t="str"/>
    </x:row>
    <x:row r="401" ht="55" customHeight="1">
      <x:c r="A401" s="2" t="str">
        <x:v>CL-sources-6-table_row3</x:v>
      </x:c>
      <x:c r="B401" s="2" t="n">
        <x:v>76</x:v>
      </x:c>
      <x:c r="C401" s="2" t="str">
        <x:v>UN_OBSERVERS | UN Dag Hammarskjöld Library: non-member observers · Holy See and State of Palestine sections</x:v>
      </x:c>
      <x:c r="D401" s="2" t="str">
        <x:v>Reported fact</x:v>
      </x:c>
      <x:c r="E401" s="2" t="str">
        <x:v>UN_M49;UN_MEMBERS;UN_OBSERVERS;UN_WPP;WB_population;WB_income_ppp</x:v>
      </x:c>
      <x:c r="F401" s="2" t="str"/>
      <x:c r="G401" s="2" t="str"/>
    </x:row>
    <x:row r="402" ht="55" customHeight="1">
      <x:c r="A402" s="2" t="str">
        <x:v>CL-sources-6-table_row4</x:v>
      </x:c>
      <x:c r="B402" s="2" t="n">
        <x:v>76</x:v>
      </x:c>
      <x:c r="C402" s="2" t="str">
        <x:v>UN_WPP | UN World Population Prospects 2024 · Medium variant sheet; country rows at 2026, 2030, 2035, 2040, 2045, 2050, 2051</x:v>
      </x:c>
      <x:c r="D402" s="2" t="str">
        <x:v>Reported fact</x:v>
      </x:c>
      <x:c r="E402" s="2" t="str">
        <x:v>UN_M49;UN_MEMBERS;UN_OBSERVERS;UN_WPP;WB_population;WB_income_ppp</x:v>
      </x:c>
      <x:c r="F402" s="2" t="str"/>
      <x:c r="G402" s="2" t="str"/>
    </x:row>
    <x:row r="403" ht="55" customHeight="1">
      <x:c r="A403" s="2" t="str">
        <x:v>CL-sources-6-table_row5</x:v>
      </x:c>
      <x:c r="B403" s="2" t="n">
        <x:v>76</x:v>
      </x:c>
      <x:c r="C403" s="2" t="str">
        <x:v>WB_population | World Bank WDI: SP.POP.TOTL · Source 2; series and country/year records, update 2026-07-13</x:v>
      </x:c>
      <x:c r="D403" s="2" t="str">
        <x:v>Reported fact</x:v>
      </x:c>
      <x:c r="E403" s="2" t="str">
        <x:v>UN_M49;UN_MEMBERS;UN_OBSERVERS;UN_WPP;WB_population;WB_income_ppp</x:v>
      </x:c>
      <x:c r="F403" s="2" t="str"/>
      <x:c r="G403" s="2" t="str"/>
    </x:row>
    <x:row r="404" ht="55" customHeight="1">
      <x:c r="A404" s="2" t="str">
        <x:v>CL-sources-6-table_row6</x:v>
      </x:c>
      <x:c r="B404" s="2" t="n">
        <x:v>76</x:v>
      </x:c>
      <x:c r="C404" s="2" t="str">
        <x:v>WB_income_ppp | World Bank WDI: NY.GDP.PCAP.PP.KD · Source 2; series and country/year records, update 2026-07-13</x:v>
      </x:c>
      <x:c r="D404" s="2" t="str">
        <x:v>Reported fact</x:v>
      </x:c>
      <x:c r="E404" s="2" t="str">
        <x:v>UN_M49;UN_MEMBERS;UN_OBSERVERS;UN_WPP;WB_population;WB_income_ppp</x:v>
      </x:c>
      <x:c r="F404" s="2" t="str"/>
      <x:c r="G404" s="2" t="str"/>
    </x:row>
    <x:row r="405" ht="55" customHeight="1">
      <x:c r="A405" s="2" t="str">
        <x:v>CL-sources-12-headline</x:v>
      </x:c>
      <x:c r="B405" s="2" t="n">
        <x:v>77</x:v>
      </x:c>
      <x:c r="C405" s="2" t="str">
        <x:v>Exact URLs and limitations are in the linked source book.</x:v>
      </x:c>
      <x:c r="D405" s="2" t="str">
        <x:v>Reported fact</x:v>
      </x:c>
      <x:c r="E405" s="2" t="str">
        <x:v>WB_urban;WB_inflation;WB_food_index;WB_food_import_share;WB_food_export_share;WB_imports_usd</x:v>
      </x:c>
      <x:c r="F405" s="2" t="str"/>
      <x:c r="G405" s="2" t="str"/>
    </x:row>
    <x:row r="406" ht="55" customHeight="1">
      <x:c r="A406" s="2" t="str">
        <x:v>CL-sources-12-table_row1</x:v>
      </x:c>
      <x:c r="B406" s="2" t="n">
        <x:v>77</x:v>
      </x:c>
      <x:c r="C406" s="2" t="str">
        <x:v>WB_urban | World Bank WDI: SP.URB.TOTL.IN.ZS · Source 2; series and country/year records, update 2026-07-13</x:v>
      </x:c>
      <x:c r="D406" s="2" t="str">
        <x:v>Reported fact</x:v>
      </x:c>
      <x:c r="E406" s="2" t="str">
        <x:v>WB_urban;WB_inflation;WB_food_index;WB_food_import_share;WB_food_export_share;WB_imports_usd</x:v>
      </x:c>
      <x:c r="F406" s="2" t="str"/>
      <x:c r="G406" s="2" t="str"/>
    </x:row>
    <x:row r="407" ht="55" customHeight="1">
      <x:c r="A407" s="2" t="str">
        <x:v>CL-sources-12-table_row2</x:v>
      </x:c>
      <x:c r="B407" s="2" t="n">
        <x:v>77</x:v>
      </x:c>
      <x:c r="C407" s="2" t="str">
        <x:v>WB_inflation | World Bank WDI: FP.CPI.TOTL.ZG · Source 2; series and country/year records, update 2026-07-13</x:v>
      </x:c>
      <x:c r="D407" s="2" t="str">
        <x:v>Reported fact</x:v>
      </x:c>
      <x:c r="E407" s="2" t="str">
        <x:v>WB_urban;WB_inflation;WB_food_index;WB_food_import_share;WB_food_export_share;WB_imports_usd</x:v>
      </x:c>
      <x:c r="F407" s="2" t="str"/>
      <x:c r="G407" s="2" t="str"/>
    </x:row>
    <x:row r="408" ht="55" customHeight="1">
      <x:c r="A408" s="2" t="str">
        <x:v>CL-sources-12-table_row3</x:v>
      </x:c>
      <x:c r="B408" s="2" t="n">
        <x:v>77</x:v>
      </x:c>
      <x:c r="C408" s="2" t="str">
        <x:v>WB_food_index | World Bank WDI: AG.PRD.FOOD.XD · Source 2; series and country/year records, update 2026-07-13</x:v>
      </x:c>
      <x:c r="D408" s="2" t="str">
        <x:v>Reported fact</x:v>
      </x:c>
      <x:c r="E408" s="2" t="str">
        <x:v>WB_urban;WB_inflation;WB_food_index;WB_food_import_share;WB_food_export_share;WB_imports_usd</x:v>
      </x:c>
      <x:c r="F408" s="2" t="str"/>
      <x:c r="G408" s="2" t="str"/>
    </x:row>
    <x:row r="409" ht="55" customHeight="1">
      <x:c r="A409" s="2" t="str">
        <x:v>CL-sources-12-table_row4</x:v>
      </x:c>
      <x:c r="B409" s="2" t="n">
        <x:v>77</x:v>
      </x:c>
      <x:c r="C409" s="2" t="str">
        <x:v>WB_food_import_share | World Bank WDI: TM.VAL.FOOD.ZS.UN · Source 2; series and country/year records, update 2026-07-13</x:v>
      </x:c>
      <x:c r="D409" s="2" t="str">
        <x:v>Reported fact</x:v>
      </x:c>
      <x:c r="E409" s="2" t="str">
        <x:v>WB_urban;WB_inflation;WB_food_index;WB_food_import_share;WB_food_export_share;WB_imports_usd</x:v>
      </x:c>
      <x:c r="F409" s="2" t="str"/>
      <x:c r="G409" s="2" t="str"/>
    </x:row>
    <x:row r="410" ht="55" customHeight="1">
      <x:c r="A410" s="2" t="str">
        <x:v>CL-sources-12-table_row5</x:v>
      </x:c>
      <x:c r="B410" s="2" t="n">
        <x:v>77</x:v>
      </x:c>
      <x:c r="C410" s="2" t="str">
        <x:v>WB_food_export_share | World Bank WDI: TX.VAL.FOOD.ZS.UN · Source 2; series and country/year records, update 2026-07-13</x:v>
      </x:c>
      <x:c r="D410" s="2" t="str">
        <x:v>Reported fact</x:v>
      </x:c>
      <x:c r="E410" s="2" t="str">
        <x:v>WB_urban;WB_inflation;WB_food_index;WB_food_import_share;WB_food_export_share;WB_imports_usd</x:v>
      </x:c>
      <x:c r="F410" s="2" t="str"/>
      <x:c r="G410" s="2" t="str"/>
    </x:row>
    <x:row r="411" ht="55" customHeight="1">
      <x:c r="A411" s="2" t="str">
        <x:v>CL-sources-12-table_row6</x:v>
      </x:c>
      <x:c r="B411" s="2" t="n">
        <x:v>77</x:v>
      </x:c>
      <x:c r="C411" s="2" t="str">
        <x:v>WB_imports_usd | World Bank WDI: TM.VAL.MRCH.CD.WT · Source 2; series and country/year records, update 2026-07-13</x:v>
      </x:c>
      <x:c r="D411" s="2" t="str">
        <x:v>Reported fact</x:v>
      </x:c>
      <x:c r="E411" s="2" t="str">
        <x:v>WB_urban;WB_inflation;WB_food_index;WB_food_import_share;WB_food_export_share;WB_imports_usd</x:v>
      </x:c>
      <x:c r="F411" s="2" t="str"/>
      <x:c r="G411" s="2" t="str"/>
    </x:row>
    <x:row r="412" ht="55" customHeight="1">
      <x:c r="A412" s="2" t="str">
        <x:v>CL-sources-18-headline</x:v>
      </x:c>
      <x:c r="B412" s="2" t="n">
        <x:v>78</x:v>
      </x:c>
      <x:c r="C412" s="2" t="str">
        <x:v>Exact URLs and limitations are in the linked source book.</x:v>
      </x:c>
      <x:c r="D412" s="2" t="str">
        <x:v>Reported fact</x:v>
      </x:c>
      <x:c r="E412" s="2" t="str">
        <x:v>WB_exports_usd;WB_cereal_yield;WB_water_stress;CO_NGA;CO_GHA;CO_SEN</x:v>
      </x:c>
      <x:c r="F412" s="2" t="str"/>
      <x:c r="G412" s="2" t="str"/>
    </x:row>
    <x:row r="413" ht="55" customHeight="1">
      <x:c r="A413" s="2" t="str">
        <x:v>CL-sources-18-table_row1</x:v>
      </x:c>
      <x:c r="B413" s="2" t="n">
        <x:v>78</x:v>
      </x:c>
      <x:c r="C413" s="2" t="str">
        <x:v>WB_exports_usd | World Bank WDI: TX.VAL.MRCH.CD.WT · Source 2; series and country/year records, update 2026-07-13</x:v>
      </x:c>
      <x:c r="D413" s="2" t="str">
        <x:v>Reported fact</x:v>
      </x:c>
      <x:c r="E413" s="2" t="str">
        <x:v>WB_exports_usd;WB_cereal_yield;WB_water_stress;CO_NGA;CO_GHA;CO_SEN</x:v>
      </x:c>
      <x:c r="F413" s="2" t="str"/>
      <x:c r="G413" s="2" t="str"/>
    </x:row>
    <x:row r="414" ht="55" customHeight="1">
      <x:c r="A414" s="2" t="str">
        <x:v>CL-sources-18-table_row2</x:v>
      </x:c>
      <x:c r="B414" s="2" t="n">
        <x:v>78</x:v>
      </x:c>
      <x:c r="C414" s="2" t="str">
        <x:v>WB_cereal_yield | World Bank WDI: AG.YLD.CREL.KG · Source 2; series and country/year records, update 2026-07-13</x:v>
      </x:c>
      <x:c r="D414" s="2" t="str">
        <x:v>Reported fact</x:v>
      </x:c>
      <x:c r="E414" s="2" t="str">
        <x:v>WB_exports_usd;WB_cereal_yield;WB_water_stress;CO_NGA;CO_GHA;CO_SEN</x:v>
      </x:c>
      <x:c r="F414" s="2" t="str"/>
      <x:c r="G414" s="2" t="str"/>
    </x:row>
    <x:row r="415" ht="55" customHeight="1">
      <x:c r="A415" s="2" t="str">
        <x:v>CL-sources-18-table_row3</x:v>
      </x:c>
      <x:c r="B415" s="2" t="n">
        <x:v>78</x:v>
      </x:c>
      <x:c r="C415" s="2" t="str">
        <x:v>WB_water_stress | World Bank WDI: ER.H2O.FWST.ZS · Source 2; series and country/year records, update 2026-07-13</x:v>
      </x:c>
      <x:c r="D415" s="2" t="str">
        <x:v>Reported fact</x:v>
      </x:c>
      <x:c r="E415" s="2" t="str">
        <x:v>WB_exports_usd;WB_cereal_yield;WB_water_stress;CO_NGA;CO_GHA;CO_SEN</x:v>
      </x:c>
      <x:c r="F415" s="2" t="str"/>
      <x:c r="G415" s="2" t="str"/>
    </x:row>
    <x:row r="416" ht="55" customHeight="1">
      <x:c r="A416" s="2" t="str">
        <x:v>CL-sources-18-table_row4</x:v>
      </x:c>
      <x:c r="B416" s="2" t="n">
        <x:v>78</x:v>
      </x:c>
      <x:c r="C416" s="2" t="str">
        <x:v>CO_NGA | Olam Agri Nigeria · Country capability/product sections</x:v>
      </x:c>
      <x:c r="D416" s="2" t="str">
        <x:v>Reported fact</x:v>
      </x:c>
      <x:c r="E416" s="2" t="str">
        <x:v>WB_exports_usd;WB_cereal_yield;WB_water_stress;CO_NGA;CO_GHA;CO_SEN</x:v>
      </x:c>
      <x:c r="F416" s="2" t="str"/>
      <x:c r="G416" s="2" t="str"/>
    </x:row>
    <x:row r="417" ht="55" customHeight="1">
      <x:c r="A417" s="2" t="str">
        <x:v>CL-sources-18-table_row5</x:v>
      </x:c>
      <x:c r="B417" s="2" t="n">
        <x:v>78</x:v>
      </x:c>
      <x:c r="C417" s="2" t="str">
        <x:v>CO_GHA | Olam Agri Ghana · Country capability/product sections</x:v>
      </x:c>
      <x:c r="D417" s="2" t="str">
        <x:v>Reported fact</x:v>
      </x:c>
      <x:c r="E417" s="2" t="str">
        <x:v>WB_exports_usd;WB_cereal_yield;WB_water_stress;CO_NGA;CO_GHA;CO_SEN</x:v>
      </x:c>
      <x:c r="F417" s="2" t="str"/>
      <x:c r="G417" s="2" t="str"/>
    </x:row>
    <x:row r="418" ht="55" customHeight="1">
      <x:c r="A418" s="2" t="str">
        <x:v>CL-sources-18-table_row6</x:v>
      </x:c>
      <x:c r="B418" s="2" t="n">
        <x:v>78</x:v>
      </x:c>
      <x:c r="C418" s="2" t="str">
        <x:v>CO_SEN | Olam Agri Senegal · Country capability/product sections</x:v>
      </x:c>
      <x:c r="D418" s="2" t="str">
        <x:v>Reported fact</x:v>
      </x:c>
      <x:c r="E418" s="2" t="str">
        <x:v>WB_exports_usd;WB_cereal_yield;WB_water_stress;CO_NGA;CO_GHA;CO_SEN</x:v>
      </x:c>
      <x:c r="F418" s="2" t="str"/>
      <x:c r="G418" s="2" t="str"/>
    </x:row>
    <x:row r="419" ht="55" customHeight="1">
      <x:c r="A419" s="2" t="str">
        <x:v>CL-sources-24-headline</x:v>
      </x:c>
      <x:c r="B419" s="2" t="n">
        <x:v>79</x:v>
      </x:c>
      <x:c r="C419" s="2" t="str">
        <x:v>Exact URLs and limitations are in the linked source book.</x:v>
      </x:c>
      <x:c r="D419" s="2" t="str">
        <x:v>Reported fact</x:v>
      </x:c>
      <x:c r="E419" s="2" t="str">
        <x:v>CO_CMR;CO_MOZ;CO_ZAF;CO_IND;CO_VNM;CO_BRA</x:v>
      </x:c>
      <x:c r="F419" s="2" t="str"/>
      <x:c r="G419" s="2" t="str"/>
    </x:row>
    <x:row r="420" ht="55" customHeight="1">
      <x:c r="A420" s="2" t="str">
        <x:v>CL-sources-24-table_row1</x:v>
      </x:c>
      <x:c r="B420" s="2" t="n">
        <x:v>79</x:v>
      </x:c>
      <x:c r="C420" s="2" t="str">
        <x:v>CO_CMR | Olam Agri Cameroon · Country capability/product sections</x:v>
      </x:c>
      <x:c r="D420" s="2" t="str">
        <x:v>Reported fact</x:v>
      </x:c>
      <x:c r="E420" s="2" t="str">
        <x:v>CO_CMR;CO_MOZ;CO_ZAF;CO_IND;CO_VNM;CO_BRA</x:v>
      </x:c>
      <x:c r="F420" s="2" t="str"/>
      <x:c r="G420" s="2" t="str"/>
    </x:row>
    <x:row r="421" ht="55" customHeight="1">
      <x:c r="A421" s="2" t="str">
        <x:v>CL-sources-24-table_row2</x:v>
      </x:c>
      <x:c r="B421" s="2" t="n">
        <x:v>79</x:v>
      </x:c>
      <x:c r="C421" s="2" t="str">
        <x:v>CO_MOZ | Olam Agri Mozambique · Country capability/product sections</x:v>
      </x:c>
      <x:c r="D421" s="2" t="str">
        <x:v>Reported fact</x:v>
      </x:c>
      <x:c r="E421" s="2" t="str">
        <x:v>CO_CMR;CO_MOZ;CO_ZAF;CO_IND;CO_VNM;CO_BRA</x:v>
      </x:c>
      <x:c r="F421" s="2" t="str"/>
      <x:c r="G421" s="2" t="str"/>
    </x:row>
    <x:row r="422" ht="55" customHeight="1">
      <x:c r="A422" s="2" t="str">
        <x:v>CL-sources-24-table_row3</x:v>
      </x:c>
      <x:c r="B422" s="2" t="n">
        <x:v>79</x:v>
      </x:c>
      <x:c r="C422" s="2" t="str">
        <x:v>CO_ZAF | Olam Agri South-Africa · Country capability/product sections</x:v>
      </x:c>
      <x:c r="D422" s="2" t="str">
        <x:v>Reported fact</x:v>
      </x:c>
      <x:c r="E422" s="2" t="str">
        <x:v>CO_CMR;CO_MOZ;CO_ZAF;CO_IND;CO_VNM;CO_BRA</x:v>
      </x:c>
      <x:c r="F422" s="2" t="str"/>
      <x:c r="G422" s="2" t="str"/>
    </x:row>
    <x:row r="423" ht="55" customHeight="1">
      <x:c r="A423" s="2" t="str">
        <x:v>CL-sources-24-table_row4</x:v>
      </x:c>
      <x:c r="B423" s="2" t="n">
        <x:v>79</x:v>
      </x:c>
      <x:c r="C423" s="2" t="str">
        <x:v>CO_IND | Olam Agri India · Country capability/product sections</x:v>
      </x:c>
      <x:c r="D423" s="2" t="str">
        <x:v>Reported fact</x:v>
      </x:c>
      <x:c r="E423" s="2" t="str">
        <x:v>CO_CMR;CO_MOZ;CO_ZAF;CO_IND;CO_VNM;CO_BRA</x:v>
      </x:c>
      <x:c r="F423" s="2" t="str"/>
      <x:c r="G423" s="2" t="str"/>
    </x:row>
    <x:row r="424" ht="55" customHeight="1">
      <x:c r="A424" s="2" t="str">
        <x:v>CL-sources-24-table_row5</x:v>
      </x:c>
      <x:c r="B424" s="2" t="n">
        <x:v>79</x:v>
      </x:c>
      <x:c r="C424" s="2" t="str">
        <x:v>CO_VNM | Olam Agri Vietnam · Country capability/product sections</x:v>
      </x:c>
      <x:c r="D424" s="2" t="str">
        <x:v>Reported fact</x:v>
      </x:c>
      <x:c r="E424" s="2" t="str">
        <x:v>CO_CMR;CO_MOZ;CO_ZAF;CO_IND;CO_VNM;CO_BRA</x:v>
      </x:c>
      <x:c r="F424" s="2" t="str"/>
      <x:c r="G424" s="2" t="str"/>
    </x:row>
    <x:row r="425" ht="55" customHeight="1">
      <x:c r="A425" s="2" t="str">
        <x:v>CL-sources-24-table_row6</x:v>
      </x:c>
      <x:c r="B425" s="2" t="n">
        <x:v>79</x:v>
      </x:c>
      <x:c r="C425" s="2" t="str">
        <x:v>CO_BRA | Olam Agri Brazil · Country capability/product sections</x:v>
      </x:c>
      <x:c r="D425" s="2" t="str">
        <x:v>Reported fact</x:v>
      </x:c>
      <x:c r="E425" s="2" t="str">
        <x:v>CO_CMR;CO_MOZ;CO_ZAF;CO_IND;CO_VNM;CO_BRA</x:v>
      </x:c>
      <x:c r="F425" s="2" t="str"/>
      <x:c r="G425" s="2" t="str"/>
    </x:row>
    <x:row r="426" ht="55" customHeight="1">
      <x:c r="A426" s="2" t="str">
        <x:v>CL-sources-30-headline</x:v>
      </x:c>
      <x:c r="B426" s="2" t="n">
        <x:v>80</x:v>
      </x:c>
      <x:c r="C426" s="2" t="str">
        <x:v>Exact URLs and limitations are in the linked source book.</x:v>
      </x:c>
      <x:c r="D426" s="2" t="str">
        <x:v>Reported fact</x:v>
      </x:c>
      <x:c r="E426" s="2" t="str">
        <x:v>IPCC;WMO;EUDR;USDA_NGA;USDA_OIL;COMTRADE</x:v>
      </x:c>
      <x:c r="F426" s="2" t="str"/>
      <x:c r="G426" s="2" t="str"/>
    </x:row>
    <x:row r="427" ht="55" customHeight="1">
      <x:c r="A427" s="2" t="str">
        <x:v>CL-sources-30-table_row1</x:v>
      </x:c>
      <x:c r="B427" s="2" t="n">
        <x:v>80</x:v>
      </x:c>
      <x:c r="C427" s="2" t="str">
        <x:v>IPCC | IPCC AR6 WGII Chapter 5: Food · Chapter 5; food system risks, adaptation and regional limits</x:v>
      </x:c>
      <x:c r="D427" s="2" t="str">
        <x:v>Reported fact</x:v>
      </x:c>
      <x:c r="E427" s="2" t="str">
        <x:v>IPCC;WMO;EUDR;USDA_NGA;USDA_OIL;COMTRADE</x:v>
      </x:c>
      <x:c r="F427" s="2" t="str"/>
      <x:c r="G427" s="2" t="str"/>
    </x:row>
    <x:row r="428" ht="55" customHeight="1">
      <x:c r="A428" s="2" t="str">
        <x:v>CL-sources-30-table_row2</x:v>
      </x:c>
      <x:c r="B428" s="2" t="n">
        <x:v>80</x:v>
      </x:c>
      <x:c r="C428" s="2" t="str">
        <x:v>WMO | WMO State of the Global Climate 2025 · 23 March 2026 release; global temperature and climate indicators</x:v>
      </x:c>
      <x:c r="D428" s="2" t="str">
        <x:v>Reported fact</x:v>
      </x:c>
      <x:c r="E428" s="2" t="str">
        <x:v>IPCC;WMO;EUDR;USDA_NGA;USDA_OIL;COMTRADE</x:v>
      </x:c>
      <x:c r="F428" s="2" t="str"/>
      <x:c r="G428" s="2" t="str"/>
    </x:row>
    <x:row r="429" ht="55" customHeight="1">
      <x:c r="A429" s="2" t="str">
        <x:v>CL-sources-30-table_row3</x:v>
      </x:c>
      <x:c r="B429" s="2" t="n">
        <x:v>80</x:v>
      </x:c>
      <x:c r="C429" s="2" t="str">
        <x:v>EUDR | EU Regulation 2023/1115 · Articles 3–4 and commodity/product annex</x:v>
      </x:c>
      <x:c r="D429" s="2" t="str">
        <x:v>Reported fact</x:v>
      </x:c>
      <x:c r="E429" s="2" t="str">
        <x:v>IPCC;WMO;EUDR;USDA_NGA;USDA_OIL;COMTRADE</x:v>
      </x:c>
      <x:c r="F429" s="2" t="str"/>
      <x:c r="G429" s="2" t="str"/>
    </x:row>
    <x:row r="430" ht="55" customHeight="1">
      <x:c r="A430" s="2" t="str">
        <x:v>CL-sources-30-table_row4</x:v>
      </x:c>
      <x:c r="B430" s="2" t="n">
        <x:v>80</x:v>
      </x:c>
      <x:c r="C430" s="2" t="str">
        <x:v>USDA_NGA | USDA Nigeria Grain and Feed Annual 2026 · Wheat supply/trade and flour-demand narrative</x:v>
      </x:c>
      <x:c r="D430" s="2" t="str">
        <x:v>Reported fact</x:v>
      </x:c>
      <x:c r="E430" s="2" t="str">
        <x:v>IPCC;WMO;EUDR;USDA_NGA;USDA_OIL;COMTRADE</x:v>
      </x:c>
      <x:c r="F430" s="2" t="str"/>
      <x:c r="G430" s="2" t="str"/>
    </x:row>
    <x:row r="431" ht="55" customHeight="1">
      <x:c r="A431" s="2" t="str">
        <x:v>CL-sources-30-table_row5</x:v>
      </x:c>
      <x:c r="B431" s="2" t="n">
        <x:v>80</x:v>
      </x:c>
      <x:c r="C431" s="2" t="str">
        <x:v>USDA_OIL | USDA Nigeria fiscal and trade policy changes 2026 · Oilseeds/products and crude/refined policy discussion</x:v>
      </x:c>
      <x:c r="D431" s="2" t="str">
        <x:v>Reported fact</x:v>
      </x:c>
      <x:c r="E431" s="2" t="str">
        <x:v>IPCC;WMO;EUDR;USDA_NGA;USDA_OIL;COMTRADE</x:v>
      </x:c>
      <x:c r="F431" s="2" t="str"/>
      <x:c r="G431" s="2" t="str"/>
    </x:row>
    <x:row r="432" ht="55" customHeight="1">
      <x:c r="A432" s="2" t="str">
        <x:v>CL-sources-30-table_row6</x:v>
      </x:c>
      <x:c r="B432" s="2" t="n">
        <x:v>80</x:v>
      </x:c>
      <x:c r="C432" s="2" t="str">
        <x:v>COMTRADE | UN Comtrade Nigeria wheat import preview · 2024, reporter 566, HS 1001, flow M, partner 0</x:v>
      </x:c>
      <x:c r="D432" s="2" t="str">
        <x:v>Reported fact</x:v>
      </x:c>
      <x:c r="E432" s="2" t="str">
        <x:v>IPCC;WMO;EUDR;USDA_NGA;USDA_OIL;COMTRADE</x:v>
      </x:c>
      <x:c r="F432" s="2" t="str"/>
      <x:c r="G432" s="2" t="str"/>
    </x:row>
    <x:row r="433" ht="55" customHeight="1">
      <x:c r="A433" s="2" t="str">
        <x:v>CL-sources-36-headline</x:v>
      </x:c>
      <x:c r="B433" s="2" t="n">
        <x:v>81</x:v>
      </x:c>
      <x:c r="C433" s="2" t="str">
        <x:v>Exact URLs and limitations are in the linked source book.</x:v>
      </x:c>
      <x:c r="D433" s="2" t="str">
        <x:v>Reported fact</x:v>
      </x:c>
      <x:c r="E433" s="2" t="str">
        <x:v>CVAR;DID;NOBEL_2003;NOBEL_2018;NOBEL_2021;BASELINE</x:v>
      </x:c>
      <x:c r="F433" s="2" t="str"/>
      <x:c r="G433" s="2" t="str"/>
    </x:row>
    <x:row r="434" ht="55" customHeight="1">
      <x:c r="A434" s="2" t="str">
        <x:v>CL-sources-36-table_row1</x:v>
      </x:c>
      <x:c r="B434" s="2" t="n">
        <x:v>81</x:v>
      </x:c>
      <x:c r="C434" s="2" t="str">
        <x:v>CVAR | Rockafellar &amp; Uryasev: Optimization of CVaR · Loss definition and CVaR optimisation formulation</x:v>
      </x:c>
      <x:c r="D434" s="2" t="str">
        <x:v>Reported fact</x:v>
      </x:c>
      <x:c r="E434" s="2" t="str">
        <x:v>CVAR;DID;NOBEL_2003;NOBEL_2018;NOBEL_2021;BASELINE</x:v>
      </x:c>
      <x:c r="F434" s="2" t="str"/>
      <x:c r="G434" s="2" t="str"/>
    </x:row>
    <x:row r="435" ht="55" customHeight="1">
      <x:c r="A435" s="2" t="str">
        <x:v>CL-sources-36-table_row2</x:v>
      </x:c>
      <x:c r="B435" s="2" t="n">
        <x:v>81</x:v>
      </x:c>
      <x:c r="C435" s="2" t="str">
        <x:v>DID | Callaway &amp; Sant’Anna: Difference-in-differences · arXiv 1803.09015; identification with multiple time periods</x:v>
      </x:c>
      <x:c r="D435" s="2" t="str">
        <x:v>Reported fact</x:v>
      </x:c>
      <x:c r="E435" s="2" t="str">
        <x:v>CVAR;DID;NOBEL_2003;NOBEL_2018;NOBEL_2021;BASELINE</x:v>
      </x:c>
      <x:c r="F435" s="2" t="str"/>
      <x:c r="G435" s="2" t="str"/>
    </x:row>
    <x:row r="436" ht="55" customHeight="1">
      <x:c r="A436" s="2" t="str">
        <x:v>CL-sources-36-table_row3</x:v>
      </x:c>
      <x:c r="B436" s="2" t="n">
        <x:v>81</x:v>
      </x:c>
      <x:c r="C436" s="2" t="str">
        <x:v>NOBEL_2003 | Economic Sciences prize 2003 · Prize motivation and research contribution</x:v>
      </x:c>
      <x:c r="D436" s="2" t="str">
        <x:v>Reported fact</x:v>
      </x:c>
      <x:c r="E436" s="2" t="str">
        <x:v>CVAR;DID;NOBEL_2003;NOBEL_2018;NOBEL_2021;BASELINE</x:v>
      </x:c>
      <x:c r="F436" s="2" t="str"/>
      <x:c r="G436" s="2" t="str"/>
    </x:row>
    <x:row r="437" ht="55" customHeight="1">
      <x:c r="A437" s="2" t="str">
        <x:v>CL-sources-36-table_row4</x:v>
      </x:c>
      <x:c r="B437" s="2" t="n">
        <x:v>81</x:v>
      </x:c>
      <x:c r="C437" s="2" t="str">
        <x:v>NOBEL_2018 | Economic Sciences prize 2018 · Prize motivation and research contribution</x:v>
      </x:c>
      <x:c r="D437" s="2" t="str">
        <x:v>Reported fact</x:v>
      </x:c>
      <x:c r="E437" s="2" t="str">
        <x:v>CVAR;DID;NOBEL_2003;NOBEL_2018;NOBEL_2021;BASELINE</x:v>
      </x:c>
      <x:c r="F437" s="2" t="str"/>
      <x:c r="G437" s="2" t="str"/>
    </x:row>
    <x:row r="438" ht="55" customHeight="1">
      <x:c r="A438" s="2" t="str">
        <x:v>CL-sources-36-table_row5</x:v>
      </x:c>
      <x:c r="B438" s="2" t="n">
        <x:v>81</x:v>
      </x:c>
      <x:c r="C438" s="2" t="str">
        <x:v>NOBEL_2021 | Economic Sciences prize 2021 · Prize motivation and research contribution</x:v>
      </x:c>
      <x:c r="D438" s="2" t="str">
        <x:v>Reported fact</x:v>
      </x:c>
      <x:c r="E438" s="2" t="str">
        <x:v>CVAR;DID;NOBEL_2003;NOBEL_2018;NOBEL_2021;BASELINE</x:v>
      </x:c>
      <x:c r="F438" s="2" t="str"/>
      <x:c r="G438" s="2" t="str"/>
    </x:row>
    <x:row r="439" ht="55" customHeight="1">
      <x:c r="A439" s="2" t="str">
        <x:v>CL-sources-36-table_row6</x:v>
      </x:c>
      <x:c r="B439" s="2" t="n">
        <x:v>81</x:v>
      </x:c>
      <x:c r="C439" s="2" t="str">
        <x:v>BASELINE | Portfolio baseline and résumé · src/data/olamAfricaStrategy.ts; src/lib/olamNigeriaDecisionModel.ts; src/data/resume.ts</x:v>
      </x:c>
      <x:c r="D439" s="2" t="str">
        <x:v>Reported fact</x:v>
      </x:c>
      <x:c r="E439" s="2" t="str">
        <x:v>CVAR;DID;NOBEL_2003;NOBEL_2018;NOBEL_2021;BASELINE</x:v>
      </x:c>
      <x:c r="F439" s="2" t="str"/>
      <x:c r="G439" s="2" t="str"/>
    </x:row>
    <x:row r="440" ht="55" customHeight="1">
      <x:c r="A440" s="2" t="str">
        <x:v>CL-capital-efficiency-headline</x:v>
      </x:c>
      <x:c r="B440" s="2" t="n">
        <x:v>82</x:v>
      </x:c>
      <x:c r="C440" s="2" t="str">
        <x:v>The owned template remains below its chosen hurdle.</x:v>
      </x:c>
      <x:c r="D440" s="2" t="str">
        <x:v>Modelled outcome</x:v>
      </x:c>
      <x:c r="E440" s="2" t="str"/>
      <x:c r="F440" s="2" t="str">
        <x:v>A_EXAMPLE</x:v>
      </x:c>
      <x:c r="G440" s="2" t="str">
        <x:v>C-CAPITAL;C-DCF-plant-managed</x:v>
      </x:c>
    </x:row>
    <x:row r="441" ht="55" customHeight="1">
      <x:c r="A441" s="2" t="str">
        <x:v>CL-capital-efficiency-table_row1</x:v>
      </x:c>
      <x:c r="B441" s="2" t="n">
        <x:v>82</x:v>
      </x:c>
      <x:c r="C441" s="2" t="str">
        <x:v>NPV / annual peak funding | -1.80 / 22.56 USDm</x:v>
      </x:c>
      <x:c r="D441" s="2" t="str">
        <x:v>Modelled outcome</x:v>
      </x:c>
      <x:c r="E441" s="2" t="str"/>
      <x:c r="F441" s="2" t="str">
        <x:v>A_EXAMPLE</x:v>
      </x:c>
      <x:c r="G441" s="2" t="str">
        <x:v>C-CAPITAL;C-DCF-plant-managed</x:v>
      </x:c>
    </x:row>
    <x:row r="442" ht="55" customHeight="1">
      <x:c r="A442" s="2" t="str">
        <x:v>CL-capital-efficiency-table_row2</x:v>
      </x:c>
      <x:c r="B442" s="2" t="n">
        <x:v>82</x:v>
      </x:c>
      <x:c r="C442" s="2" t="str">
        <x:v>Year3 ROIC / capital turns | 7.2% / 1.92×</x:v>
      </x:c>
      <x:c r="D442" s="2" t="str">
        <x:v>Modelled outcome</x:v>
      </x:c>
      <x:c r="E442" s="2" t="str"/>
      <x:c r="F442" s="2" t="str">
        <x:v>A_EXAMPLE</x:v>
      </x:c>
      <x:c r="G442" s="2" t="str">
        <x:v>C-CAPITAL;C-DCF-plant-managed</x:v>
      </x:c>
    </x:row>
    <x:row r="443" ht="55" customHeight="1">
      <x:c r="A443" s="2" t="str">
        <x:v>CL-capital-efficiency-table_row3</x:v>
      </x:c>
      <x:c r="B443" s="2" t="n">
        <x:v>82</x:v>
      </x:c>
      <x:c r="C443" s="2" t="str">
        <x:v>IRR roots | 9.04%</x:v>
      </x:c>
      <x:c r="D443" s="2" t="str">
        <x:v>Modelled outcome</x:v>
      </x:c>
      <x:c r="E443" s="2" t="str"/>
      <x:c r="F443" s="2" t="str">
        <x:v>A_EXAMPLE</x:v>
      </x:c>
      <x:c r="G443" s="2" t="str">
        <x:v>C-CAPITAL;C-DCF-plant-managed</x:v>
      </x:c>
    </x:row>
    <x:row r="444" ht="55" customHeight="1">
      <x:c r="A444" s="2" t="str">
        <x:v>CL-capital-efficiency-table_row4</x:v>
      </x:c>
      <x:c r="B444" s="2" t="n">
        <x:v>82</x:v>
      </x:c>
      <x:c r="C444" s="2" t="str">
        <x:v>NPV without final NWC closeout | -2.47 USDm</x:v>
      </x:c>
      <x:c r="D444" s="2" t="str">
        <x:v>Modelled outcome</x:v>
      </x:c>
      <x:c r="E444" s="2" t="str"/>
      <x:c r="F444" s="2" t="str">
        <x:v>A_EXAMPLE</x:v>
      </x:c>
      <x:c r="G444" s="2" t="str">
        <x:v>C-CAPITAL;C-DCF-plant-managed</x:v>
      </x:c>
    </x:row>
    <x:row r="445" ht="55" customHeight="1">
      <x:c r="A445" s="2" t="str">
        <x:v>CL-capital-efficiency-table_row5</x:v>
      </x:c>
      <x:c r="B445" s="2" t="n">
        <x:v>82</x:v>
      </x:c>
      <x:c r="C445" s="2" t="str">
        <x:v>Franchise terminal value | Zero; post2036 cash separately disclosed</x:v>
      </x:c>
      <x:c r="D445" s="2" t="str">
        <x:v>Modelled outcome</x:v>
      </x:c>
      <x:c r="E445" s="2" t="str"/>
      <x:c r="F445" s="2" t="str">
        <x:v>A_EXAMPLE</x:v>
      </x:c>
      <x:c r="G445" s="2" t="str">
        <x:v>C-CAPITAL;C-DCF-plant-managed</x:v>
      </x:c>
    </x:row>
    <x:row r="446" ht="55" customHeight="1">
      <x:c r="A446" s="2" t="str">
        <x:v>CL-sensitivity-boundaries-headline</x:v>
      </x:c>
      <x:c r="B446" s="2" t="n">
        <x:v>83</x:v>
      </x:c>
      <x:c r="C446" s="2" t="str">
        <x:v>630 one-variable and75 two-variable cases rerun the full cash model.</x:v>
      </x:c>
      <x:c r="D446" s="2" t="str">
        <x:v>Modelled outcome</x:v>
      </x:c>
      <x:c r="E446" s="2" t="str"/>
      <x:c r="F446" s="2" t="str">
        <x:v>A_EXAMPLE</x:v>
      </x:c>
      <x:c r="G446" s="2" t="str">
        <x:v>C-SENSITIVITY</x:v>
      </x:c>
    </x:row>
    <x:row r="447" ht="55" customHeight="1">
      <x:c r="A447" s="2" t="str">
        <x:v>CL-sensitivity-boundaries-body1</x:v>
      </x:c>
      <x:c r="B447" s="2" t="n">
        <x:v>83</x:v>
      </x:c>
      <x:c r="C447" s="2" t="str">
        <x:v>Choose structural ranges rather than pretend they are country comparables.</x:v>
      </x:c>
      <x:c r="D447" s="2" t="str">
        <x:v>Modelled outcome</x:v>
      </x:c>
      <x:c r="E447" s="2" t="str"/>
      <x:c r="F447" s="2" t="str">
        <x:v>A_EXAMPLE</x:v>
      </x:c>
      <x:c r="G447" s="2" t="str">
        <x:v>C-SENSITIVITY</x:v>
      </x:c>
    </x:row>
    <x:row r="448" ht="55" customHeight="1">
      <x:c r="A448" s="2" t="str">
        <x:v>CL-sensitivity-boundaries-body2</x:v>
      </x:c>
      <x:c r="B448" s="2" t="n">
        <x:v>83</x:v>
      </x:c>
      <x:c r="C448" s="2" t="str">
        <x:v>Inspect sensitivity-one-variable.csv and sensitivity-two-variable.csv; actual country prices, capex and liquidity remain unknown.</x:v>
      </x:c>
      <x:c r="D448" s="2" t="str">
        <x:v>Modelled outcome</x:v>
      </x:c>
      <x:c r="E448" s="2" t="str"/>
      <x:c r="F448" s="2" t="str">
        <x:v>A_EXAMPLE</x:v>
      </x:c>
      <x:c r="G448" s="2" t="str">
        <x:v>C-SENSITIVITY</x:v>
      </x:c>
    </x:row>
    <x:row r="449" ht="55" customHeight="1">
      <x:c r="A449" s="2" t="str">
        <x:v>CL-sensitivity-boundaries-table_row1</x:v>
      </x:c>
      <x:c r="B449" s="2" t="n">
        <x:v>83</x:v>
      </x:c>
      <x:c r="C449" s="2" t="str">
        <x:v>70% initial orders | -32.09 | -13.08 | 2.12</x:v>
      </x:c>
      <x:c r="D449" s="2" t="str">
        <x:v>Modelled outcome</x:v>
      </x:c>
      <x:c r="E449" s="2" t="str"/>
      <x:c r="F449" s="2" t="str">
        <x:v>A_EXAMPLE</x:v>
      </x:c>
      <x:c r="G449" s="2" t="str">
        <x:v>C-SENSITIVITY</x:v>
      </x:c>
    </x:row>
    <x:row r="450" ht="55" customHeight="1">
      <x:c r="A450" s="2" t="str">
        <x:v>CL-sensitivity-boundaries-table_row2</x:v>
      </x:c>
      <x:c r="B450" s="2" t="n">
        <x:v>83</x:v>
      </x:c>
      <x:c r="C450" s="2" t="str">
        <x:v>100% initial orders | -25.33 | -1.80 | 19.61</x:v>
      </x:c>
      <x:c r="D450" s="2" t="str">
        <x:v>Modelled outcome</x:v>
      </x:c>
      <x:c r="E450" s="2" t="str"/>
      <x:c r="F450" s="2" t="str">
        <x:v>A_EXAMPLE</x:v>
      </x:c>
      <x:c r="G450" s="2" t="str">
        <x:v>C-SENSITIVITY</x:v>
      </x:c>
    </x:row>
    <x:row r="451" ht="55" customHeight="1">
      <x:c r="A451" s="2" t="str">
        <x:v>CL-sensitivity-boundaries-table_row3</x:v>
      </x:c>
      <x:c r="B451" s="2" t="n">
        <x:v>83</x:v>
      </x:c>
      <x:c r="C451" s="2" t="str">
        <x:v>130% initial orders | -19.26 | 8.61 | 36.01</x:v>
      </x:c>
      <x:c r="D451" s="2" t="str">
        <x:v>Modelled outcome</x:v>
      </x:c>
      <x:c r="E451" s="2" t="str"/>
      <x:c r="F451" s="2" t="str">
        <x:v>A_EXAMPLE</x:v>
      </x:c>
      <x:c r="G451" s="2" t="str">
        <x:v>C-SENSITIVITY</x:v>
      </x:c>
    </x:row>
    <x:row r="452" ht="55" customHeight="1">
      <x:c r="A452" s="2" t="str">
        <x:v>CL-seasonal-cash-headline</x:v>
      </x:c>
      <x:c r="B452" s="2" t="n">
        <x:v>84</x:v>
      </x:c>
      <x:c r="C452" s="2" t="str">
        <x:v>A separate monthly teaching case reconciles stock and collections.</x:v>
      </x:c>
      <x:c r="D452" s="2" t="str">
        <x:v>Modelled outcome</x:v>
      </x:c>
      <x:c r="E452" s="2" t="str"/>
      <x:c r="F452" s="2" t="str">
        <x:v>A_EXAMPLE</x:v>
      </x:c>
      <x:c r="G452" s="2" t="str">
        <x:v>C-MONTHLY</x:v>
      </x:c>
    </x:row>
    <x:row r="453" ht="55" customHeight="1">
      <x:c r="A453" s="2" t="str">
        <x:v>CL-seasonal-cash-body1</x:v>
      </x:c>
      <x:c r="B453" s="2" t="n">
        <x:v>84</x:v>
      </x:c>
      <x:c r="C453" s="2" t="str">
        <x:v>100,000t annual production equals delivered orders; opening8,000t stock remains nonnegative through the seasonal calendar.</x:v>
      </x:c>
      <x:c r="D453" s="2" t="str">
        <x:v>Modelled outcome</x:v>
      </x:c>
      <x:c r="E453" s="2" t="str"/>
      <x:c r="F453" s="2" t="str">
        <x:v>A_EXAMPLE</x:v>
      </x:c>
      <x:c r="G453" s="2" t="str">
        <x:v>C-MONTHLY</x:v>
      </x:c>
    </x:row>
    <x:row r="454" ht="55" customHeight="1">
      <x:c r="A454" s="2" t="str">
        <x:v>CL-seasonal-cash-body2</x:v>
      </x:c>
      <x:c r="B454" s="2" t="n">
        <x:v>84</x:v>
      </x:c>
      <x:c r="C454" s="2" t="str">
        <x:v>Credit sales and eligible purchases settle next month; actual taxes, ramp, collateral and FX are absent.</x:v>
      </x:c>
      <x:c r="D454" s="2" t="str">
        <x:v>Modelled outcome</x:v>
      </x:c>
      <x:c r="E454" s="2" t="str"/>
      <x:c r="F454" s="2" t="str">
        <x:v>A_EXAMPLE</x:v>
      </x:c>
      <x:c r="G454" s="2" t="str">
        <x:v>C-MONTHLY</x:v>
      </x:c>
    </x:row>
    <x:row r="455" ht="55" customHeight="1">
      <x:c r="A455" s="2" t="str">
        <x:v>CL-seasonal-cash-table_row1</x:v>
      </x:c>
      <x:c r="B455" s="2" t="n">
        <x:v>84</x:v>
      </x:c>
      <x:c r="C455" s="2" t="str">
        <x:v>Opening capex + stock | 22.72 USDm</x:v>
      </x:c>
      <x:c r="D455" s="2" t="str">
        <x:v>Modelled outcome</x:v>
      </x:c>
      <x:c r="E455" s="2" t="str"/>
      <x:c r="F455" s="2" t="str">
        <x:v>A_EXAMPLE</x:v>
      </x:c>
      <x:c r="G455" s="2" t="str">
        <x:v>C-MONTHLY</x:v>
      </x:c>
    </x:row>
    <x:row r="456" ht="55" customHeight="1">
      <x:c r="A456" s="2" t="str">
        <x:v>CL-seasonal-cash-table_row2</x:v>
      </x:c>
      <x:c r="B456" s="2" t="n">
        <x:v>84</x:v>
      </x:c>
      <x:c r="C456" s="2" t="str">
        <x:v>Annual revenue | 40.00 USDm</x:v>
      </x:c>
      <x:c r="D456" s="2" t="str">
        <x:v>Modelled outcome</x:v>
      </x:c>
      <x:c r="E456" s="2" t="str"/>
      <x:c r="F456" s="2" t="str">
        <x:v>A_EXAMPLE</x:v>
      </x:c>
      <x:c r="G456" s="2" t="str">
        <x:v>C-MONTHLY</x:v>
      </x:c>
    </x:row>
    <x:row r="457" ht="55" customHeight="1">
      <x:c r="A457" s="2" t="str">
        <x:v>CL-seasonal-cash-table_row3</x:v>
      </x:c>
      <x:c r="B457" s="2" t="n">
        <x:v>84</x:v>
      </x:c>
      <x:c r="C457" s="2" t="str">
        <x:v>Monthly peak funding | 24.41 USDm</x:v>
      </x:c>
      <x:c r="D457" s="2" t="str">
        <x:v>Modelled outcome</x:v>
      </x:c>
      <x:c r="E457" s="2" t="str"/>
      <x:c r="F457" s="2" t="str">
        <x:v>A_EXAMPLE</x:v>
      </x:c>
      <x:c r="G457" s="2" t="str">
        <x:v>C-MONTHLY</x:v>
      </x:c>
    </x:row>
    <x:row r="458" ht="55" customHeight="1">
      <x:c r="A458" s="2" t="str">
        <x:v>CL-model-diagnostics-headline</x:v>
      </x:c>
      <x:c r="B458" s="2" t="n">
        <x:v>85</x:v>
      </x:c>
      <x:c r="C458" s="2" t="str">
        <x:v>The supply regression remains rejected for investment forecasting.</x:v>
      </x:c>
      <x:c r="D458" s="2" t="str">
        <x:v>Modelled outcome</x:v>
      </x:c>
      <x:c r="E458" s="2" t="str">
        <x:v>WB_food_index;WB_income_ppp;WB_urban;WB_cereal_yield</x:v>
      </x:c>
      <x:c r="F458" s="2" t="str"/>
      <x:c r="G458" s="2" t="str">
        <x:v>C-OLS</x:v>
      </x:c>
    </x:row>
    <x:row r="459" ht="55" customHeight="1">
      <x:c r="A459" s="2" t="str">
        <x:v>CL-model-diagnostics-table_row1</x:v>
      </x:c>
      <x:c r="B459" s="2" t="n">
        <x:v>85</x:v>
      </x:c>
      <x:c r="C459" s="2" t="str">
        <x:v>Scaled design condition number | 1.061</x:v>
      </x:c>
      <x:c r="D459" s="2" t="str">
        <x:v>Modelled outcome</x:v>
      </x:c>
      <x:c r="E459" s="2" t="str">
        <x:v>WB_food_index;WB_income_ppp;WB_urban;WB_cereal_yield</x:v>
      </x:c>
      <x:c r="F459" s="2" t="str"/>
      <x:c r="G459" s="2" t="str">
        <x:v>C-OLS</x:v>
      </x:c>
    </x:row>
    <x:row r="460" ht="55" customHeight="1">
      <x:c r="A460" s="2" t="str">
        <x:v>CL-model-diagnostics-table_row2</x:v>
      </x:c>
      <x:c r="B460" s="2" t="n">
        <x:v>85</x:v>
      </x:c>
      <x:c r="C460" s="2" t="str">
        <x:v>VIF income / urban / yield | 1.00 / 1.00 / 1.00</x:v>
      </x:c>
      <x:c r="D460" s="2" t="str">
        <x:v>Modelled outcome</x:v>
      </x:c>
      <x:c r="E460" s="2" t="str">
        <x:v>WB_food_index;WB_income_ppp;WB_urban;WB_cereal_yield</x:v>
      </x:c>
      <x:c r="F460" s="2" t="str"/>
      <x:c r="G460" s="2" t="str">
        <x:v>C-OLS</x:v>
      </x:c>
    </x:row>
    <x:row r="461" ht="55" customHeight="1">
      <x:c r="A461" s="2" t="str">
        <x:v>CL-model-diagnostics-table_row3</x:v>
      </x:c>
      <x:c r="B461" s="2" t="n">
        <x:v>85</x:v>
      </x:c>
      <x:c r="C461" s="2" t="str">
        <x:v>Validation | Year/region holdouts and split-sample signs</x:v>
      </x:c>
      <x:c r="D461" s="2" t="str">
        <x:v>Modelled outcome</x:v>
      </x:c>
      <x:c r="E461" s="2" t="str">
        <x:v>WB_food_index;WB_income_ppp;WB_urban;WB_cereal_yield</x:v>
      </x:c>
      <x:c r="F461" s="2" t="str"/>
      <x:c r="G461" s="2" t="str">
        <x:v>C-OLS</x:v>
      </x:c>
    </x:row>
    <x:row r="462" ht="55" customHeight="1">
      <x:c r="A462" s="2" t="str">
        <x:v>CL-model-diagnostics-table_row4</x:v>
      </x:c>
      <x:c r="B462" s="2" t="n">
        <x:v>85</x:v>
      </x:c>
      <x:c r="C462" s="2" t="str">
        <x:v>Residual plots | regression-diagnostics.pdf / PNG</x:v>
      </x:c>
      <x:c r="D462" s="2" t="str">
        <x:v>Modelled outcome</x:v>
      </x:c>
      <x:c r="E462" s="2" t="str">
        <x:v>WB_food_index;WB_income_ppp;WB_urban;WB_cereal_yield</x:v>
      </x:c>
      <x:c r="F462" s="2" t="str"/>
      <x:c r="G462" s="2" t="str">
        <x:v>C-OLS</x:v>
      </x:c>
    </x:row>
    <x:row r="463" ht="55" customHeight="1">
      <x:c r="A463" s="2" t="str">
        <x:v>CL-model-diagnostics-table_row5</x:v>
      </x:c>
      <x:c r="B463" s="2" t="n">
        <x:v>85</x:v>
      </x:c>
      <x:c r="C463" s="2" t="str">
        <x:v>Decision | Acquire product/customer data; retain simple benchmark</x:v>
      </x:c>
      <x:c r="D463" s="2" t="str">
        <x:v>Modelled outcome</x:v>
      </x:c>
      <x:c r="E463" s="2" t="str">
        <x:v>WB_food_index;WB_income_ppp;WB_urban;WB_cereal_yield</x:v>
      </x:c>
      <x:c r="F463" s="2" t="str"/>
      <x:c r="G463" s="2" t="str">
        <x:v>C-OLS</x:v>
      </x:c>
    </x:row>
    <x:row r="464" ht="55" customHeight="1">
      <x:c r="A464" s="2" t="str">
        <x:v>CL-dependence-tails-headline</x:v>
      </x:c>
      <x:c r="B464" s="2" t="n">
        <x:v>86</x:v>
      </x:c>
      <x:c r="C464" s="2" t="str">
        <x:v>A PSD factor matrix is checked; the shocks remain uncalibrated.</x:v>
      </x:c>
      <x:c r="D464" s="2" t="str">
        <x:v>Modelled outcome</x:v>
      </x:c>
      <x:c r="E464" s="2" t="str">
        <x:v>CVAR</x:v>
      </x:c>
      <x:c r="F464" s="2" t="str">
        <x:v>A_EXAMPLE</x:v>
      </x:c>
      <x:c r="G464" s="2" t="str">
        <x:v>C-DEPENDENCE</x:v>
      </x:c>
    </x:row>
    <x:row r="465" ht="55" customHeight="1">
      <x:c r="A465" s="2" t="str">
        <x:v>CL-dependence-tails-body1</x:v>
      </x:c>
      <x:c r="B465" s="2" t="n">
        <x:v>86</x:v>
      </x:c>
      <x:c r="C465" s="2" t="str">
        <x:v>Covariance=L Lᵀ; eigenvalues checked. Parameter uncertainty and actual hazard/operating likelihoods remain unestimated.</x:v>
      </x:c>
      <x:c r="D465" s="2" t="str">
        <x:v>Modelled outcome</x:v>
      </x:c>
      <x:c r="E465" s="2" t="str">
        <x:v>CVAR</x:v>
      </x:c>
      <x:c r="F465" s="2" t="str">
        <x:v>A_EXAMPLE</x:v>
      </x:c>
      <x:c r="G465" s="2" t="str">
        <x:v>C-DEPENDENCE</x:v>
      </x:c>
    </x:row>
    <x:row r="466" ht="55" customHeight="1">
      <x:c r="A466" s="2" t="str">
        <x:v>CL-dependence-tails-table_row1</x:v>
      </x:c>
      <x:c r="B466" s="2" t="n">
        <x:v>86</x:v>
      </x:c>
      <x:c r="C466" s="2" t="str">
        <x:v>dependent normal | -18.91 | 29.14</x:v>
      </x:c>
      <x:c r="D466" s="2" t="str">
        <x:v>Modelled outcome</x:v>
      </x:c>
      <x:c r="E466" s="2" t="str">
        <x:v>CVAR</x:v>
      </x:c>
      <x:c r="F466" s="2" t="str">
        <x:v>A_EXAMPLE</x:v>
      </x:c>
      <x:c r="G466" s="2" t="str">
        <x:v>C-DEPENDENCE</x:v>
      </x:c>
    </x:row>
    <x:row r="467" ht="55" customHeight="1">
      <x:c r="A467" s="2" t="str">
        <x:v>CL-dependence-tails-table_row2</x:v>
      </x:c>
      <x:c r="B467" s="2" t="n">
        <x:v>86</x:v>
      </x:c>
      <x:c r="C467" s="2" t="str">
        <x:v>independent normal | -14.96 | 22.71</x:v>
      </x:c>
      <x:c r="D467" s="2" t="str">
        <x:v>Modelled outcome</x:v>
      </x:c>
      <x:c r="E467" s="2" t="str">
        <x:v>CVAR</x:v>
      </x:c>
      <x:c r="F467" s="2" t="str">
        <x:v>A_EXAMPLE</x:v>
      </x:c>
      <x:c r="G467" s="2" t="str">
        <x:v>C-DEPENDENCE</x:v>
      </x:c>
    </x:row>
    <x:row r="468" ht="55" customHeight="1">
      <x:c r="A468" s="2" t="str">
        <x:v>CL-dependence-tails-table_row3</x:v>
      </x:c>
      <x:c r="B468" s="2" t="n">
        <x:v>86</x:v>
      </x:c>
      <x:c r="C468" s="2" t="str">
        <x:v>dependent student t5 | -17.50 | 29.23</x:v>
      </x:c>
      <x:c r="D468" s="2" t="str">
        <x:v>Modelled outcome</x:v>
      </x:c>
      <x:c r="E468" s="2" t="str">
        <x:v>CVAR</x:v>
      </x:c>
      <x:c r="F468" s="2" t="str">
        <x:v>A_EXAMPLE</x:v>
      </x:c>
      <x:c r="G468" s="2" t="str">
        <x:v>C-DEPENDENCE</x:v>
      </x:c>
    </x:row>
    <x:row r="469" ht="55" customHeight="1">
      <x:c r="A469" s="2" t="str">
        <x:v>CL-imperfect-learning-headline</x:v>
      </x:c>
      <x:c r="B469" s="2" t="n">
        <x:v>87</x:v>
      </x:c>
      <x:c r="C469" s="2" t="str">
        <x:v>The chosen imperfect test earns0.70 USDm net value.</x:v>
      </x:c>
      <x:c r="D469" s="2" t="str">
        <x:v>Modelled outcome</x:v>
      </x:c>
      <x:c r="E469" s="2" t="str"/>
      <x:c r="F469" s="2" t="str">
        <x:v>A_EXAMPLE</x:v>
      </x:c>
      <x:c r="G469" s="2" t="str">
        <x:v>C-EVSI</x:v>
      </x:c>
    </x:row>
    <x:row r="470" ht="55" customHeight="1">
      <x:c r="A470" s="2" t="str">
        <x:v>CL-imperfect-learning-table_row1</x:v>
      </x:c>
      <x:c r="B470" s="2" t="n">
        <x:v>87</x:v>
      </x:c>
      <x:c r="C470" s="2" t="str">
        <x:v>Prior good / symmetric accuracy | 0.50 /0.80</x:v>
      </x:c>
      <x:c r="D470" s="2" t="str">
        <x:v>Modelled outcome</x:v>
      </x:c>
      <x:c r="E470" s="2" t="str"/>
      <x:c r="F470" s="2" t="str">
        <x:v>A_EXAMPLE</x:v>
      </x:c>
      <x:c r="G470" s="2" t="str">
        <x:v>C-EVSI</x:v>
      </x:c>
    </x:row>
    <x:row r="471" ht="55" customHeight="1">
      <x:c r="A471" s="2" t="str">
        <x:v>CL-imperfect-learning-table_row2</x:v>
      </x:c>
      <x:c r="B471" s="2" t="n">
        <x:v>87</x:v>
      </x:c>
      <x:c r="C471" s="2" t="str">
        <x:v>Best before / after study | 1.00 /3.20 USDm</x:v>
      </x:c>
      <x:c r="D471" s="2" t="str">
        <x:v>Modelled outcome</x:v>
      </x:c>
      <x:c r="E471" s="2" t="str"/>
      <x:c r="F471" s="2" t="str">
        <x:v>A_EXAMPLE</x:v>
      </x:c>
      <x:c r="G471" s="2" t="str">
        <x:v>C-EVSI</x:v>
      </x:c>
    </x:row>
    <x:row r="472" ht="55" customHeight="1">
      <x:c r="A472" s="2" t="str">
        <x:v>CL-imperfect-learning-table_row3</x:v>
      </x:c>
      <x:c r="B472" s="2" t="n">
        <x:v>87</x:v>
      </x:c>
      <x:c r="C472" s="2" t="str">
        <x:v>Gross EVSI / study + delay | 2.20 /1.50 USDm</x:v>
      </x:c>
      <x:c r="D472" s="2" t="str">
        <x:v>Modelled outcome</x:v>
      </x:c>
      <x:c r="E472" s="2" t="str"/>
      <x:c r="F472" s="2" t="str">
        <x:v>A_EXAMPLE</x:v>
      </x:c>
      <x:c r="G472" s="2" t="str">
        <x:v>C-EVSI</x:v>
      </x:c>
    </x:row>
    <x:row r="473" ht="55" customHeight="1">
      <x:c r="A473" s="2" t="str">
        <x:v>CL-imperfect-learning-table_row4</x:v>
      </x:c>
      <x:c r="B473" s="2" t="n">
        <x:v>87</x:v>
      </x:c>
      <x:c r="C473" s="2" t="str">
        <x:v>Net EVSI / perfect-information ceiling | 0.70 /2.50 USDm</x:v>
      </x:c>
      <x:c r="D473" s="2" t="str">
        <x:v>Modelled outcome</x:v>
      </x:c>
      <x:c r="E473" s="2" t="str"/>
      <x:c r="F473" s="2" t="str">
        <x:v>A_EXAMPLE</x:v>
      </x:c>
      <x:c r="G473" s="2" t="str">
        <x:v>C-EVSI</x:v>
      </x:c>
    </x:row>
    <x:row r="474" ht="55" customHeight="1">
      <x:c r="A474" s="2" t="str">
        <x:v>CL-imperfect-learning-table_row5</x:v>
      </x:c>
      <x:c r="B474" s="2" t="n">
        <x:v>87</x:v>
      </x:c>
      <x:c r="C474" s="2" t="str">
        <x:v>Accuracy switching boundary | q&gt;0.7222 for positive net value</x:v>
      </x:c>
      <x:c r="D474" s="2" t="str">
        <x:v>Modelled outcome</x:v>
      </x:c>
      <x:c r="E474" s="2" t="str"/>
      <x:c r="F474" s="2" t="str">
        <x:v>A_EXAMPLE</x:v>
      </x:c>
      <x:c r="G474" s="2" t="str">
        <x:v>C-EVSI</x:v>
      </x:c>
    </x:row>
    <x:row r="475" ht="55" customHeight="1">
      <x:c r="A475" s="2" t="str">
        <x:v>CL-marketing-capacity-headline</x:v>
      </x:c>
      <x:c r="B475" s="2" t="n">
        <x:v>88</x:v>
      </x:c>
      <x:c r="C475" s="2" t="str">
        <x:v>A physical bottleneck can make added demand destroy contribution.</x:v>
      </x:c>
      <x:c r="D475" s="2" t="str">
        <x:v>Modelled outcome</x:v>
      </x:c>
      <x:c r="E475" s="2" t="str"/>
      <x:c r="F475" s="2" t="str">
        <x:v>A_EXAMPLE</x:v>
      </x:c>
      <x:c r="G475" s="2" t="str">
        <x:v>C-CAPACITY-MARKETING</x:v>
      </x:c>
    </x:row>
    <x:row r="476" ht="55" customHeight="1">
      <x:c r="A476" s="2" t="str">
        <x:v>CL-marketing-capacity-body1</x:v>
      </x:c>
      <x:c r="B476" s="2" t="n">
        <x:v>88</x:v>
      </x:c>
      <x:c r="C476" s="2" t="str">
        <x:v>Margin60 USD/t; added orders30t; marketing500, service200, repair300 USD. This is a mechanism test, not an observed lift.</x:v>
      </x:c>
      <x:c r="D476" s="2" t="str">
        <x:v>Modelled outcome</x:v>
      </x:c>
      <x:c r="E476" s="2" t="str"/>
      <x:c r="F476" s="2" t="str">
        <x:v>A_EXAMPLE</x:v>
      </x:c>
      <x:c r="G476" s="2" t="str">
        <x:v>C-CAPACITY-MARKETING</x:v>
      </x:c>
    </x:row>
    <x:row r="477" ht="55" customHeight="1">
      <x:c r="A477" s="2" t="str">
        <x:v>CL-marketing-capacity-table_row1</x:v>
      </x:c>
      <x:c r="B477" s="2" t="n">
        <x:v>88</x:v>
      </x:c>
      <x:c r="C477" s="2" t="str">
        <x:v>Marketing, original100t capacity | −100</x:v>
      </x:c>
      <x:c r="D477" s="2" t="str">
        <x:v>Modelled outcome</x:v>
      </x:c>
      <x:c r="E477" s="2" t="str"/>
      <x:c r="F477" s="2" t="str">
        <x:v>A_EXAMPLE</x:v>
      </x:c>
      <x:c r="G477" s="2" t="str">
        <x:v>C-CAPACITY-MARKETING</x:v>
      </x:c>
    </x:row>
    <x:row r="478" ht="55" customHeight="1">
      <x:c r="A478" s="2" t="str">
        <x:v>CL-marketing-capacity-table_row2</x:v>
      </x:c>
      <x:c r="B478" s="2" t="n">
        <x:v>88</x:v>
      </x:c>
      <x:c r="C478" s="2" t="str">
        <x:v>Marketing,120t headroom | 1,100</x:v>
      </x:c>
      <x:c r="D478" s="2" t="str">
        <x:v>Modelled outcome</x:v>
      </x:c>
      <x:c r="E478" s="2" t="str"/>
      <x:c r="F478" s="2" t="str">
        <x:v>A_EXAMPLE</x:v>
      </x:c>
      <x:c r="G478" s="2" t="str">
        <x:v>C-CAPACITY-MARKETING</x:v>
      </x:c>
    </x:row>
    <x:row r="479" ht="55" customHeight="1">
      <x:c r="A479" s="2" t="str">
        <x:v>CL-marketing-capacity-table_row3</x:v>
      </x:c>
      <x:c r="B479" s="2" t="n">
        <x:v>88</x:v>
      </x:c>
      <x:c r="C479" s="2" t="str">
        <x:v>Repair + marketing,120t capacity | 800</x:v>
      </x:c>
      <x:c r="D479" s="2" t="str">
        <x:v>Modelled outcome</x:v>
      </x:c>
      <x:c r="E479" s="2" t="str"/>
      <x:c r="F479" s="2" t="str">
        <x:v>A_EXAMPLE</x:v>
      </x:c>
      <x:c r="G479" s="2" t="str">
        <x:v>C-CAPACITY-MARKETING</x:v>
      </x:c>
    </x:row>
    <x:row r="480" ht="55" customHeight="1">
      <x:c r="A480" s="2" t="str">
        <x:v>CL-marketing-capacity-table_row4</x:v>
      </x:c>
      <x:c r="B480" s="2" t="n">
        <x:v>88</x:v>
      </x:c>
      <x:c r="C480" s="2" t="str">
        <x:v>Repair only, unchanged90t orders | −300</x:v>
      </x:c>
      <x:c r="D480" s="2" t="str">
        <x:v>Modelled outcome</x:v>
      </x:c>
      <x:c r="E480" s="2" t="str"/>
      <x:c r="F480" s="2" t="str">
        <x:v>A_EXAMPLE</x:v>
      </x:c>
      <x:c r="G480" s="2" t="str">
        <x:v>C-CAPACITY-MARKETING</x:v>
      </x:c>
    </x:row>
    <x:row r="481" ht="55" customHeight="1">
      <x:c r="A481" s="2" t="str">
        <x:v>CL-network-constraints-headline</x:v>
      </x:c>
      <x:c r="B481" s="2" t="n">
        <x:v>89</x:v>
      </x:c>
      <x:c r="C481" s="2" t="str">
        <x:v>The chosen network LP blocks an inaccessible route.</x:v>
      </x:c>
      <x:c r="D481" s="2" t="str">
        <x:v>Modelled outcome</x:v>
      </x:c>
      <x:c r="E481" s="2" t="str"/>
      <x:c r="F481" s="2" t="str">
        <x:v>A_EXAMPLE</x:v>
      </x:c>
      <x:c r="G481" s="2" t="str">
        <x:v>C-NETWORK</x:v>
      </x:c>
    </x:row>
    <x:row r="482" ht="55" customHeight="1">
      <x:c r="A482" s="2" t="str">
        <x:v>CL-network-constraints-body1</x:v>
      </x:c>
      <x:c r="B482" s="2" t="n">
        <x:v>89</x:v>
      </x:c>
      <x:c r="C482" s="2" t="str">
        <x:v>Toy total contribution4,950 USD; no actual avoided-loss synergy, financing or 25-year NPV assigned.</x:v>
      </x:c>
      <x:c r="D482" s="2" t="str">
        <x:v>Modelled outcome</x:v>
      </x:c>
      <x:c r="E482" s="2" t="str"/>
      <x:c r="F482" s="2" t="str">
        <x:v>A_EXAMPLE</x:v>
      </x:c>
      <x:c r="G482" s="2" t="str">
        <x:v>C-NETWORK</x:v>
      </x:c>
    </x:row>
    <x:row r="483" ht="55" customHeight="1">
      <x:c r="A483" s="2" t="str">
        <x:v>CL-network-constraints-table_row1</x:v>
      </x:c>
      <x:c r="B483" s="2" t="n">
        <x:v>89</x:v>
      </x:c>
      <x:c r="C483" s="2" t="str">
        <x:v>A → Buyer1 | 60 | 30</x:v>
      </x:c>
      <x:c r="D483" s="2" t="str">
        <x:v>Modelled outcome</x:v>
      </x:c>
      <x:c r="E483" s="2" t="str"/>
      <x:c r="F483" s="2" t="str">
        <x:v>A_EXAMPLE</x:v>
      </x:c>
      <x:c r="G483" s="2" t="str">
        <x:v>C-NETWORK</x:v>
      </x:c>
    </x:row>
    <x:row r="484" ht="55" customHeight="1">
      <x:c r="A484" s="2" t="str">
        <x:v>CL-network-constraints-table_row2</x:v>
      </x:c>
      <x:c r="B484" s="2" t="n">
        <x:v>89</x:v>
      </x:c>
      <x:c r="C484" s="2" t="str">
        <x:v>A → Buyer2 | 30 | 25</x:v>
      </x:c>
      <x:c r="D484" s="2" t="str">
        <x:v>Modelled outcome</x:v>
      </x:c>
      <x:c r="E484" s="2" t="str"/>
      <x:c r="F484" s="2" t="str">
        <x:v>A_EXAMPLE</x:v>
      </x:c>
      <x:c r="G484" s="2" t="str">
        <x:v>C-NETWORK</x:v>
      </x:c>
    </x:row>
    <x:row r="485" ht="55" customHeight="1">
      <x:c r="A485" s="2" t="str">
        <x:v>CL-network-constraints-table_row3</x:v>
      </x:c>
      <x:c r="B485" s="2" t="n">
        <x:v>89</x:v>
      </x:c>
      <x:c r="C485" s="2" t="str">
        <x:v>A → Buyer3 | 0 | 10</x:v>
      </x:c>
      <x:c r="D485" s="2" t="str">
        <x:v>Modelled outcome</x:v>
      </x:c>
      <x:c r="E485" s="2" t="str"/>
      <x:c r="F485" s="2" t="str">
        <x:v>A_EXAMPLE</x:v>
      </x:c>
      <x:c r="G485" s="2" t="str">
        <x:v>C-NETWORK</x:v>
      </x:c>
    </x:row>
    <x:row r="486" ht="55" customHeight="1">
      <x:c r="A486" s="2" t="str">
        <x:v>CL-network-constraints-table_row4</x:v>
      </x:c>
      <x:c r="B486" s="2" t="n">
        <x:v>89</x:v>
      </x:c>
      <x:c r="C486" s="2" t="str">
        <x:v>B → Buyer1 | 10 | 20</x:v>
      </x:c>
      <x:c r="D486" s="2" t="str">
        <x:v>Modelled outcome</x:v>
      </x:c>
      <x:c r="E486" s="2" t="str"/>
      <x:c r="F486" s="2" t="str">
        <x:v>A_EXAMPLE</x:v>
      </x:c>
      <x:c r="G486" s="2" t="str">
        <x:v>C-NETWORK</x:v>
      </x:c>
    </x:row>
    <x:row r="487" ht="55" customHeight="1">
      <x:c r="A487" s="2" t="str">
        <x:v>CL-network-constraints-table_row5</x:v>
      </x:c>
      <x:c r="B487" s="2" t="n">
        <x:v>89</x:v>
      </x:c>
      <x:c r="C487" s="2" t="str">
        <x:v>B → Buyer2 | 50 | 35</x:v>
      </x:c>
      <x:c r="D487" s="2" t="str">
        <x:v>Modelled outcome</x:v>
      </x:c>
      <x:c r="E487" s="2" t="str"/>
      <x:c r="F487" s="2" t="str">
        <x:v>A_EXAMPLE</x:v>
      </x:c>
      <x:c r="G487" s="2" t="str">
        <x:v>C-NETWORK</x:v>
      </x:c>
    </x:row>
    <x:row r="488" ht="55" customHeight="1">
      <x:c r="A488" s="2" t="str">
        <x:v>CL-network-constraints-table_row6</x:v>
      </x:c>
      <x:c r="B488" s="2" t="n">
        <x:v>89</x:v>
      </x:c>
      <x:c r="C488" s="2" t="str">
        <x:v>B → Buyer3 | 30 | 15</x:v>
      </x:c>
      <x:c r="D488" s="2" t="str">
        <x:v>Modelled outcome</x:v>
      </x:c>
      <x:c r="E488" s="2" t="str"/>
      <x:c r="F488" s="2" t="str">
        <x:v>A_EXAMPLE</x:v>
      </x:c>
      <x:c r="G488" s="2" t="str">
        <x:v>C-NETWORK</x:v>
      </x:c>
    </x:row>
    <x:row r="489" ht="55" customHeight="1">
      <x:c r="A489" s="2" t="str">
        <x:v>CL-policy-benchmarks-headline</x:v>
      </x:c>
      <x:c r="B489" s="2" t="n">
        <x:v>90</x:v>
      </x:c>
      <x:c r="C489" s="2" t="str">
        <x:v>Feasibility changes what can be called optimal.</x:v>
      </x:c>
      <x:c r="D489" s="2" t="str">
        <x:v>Modelled outcome</x:v>
      </x:c>
      <x:c r="E489" s="2" t="str"/>
      <x:c r="F489" s="2" t="str">
        <x:v>A_EXAMPLE</x:v>
      </x:c>
      <x:c r="G489" s="2" t="str">
        <x:v>C-REGRET</x:v>
      </x:c>
    </x:row>
    <x:row r="490" ht="55" customHeight="1">
      <x:c r="A490" s="2" t="str">
        <x:v>CL-policy-benchmarks-body1</x:v>
      </x:c>
      <x:c r="B490" s="2" t="n">
        <x:v>90</x:v>
      </x:c>
      <x:c r="C490" s="2" t="str">
        <x:v>Partner wins among4 indivisible actions. A linear scalable27.27% owned/72.73% partner mix lowers regret to2.91; real assets may not permit the relaxation.</x:v>
      </x:c>
      <x:c r="D490" s="2" t="str">
        <x:v>Modelled outcome</x:v>
      </x:c>
      <x:c r="E490" s="2" t="str"/>
      <x:c r="F490" s="2" t="str">
        <x:v>A_EXAMPLE</x:v>
      </x:c>
      <x:c r="G490" s="2" t="str">
        <x:v>C-REGRET</x:v>
      </x:c>
    </x:row>
    <x:row r="491" ht="55" customHeight="1">
      <x:c r="A491" s="2" t="str">
        <x:v>CL-policy-benchmarks-table_row1</x:v>
      </x:c>
      <x:c r="B491" s="2" t="n">
        <x:v>90</x:v>
      </x:c>
      <x:c r="C491" s="2" t="str">
        <x:v>Equal linear split (relaxed) | -3.00 | 3.67</x:v>
      </x:c>
      <x:c r="D491" s="2" t="str">
        <x:v>Modelled outcome</x:v>
      </x:c>
      <x:c r="E491" s="2" t="str"/>
      <x:c r="F491" s="2" t="str">
        <x:v>A_EXAMPLE</x:v>
      </x:c>
      <x:c r="G491" s="2" t="str">
        <x:v>C-REGRET</x:v>
      </x:c>
    </x:row>
    <x:row r="492" ht="55" customHeight="1">
      <x:c r="A492" s="2" t="str">
        <x:v>CL-policy-benchmarks-table_row2</x:v>
      </x:c>
      <x:c r="B492" s="2" t="n">
        <x:v>90</x:v>
      </x:c>
      <x:c r="C492" s="2" t="str">
        <x:v>Market-size / central owned | -8.00 | 8.00</x:v>
      </x:c>
      <x:c r="D492" s="2" t="str">
        <x:v>Modelled outcome</x:v>
      </x:c>
      <x:c r="E492" s="2" t="str"/>
      <x:c r="F492" s="2" t="str">
        <x:v>A_EXAMPLE</x:v>
      </x:c>
      <x:c r="G492" s="2" t="str">
        <x:v>C-REGRET</x:v>
      </x:c>
    </x:row>
    <x:row r="493" ht="55" customHeight="1">
      <x:c r="A493" s="2" t="str">
        <x:v>CL-policy-benchmarks-table_row3</x:v>
      </x:c>
      <x:c r="B493" s="2" t="n">
        <x:v>90</x:v>
      </x:c>
      <x:c r="C493" s="2" t="str">
        <x:v>Central standalone NPV owned | -8.00 | 8.00</x:v>
      </x:c>
      <x:c r="D493" s="2" t="str">
        <x:v>Modelled outcome</x:v>
      </x:c>
      <x:c r="E493" s="2" t="str"/>
      <x:c r="F493" s="2" t="str">
        <x:v>A_EXAMPLE</x:v>
      </x:c>
      <x:c r="G493" s="2" t="str">
        <x:v>C-REGRET</x:v>
      </x:c>
    </x:row>
    <x:row r="494" ht="55" customHeight="1">
      <x:c r="A494" s="2" t="str">
        <x:v>CL-policy-benchmarks-table_row4</x:v>
      </x:c>
      <x:c r="B494" s="2" t="n">
        <x:v>90</x:v>
      </x:c>
      <x:c r="C494" s="2" t="str">
        <x:v>Four discrete actions: partner | -1.00 | 4.00</x:v>
      </x:c>
      <x:c r="D494" s="2" t="str">
        <x:v>Modelled outcome</x:v>
      </x:c>
      <x:c r="E494" s="2" t="str"/>
      <x:c r="F494" s="2" t="str">
        <x:v>A_EXAMPLE</x:v>
      </x:c>
      <x:c r="G494" s="2" t="str">
        <x:v>C-REGRET</x:v>
      </x:c>
    </x:row>
    <x:row r="495" ht="55" customHeight="1">
      <x:c r="A495" s="2" t="str">
        <x:v>CL-policy-benchmarks-table_row5</x:v>
      </x:c>
      <x:c r="B495" s="2" t="n">
        <x:v>90</x:v>
      </x:c>
      <x:c r="C495" s="2" t="str">
        <x:v>Optimal linear split (relaxed) | -2.91 | 2.91</x:v>
      </x:c>
      <x:c r="D495" s="2" t="str">
        <x:v>Modelled outcome</x:v>
      </x:c>
      <x:c r="E495" s="2" t="str"/>
      <x:c r="F495" s="2" t="str">
        <x:v>A_EXAMPLE</x:v>
      </x:c>
      <x:c r="G495" s="2" t="str">
        <x:v>C-REGRET</x:v>
      </x:c>
    </x:row>
    <x:row r="496" ht="55" customHeight="1">
      <x:c r="A496" s="2" t="str">
        <x:v>CL-policy-benchmarks-table_row6</x:v>
      </x:c>
      <x:c r="B496" s="2" t="n">
        <x:v>90</x:v>
      </x:c>
      <x:c r="C496" s="2" t="str">
        <x:v>Wait | 0.00 | 14.00</x:v>
      </x:c>
      <x:c r="D496" s="2" t="str">
        <x:v>Modelled outcome</x:v>
      </x:c>
      <x:c r="E496" s="2" t="str"/>
      <x:c r="F496" s="2" t="str">
        <x:v>A_EXAMPLE</x:v>
      </x:c>
      <x:c r="G496" s="2" t="str">
        <x:v>C-REGRET</x:v>
      </x:c>
    </x:row>
    <x:row r="497" ht="55" customHeight="1">
      <x:c r="A497" s="2" t="str">
        <x:v>CL-model-ablations-headline</x:v>
      </x:c>
      <x:c r="B497" s="2" t="n">
        <x:v>91</x:v>
      </x:c>
      <x:c r="C497" s="2" t="str">
        <x:v>Ablations reveal the cash, physical and learning mechanisms.</x:v>
      </x:c>
      <x:c r="D497" s="2" t="str">
        <x:v>Modelled outcome</x:v>
      </x:c>
      <x:c r="E497" s="2" t="str"/>
      <x:c r="F497" s="2" t="str">
        <x:v>A_EXAMPLE</x:v>
      </x:c>
      <x:c r="G497" s="2" t="str">
        <x:v>C-ABLATION</x:v>
      </x:c>
    </x:row>
    <x:row r="498" ht="55" customHeight="1">
      <x:c r="A498" s="2" t="str">
        <x:v>CL-model-ablations-body1</x:v>
      </x:c>
      <x:c r="B498" s="2" t="n">
        <x:v>91</x:v>
      </x:c>
      <x:c r="C498" s="2" t="str">
        <x:v>These are teaching sensitivity checks; empirical policy improvement remains open.</x:v>
      </x:c>
      <x:c r="D498" s="2" t="str">
        <x:v>Modelled outcome</x:v>
      </x:c>
      <x:c r="E498" s="2" t="str"/>
      <x:c r="F498" s="2" t="str">
        <x:v>A_EXAMPLE</x:v>
      </x:c>
      <x:c r="G498" s="2" t="str">
        <x:v>C-ABLATION</x:v>
      </x:c>
    </x:row>
    <x:row r="499" ht="55" customHeight="1">
      <x:c r="A499" s="2" t="str">
        <x:v>CL-model-ablations-table_row1</x:v>
      </x:c>
      <x:c r="B499" s="2" t="n">
        <x:v>91</x:v>
      </x:c>
      <x:c r="C499" s="2" t="str">
        <x:v>Working capital and its closeout | -1.80 | 3.61</x:v>
      </x:c>
      <x:c r="D499" s="2" t="str">
        <x:v>Modelled outcome</x:v>
      </x:c>
      <x:c r="E499" s="2" t="str"/>
      <x:c r="F499" s="2" t="str">
        <x:v>A_EXAMPLE</x:v>
      </x:c>
      <x:c r="G499" s="2" t="str">
        <x:v>C-ABLATION</x:v>
      </x:c>
    </x:row>
    <x:row r="500" ht="55" customHeight="1">
      <x:c r="A500" s="2" t="str">
        <x:v>CL-model-ablations-table_row2</x:v>
      </x:c>
      <x:c r="B500" s="2" t="n">
        <x:v>91</x:v>
      </x:c>
      <x:c r="C500" s="2" t="str">
        <x:v>Physical capacity cap | -1.80 | -1.80</x:v>
      </x:c>
      <x:c r="D500" s="2" t="str">
        <x:v>Modelled outcome</x:v>
      </x:c>
      <x:c r="E500" s="2" t="str"/>
      <x:c r="F500" s="2" t="str">
        <x:v>A_EXAMPLE</x:v>
      </x:c>
      <x:c r="G500" s="2" t="str">
        <x:v>C-ABLATION</x:v>
      </x:c>
    </x:row>
    <x:row r="501" ht="55" customHeight="1">
      <x:c r="A501" s="2" t="str">
        <x:v>CL-model-ablations-table_row3</x:v>
      </x:c>
      <x:c r="B501" s="2" t="n">
        <x:v>91</x:v>
      </x:c>
      <x:c r="C501" s="2" t="str">
        <x:v>Learning decision update | 0.70 | -1.50</x:v>
      </x:c>
      <x:c r="D501" s="2" t="str">
        <x:v>Modelled outcome</x:v>
      </x:c>
      <x:c r="E501" s="2" t="str"/>
      <x:c r="F501" s="2" t="str">
        <x:v>A_EXAMPLE</x:v>
      </x:c>
      <x:c r="G501" s="2" t="str">
        <x:v>C-ABLATION</x:v>
      </x:c>
    </x:row>
    <x:row r="502" ht="55" customHeight="1">
      <x:c r="A502" s="2" t="str">
        <x:v>CL-competitive-baseline-headline</x:v>
      </x:c>
      <x:c r="B502" s="2" t="n">
        <x:v>92</x:v>
      </x:c>
      <x:c r="C502" s="2" t="str">
        <x:v>Global rivals disclose network and customer mechanisms; local shares remain missing.</x:v>
      </x:c>
      <x:c r="D502" s="2" t="str">
        <x:v>Reported fact</x:v>
      </x:c>
      <x:c r="E502" s="2" t="str">
        <x:v>ADM_2025;CARGILL_2026;BUNGE_VITERRA</x:v>
      </x:c>
      <x:c r="F502" s="2" t="str"/>
      <x:c r="G502" s="2" t="str"/>
    </x:row>
    <x:row r="503" ht="55" customHeight="1">
      <x:c r="A503" s="2" t="str">
        <x:v>CL-competitive-baseline-table_row1</x:v>
      </x:c>
      <x:c r="B503" s="2" t="n">
        <x:v>92</x:v>
      </x:c>
      <x:c r="C503" s="2" t="str">
        <x:v>ADM2025 Form10-K | Price, quality, FX, substitutes and seasonal stocks</x:v>
      </x:c>
      <x:c r="D503" s="2" t="str">
        <x:v>Reported fact</x:v>
      </x:c>
      <x:c r="E503" s="2" t="str">
        <x:v>ADM_2025;CARGILL_2026;BUNGE_VITERRA</x:v>
      </x:c>
      <x:c r="F503" s="2" t="str"/>
      <x:c r="G503" s="2" t="str"/>
    </x:row>
    <x:row r="504" ht="55" customHeight="1">
      <x:c r="A504" s="2" t="str">
        <x:v>CL-competitive-baseline-table_row2</x:v>
      </x:c>
      <x:c r="B504" s="2" t="n">
        <x:v>92</x:v>
      </x:c>
      <x:c r="C504" s="2" t="str">
        <x:v>Cargill2026 report | Farmer/customer co-innovation and supply system</x:v>
      </x:c>
      <x:c r="D504" s="2" t="str">
        <x:v>Reported fact</x:v>
      </x:c>
      <x:c r="E504" s="2" t="str">
        <x:v>ADM_2025;CARGILL_2026;BUNGE_VITERRA</x:v>
      </x:c>
      <x:c r="F504" s="2" t="str"/>
      <x:c r="G504" s="2" t="str"/>
    </x:row>
    <x:row r="505" ht="55" customHeight="1">
      <x:c r="A505" s="2" t="str">
        <x:v>CL-competitive-baseline-table_row3</x:v>
      </x:c>
      <x:c r="B505" s="2" t="n">
        <x:v>92</x:v>
      </x:c>
      <x:c r="C505" s="2" t="str">
        <x:v>Bunge/Viterra, July2025 | Combined network; do not double-count competitors</x:v>
      </x:c>
      <x:c r="D505" s="2" t="str">
        <x:v>Reported fact</x:v>
      </x:c>
      <x:c r="E505" s="2" t="str">
        <x:v>ADM_2025;CARGILL_2026;BUNGE_VITERRA</x:v>
      </x:c>
      <x:c r="F505" s="2" t="str"/>
      <x:c r="G505" s="2" t="str"/>
    </x:row>
    <x:row r="506" ht="55" customHeight="1">
      <x:c r="A506" s="2" t="str">
        <x:v>CL-competitive-baseline-table_row4</x:v>
      </x:c>
      <x:c r="B506" s="2" t="n">
        <x:v>92</x:v>
      </x:c>
      <x:c r="C506" s="2" t="str">
        <x:v>Local category competitors | Actual delivered offer/credit/share needs field evidence</x:v>
      </x:c>
      <x:c r="D506" s="2" t="str">
        <x:v>Reported fact</x:v>
      </x:c>
      <x:c r="E506" s="2" t="str">
        <x:v>ADM_2025;CARGILL_2026;BUNGE_VITERRA</x:v>
      </x:c>
      <x:c r="F506" s="2" t="str"/>
      <x:c r="G506" s="2" t="str"/>
    </x:row>
    <x:row r="507" ht="55" customHeight="1">
      <x:c r="A507" s="2" t="str">
        <x:v>CL-country-driver-audit-headline</x:v>
      </x:c>
      <x:c r="B507" s="2" t="n">
        <x:v>93</x:v>
      </x:c>
      <x:c r="C507" s="2" t="str">
        <x:v>34 country-driver series are dated and coverage checked.</x:v>
      </x:c>
      <x:c r="D507" s="2" t="str">
        <x:v>Derived figure</x:v>
      </x:c>
      <x:c r="E507" s="2" t="str">
        <x:v>WB_fertility;WB_age_over65;WB_poverty;WB_irrigated_land</x:v>
      </x:c>
      <x:c r="F507" s="2" t="str"/>
      <x:c r="G507" s="2" t="str"/>
    </x:row>
    <x:row r="508" ht="55" customHeight="1">
      <x:c r="A508" s="2" t="str">
        <x:v>CL-country-driver-audit-body1</x:v>
      </x:c>
      <x:c r="B508" s="2" t="n">
        <x:v>93</x:v>
      </x:c>
      <x:c r="C508" s="2" t="str">
        <x:v>Added age structure, fertility, migration, health, poverty/inequality, labour, finance, power, agriculture and irrigation proxies.</x:v>
      </x:c>
      <x:c r="D508" s="2" t="str">
        <x:v>Derived figure</x:v>
      </x:c>
      <x:c r="E508" s="2" t="str">
        <x:v>WB_fertility;WB_age_over65;WB_poverty;WB_irrigated_land</x:v>
      </x:c>
      <x:c r="F508" s="2" t="str"/>
      <x:c r="G508" s="2" t="str"/>
    </x:row>
    <x:row r="509" ht="55" customHeight="1">
      <x:c r="A509" s="2" t="str">
        <x:v>CL-country-driver-audit-body2</x:v>
      </x:c>
      <x:c r="B509" s="2" t="n">
        <x:v>93</x:v>
      </x:c>
      <x:c r="C509" s="2" t="str">
        <x:v>country-driver-coverage.csv records each country-variable gap, first/latest year, definition and eligibility. No country mean becomes an Olam customer parameter.</x:v>
      </x:c>
      <x:c r="D509" s="2" t="str">
        <x:v>Derived figure</x:v>
      </x:c>
      <x:c r="E509" s="2" t="str">
        <x:v>WB_fertility;WB_age_over65;WB_poverty;WB_irrigated_land</x:v>
      </x:c>
      <x:c r="F509" s="2" t="str"/>
      <x:c r="G509" s="2" t="str"/>
    </x:row>
    <x:row r="510" ht="55" customHeight="1">
      <x:c r="A510" s="2" t="str">
        <x:v>CL-country-driver-audit-body3</x:v>
      </x:c>
      <x:c r="B510" s="2" t="n">
        <x:v>93</x:v>
      </x:c>
      <x:c r="C510" s="2" t="str">
        <x:v>WPP compact source has Medium only; low/high variants and product consumption paths remain open.</x:v>
      </x:c>
      <x:c r="D510" s="2" t="str">
        <x:v>Derived figure</x:v>
      </x:c>
      <x:c r="E510" s="2" t="str">
        <x:v>WB_fertility;WB_age_over65;WB_poverty;WB_irrigated_land</x:v>
      </x:c>
      <x:c r="F510" s="2" t="str"/>
      <x:c r="G510" s="2" t="str"/>
    </x:row>
    <x:row r="511" ht="55" customHeight="1">
      <x:c r="A511" s="2" t="str">
        <x:v>CL-priority-plan-index-headline</x:v>
      </x:c>
      <x:c r="B511" s="2" t="n">
        <x:v>94</x:v>
      </x:c>
      <x:c r="C511" s="2" t="str">
        <x:v>Eighteen plans specify customer, pack, channel, test and stop rule.</x:v>
      </x:c>
      <x:c r="D511" s="2" t="str">
        <x:v>Recommendation</x:v>
      </x:c>
      <x:c r="E511" s="2" t="str"/>
      <x:c r="F511" s="2" t="str">
        <x:v>A_EXAMPLE</x:v>
      </x:c>
      <x:c r="G511" s="2" t="str">
        <x:v>C-COVERAGE</x:v>
      </x:c>
    </x:row>
    <x:row r="512" ht="55" customHeight="1">
      <x:c r="A512" s="2" t="str">
        <x:v>CL-priority-plan-index-body1</x:v>
      </x:c>
      <x:c r="B512" s="2" t="n">
        <x:v>94</x:v>
      </x:c>
      <x:c r="C512" s="2" t="str">
        <x:v>Indexed companion: priority-commercial-plans.pdf. Matrix includes8526 country-product-world-milestone rows with unsupported finance null.</x:v>
      </x:c>
      <x:c r="D512" s="2" t="str">
        <x:v>Modelled outcome</x:v>
      </x:c>
      <x:c r="E512" s="2" t="str"/>
      <x:c r="F512" s="2" t="str">
        <x:v>A_EXAMPLE</x:v>
      </x:c>
      <x:c r="G512" s="2" t="str">
        <x:v>C-COVERAGE</x:v>
      </x:c>
    </x:row>
    <x:row r="513" ht="55" customHeight="1">
      <x:c r="A513" s="2" t="str">
        <x:v>CL-priority-plan-index-table_row1</x:v>
      </x:c>
      <x:c r="B513" s="2" t="n">
        <x:v>94</x:v>
      </x:c>
      <x:c r="C513" s="2" t="str">
        <x:v>Nigeria; Ghana | Semolina/oils; flour/pasta</x:v>
      </x:c>
      <x:c r="D513" s="2" t="str">
        <x:v>Modelled outcome</x:v>
      </x:c>
      <x:c r="E513" s="2" t="str"/>
      <x:c r="F513" s="2" t="str">
        <x:v>A_EXAMPLE</x:v>
      </x:c>
      <x:c r="G513" s="2" t="str">
        <x:v>C-COVERAGE</x:v>
      </x:c>
    </x:row>
    <x:row r="514" ht="55" customHeight="1">
      <x:c r="A514" s="2" t="str">
        <x:v>CL-priority-plan-index-table_row2</x:v>
      </x:c>
      <x:c r="B514" s="2" t="n">
        <x:v>94</x:v>
      </x:c>
      <x:c r="C514" s="2" t="str">
        <x:v>Senegal; Cameroon | Flour/feed; flour/rice</x:v>
      </x:c>
      <x:c r="D514" s="2" t="str">
        <x:v>Modelled outcome</x:v>
      </x:c>
      <x:c r="E514" s="2" t="str"/>
      <x:c r="F514" s="2" t="str">
        <x:v>A_EXAMPLE</x:v>
      </x:c>
      <x:c r="G514" s="2" t="str">
        <x:v>C-COVERAGE</x:v>
      </x:c>
    </x:row>
    <x:row r="515" ht="55" customHeight="1">
      <x:c r="A515" s="2" t="str">
        <x:v>CL-priority-plan-index-table_row3</x:v>
      </x:c>
      <x:c r="B515" s="2" t="n">
        <x:v>94</x:v>
      </x:c>
      <x:c r="C515" s="2" t="str">
        <x:v>Mozambique; South Africa | Rice/oils; maize/oils</x:v>
      </x:c>
      <x:c r="D515" s="2" t="str">
        <x:v>Modelled outcome</x:v>
      </x:c>
      <x:c r="E515" s="2" t="str"/>
      <x:c r="F515" s="2" t="str">
        <x:v>A_EXAMPLE</x:v>
      </x:c>
      <x:c r="G515" s="2" t="str">
        <x:v>C-COVERAGE</x:v>
      </x:c>
    </x:row>
    <x:row r="516" ht="55" customHeight="1">
      <x:c r="A516" s="2" t="str">
        <x:v>CL-priority-plan-index-table_row4</x:v>
      </x:c>
      <x:c r="B516" s="2" t="n">
        <x:v>94</x:v>
      </x:c>
      <x:c r="C516" s="2" t="str">
        <x:v>India; Vietnam | Rice; rice</x:v>
      </x:c>
      <x:c r="D516" s="2" t="str">
        <x:v>Modelled outcome</x:v>
      </x:c>
      <x:c r="E516" s="2" t="str"/>
      <x:c r="F516" s="2" t="str">
        <x:v>A_EXAMPLE</x:v>
      </x:c>
      <x:c r="G516" s="2" t="str">
        <x:v>C-COVERAGE</x:v>
      </x:c>
    </x:row>
    <x:row r="517" ht="55" customHeight="1">
      <x:c r="A517" s="2" t="str">
        <x:v>CL-priority-plan-index-table_row5</x:v>
      </x:c>
      <x:c r="B517" s="2" t="n">
        <x:v>94</x:v>
      </x:c>
      <x:c r="C517" s="2" t="str">
        <x:v>Brazil; Saudi Arabia | Soybeans/maize/wheat; wheat</x:v>
      </x:c>
      <x:c r="D517" s="2" t="str">
        <x:v>Modelled outcome</x:v>
      </x:c>
      <x:c r="E517" s="2" t="str"/>
      <x:c r="F517" s="2" t="str">
        <x:v>A_EXAMPLE</x:v>
      </x:c>
      <x:c r="G517" s="2" t="str">
        <x:v>C-COVERAGE</x:v>
      </x:c>
    </x:row>
    <x:row r="518" ht="55" customHeight="1">
      <x:c r="A518" s="2" t="str">
        <x:v>CL-audit-index-headline</x:v>
      </x:c>
      <x:c r="B518" s="2" t="n">
        <x:v>95</x:v>
      </x:c>
      <x:c r="C518" s="2" t="str">
        <x:v>Completion means traceable work and visible unresolved evidence.</x:v>
      </x:c>
      <x:c r="D518" s="2" t="str">
        <x:v>Recommendation</x:v>
      </x:c>
      <x:c r="E518" s="2" t="str"/>
      <x:c r="F518" s="2" t="str">
        <x:v>A_EXAMPLE</x:v>
      </x:c>
      <x:c r="G518" s="2" t="str"/>
    </x:row>
    <x:row r="519" ht="55" customHeight="1">
      <x:c r="A519" s="2" t="str">
        <x:v>CL-audit-index-body1</x:v>
      </x:c>
      <x:c r="B519" s="2" t="n">
        <x:v>95</x:v>
      </x:c>
      <x:c r="C519" s="2" t="str">
        <x:v>Requirement IDs preserve section and source line; verified/provisional/open states link to exact evidence and consequences.</x:v>
      </x:c>
      <x:c r="D519" s="2" t="str">
        <x:v>Recommendation</x:v>
      </x:c>
      <x:c r="E519" s="2" t="str"/>
      <x:c r="F519" s="2" t="str">
        <x:v>A_EXAMPLE</x:v>
      </x:c>
      <x:c r="G519" s="2" t="str"/>
    </x:row>
    <x:row r="520" ht="55" customHeight="1">
      <x:c r="A520" s="2" t="str">
        <x:v>CL-audit-index-body2</x:v>
      </x:c>
      <x:c r="B520" s="2" t="n">
        <x:v>95</x:v>
      </x:c>
      <x:c r="C520" s="2" t="str">
        <x:v>CEO questions, hypotheses, red-team, models, entry modes, monitoring and evidence costs each have an indexed register.</x:v>
      </x:c>
      <x:c r="D520" s="2" t="str">
        <x:v>Recommendation</x:v>
      </x:c>
      <x:c r="E520" s="2" t="str"/>
      <x:c r="F520" s="2" t="str">
        <x:v>A_EXAMPLE</x:v>
      </x:c>
      <x:c r="G520" s="2" t="str"/>
    </x:row>
    <x:row r="521" ht="55" customHeight="1">
      <x:c r="A521" s="2" t="str">
        <x:v>CL-audit-index-body3</x:v>
      </x:c>
      <x:c r="B521" s="2" t="n">
        <x:v>95</x:v>
      </x:c>
      <x:c r="C521" s="2" t="str">
        <x:v>Open internal data, legal/asset clearance, probability calibration, external review and empirical superiority remain visible.</x:v>
      </x:c>
      <x:c r="D521" s="2" t="str">
        <x:v>Recommendation</x:v>
      </x:c>
      <x:c r="E521" s="2" t="str"/>
      <x:c r="F521" s="2" t="str">
        <x:v>A_EXAMPLE</x:v>
      </x:c>
      <x:c r="G521" s="2" t="str"/>
    </x:row>
    <x:row r="522" ht="55" customHeight="1">
      <x:c r="A522" s="2" t="str">
        <x:v>CL-appendix-navigation-headline</x:v>
      </x:c>
      <x:c r="B522" s="2" t="n">
        <x:v>96</x:v>
      </x:c>
      <x:c r="C522" s="2" t="str">
        <x:v>Use calculation/source IDs and indexed country-product plans.</x:v>
      </x:c>
      <x:c r="D522" s="2" t="str">
        <x:v>Recommendation</x:v>
      </x:c>
      <x:c r="E522" s="2" t="str"/>
      <x:c r="F522" s="2" t="str">
        <x:v>A_EXAMPLE</x:v>
      </x:c>
      <x:c r="G522" s="2" t="str"/>
    </x:row>
    <x:row r="523" ht="55" customHeight="1">
      <x:c r="A523" s="2" t="str">
        <x:v>CL-appendix-navigation-table_row1</x:v>
      </x:c>
      <x:c r="B523" s="2" t="n">
        <x:v>96</x:v>
      </x:c>
      <x:c r="C523" s="2" t="str">
        <x:v>requirements-audit.pdf / CSV | Every requirement and open gate</x:v>
      </x:c>
      <x:c r="D523" s="2" t="str">
        <x:v>Recommendation</x:v>
      </x:c>
      <x:c r="E523" s="2" t="str"/>
      <x:c r="F523" s="2" t="str">
        <x:v>A_EXAMPLE</x:v>
      </x:c>
      <x:c r="G523" s="2" t="str"/>
    </x:row>
    <x:row r="524" ht="55" customHeight="1">
      <x:c r="A524" s="2" t="str">
        <x:v>CL-appendix-navigation-table_row2</x:v>
      </x:c>
      <x:c r="B524" s="2" t="n">
        <x:v>96</x:v>
      </x:c>
      <x:c r="C524" s="2" t="str">
        <x:v>ceo-questions.pdf / strategic-hypotheses.pdf | 22 answers;12 tests/falsifiers</x:v>
      </x:c>
      <x:c r="D524" s="2" t="str">
        <x:v>Recommendation</x:v>
      </x:c>
      <x:c r="E524" s="2" t="str"/>
      <x:c r="F524" s="2" t="str">
        <x:v>A_EXAMPLE</x:v>
      </x:c>
      <x:c r="G524" s="2" t="str"/>
    </x:row>
    <x:row r="525" ht="55" customHeight="1">
      <x:c r="A525" s="2" t="str">
        <x:v>CL-appendix-navigation-table_row3</x:v>
      </x:c>
      <x:c r="B525" s="2" t="n">
        <x:v>96</x:v>
      </x:c>
      <x:c r="C525" s="2" t="str">
        <x:v>priority-commercial-plans.pdf | 18 cases in10 priority markets</x:v>
      </x:c>
      <x:c r="D525" s="2" t="str">
        <x:v>Recommendation</x:v>
      </x:c>
      <x:c r="E525" s="2" t="str"/>
      <x:c r="F525" s="2" t="str">
        <x:v>A_EXAMPLE</x:v>
      </x:c>
      <x:c r="G525" s="2" t="str"/>
    </x:row>
    <x:row r="526" ht="55" customHeight="1">
      <x:c r="A526" s="2" t="str">
        <x:v>CL-appendix-navigation-table_row4</x:v>
      </x:c>
      <x:c r="B526" s="2" t="n">
        <x:v>96</x:v>
      </x:c>
      <x:c r="C526" s="2" t="str">
        <x:v>model-selection-and-foundations.pdf | Fitted/rejected/unexecuted modules</x:v>
      </x:c>
      <x:c r="D526" s="2" t="str">
        <x:v>Recommendation</x:v>
      </x:c>
      <x:c r="E526" s="2" t="str"/>
      <x:c r="F526" s="2" t="str">
        <x:v>A_EXAMPLE</x:v>
      </x:c>
      <x:c r="G526" s="2" t="str"/>
    </x:row>
    <x:row r="527" ht="55" customHeight="1">
      <x:c r="A527" s="2" t="str">
        <x:v>CL-appendix-navigation-table_row5</x:v>
      </x:c>
      <x:c r="B527" s="2" t="n">
        <x:v>96</x:v>
      </x:c>
      <x:c r="C527" s="2" t="str">
        <x:v>monitoring-specification.pdf | Owners, economic alerts and retirement</x:v>
      </x:c>
      <x:c r="D527" s="2" t="str">
        <x:v>Recommendation</x:v>
      </x:c>
      <x:c r="E527" s="2" t="str"/>
      <x:c r="F527" s="2" t="str">
        <x:v>A_EXAMPLE</x:v>
      </x:c>
      <x:c r="G527" s="2" t="str"/>
    </x:row>
    <x:row r="528" ht="55" customHeight="1">
      <x:c r="A528" s="2" t="str">
        <x:v>CL-annual-cash-bridge-headline</x:v>
      </x:c>
      <x:c r="B528" s="2" t="n">
        <x:v>97</x:v>
      </x:c>
      <x:c r="C528" s="2" t="str">
        <x:v>Editable annual cash chart uses the same25-year model spine.</x:v>
      </x:c>
      <x:c r="D528" s="2" t="str">
        <x:v>Modelled outcome</x:v>
      </x:c>
      <x:c r="E528" s="2" t="str"/>
      <x:c r="F528" s="2" t="str">
        <x:v>A_EXAMPLE</x:v>
      </x:c>
      <x:c r="G528" s="2" t="str">
        <x:v>C-DCF-plant-managed</x:v>
      </x:c>
    </x:row>
    <x:row r="529" ht="55" customHeight="1">
      <x:c r="A529" s="2" t="str">
        <x:v>CL-annual-cash-bridge-chart_EBITDA</x:v>
      </x:c>
      <x:c r="B529" s="2" t="n">
        <x:v>97</x:v>
      </x:c>
      <x:c r="C529" s="2" t="str">
        <x:v>{"categories": ["2027", "2028", "2029", "2036", "2037", "2046", "2047", "2051"], "values": [1.0, 2.872, 4.18135, 4.86034, 4.911792, 5.392582, 5.448027, 5.673994]}</x:v>
      </x:c>
      <x:c r="D529" s="2" t="str">
        <x:v>Modelled outcome</x:v>
      </x:c>
      <x:c r="E529" s="2" t="str"/>
      <x:c r="F529" s="2" t="str">
        <x:v>A_EXAMPLE</x:v>
      </x:c>
      <x:c r="G529" s="2" t="str">
        <x:v>C-DCF-plant-managed</x:v>
      </x:c>
    </x:row>
    <x:row r="530" ht="55" customHeight="1">
      <x:c r="A530" s="2" t="str">
        <x:v>CL-annual-cash-bridge-chart_FCFF</x:v>
      </x:c>
      <x:c r="B530" s="2" t="n">
        <x:v>97</x:v>
      </x:c>
      <x:c r="C530" s="2" t="str">
        <x:v>{"categories": ["2027", "2028", "2029", "2036", "2037", "2046", "2047", "2051"], "values": [-10.564384, 0.497425, 1.946917, 3.738315, -10.320428, 4.03639, -9.922462, 11.530277]}</x:v>
      </x:c>
      <x:c r="D530" s="2" t="str">
        <x:v>Modelled outcome</x:v>
      </x:c>
      <x:c r="E530" s="2" t="str"/>
      <x:c r="F530" s="2" t="str">
        <x:v>A_EXAMPLE</x:v>
      </x:c>
      <x:c r="G530" s="2" t="str">
        <x:v>C-DCF-plant-managed</x:v>
      </x:c>
    </x:row>
    <x:row r="531" ht="55" customHeight="1">
      <x:c r="A531" s="2" t="str">
        <x:v>CL-annual-cash-bridge-chart_Capex</x:v>
      </x:c>
      <x:c r="B531" s="2" t="n">
        <x:v>97</x:v>
      </x:c>
      <x:c r="C531" s="2" t="str">
        <x:v>{"categories": ["2027", "2028", "2029", "2036", "2037", "2046", "2047", "2051"], "values": [8.4, 0.4, 0.4, 0.4, 14.4, 0.4, 14.4, 0.4]}</x:v>
      </x:c>
      <x:c r="D531" s="2" t="str">
        <x:v>Modelled outcome</x:v>
      </x:c>
      <x:c r="E531" s="2" t="str"/>
      <x:c r="F531" s="2" t="str">
        <x:v>A_EXAMPLE</x:v>
      </x:c>
      <x:c r="G531" s="2" t="str">
        <x:v>C-DCF-plant-managed</x:v>
      </x:c>
    </x:row>
    <x:row r="532" ht="55" customHeight="1">
      <x:c r="A532" s="2" t="str">
        <x:v>CL-sensitivity-chart-headline</x:v>
      </x:c>
      <x:c r="B532" s="2" t="n">
        <x:v>98</x:v>
      </x:c>
      <x:c r="C532" s="2" t="str">
        <x:v>Chosen low/high input boundaries include full working cash.</x:v>
      </x:c>
      <x:c r="D532" s="2" t="str">
        <x:v>Modelled outcome</x:v>
      </x:c>
      <x:c r="E532" s="2" t="str"/>
      <x:c r="F532" s="2" t="str">
        <x:v>A_EXAMPLE</x:v>
      </x:c>
      <x:c r="G532" s="2" t="str">
        <x:v>C-SENSITIVITY</x:v>
      </x:c>
    </x:row>
    <x:row r="533" ht="55" customHeight="1">
      <x:c r="A533" s="2" t="str">
        <x:v>CL-sensitivity-chart-chart_First input</x:v>
      </x:c>
      <x:c r="B533" s="2" t="n">
        <x:v>98</x:v>
      </x:c>
      <x:c r="C533" s="2" t="str">
        <x:v>{"categories": ["Orders70\u2013130%", "Price90\u2013110%", "Cost90\u2013110%", "Capex50\u2013150%", "DSO\u221210/+40d", "DIO\u221210/+40d"], "values": [-13.077306, -34.217415, 22.459913, 10.735806, -1.050282, -1.003428]}</x:v>
      </x:c>
      <x:c r="D533" s="2" t="str">
        <x:v>Modelled outcome</x:v>
      </x:c>
      <x:c r="E533" s="2" t="str"/>
      <x:c r="F533" s="2" t="str">
        <x:v>A_EXAMPLE</x:v>
      </x:c>
      <x:c r="G533" s="2" t="str">
        <x:v>C-SENSITIVITY</x:v>
      </x:c>
    </x:row>
    <x:row r="534" ht="55" customHeight="1">
      <x:c r="A534" s="2" t="str">
        <x:v>CL-sensitivity-chart-chart_Last input</x:v>
      </x:c>
      <x:c r="B534" s="2" t="n">
        <x:v>98</x:v>
      </x:c>
      <x:c r="C534" s="2" t="str">
        <x:v>{"categories": ["Orders70\u2013130%", "Price90\u2013110%", "Cost90\u2013110%", "Capex50\u2013150%", "DSO\u221210/+40d", "DIO\u221210/+40d"], "values": [8.60557, 26.146093, -29.122123, -14.396267, -4.798583, -4.985998]}</x:v>
      </x:c>
      <x:c r="D534" s="2" t="str">
        <x:v>Modelled outcome</x:v>
      </x:c>
      <x:c r="E534" s="2" t="str"/>
      <x:c r="F534" s="2" t="str">
        <x:v>A_EXAMPLE</x:v>
      </x:c>
      <x:c r="G534" s="2" t="str">
        <x:v>C-SENSITIVITY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3" hidden="0" customWidth="1"/>
    <x:col min="14" max="14" width="45" hidden="0" customWidth="1"/>
    <x:col min="15" max="15" width="45" hidden="0" customWidth="1"/>
    <x:col min="16" max="16" width="45" hidden="0" customWidth="1"/>
    <x:col min="17" max="17" width="45" hidden="0" customWidth="1"/>
  </x:cols>
  <x:sheetData>
    <x:row r="1" ht="42" customHeight="1">
      <x:c r="A1" s="5" t="str">
        <x:v>Countries / v1.1.0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42" customHeight="1">
      <x:c r="A2" s="2" t="str">
        <x:v>Public evidence + chosen examples; no Olam internal investment valuation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8" customHeight="1">
      <x:c r="A3" s="4" t="str">
        <x:v>ISO3</x:v>
      </x:c>
      <x:c r="B3" s="4" t="str">
        <x:v>Name</x:v>
      </x:c>
      <x:c r="C3" s="4" t="str">
        <x:v>Region</x:v>
      </x:c>
      <x:c r="D3" s="4" t="str">
        <x:v>M49</x:v>
      </x:c>
      <x:c r="E3" s="4" t="str">
        <x:v>UN status</x:v>
      </x:c>
      <x:c r="F3" s="4" t="str">
        <x:v>2026 persons</x:v>
      </x:c>
      <x:c r="G3" s="4" t="str">
        <x:v>2030</x:v>
      </x:c>
      <x:c r="H3" s="4" t="str">
        <x:v>2035</x:v>
      </x:c>
      <x:c r="I3" s="4" t="str">
        <x:v>2040</x:v>
      </x:c>
      <x:c r="J3" s="4" t="str">
        <x:v>2045</x:v>
      </x:c>
      <x:c r="K3" s="4" t="str">
        <x:v>2050</x:v>
      </x:c>
      <x:c r="L3" s="4" t="str">
        <x:v>2051</x:v>
      </x:c>
      <x:c r="M3" s="4" t="str">
        <x:v>Mode</x:v>
      </x:c>
      <x:c r="N3" s="4" t="str">
        <x:v>Disposition</x:v>
      </x:c>
      <x:c r="O3" s="4" t="str">
        <x:v>Presence</x:v>
      </x:c>
      <x:c r="P3" s="4" t="str">
        <x:v>Product</x:v>
      </x:c>
      <x:c r="Q3" s="4" t="str">
        <x:v>Gate</x:v>
      </x:c>
    </x:row>
    <x:row r="4" ht="60" customHeight="1">
      <x:c r="A4" s="2" t="str">
        <x:v>AFG</x:v>
      </x:c>
      <x:c r="B4" s="2" t="str">
        <x:v>Afghanistan</x:v>
      </x:c>
      <x:c r="C4" s="2" t="str">
        <x:v>Asia</x:v>
      </x:c>
      <x:c r="D4" s="2" t="str">
        <x:v>004</x:v>
      </x:c>
      <x:c r="E4" s="2" t="str">
        <x:v>Member state</x:v>
      </x:c>
      <x:c r="F4" s="2" t="n">
        <x:v>45047069</x:v>
      </x:c>
      <x:c r="G4" s="2" t="n">
        <x:v>50039402</x:v>
      </x:c>
      <x:c r="H4" s="2" t="n">
        <x:v>56647232</x:v>
      </x:c>
      <x:c r="I4" s="2" t="n">
        <x:v>63347870</x:v>
      </x:c>
      <x:c r="J4" s="2" t="n">
        <x:v>70021200</x:v>
      </x:c>
      <x:c r="K4" s="2" t="n">
        <x:v>76885135</x:v>
      </x:c>
      <x:c r="L4" s="2" t="n">
        <x:v>78155052</x:v>
      </x:c>
      <x:c r="M4" s="2" t="str">
        <x:v>trade</x:v>
      </x:c>
      <x:c r="N4" s="2" t="str">
        <x:v>Watch product/corridor opportunity</x:v>
      </x:c>
      <x:c r="O4" s="2" t="str">
        <x:v>Not verified, absence not inferred</x:v>
      </x:c>
      <x:c r="P4" s="2" t="str">
        <x:v>Staple trade, product selection pending</x:v>
      </x:c>
      <x:c r="Q4" s="2" t="str">
        <x:v>Confirm product demand, accessible HS line, counterparties, delivered spread, cash conversion and legal clearance.</x:v>
      </x:c>
    </x:row>
    <x:row r="5" ht="60" customHeight="1">
      <x:c r="A5" s="2" t="str">
        <x:v>ALB</x:v>
      </x:c>
      <x:c r="B5" s="2" t="str">
        <x:v>Albania</x:v>
      </x:c>
      <x:c r="C5" s="2" t="str">
        <x:v>Europe</x:v>
      </x:c>
      <x:c r="D5" s="2" t="str">
        <x:v>008</x:v>
      </x:c>
      <x:c r="E5" s="2" t="str">
        <x:v>Member state</x:v>
      </x:c>
      <x:c r="F5" s="2" t="n">
        <x:v>2751025</x:v>
      </x:c>
      <x:c r="G5" s="2" t="n">
        <x:v>2671885</x:v>
      </x:c>
      <x:c r="H5" s="2" t="n">
        <x:v>2570580</x:v>
      </x:c>
      <x:c r="I5" s="2" t="n">
        <x:v>2461866</x:v>
      </x:c>
      <x:c r="J5" s="2" t="n">
        <x:v>2351280</x:v>
      </x:c>
      <x:c r="K5" s="2" t="n">
        <x:v>2240166</x:v>
      </x:c>
      <x:c r="L5" s="2" t="n">
        <x:v>2218012</x:v>
      </x:c>
      <x:c r="M5" s="2" t="str">
        <x:v>trade</x:v>
      </x:c>
      <x:c r="N5" s="2" t="str">
        <x:v>Watch customer specialization</x:v>
      </x:c>
      <x:c r="O5" s="2" t="str">
        <x:v>Not verified, absence not inferred</x:v>
      </x:c>
      <x:c r="P5" s="2" t="str">
        <x:v>Staple trade, product selection pending</x:v>
      </x:c>
      <x:c r="Q5" s="2" t="str">
        <x:v>Confirm product demand, accessible HS line, counterparties, delivered spread, cash conversion and legal clearance.</x:v>
      </x:c>
    </x:row>
    <x:row r="6" ht="60" customHeight="1">
      <x:c r="A6" s="2" t="str">
        <x:v>DZA</x:v>
      </x:c>
      <x:c r="B6" s="2" t="str">
        <x:v>Algeria</x:v>
      </x:c>
      <x:c r="C6" s="2" t="str">
        <x:v>Africa</x:v>
      </x:c>
      <x:c r="D6" s="2" t="str">
        <x:v>012</x:v>
      </x:c>
      <x:c r="E6" s="2" t="str">
        <x:v>Member state</x:v>
      </x:c>
      <x:c r="F6" s="2" t="n">
        <x:v>48028334</x:v>
      </x:c>
      <x:c r="G6" s="2" t="n">
        <x:v>50154166</x:v>
      </x:c>
      <x:c r="H6" s="2" t="n">
        <x:v>52516789</x:v>
      </x:c>
      <x:c r="I6" s="2" t="n">
        <x:v>54873476</x:v>
      </x:c>
      <x:c r="J6" s="2" t="n">
        <x:v>57290156</x:v>
      </x:c>
      <x:c r="K6" s="2" t="n">
        <x:v>59565554</x:v>
      </x:c>
      <x:c r="L6" s="2" t="n">
        <x:v>59975606</x:v>
      </x:c>
      <x:c r="M6" s="2" t="str">
        <x:v>trade</x:v>
      </x:c>
      <x:c r="N6" s="2" t="str">
        <x:v>Watch product/corridor opportunity</x:v>
      </x:c>
      <x:c r="O6" s="2" t="str">
        <x:v>Not verified, absence not inferred</x:v>
      </x:c>
      <x:c r="P6" s="2" t="str">
        <x:v>Staple trade, product selection pending</x:v>
      </x:c>
      <x:c r="Q6" s="2" t="str">
        <x:v>Confirm product demand, accessible HS line, counterparties, delivered spread, cash conversion and legal clearance.</x:v>
      </x:c>
    </x:row>
    <x:row r="7" ht="60" customHeight="1">
      <x:c r="A7" s="2" t="str">
        <x:v>AND</x:v>
      </x:c>
      <x:c r="B7" s="2" t="str">
        <x:v>Andorra</x:v>
      </x:c>
      <x:c r="C7" s="2" t="str">
        <x:v>Europe</x:v>
      </x:c>
      <x:c r="D7" s="2" t="str">
        <x:v>020</x:v>
      </x:c>
      <x:c r="E7" s="2" t="str">
        <x:v>Member state</x:v>
      </x:c>
      <x:c r="F7" s="2" t="n">
        <x:v>83753</x:v>
      </x:c>
      <x:c r="G7" s="2" t="n">
        <x:v>85681</x:v>
      </x:c>
      <x:c r="H7" s="2" t="n">
        <x:v>86174</x:v>
      </x:c>
      <x:c r="I7" s="2" t="n">
        <x:v>85668</x:v>
      </x:c>
      <x:c r="J7" s="2" t="n">
        <x:v>84294</x:v>
      </x:c>
      <x:c r="K7" s="2" t="n">
        <x:v>82195</x:v>
      </x:c>
      <x:c r="L7" s="2" t="n">
        <x:v>81668</x:v>
      </x:c>
      <x:c r="M7" s="2" t="str">
        <x:v>trade</x:v>
      </x:c>
      <x:c r="N7" s="2" t="str">
        <x:v>Watch regional trade</x:v>
      </x:c>
      <x:c r="O7" s="2" t="str">
        <x:v>Not verified, absence not inferred</x:v>
      </x:c>
      <x:c r="P7" s="2" t="str">
        <x:v>Staple trade, product selection pending</x:v>
      </x:c>
      <x:c r="Q7" s="2" t="str">
        <x:v>Confirm product demand, accessible HS line, counterparties, delivered spread, cash conversion and legal clearance.</x:v>
      </x:c>
    </x:row>
    <x:row r="8" ht="60" customHeight="1">
      <x:c r="A8" s="2" t="str">
        <x:v>AGO</x:v>
      </x:c>
      <x:c r="B8" s="2" t="str">
        <x:v>Angola</x:v>
      </x:c>
      <x:c r="C8" s="2" t="str">
        <x:v>Africa</x:v>
      </x:c>
      <x:c r="D8" s="2" t="str">
        <x:v>024</x:v>
      </x:c>
      <x:c r="E8" s="2" t="str">
        <x:v>Member state</x:v>
      </x:c>
      <x:c r="F8" s="2" t="n">
        <x:v>40215179</x:v>
      </x:c>
      <x:c r="G8" s="2" t="n">
        <x:v>45160458</x:v>
      </x:c>
      <x:c r="H8" s="2" t="n">
        <x:v>51821718</x:v>
      </x:c>
      <x:c r="I8" s="2" t="n">
        <x:v>58965321</x:v>
      </x:c>
      <x:c r="J8" s="2" t="n">
        <x:v>66464329</x:v>
      </x:c>
      <x:c r="K8" s="2" t="n">
        <x:v>74295394</x:v>
      </x:c>
      <x:c r="L8" s="2" t="n">
        <x:v>75892826</x:v>
      </x:c>
      <x:c r="M8" s="2" t="str">
        <x:v>trade</x:v>
      </x:c>
      <x:c r="N8" s="2" t="str">
        <x:v>Watch product/corridor opportunity</x:v>
      </x:c>
      <x:c r="O8" s="2" t="str">
        <x:v>Not verified, absence not inferred</x:v>
      </x:c>
      <x:c r="P8" s="2" t="str">
        <x:v>Staple trade, product selection pending</x:v>
      </x:c>
      <x:c r="Q8" s="2" t="str">
        <x:v>Confirm product demand, accessible HS line, counterparties, delivered spread, cash conversion and legal clearance.</x:v>
      </x:c>
    </x:row>
    <x:row r="9" ht="60" customHeight="1">
      <x:c r="A9" s="2" t="str">
        <x:v>ATG</x:v>
      </x:c>
      <x:c r="B9" s="2" t="str">
        <x:v>Antigua and Barbuda</x:v>
      </x:c>
      <x:c r="C9" s="2" t="str">
        <x:v>Americas</x:v>
      </x:c>
      <x:c r="D9" s="2" t="str">
        <x:v>028</x:v>
      </x:c>
      <x:c r="E9" s="2" t="str">
        <x:v>Member state</x:v>
      </x:c>
      <x:c r="F9" s="2" t="n">
        <x:v>94626</x:v>
      </x:c>
      <x:c r="G9" s="2" t="n">
        <x:v>96000</x:v>
      </x:c>
      <x:c r="H9" s="2" t="n">
        <x:v>97007</x:v>
      </x:c>
      <x:c r="I9" s="2" t="n">
        <x:v>97133</x:v>
      </x:c>
      <x:c r="J9" s="2" t="n">
        <x:v>96419</x:v>
      </x:c>
      <x:c r="K9" s="2" t="n">
        <x:v>95055</x:v>
      </x:c>
      <x:c r="L9" s="2" t="n">
        <x:v>94710</x:v>
      </x:c>
      <x:c r="M9" s="2" t="str">
        <x:v>trade</x:v>
      </x:c>
      <x:c r="N9" s="2" t="str">
        <x:v>Watch regional trade</x:v>
      </x:c>
      <x:c r="O9" s="2" t="str">
        <x:v>Not verified, absence not inferred</x:v>
      </x:c>
      <x:c r="P9" s="2" t="str">
        <x:v>Staple trade, product selection pending</x:v>
      </x:c>
      <x:c r="Q9" s="2" t="str">
        <x:v>Confirm product demand, accessible HS line, counterparties, delivered spread, cash conversion and legal clearance.</x:v>
      </x:c>
    </x:row>
    <x:row r="10" ht="60" customHeight="1">
      <x:c r="A10" s="2" t="str">
        <x:v>ARG</x:v>
      </x:c>
      <x:c r="B10" s="2" t="str">
        <x:v>Argentina</x:v>
      </x:c>
      <x:c r="C10" s="2" t="str">
        <x:v>Americas</x:v>
      </x:c>
      <x:c r="D10" s="2" t="str">
        <x:v>032</x:v>
      </x:c>
      <x:c r="E10" s="2" t="str">
        <x:v>Member state</x:v>
      </x:c>
      <x:c r="F10" s="2" t="n">
        <x:v>46003734</x:v>
      </x:c>
      <x:c r="G10" s="2" t="n">
        <x:v>46585022</x:v>
      </x:c>
      <x:c r="H10" s="2" t="n">
        <x:v>47251994</x:v>
      </x:c>
      <x:c r="I10" s="2" t="n">
        <x:v>47817645</x:v>
      </x:c>
      <x:c r="J10" s="2" t="n">
        <x:v>48191841</x:v>
      </x:c>
      <x:c r="K10" s="2" t="n">
        <x:v>48308944</x:v>
      </x:c>
      <x:c r="L10" s="2" t="n">
        <x:v>48297098</x:v>
      </x:c>
      <x:c r="M10" s="2" t="str">
        <x:v>trade</x:v>
      </x:c>
      <x:c r="N10" s="2" t="str">
        <x:v>Watch product/corridor opportunity</x:v>
      </x:c>
      <x:c r="O10" s="2" t="str">
        <x:v>Not verified, absence not inferred</x:v>
      </x:c>
      <x:c r="P10" s="2" t="str">
        <x:v>Staple trade, product selection pending</x:v>
      </x:c>
      <x:c r="Q10" s="2" t="str">
        <x:v>Confirm product demand, accessible HS line, counterparties, delivered spread, cash conversion and legal clearance.</x:v>
      </x:c>
    </x:row>
    <x:row r="11" ht="60" customHeight="1">
      <x:c r="A11" s="2" t="str">
        <x:v>ARM</x:v>
      </x:c>
      <x:c r="B11" s="2" t="str">
        <x:v>Armenia</x:v>
      </x:c>
      <x:c r="C11" s="2" t="str">
        <x:v>Asia</x:v>
      </x:c>
      <x:c r="D11" s="2" t="str">
        <x:v>051</x:v>
      </x:c>
      <x:c r="E11" s="2" t="str">
        <x:v>Member state</x:v>
      </x:c>
      <x:c r="F11" s="2" t="n">
        <x:v>2930915</x:v>
      </x:c>
      <x:c r="G11" s="2" t="n">
        <x:v>2851291</x:v>
      </x:c>
      <x:c r="H11" s="2" t="n">
        <x:v>2756725</x:v>
      </x:c>
      <x:c r="I11" s="2" t="n">
        <x:v>2665523</x:v>
      </x:c>
      <x:c r="J11" s="2" t="n">
        <x:v>2579220</x:v>
      </x:c>
      <x:c r="K11" s="2" t="n">
        <x:v>2495207</x:v>
      </x:c>
      <x:c r="L11" s="2" t="n">
        <x:v>2478352</x:v>
      </x:c>
      <x:c r="M11" s="2" t="str">
        <x:v>trade</x:v>
      </x:c>
      <x:c r="N11" s="2" t="str">
        <x:v>Watch customer specialization</x:v>
      </x:c>
      <x:c r="O11" s="2" t="str">
        <x:v>Not verified, absence not inferred</x:v>
      </x:c>
      <x:c r="P11" s="2" t="str">
        <x:v>Staple trade, product selection pending</x:v>
      </x:c>
      <x:c r="Q11" s="2" t="str">
        <x:v>Confirm product demand, accessible HS line, counterparties, delivered spread, cash conversion and legal clearance.</x:v>
      </x:c>
    </x:row>
    <x:row r="12" ht="60" customHeight="1">
      <x:c r="A12" s="2" t="str">
        <x:v>AUS</x:v>
      </x:c>
      <x:c r="B12" s="2" t="str">
        <x:v>Australia</x:v>
      </x:c>
      <x:c r="C12" s="2" t="str">
        <x:v>Oceania</x:v>
      </x:c>
      <x:c r="D12" s="2" t="str">
        <x:v>036</x:v>
      </x:c>
      <x:c r="E12" s="2" t="str">
        <x:v>Member state</x:v>
      </x:c>
      <x:c r="F12" s="2" t="n">
        <x:v>27227096</x:v>
      </x:c>
      <x:c r="G12" s="2" t="n">
        <x:v>28188539</x:v>
      </x:c>
      <x:c r="H12" s="2" t="n">
        <x:v>29296168</x:v>
      </x:c>
      <x:c r="I12" s="2" t="n">
        <x:v>30357450</x:v>
      </x:c>
      <x:c r="J12" s="2" t="n">
        <x:v>31431123</x:v>
      </x:c>
      <x:c r="K12" s="2" t="n">
        <x:v>32506969</x:v>
      </x:c>
      <x:c r="L12" s="2" t="n">
        <x:v>32716087</x:v>
      </x:c>
      <x:c r="M12" s="2" t="str">
        <x:v>trade</x:v>
      </x:c>
      <x:c r="N12" s="2" t="str">
        <x:v>Review existing operation</x:v>
      </x:c>
      <x:c r="O12" s="2" t="str">
        <x:v>Disclosed location in June-2026 factsheet</x:v>
      </x:c>
      <x:c r="P12" s="2" t="str">
        <x:v>Staple trade, product selection pending</x:v>
      </x:c>
      <x:c r="Q12" s="2" t="str">
        <x:v>Confirm product demand, accessible HS line, counterparties, delivered spread, cash conversion and legal clearance.</x:v>
      </x:c>
    </x:row>
    <x:row r="13" ht="60" customHeight="1">
      <x:c r="A13" s="2" t="str">
        <x:v>AUT</x:v>
      </x:c>
      <x:c r="B13" s="2" t="str">
        <x:v>Austria</x:v>
      </x:c>
      <x:c r="C13" s="2" t="str">
        <x:v>Europe</x:v>
      </x:c>
      <x:c r="D13" s="2" t="str">
        <x:v>040</x:v>
      </x:c>
      <x:c r="E13" s="2" t="str">
        <x:v>Member state</x:v>
      </x:c>
      <x:c r="F13" s="2" t="n">
        <x:v>9107266</x:v>
      </x:c>
      <x:c r="G13" s="2" t="n">
        <x:v>9080346</x:v>
      </x:c>
      <x:c r="H13" s="2" t="n">
        <x:v>9014208</x:v>
      </x:c>
      <x:c r="I13" s="2" t="n">
        <x:v>8934061</x:v>
      </x:c>
      <x:c r="J13" s="2" t="n">
        <x:v>8844730</x:v>
      </x:c>
      <x:c r="K13" s="2" t="n">
        <x:v>8724332</x:v>
      </x:c>
      <x:c r="L13" s="2" t="n">
        <x:v>8696685</x:v>
      </x:c>
      <x:c r="M13" s="2" t="str">
        <x:v>trade</x:v>
      </x:c>
      <x:c r="N13" s="2" t="str">
        <x:v>Watch product/corridor opportunity</x:v>
      </x:c>
      <x:c r="O13" s="2" t="str">
        <x:v>Not verified, absence not inferred</x:v>
      </x:c>
      <x:c r="P13" s="2" t="str">
        <x:v>Staple trade, product selection pending</x:v>
      </x:c>
      <x:c r="Q13" s="2" t="str">
        <x:v>Confirm product demand, accessible HS line, counterparties, delivered spread, cash conversion and legal clearance.</x:v>
      </x:c>
    </x:row>
    <x:row r="14" ht="60" customHeight="1">
      <x:c r="A14" s="2" t="str">
        <x:v>AZE</x:v>
      </x:c>
      <x:c r="B14" s="2" t="str">
        <x:v>Azerbaijan</x:v>
      </x:c>
      <x:c r="C14" s="2" t="str">
        <x:v>Asia</x:v>
      </x:c>
      <x:c r="D14" s="2" t="str">
        <x:v>031</x:v>
      </x:c>
      <x:c r="E14" s="2" t="str">
        <x:v>Member state</x:v>
      </x:c>
      <x:c r="F14" s="2" t="n">
        <x:v>10454855</x:v>
      </x:c>
      <x:c r="G14" s="2" t="n">
        <x:v>10665380</x:v>
      </x:c>
      <x:c r="H14" s="2" t="n">
        <x:v>10898665</x:v>
      </x:c>
      <x:c r="I14" s="2" t="n">
        <x:v>11081335</x:v>
      </x:c>
      <x:c r="J14" s="2" t="n">
        <x:v>11188800</x:v>
      </x:c>
      <x:c r="K14" s="2" t="n">
        <x:v>11224923</x:v>
      </x:c>
      <x:c r="L14" s="2" t="n">
        <x:v>11224460</x:v>
      </x:c>
      <x:c r="M14" s="2" t="str">
        <x:v>trade</x:v>
      </x:c>
      <x:c r="N14" s="2" t="str">
        <x:v>Watch product/corridor opportunity</x:v>
      </x:c>
      <x:c r="O14" s="2" t="str">
        <x:v>Not verified, absence not inferred</x:v>
      </x:c>
      <x:c r="P14" s="2" t="str">
        <x:v>Staple trade, product selection pending</x:v>
      </x:c>
      <x:c r="Q14" s="2" t="str">
        <x:v>Confirm product demand, accessible HS line, counterparties, delivered spread, cash conversion and legal clearance.</x:v>
      </x:c>
    </x:row>
    <x:row r="15" ht="60" customHeight="1">
      <x:c r="A15" s="2" t="str">
        <x:v>BHS</x:v>
      </x:c>
      <x:c r="B15" s="2" t="str">
        <x:v>Bahamas</x:v>
      </x:c>
      <x:c r="C15" s="2" t="str">
        <x:v>Americas</x:v>
      </x:c>
      <x:c r="D15" s="2" t="str">
        <x:v>044</x:v>
      </x:c>
      <x:c r="E15" s="2" t="str">
        <x:v>Member state</x:v>
      </x:c>
      <x:c r="F15" s="2" t="n">
        <x:v>404628</x:v>
      </x:c>
      <x:c r="G15" s="2" t="n">
        <x:v>410267</x:v>
      </x:c>
      <x:c r="H15" s="2" t="n">
        <x:v>415978</x:v>
      </x:c>
      <x:c r="I15" s="2" t="n">
        <x:v>420346</x:v>
      </x:c>
      <x:c r="J15" s="2" t="n">
        <x:v>423262</x:v>
      </x:c>
      <x:c r="K15" s="2" t="n">
        <x:v>424265</x:v>
      </x:c>
      <x:c r="L15" s="2" t="n">
        <x:v>424211</x:v>
      </x:c>
      <x:c r="M15" s="2" t="str">
        <x:v>trade</x:v>
      </x:c>
      <x:c r="N15" s="2" t="str">
        <x:v>Watch regional trade</x:v>
      </x:c>
      <x:c r="O15" s="2" t="str">
        <x:v>Not verified, absence not inferred</x:v>
      </x:c>
      <x:c r="P15" s="2" t="str">
        <x:v>Staple trade, product selection pending</x:v>
      </x:c>
      <x:c r="Q15" s="2" t="str">
        <x:v>Confirm product demand, accessible HS line, counterparties, delivered spread, cash conversion and legal clearance.</x:v>
      </x:c>
    </x:row>
    <x:row r="16" ht="60" customHeight="1">
      <x:c r="A16" s="2" t="str">
        <x:v>BHR</x:v>
      </x:c>
      <x:c r="B16" s="2" t="str">
        <x:v>Bahrain</x:v>
      </x:c>
      <x:c r="C16" s="2" t="str">
        <x:v>Asia</x:v>
      </x:c>
      <x:c r="D16" s="2" t="str">
        <x:v>048</x:v>
      </x:c>
      <x:c r="E16" s="2" t="str">
        <x:v>Member state</x:v>
      </x:c>
      <x:c r="F16" s="2" t="n">
        <x:v>1675572</x:v>
      </x:c>
      <x:c r="G16" s="2" t="n">
        <x:v>1765209</x:v>
      </x:c>
      <x:c r="H16" s="2" t="n">
        <x:v>1856537</x:v>
      </x:c>
      <x:c r="I16" s="2" t="n">
        <x:v>1951233</x:v>
      </x:c>
      <x:c r="J16" s="2" t="n">
        <x:v>2046472</x:v>
      </x:c>
      <x:c r="K16" s="2" t="n">
        <x:v>2139465</x:v>
      </x:c>
      <x:c r="L16" s="2" t="n">
        <x:v>2157875</x:v>
      </x:c>
      <x:c r="M16" s="2" t="str">
        <x:v>trade</x:v>
      </x:c>
      <x:c r="N16" s="2" t="str">
        <x:v>Watch product/corridor opportunity</x:v>
      </x:c>
      <x:c r="O16" s="2" t="str">
        <x:v>Not verified, absence not inferred</x:v>
      </x:c>
      <x:c r="P16" s="2" t="str">
        <x:v>Staple trade, product selection pending</x:v>
      </x:c>
      <x:c r="Q16" s="2" t="str">
        <x:v>Confirm product demand, accessible HS line, counterparties, delivered spread, cash conversion and legal clearance.</x:v>
      </x:c>
    </x:row>
    <x:row r="17" ht="60" customHeight="1">
      <x:c r="A17" s="2" t="str">
        <x:v>BGD</x:v>
      </x:c>
      <x:c r="B17" s="2" t="str">
        <x:v>Bangladesh</x:v>
      </x:c>
      <x:c r="C17" s="2" t="str">
        <x:v>Asia</x:v>
      </x:c>
      <x:c r="D17" s="2" t="str">
        <x:v>050</x:v>
      </x:c>
      <x:c r="E17" s="2" t="str">
        <x:v>Member state</x:v>
      </x:c>
      <x:c r="F17" s="2" t="n">
        <x:v>177818044</x:v>
      </x:c>
      <x:c r="G17" s="2" t="n">
        <x:v>186072407</x:v>
      </x:c>
      <x:c r="H17" s="2" t="n">
        <x:v>195130372</x:v>
      </x:c>
      <x:c r="I17" s="2" t="n">
        <x:v>202589429</x:v>
      </x:c>
      <x:c r="J17" s="2" t="n">
        <x:v>209029594</x:v>
      </x:c>
      <x:c r="K17" s="2" t="n">
        <x:v>214709097</x:v>
      </x:c>
      <x:c r="L17" s="2" t="n">
        <x:v>215750555</x:v>
      </x:c>
      <x:c r="M17" s="2" t="str">
        <x:v>trade</x:v>
      </x:c>
      <x:c r="N17" s="2" t="str">
        <x:v>Review existing operation</x:v>
      </x:c>
      <x:c r="O17" s="2" t="str">
        <x:v>Disclosed location in June-2026 factsheet</x:v>
      </x:c>
      <x:c r="P17" s="2" t="str">
        <x:v>Staple trade, product selection pending</x:v>
      </x:c>
      <x:c r="Q17" s="2" t="str">
        <x:v>Confirm product demand, accessible HS line, counterparties, delivered spread, cash conversion and legal clearance.</x:v>
      </x:c>
    </x:row>
    <x:row r="18" ht="60" customHeight="1">
      <x:c r="A18" s="2" t="str">
        <x:v>BRB</x:v>
      </x:c>
      <x:c r="B18" s="2" t="str">
        <x:v>Barbados</x:v>
      </x:c>
      <x:c r="C18" s="2" t="str">
        <x:v>Americas</x:v>
      </x:c>
      <x:c r="D18" s="2" t="str">
        <x:v>052</x:v>
      </x:c>
      <x:c r="E18" s="2" t="str">
        <x:v>Member state</x:v>
      </x:c>
      <x:c r="F18" s="2" t="n">
        <x:v>282724</x:v>
      </x:c>
      <x:c r="G18" s="2" t="n">
        <x:v>282490</x:v>
      </x:c>
      <x:c r="H18" s="2" t="n">
        <x:v>280342</x:v>
      </x:c>
      <x:c r="I18" s="2" t="n">
        <x:v>276346</x:v>
      </x:c>
      <x:c r="J18" s="2" t="n">
        <x:v>270774</x:v>
      </x:c>
      <x:c r="K18" s="2" t="n">
        <x:v>264216</x:v>
      </x:c>
      <x:c r="L18" s="2" t="n">
        <x:v>262867</x:v>
      </x:c>
      <x:c r="M18" s="2" t="str">
        <x:v>trade</x:v>
      </x:c>
      <x:c r="N18" s="2" t="str">
        <x:v>Watch regional trade</x:v>
      </x:c>
      <x:c r="O18" s="2" t="str">
        <x:v>Not verified, absence not inferred</x:v>
      </x:c>
      <x:c r="P18" s="2" t="str">
        <x:v>Staple trade, product selection pending</x:v>
      </x:c>
      <x:c r="Q18" s="2" t="str">
        <x:v>Confirm product demand, accessible HS line, counterparties, delivered spread, cash conversion and legal clearance.</x:v>
      </x:c>
    </x:row>
    <x:row r="19" ht="60" customHeight="1">
      <x:c r="A19" s="2" t="str">
        <x:v>BLR</x:v>
      </x:c>
      <x:c r="B19" s="2" t="str">
        <x:v>Belarus</x:v>
      </x:c>
      <x:c r="C19" s="2" t="str">
        <x:v>Europe</x:v>
      </x:c>
      <x:c r="D19" s="2" t="str">
        <x:v>112</x:v>
      </x:c>
      <x:c r="E19" s="2" t="str">
        <x:v>Member state</x:v>
      </x:c>
      <x:c r="F19" s="2" t="n">
        <x:v>8937018</x:v>
      </x:c>
      <x:c r="G19" s="2" t="n">
        <x:v>8687632</x:v>
      </x:c>
      <x:c r="H19" s="2" t="n">
        <x:v>8372271.000000001</x:v>
      </x:c>
      <x:c r="I19" s="2" t="n">
        <x:v>8064466</x:v>
      </x:c>
      <x:c r="J19" s="2" t="n">
        <x:v>7763466</x:v>
      </x:c>
      <x:c r="K19" s="2" t="n">
        <x:v>7453546</x:v>
      </x:c>
      <x:c r="L19" s="2" t="n">
        <x:v>7388575</x:v>
      </x:c>
      <x:c r="M19" s="2" t="str">
        <x:v>trade</x:v>
      </x:c>
      <x:c r="N19" s="2" t="str">
        <x:v>Watch customer specialization</x:v>
      </x:c>
      <x:c r="O19" s="2" t="str">
        <x:v>Not verified, absence not inferred</x:v>
      </x:c>
      <x:c r="P19" s="2" t="str">
        <x:v>Staple trade, product selection pending</x:v>
      </x:c>
      <x:c r="Q19" s="2" t="str">
        <x:v>Confirm product demand, accessible HS line, counterparties, delivered spread, cash conversion and legal clearance.</x:v>
      </x:c>
    </x:row>
    <x:row r="20" ht="60" customHeight="1">
      <x:c r="A20" s="2" t="str">
        <x:v>BEL</x:v>
      </x:c>
      <x:c r="B20" s="2" t="str">
        <x:v>Belgium</x:v>
      </x:c>
      <x:c r="C20" s="2" t="str">
        <x:v>Europe</x:v>
      </x:c>
      <x:c r="D20" s="2" t="str">
        <x:v>056</x:v>
      </x:c>
      <x:c r="E20" s="2" t="str">
        <x:v>Member state</x:v>
      </x:c>
      <x:c r="F20" s="2" t="n">
        <x:v>11774642</x:v>
      </x:c>
      <x:c r="G20" s="2" t="n">
        <x:v>11824141</x:v>
      </x:c>
      <x:c r="H20" s="2" t="n">
        <x:v>11863585</x:v>
      </x:c>
      <x:c r="I20" s="2" t="n">
        <x:v>11892204</x:v>
      </x:c>
      <x:c r="J20" s="2" t="n">
        <x:v>11900984</x:v>
      </x:c>
      <x:c r="K20" s="2" t="n">
        <x:v>11870906</x:v>
      </x:c>
      <x:c r="L20" s="2" t="n">
        <x:v>11859003</x:v>
      </x:c>
      <x:c r="M20" s="2" t="str">
        <x:v>trade</x:v>
      </x:c>
      <x:c r="N20" s="2" t="str">
        <x:v>Watch product/corridor opportunity</x:v>
      </x:c>
      <x:c r="O20" s="2" t="str">
        <x:v>Not verified, absence not inferred</x:v>
      </x:c>
      <x:c r="P20" s="2" t="str">
        <x:v>Staple trade, product selection pending</x:v>
      </x:c>
      <x:c r="Q20" s="2" t="str">
        <x:v>Confirm product demand, accessible HS line, counterparties, delivered spread, cash conversion and legal clearance.</x:v>
      </x:c>
    </x:row>
    <x:row r="21" ht="60" customHeight="1">
      <x:c r="A21" s="2" t="str">
        <x:v>BLZ</x:v>
      </x:c>
      <x:c r="B21" s="2" t="str">
        <x:v>Belize</x:v>
      </x:c>
      <x:c r="C21" s="2" t="str">
        <x:v>Americas</x:v>
      </x:c>
      <x:c r="D21" s="2" t="str">
        <x:v>084</x:v>
      </x:c>
      <x:c r="E21" s="2" t="str">
        <x:v>Member state</x:v>
      </x:c>
      <x:c r="F21" s="2" t="n">
        <x:v>428644</x:v>
      </x:c>
      <x:c r="G21" s="2" t="n">
        <x:v>449839</x:v>
      </x:c>
      <x:c r="H21" s="2" t="n">
        <x:v>473132</x:v>
      </x:c>
      <x:c r="I21" s="2" t="n">
        <x:v>491595</x:v>
      </x:c>
      <x:c r="J21" s="2" t="n">
        <x:v>505700</x:v>
      </x:c>
      <x:c r="K21" s="2" t="n">
        <x:v>516626.99999999994</x:v>
      </x:c>
      <x:c r="L21" s="2" t="n">
        <x:v>518385.99999999994</x:v>
      </x:c>
      <x:c r="M21" s="2" t="str">
        <x:v>trade</x:v>
      </x:c>
      <x:c r="N21" s="2" t="str">
        <x:v>Watch regional trade</x:v>
      </x:c>
      <x:c r="O21" s="2" t="str">
        <x:v>Not verified, absence not inferred</x:v>
      </x:c>
      <x:c r="P21" s="2" t="str">
        <x:v>Staple trade, product selection pending</x:v>
      </x:c>
      <x:c r="Q21" s="2" t="str">
        <x:v>Confirm product demand, accessible HS line, counterparties, delivered spread, cash conversion and legal clearance.</x:v>
      </x:c>
    </x:row>
    <x:row r="22" ht="60" customHeight="1">
      <x:c r="A22" s="2" t="str">
        <x:v>BEN</x:v>
      </x:c>
      <x:c r="B22" s="2" t="str">
        <x:v>Benin</x:v>
      </x:c>
      <x:c r="C22" s="2" t="str">
        <x:v>Africa</x:v>
      </x:c>
      <x:c r="D22" s="2" t="str">
        <x:v>204</x:v>
      </x:c>
      <x:c r="E22" s="2" t="str">
        <x:v>Member state</x:v>
      </x:c>
      <x:c r="F22" s="2" t="n">
        <x:v>15170419</x:v>
      </x:c>
      <x:c r="G22" s="2" t="n">
        <x:v>16618822</x:v>
      </x:c>
      <x:c r="H22" s="2" t="n">
        <x:v>18492631</x:v>
      </x:c>
      <x:c r="I22" s="2" t="n">
        <x:v>20445760</x:v>
      </x:c>
      <x:c r="J22" s="2" t="n">
        <x:v>22443646</x:v>
      </x:c>
      <x:c r="K22" s="2" t="n">
        <x:v>24433809</x:v>
      </x:c>
      <x:c r="L22" s="2" t="n">
        <x:v>24827844</x:v>
      </x:c>
      <x:c r="M22" s="2" t="str">
        <x:v>trade</x:v>
      </x:c>
      <x:c r="N22" s="2" t="str">
        <x:v>Watch product/corridor opportunity</x:v>
      </x:c>
      <x:c r="O22" s="2" t="str">
        <x:v>Not verified, absence not inferred</x:v>
      </x:c>
      <x:c r="P22" s="2" t="str">
        <x:v>Staple trade, product selection pending</x:v>
      </x:c>
      <x:c r="Q22" s="2" t="str">
        <x:v>Confirm product demand, accessible HS line, counterparties, delivered spread, cash conversion and legal clearance.</x:v>
      </x:c>
    </x:row>
    <x:row r="23" ht="60" customHeight="1">
      <x:c r="A23" s="2" t="str">
        <x:v>BTN</x:v>
      </x:c>
      <x:c r="B23" s="2" t="str">
        <x:v>Bhutan</x:v>
      </x:c>
      <x:c r="C23" s="2" t="str">
        <x:v>Asia</x:v>
      </x:c>
      <x:c r="D23" s="2" t="str">
        <x:v>064</x:v>
      </x:c>
      <x:c r="E23" s="2" t="str">
        <x:v>Member state</x:v>
      </x:c>
      <x:c r="F23" s="2" t="n">
        <x:v>802214</x:v>
      </x:c>
      <x:c r="G23" s="2" t="n">
        <x:v>820694</x:v>
      </x:c>
      <x:c r="H23" s="2" t="n">
        <x:v>843202</x:v>
      </x:c>
      <x:c r="I23" s="2" t="n">
        <x:v>862129</x:v>
      </x:c>
      <x:c r="J23" s="2" t="n">
        <x:v>876173</x:v>
      </x:c>
      <x:c r="K23" s="2" t="n">
        <x:v>882340</x:v>
      </x:c>
      <x:c r="L23" s="2" t="n">
        <x:v>883389</x:v>
      </x:c>
      <x:c r="M23" s="2" t="str">
        <x:v>trade</x:v>
      </x:c>
      <x:c r="N23" s="2" t="str">
        <x:v>Watch regional trade</x:v>
      </x:c>
      <x:c r="O23" s="2" t="str">
        <x:v>Not verified, absence not inferred</x:v>
      </x:c>
      <x:c r="P23" s="2" t="str">
        <x:v>Staple trade, product selection pending</x:v>
      </x:c>
      <x:c r="Q23" s="2" t="str">
        <x:v>Confirm product demand, accessible HS line, counterparties, delivered spread, cash conversion and legal clearance.</x:v>
      </x:c>
    </x:row>
    <x:row r="24" ht="60" customHeight="1">
      <x:c r="A24" s="2" t="str">
        <x:v>BOL</x:v>
      </x:c>
      <x:c r="B24" s="2" t="str">
        <x:v>Bolivia (Plurinational State of)</x:v>
      </x:c>
      <x:c r="C24" s="2" t="str">
        <x:v>Americas</x:v>
      </x:c>
      <x:c r="D24" s="2" t="str">
        <x:v>068</x:v>
      </x:c>
      <x:c r="E24" s="2" t="str">
        <x:v>Member state</x:v>
      </x:c>
      <x:c r="F24" s="2" t="n">
        <x:v>12749291</x:v>
      </x:c>
      <x:c r="G24" s="2" t="n">
        <x:v>13405564</x:v>
      </x:c>
      <x:c r="H24" s="2" t="n">
        <x:v>14183823</x:v>
      </x:c>
      <x:c r="I24" s="2" t="n">
        <x:v>14899397</x:v>
      </x:c>
      <x:c r="J24" s="2" t="n">
        <x:v>15542791</x:v>
      </x:c>
      <x:c r="K24" s="2" t="n">
        <x:v>16110162</x:v>
      </x:c>
      <x:c r="L24" s="2" t="n">
        <x:v>16214293</x:v>
      </x:c>
      <x:c r="M24" s="2" t="str">
        <x:v>trade</x:v>
      </x:c>
      <x:c r="N24" s="2" t="str">
        <x:v>Watch product/corridor opportunity</x:v>
      </x:c>
      <x:c r="O24" s="2" t="str">
        <x:v>Not verified, absence not inferred</x:v>
      </x:c>
      <x:c r="P24" s="2" t="str">
        <x:v>Staple trade, product selection pending</x:v>
      </x:c>
      <x:c r="Q24" s="2" t="str">
        <x:v>Confirm product demand, accessible HS line, counterparties, delivered spread, cash conversion and legal clearance.</x:v>
      </x:c>
    </x:row>
    <x:row r="25" ht="60" customHeight="1">
      <x:c r="A25" s="2" t="str">
        <x:v>BIH</x:v>
      </x:c>
      <x:c r="B25" s="2" t="str">
        <x:v>Bosnia and Herzegovina</x:v>
      </x:c>
      <x:c r="C25" s="2" t="str">
        <x:v>Europe</x:v>
      </x:c>
      <x:c r="D25" s="2" t="str">
        <x:v>070</x:v>
      </x:c>
      <x:c r="E25" s="2" t="str">
        <x:v>Member state</x:v>
      </x:c>
      <x:c r="F25" s="2" t="n">
        <x:v>3114242</x:v>
      </x:c>
      <x:c r="G25" s="2" t="n">
        <x:v>3013974</x:v>
      </x:c>
      <x:c r="H25" s="2" t="n">
        <x:v>2881542</x:v>
      </x:c>
      <x:c r="I25" s="2" t="n">
        <x:v>2745010</x:v>
      </x:c>
      <x:c r="J25" s="2" t="n">
        <x:v>2599927</x:v>
      </x:c>
      <x:c r="K25" s="2" t="n">
        <x:v>2455167</x:v>
      </x:c>
      <x:c r="L25" s="2" t="n">
        <x:v>2426282</x:v>
      </x:c>
      <x:c r="M25" s="2" t="str">
        <x:v>trade</x:v>
      </x:c>
      <x:c r="N25" s="2" t="str">
        <x:v>Watch customer specialization</x:v>
      </x:c>
      <x:c r="O25" s="2" t="str">
        <x:v>Not verified, absence not inferred</x:v>
      </x:c>
      <x:c r="P25" s="2" t="str">
        <x:v>Staple trade, product selection pending</x:v>
      </x:c>
      <x:c r="Q25" s="2" t="str">
        <x:v>Confirm product demand, accessible HS line, counterparties, delivered spread, cash conversion and legal clearance.</x:v>
      </x:c>
    </x:row>
    <x:row r="26" ht="60" customHeight="1">
      <x:c r="A26" s="2" t="str">
        <x:v>BWA</x:v>
      </x:c>
      <x:c r="B26" s="2" t="str">
        <x:v>Botswana</x:v>
      </x:c>
      <x:c r="C26" s="2" t="str">
        <x:v>Africa</x:v>
      </x:c>
      <x:c r="D26" s="2" t="str">
        <x:v>072</x:v>
      </x:c>
      <x:c r="E26" s="2" t="str">
        <x:v>Member state</x:v>
      </x:c>
      <x:c r="F26" s="2" t="n">
        <x:v>2603388</x:v>
      </x:c>
      <x:c r="G26" s="2" t="n">
        <x:v>2765918</x:v>
      </x:c>
      <x:c r="H26" s="2" t="n">
        <x:v>2954414</x:v>
      </x:c>
      <x:c r="I26" s="2" t="n">
        <x:v>3126640</x:v>
      </x:c>
      <x:c r="J26" s="2" t="n">
        <x:v>3285301</x:v>
      </x:c>
      <x:c r="K26" s="2" t="n">
        <x:v>3437430</x:v>
      </x:c>
      <x:c r="L26" s="2" t="n">
        <x:v>3465409</x:v>
      </x:c>
      <x:c r="M26" s="2" t="str">
        <x:v>trade</x:v>
      </x:c>
      <x:c r="N26" s="2" t="str">
        <x:v>Watch product/corridor opportunity</x:v>
      </x:c>
      <x:c r="O26" s="2" t="str">
        <x:v>Not verified, absence not inferred</x:v>
      </x:c>
      <x:c r="P26" s="2" t="str">
        <x:v>Staple trade, product selection pending</x:v>
      </x:c>
      <x:c r="Q26" s="2" t="str">
        <x:v>Confirm product demand, accessible HS line, counterparties, delivered spread, cash conversion and legal clearance.</x:v>
      </x:c>
    </x:row>
    <x:row r="27" ht="60" customHeight="1">
      <x:c r="A27" s="2" t="str">
        <x:v>BRA</x:v>
      </x:c>
      <x:c r="B27" s="2" t="str">
        <x:v>Brazil</x:v>
      </x:c>
      <x:c r="C27" s="2" t="str">
        <x:v>Americas</x:v>
      </x:c>
      <x:c r="D27" s="2" t="str">
        <x:v>076</x:v>
      </x:c>
      <x:c r="E27" s="2" t="str">
        <x:v>Member state</x:v>
      </x:c>
      <x:c r="F27" s="2" t="n">
        <x:v>213562666</x:v>
      </x:c>
      <x:c r="G27" s="2" t="n">
        <x:v>216074411</x:v>
      </x:c>
      <x:c r="H27" s="2" t="n">
        <x:v>218199707</x:v>
      </x:c>
      <x:c r="I27" s="2" t="n">
        <x:v>219237084</x:v>
      </x:c>
      <x:c r="J27" s="2" t="n">
        <x:v>219026196</x:v>
      </x:c>
      <x:c r="K27" s="2" t="n">
        <x:v>217489299</x:v>
      </x:c>
      <x:c r="L27" s="2" t="n">
        <x:v>217040324</x:v>
      </x:c>
      <x:c r="M27" s="2" t="str">
        <x:v>trade</x:v>
      </x:c>
      <x:c r="N27" s="2" t="str">
        <x:v>Diligence priority</x:v>
      </x:c>
      <x:c r="O27" s="2" t="str">
        <x:v>Disclosed location in June-2026 factsheet</x:v>
      </x:c>
      <x:c r="P27" s="2" t="str">
        <x:v>Grains and oilseeds</x:v>
      </x:c>
      <x:c r="Q27" s="2" t="str">
        <x:v>Map common weather, port and financing exposure before claiming diversification.</x:v>
      </x:c>
    </x:row>
    <x:row r="28" ht="60" customHeight="1">
      <x:c r="A28" s="2" t="str">
        <x:v>BRN</x:v>
      </x:c>
      <x:c r="B28" s="2" t="str">
        <x:v>Brunei Darussalam</x:v>
      </x:c>
      <x:c r="C28" s="2" t="str">
        <x:v>Asia</x:v>
      </x:c>
      <x:c r="D28" s="2" t="str">
        <x:v>096</x:v>
      </x:c>
      <x:c r="E28" s="2" t="str">
        <x:v>Member state</x:v>
      </x:c>
      <x:c r="F28" s="2" t="n">
        <x:v>469775</x:v>
      </x:c>
      <x:c r="G28" s="2" t="n">
        <x:v>482447</x:v>
      </x:c>
      <x:c r="H28" s="2" t="n">
        <x:v>495290</x:v>
      </x:c>
      <x:c r="I28" s="2" t="n">
        <x:v>505976</x:v>
      </x:c>
      <x:c r="J28" s="2" t="n">
        <x:v>514052</x:v>
      </x:c>
      <x:c r="K28" s="2" t="n">
        <x:v>519551.00000000006</x:v>
      </x:c>
      <x:c r="L28" s="2" t="n">
        <x:v>520265.99999999994</x:v>
      </x:c>
      <x:c r="M28" s="2" t="str">
        <x:v>trade</x:v>
      </x:c>
      <x:c r="N28" s="2" t="str">
        <x:v>Watch regional trade</x:v>
      </x:c>
      <x:c r="O28" s="2" t="str">
        <x:v>Not verified, absence not inferred</x:v>
      </x:c>
      <x:c r="P28" s="2" t="str">
        <x:v>Staple trade, product selection pending</x:v>
      </x:c>
      <x:c r="Q28" s="2" t="str">
        <x:v>Confirm product demand, accessible HS line, counterparties, delivered spread, cash conversion and legal clearance.</x:v>
      </x:c>
    </x:row>
    <x:row r="29" ht="60" customHeight="1">
      <x:c r="A29" s="2" t="str">
        <x:v>BGR</x:v>
      </x:c>
      <x:c r="B29" s="2" t="str">
        <x:v>Bulgaria</x:v>
      </x:c>
      <x:c r="C29" s="2" t="str">
        <x:v>Europe</x:v>
      </x:c>
      <x:c r="D29" s="2" t="str">
        <x:v>100</x:v>
      </x:c>
      <x:c r="E29" s="2" t="str">
        <x:v>Member state</x:v>
      </x:c>
      <x:c r="F29" s="2" t="n">
        <x:v>6667659</x:v>
      </x:c>
      <x:c r="G29" s="2" t="n">
        <x:v>6458243</x:v>
      </x:c>
      <x:c r="H29" s="2" t="n">
        <x:v>6183114</x:v>
      </x:c>
      <x:c r="I29" s="2" t="n">
        <x:v>5907728</x:v>
      </x:c>
      <x:c r="J29" s="2" t="n">
        <x:v>5648256</x:v>
      </x:c>
      <x:c r="K29" s="2" t="n">
        <x:v>5402217</x:v>
      </x:c>
      <x:c r="L29" s="2" t="n">
        <x:v>5354139</x:v>
      </x:c>
      <x:c r="M29" s="2" t="str">
        <x:v>trade</x:v>
      </x:c>
      <x:c r="N29" s="2" t="str">
        <x:v>Watch customer specialization</x:v>
      </x:c>
      <x:c r="O29" s="2" t="str">
        <x:v>Not verified, absence not inferred</x:v>
      </x:c>
      <x:c r="P29" s="2" t="str">
        <x:v>Staple trade, product selection pending</x:v>
      </x:c>
      <x:c r="Q29" s="2" t="str">
        <x:v>Confirm product demand, accessible HS line, counterparties, delivered spread, cash conversion and legal clearance.</x:v>
      </x:c>
    </x:row>
    <x:row r="30" ht="60" customHeight="1">
      <x:c r="A30" s="2" t="str">
        <x:v>BFA</x:v>
      </x:c>
      <x:c r="B30" s="2" t="str">
        <x:v>Burkina Faso</x:v>
      </x:c>
      <x:c r="C30" s="2" t="str">
        <x:v>Africa</x:v>
      </x:c>
      <x:c r="D30" s="2" t="str">
        <x:v>854</x:v>
      </x:c>
      <x:c r="E30" s="2" t="str">
        <x:v>Member state</x:v>
      </x:c>
      <x:c r="F30" s="2" t="n">
        <x:v>24601700</x:v>
      </x:c>
      <x:c r="G30" s="2" t="n">
        <x:v>26730324</x:v>
      </x:c>
      <x:c r="H30" s="2" t="n">
        <x:v>29469746</x:v>
      </x:c>
      <x:c r="I30" s="2" t="n">
        <x:v>32193645</x:v>
      </x:c>
      <x:c r="J30" s="2" t="n">
        <x:v>34829690</x:v>
      </x:c>
      <x:c r="K30" s="2" t="n">
        <x:v>37304383</x:v>
      </x:c>
      <x:c r="L30" s="2" t="n">
        <x:v>37777225</x:v>
      </x:c>
      <x:c r="M30" s="2" t="str">
        <x:v>trade</x:v>
      </x:c>
      <x:c r="N30" s="2" t="str">
        <x:v>Watch product/corridor opportunity</x:v>
      </x:c>
      <x:c r="O30" s="2" t="str">
        <x:v>Not verified, absence not inferred</x:v>
      </x:c>
      <x:c r="P30" s="2" t="str">
        <x:v>Staple trade, product selection pending</x:v>
      </x:c>
      <x:c r="Q30" s="2" t="str">
        <x:v>Confirm product demand, accessible HS line, counterparties, delivered spread, cash conversion and legal clearance.</x:v>
      </x:c>
    </x:row>
    <x:row r="31" ht="60" customHeight="1">
      <x:c r="A31" s="2" t="str">
        <x:v>BDI</x:v>
      </x:c>
      <x:c r="B31" s="2" t="str">
        <x:v>Burundi</x:v>
      </x:c>
      <x:c r="C31" s="2" t="str">
        <x:v>Africa</x:v>
      </x:c>
      <x:c r="D31" s="2" t="str">
        <x:v>108</x:v>
      </x:c>
      <x:c r="E31" s="2" t="str">
        <x:v>Member state</x:v>
      </x:c>
      <x:c r="F31" s="2" t="n">
        <x:v>14729157</x:v>
      </x:c>
      <x:c r="G31" s="2" t="n">
        <x:v>16182016</x:v>
      </x:c>
      <x:c r="H31" s="2" t="n">
        <x:v>18085841</x:v>
      </x:c>
      <x:c r="I31" s="2" t="n">
        <x:v>20131318</x:v>
      </x:c>
      <x:c r="J31" s="2" t="n">
        <x:v>22197887</x:v>
      </x:c>
      <x:c r="K31" s="2" t="n">
        <x:v>24131720</x:v>
      </x:c>
      <x:c r="L31" s="2" t="n">
        <x:v>24498523</x:v>
      </x:c>
      <x:c r="M31" s="2" t="str">
        <x:v>trade</x:v>
      </x:c>
      <x:c r="N31" s="2" t="str">
        <x:v>Watch product/corridor opportunity</x:v>
      </x:c>
      <x:c r="O31" s="2" t="str">
        <x:v>Not verified, absence not inferred</x:v>
      </x:c>
      <x:c r="P31" s="2" t="str">
        <x:v>Staple trade, product selection pending</x:v>
      </x:c>
      <x:c r="Q31" s="2" t="str">
        <x:v>Confirm product demand, accessible HS line, counterparties, delivered spread, cash conversion and legal clearance.</x:v>
      </x:c>
    </x:row>
    <x:row r="32" ht="60" customHeight="1">
      <x:c r="A32" s="2" t="str">
        <x:v>CPV</x:v>
      </x:c>
      <x:c r="B32" s="2" t="str">
        <x:v>Cabo Verde</x:v>
      </x:c>
      <x:c r="C32" s="2" t="str">
        <x:v>Africa</x:v>
      </x:c>
      <x:c r="D32" s="2" t="str">
        <x:v>132</x:v>
      </x:c>
      <x:c r="E32" s="2" t="str">
        <x:v>Member state</x:v>
      </x:c>
      <x:c r="F32" s="2" t="n">
        <x:v>529630</x:v>
      </x:c>
      <x:c r="G32" s="2" t="n">
        <x:v>538614</x:v>
      </x:c>
      <x:c r="H32" s="2" t="n">
        <x:v>548591</x:v>
      </x:c>
      <x:c r="I32" s="2" t="n">
        <x:v>557374</x:v>
      </x:c>
      <x:c r="J32" s="2" t="n">
        <x:v>563476</x:v>
      </x:c>
      <x:c r="K32" s="2" t="n">
        <x:v>566134</x:v>
      </x:c>
      <x:c r="L32" s="2" t="n">
        <x:v>566201</x:v>
      </x:c>
      <x:c r="M32" s="2" t="str">
        <x:v>trade</x:v>
      </x:c>
      <x:c r="N32" s="2" t="str">
        <x:v>Watch regional trade</x:v>
      </x:c>
      <x:c r="O32" s="2" t="str">
        <x:v>Not verified, absence not inferred</x:v>
      </x:c>
      <x:c r="P32" s="2" t="str">
        <x:v>Staple trade, product selection pending</x:v>
      </x:c>
      <x:c r="Q32" s="2" t="str">
        <x:v>Confirm product demand, accessible HS line, counterparties, delivered spread, cash conversion and legal clearance.</x:v>
      </x:c>
    </x:row>
    <x:row r="33" ht="60" customHeight="1">
      <x:c r="A33" s="2" t="str">
        <x:v>KHM</x:v>
      </x:c>
      <x:c r="B33" s="2" t="str">
        <x:v>Cambodia</x:v>
      </x:c>
      <x:c r="C33" s="2" t="str">
        <x:v>Asia</x:v>
      </x:c>
      <x:c r="D33" s="2" t="str">
        <x:v>116</x:v>
      </x:c>
      <x:c r="E33" s="2" t="str">
        <x:v>Member state</x:v>
      </x:c>
      <x:c r="F33" s="2" t="n">
        <x:v>18051219</x:v>
      </x:c>
      <x:c r="G33" s="2" t="n">
        <x:v>18827388</x:v>
      </x:c>
      <x:c r="H33" s="2" t="n">
        <x:v>19720141</x:v>
      </x:c>
      <x:c r="I33" s="2" t="n">
        <x:v>20540682</x:v>
      </x:c>
      <x:c r="J33" s="2" t="n">
        <x:v>21286237</x:v>
      </x:c>
      <x:c r="K33" s="2" t="n">
        <x:v>21931455</x:v>
      </x:c>
      <x:c r="L33" s="2" t="n">
        <x:v>22045831</x:v>
      </x:c>
      <x:c r="M33" s="2" t="str">
        <x:v>trade</x:v>
      </x:c>
      <x:c r="N33" s="2" t="str">
        <x:v>Watch product/corridor opportunity</x:v>
      </x:c>
      <x:c r="O33" s="2" t="str">
        <x:v>Not verified, absence not inferred</x:v>
      </x:c>
      <x:c r="P33" s="2" t="str">
        <x:v>Staple trade, product selection pending</x:v>
      </x:c>
      <x:c r="Q33" s="2" t="str">
        <x:v>Confirm product demand, accessible HS line, counterparties, delivered spread, cash conversion and legal clearance.</x:v>
      </x:c>
    </x:row>
    <x:row r="34" ht="60" customHeight="1">
      <x:c r="A34" s="2" t="str">
        <x:v>CMR</x:v>
      </x:c>
      <x:c r="B34" s="2" t="str">
        <x:v>Cameroon</x:v>
      </x:c>
      <x:c r="C34" s="2" t="str">
        <x:v>Africa</x:v>
      </x:c>
      <x:c r="D34" s="2" t="str">
        <x:v>120</x:v>
      </x:c>
      <x:c r="E34" s="2" t="str">
        <x:v>Member state</x:v>
      </x:c>
      <x:c r="F34" s="2" t="n">
        <x:v>30640817</x:v>
      </x:c>
      <x:c r="G34" s="2" t="n">
        <x:v>33777190</x:v>
      </x:c>
      <x:c r="H34" s="2" t="n">
        <x:v>37893818</x:v>
      </x:c>
      <x:c r="I34" s="2" t="n">
        <x:v>42208003</x:v>
      </x:c>
      <x:c r="J34" s="2" t="n">
        <x:v>46629039</x:v>
      </x:c>
      <x:c r="K34" s="2" t="n">
        <x:v>51096317</x:v>
      </x:c>
      <x:c r="L34" s="2" t="n">
        <x:v>51989016</x:v>
      </x:c>
      <x:c r="M34" s="2" t="str">
        <x:v>partner</x:v>
      </x:c>
      <x:c r="N34" s="2" t="str">
        <x:v>Diligence priority</x:v>
      </x:c>
      <x:c r="O34" s="2" t="str">
        <x:v>Disclosed location in June-2026 factsheet</x:v>
      </x:c>
      <x:c r="P34" s="2" t="str">
        <x:v>Flour and rice</x:v>
      </x:c>
      <x:c r="Q34" s="2" t="str">
        <x:v>Measure late payments, delivery reliability and product-specific duties.</x:v>
      </x:c>
    </x:row>
    <x:row r="35" ht="60" customHeight="1">
      <x:c r="A35" s="2" t="str">
        <x:v>CAN</x:v>
      </x:c>
      <x:c r="B35" s="2" t="str">
        <x:v>Canada</x:v>
      </x:c>
      <x:c r="C35" s="2" t="str">
        <x:v>Americas</x:v>
      </x:c>
      <x:c r="D35" s="2" t="str">
        <x:v>124</x:v>
      </x:c>
      <x:c r="E35" s="2" t="str">
        <x:v>Member state</x:v>
      </x:c>
      <x:c r="F35" s="2" t="n">
        <x:v>40467728</x:v>
      </x:c>
      <x:c r="G35" s="2" t="n">
        <x:v>41655589</x:v>
      </x:c>
      <x:c r="H35" s="2" t="n">
        <x:v>42905267</x:v>
      </x:c>
      <x:c r="I35" s="2" t="n">
        <x:v>43951417</x:v>
      </x:c>
      <x:c r="J35" s="2" t="n">
        <x:v>44850096</x:v>
      </x:c>
      <x:c r="K35" s="2" t="n">
        <x:v>45621882</x:v>
      </x:c>
      <x:c r="L35" s="2" t="n">
        <x:v>45771463</x:v>
      </x:c>
      <x:c r="M35" s="2" t="str">
        <x:v>trade</x:v>
      </x:c>
      <x:c r="N35" s="2" t="str">
        <x:v>Watch product/corridor opportunity</x:v>
      </x:c>
      <x:c r="O35" s="2" t="str">
        <x:v>Not verified, absence not inferred</x:v>
      </x:c>
      <x:c r="P35" s="2" t="str">
        <x:v>Staple trade, product selection pending</x:v>
      </x:c>
      <x:c r="Q35" s="2" t="str">
        <x:v>Confirm product demand, accessible HS line, counterparties, delivered spread, cash conversion and legal clearance.</x:v>
      </x:c>
    </x:row>
    <x:row r="36" ht="60" customHeight="1">
      <x:c r="A36" s="2" t="str">
        <x:v>CAF</x:v>
      </x:c>
      <x:c r="B36" s="2" t="str">
        <x:v>Central African Republic</x:v>
      </x:c>
      <x:c r="C36" s="2" t="str">
        <x:v>Africa</x:v>
      </x:c>
      <x:c r="D36" s="2" t="str">
        <x:v>140</x:v>
      </x:c>
      <x:c r="E36" s="2" t="str">
        <x:v>Member state</x:v>
      </x:c>
      <x:c r="F36" s="2" t="n">
        <x:v>5698984</x:v>
      </x:c>
      <x:c r="G36" s="2" t="n">
        <x:v>6478245</x:v>
      </x:c>
      <x:c r="H36" s="2" t="n">
        <x:v>7502587</x:v>
      </x:c>
      <x:c r="I36" s="2" t="n">
        <x:v>8526455</x:v>
      </x:c>
      <x:c r="J36" s="2" t="n">
        <x:v>9550893</x:v>
      </x:c>
      <x:c r="K36" s="2" t="n">
        <x:v>10616753</x:v>
      </x:c>
      <x:c r="L36" s="2" t="n">
        <x:v>10834361</x:v>
      </x:c>
      <x:c r="M36" s="2" t="str">
        <x:v>trade</x:v>
      </x:c>
      <x:c r="N36" s="2" t="str">
        <x:v>Watch product/corridor opportunity</x:v>
      </x:c>
      <x:c r="O36" s="2" t="str">
        <x:v>Not verified, absence not inferred</x:v>
      </x:c>
      <x:c r="P36" s="2" t="str">
        <x:v>Staple trade, product selection pending</x:v>
      </x:c>
      <x:c r="Q36" s="2" t="str">
        <x:v>Confirm product demand, accessible HS line, counterparties, delivered spread, cash conversion and legal clearance.</x:v>
      </x:c>
    </x:row>
    <x:row r="37" ht="60" customHeight="1">
      <x:c r="A37" s="2" t="str">
        <x:v>TCD</x:v>
      </x:c>
      <x:c r="B37" s="2" t="str">
        <x:v>Chad</x:v>
      </x:c>
      <x:c r="C37" s="2" t="str">
        <x:v>Africa</x:v>
      </x:c>
      <x:c r="D37" s="2" t="str">
        <x:v>148</x:v>
      </x:c>
      <x:c r="E37" s="2" t="str">
        <x:v>Member state</x:v>
      </x:c>
      <x:c r="F37" s="2" t="n">
        <x:v>21560380</x:v>
      </x:c>
      <x:c r="G37" s="2" t="n">
        <x:v>24207479</x:v>
      </x:c>
      <x:c r="H37" s="2" t="n">
        <x:v>27697279</x:v>
      </x:c>
      <x:c r="I37" s="2" t="n">
        <x:v>31307342</x:v>
      </x:c>
      <x:c r="J37" s="2" t="n">
        <x:v>35026393</x:v>
      </x:c>
      <x:c r="K37" s="2" t="n">
        <x:v>38857686</x:v>
      </x:c>
      <x:c r="L37" s="2" t="n">
        <x:v>39636033</x:v>
      </x:c>
      <x:c r="M37" s="2" t="str">
        <x:v>trade</x:v>
      </x:c>
      <x:c r="N37" s="2" t="str">
        <x:v>Review existing operation</x:v>
      </x:c>
      <x:c r="O37" s="2" t="str">
        <x:v>Disclosed location in June-2026 factsheet</x:v>
      </x:c>
      <x:c r="P37" s="2" t="str">
        <x:v>Staple trade, product selection pending</x:v>
      </x:c>
      <x:c r="Q37" s="2" t="str">
        <x:v>Confirm product demand, accessible HS line, counterparties, delivered spread, cash conversion and legal clearance.</x:v>
      </x:c>
    </x:row>
    <x:row r="38" ht="60" customHeight="1">
      <x:c r="A38" s="2" t="str">
        <x:v>CHL</x:v>
      </x:c>
      <x:c r="B38" s="2" t="str">
        <x:v>Chile</x:v>
      </x:c>
      <x:c r="C38" s="2" t="str">
        <x:v>Americas</x:v>
      </x:c>
      <x:c r="D38" s="2" t="str">
        <x:v>152</x:v>
      </x:c>
      <x:c r="E38" s="2" t="str">
        <x:v>Member state</x:v>
      </x:c>
      <x:c r="F38" s="2" t="n">
        <x:v>19945850</x:v>
      </x:c>
      <x:c r="G38" s="2" t="n">
        <x:v>20233183</x:v>
      </x:c>
      <x:c r="H38" s="2" t="n">
        <x:v>20455940</x:v>
      </x:c>
      <x:c r="I38" s="2" t="n">
        <x:v>20542103</x:v>
      </x:c>
      <x:c r="J38" s="2" t="n">
        <x:v>20499138</x:v>
      </x:c>
      <x:c r="K38" s="2" t="n">
        <x:v>20320306</x:v>
      </x:c>
      <x:c r="L38" s="2" t="n">
        <x:v>20269202</x:v>
      </x:c>
      <x:c r="M38" s="2" t="str">
        <x:v>trade</x:v>
      </x:c>
      <x:c r="N38" s="2" t="str">
        <x:v>Watch product/corridor opportunity</x:v>
      </x:c>
      <x:c r="O38" s="2" t="str">
        <x:v>Not verified, absence not inferred</x:v>
      </x:c>
      <x:c r="P38" s="2" t="str">
        <x:v>Staple trade, product selection pending</x:v>
      </x:c>
      <x:c r="Q38" s="2" t="str">
        <x:v>Confirm product demand, accessible HS line, counterparties, delivered spread, cash conversion and legal clearance.</x:v>
      </x:c>
    </x:row>
    <x:row r="39" ht="60" customHeight="1">
      <x:c r="A39" s="2" t="str">
        <x:v>CHN</x:v>
      </x:c>
      <x:c r="B39" s="2" t="str">
        <x:v>China</x:v>
      </x:c>
      <x:c r="C39" s="2" t="str">
        <x:v>Asia</x:v>
      </x:c>
      <x:c r="D39" s="2" t="str">
        <x:v>156</x:v>
      </x:c>
      <x:c r="E39" s="2" t="str">
        <x:v>Member state</x:v>
      </x:c>
      <x:c r="F39" s="2" t="n">
        <x:v>1412914089</x:v>
      </x:c>
      <x:c r="G39" s="2" t="n">
        <x:v>1398153832</x:v>
      </x:c>
      <x:c r="H39" s="2" t="n">
        <x:v>1373427531</x:v>
      </x:c>
      <x:c r="I39" s="2" t="n">
        <x:v>1342816657</x:v>
      </x:c>
      <x:c r="J39" s="2" t="n">
        <x:v>1306113788</x:v>
      </x:c>
      <x:c r="K39" s="2" t="n">
        <x:v>1260289093</x:v>
      </x:c>
      <x:c r="L39" s="2" t="n">
        <x:v>1249692538</x:v>
      </x:c>
      <x:c r="M39" s="2" t="str">
        <x:v>trade</x:v>
      </x:c>
      <x:c r="N39" s="2" t="str">
        <x:v>Review existing operation</x:v>
      </x:c>
      <x:c r="O39" s="2" t="str">
        <x:v>Disclosed location in June-2026 factsheet</x:v>
      </x:c>
      <x:c r="P39" s="2" t="str">
        <x:v>Staple trade, product selection pending</x:v>
      </x:c>
      <x:c r="Q39" s="2" t="str">
        <x:v>Confirm product demand, accessible HS line, counterparties, delivered spread, cash conversion and legal clearance.</x:v>
      </x:c>
    </x:row>
    <x:row r="40" ht="60" customHeight="1">
      <x:c r="A40" s="2" t="str">
        <x:v>COL</x:v>
      </x:c>
      <x:c r="B40" s="2" t="str">
        <x:v>Colombia</x:v>
      </x:c>
      <x:c r="C40" s="2" t="str">
        <x:v>Americas</x:v>
      </x:c>
      <x:c r="D40" s="2" t="str">
        <x:v>170</x:v>
      </x:c>
      <x:c r="E40" s="2" t="str">
        <x:v>Member state</x:v>
      </x:c>
      <x:c r="F40" s="2" t="n">
        <x:v>53936226</x:v>
      </x:c>
      <x:c r="G40" s="2" t="n">
        <x:v>55736475</x:v>
      </x:c>
      <x:c r="H40" s="2" t="n">
        <x:v>57445753</x:v>
      </x:c>
      <x:c r="I40" s="2" t="n">
        <x:v>58576446</x:v>
      </x:c>
      <x:c r="J40" s="2" t="n">
        <x:v>59190823</x:v>
      </x:c>
      <x:c r="K40" s="2" t="n">
        <x:v>59385357</x:v>
      </x:c>
      <x:c r="L40" s="2" t="n">
        <x:v>59382960</x:v>
      </x:c>
      <x:c r="M40" s="2" t="str">
        <x:v>trade</x:v>
      </x:c>
      <x:c r="N40" s="2" t="str">
        <x:v>Watch product/corridor opportunity</x:v>
      </x:c>
      <x:c r="O40" s="2" t="str">
        <x:v>Not verified, absence not inferred</x:v>
      </x:c>
      <x:c r="P40" s="2" t="str">
        <x:v>Staple trade, product selection pending</x:v>
      </x:c>
      <x:c r="Q40" s="2" t="str">
        <x:v>Confirm product demand, accessible HS line, counterparties, delivered spread, cash conversion and legal clearance.</x:v>
      </x:c>
    </x:row>
    <x:row r="41" ht="60" customHeight="1">
      <x:c r="A41" s="2" t="str">
        <x:v>COM</x:v>
      </x:c>
      <x:c r="B41" s="2" t="str">
        <x:v>Comoros</x:v>
      </x:c>
      <x:c r="C41" s="2" t="str">
        <x:v>Africa</x:v>
      </x:c>
      <x:c r="D41" s="2" t="str">
        <x:v>174</x:v>
      </x:c>
      <x:c r="E41" s="2" t="str">
        <x:v>Member state</x:v>
      </x:c>
      <x:c r="F41" s="2" t="n">
        <x:v>899010</x:v>
      </x:c>
      <x:c r="G41" s="2" t="n">
        <x:v>964264</x:v>
      </x:c>
      <x:c r="H41" s="2" t="n">
        <x:v>1047762.9999999999</x:v>
      </x:c>
      <x:c r="I41" s="2" t="n">
        <x:v>1133778</x:v>
      </x:c>
      <x:c r="J41" s="2" t="n">
        <x:v>1221072</x:v>
      </x:c>
      <x:c r="K41" s="2" t="n">
        <x:v>1307558</x:v>
      </x:c>
      <x:c r="L41" s="2" t="n">
        <x:v>1324686</x:v>
      </x:c>
      <x:c r="M41" s="2" t="str">
        <x:v>trade</x:v>
      </x:c>
      <x:c r="N41" s="2" t="str">
        <x:v>Watch regional trade</x:v>
      </x:c>
      <x:c r="O41" s="2" t="str">
        <x:v>Not verified, absence not inferred</x:v>
      </x:c>
      <x:c r="P41" s="2" t="str">
        <x:v>Staple trade, product selection pending</x:v>
      </x:c>
      <x:c r="Q41" s="2" t="str">
        <x:v>Confirm product demand, accessible HS line, counterparties, delivered spread, cash conversion and legal clearance.</x:v>
      </x:c>
    </x:row>
    <x:row r="42" ht="60" customHeight="1">
      <x:c r="A42" s="2" t="str">
        <x:v>COG</x:v>
      </x:c>
      <x:c r="B42" s="2" t="str">
        <x:v>Congo</x:v>
      </x:c>
      <x:c r="C42" s="2" t="str">
        <x:v>Africa</x:v>
      </x:c>
      <x:c r="D42" s="2" t="str">
        <x:v>178</x:v>
      </x:c>
      <x:c r="E42" s="2" t="str">
        <x:v>Member state</x:v>
      </x:c>
      <x:c r="F42" s="2" t="n">
        <x:v>6637785</x:v>
      </x:c>
      <x:c r="G42" s="2" t="n">
        <x:v>7282266</x:v>
      </x:c>
      <x:c r="H42" s="2" t="n">
        <x:v>8160733</x:v>
      </x:c>
      <x:c r="I42" s="2" t="n">
        <x:v>9083971</x:v>
      </x:c>
      <x:c r="J42" s="2" t="n">
        <x:v>10041901</x:v>
      </x:c>
      <x:c r="K42" s="2" t="n">
        <x:v>11006471</x:v>
      </x:c>
      <x:c r="L42" s="2" t="n">
        <x:v>11200449</x:v>
      </x:c>
      <x:c r="M42" s="2" t="str">
        <x:v>trade</x:v>
      </x:c>
      <x:c r="N42" s="2" t="str">
        <x:v>Review existing operation</x:v>
      </x:c>
      <x:c r="O42" s="2" t="str">
        <x:v>Disclosed location in June-2026 factsheet</x:v>
      </x:c>
      <x:c r="P42" s="2" t="str">
        <x:v>Staple trade, product selection pending</x:v>
      </x:c>
      <x:c r="Q42" s="2" t="str">
        <x:v>Confirm product demand, accessible HS line, counterparties, delivered spread, cash conversion and legal clearance.</x:v>
      </x:c>
    </x:row>
    <x:row r="43" ht="60" customHeight="1">
      <x:c r="A43" s="2" t="str">
        <x:v>CRI</x:v>
      </x:c>
      <x:c r="B43" s="2" t="str">
        <x:v>Costa Rica</x:v>
      </x:c>
      <x:c r="C43" s="2" t="str">
        <x:v>Americas</x:v>
      </x:c>
      <x:c r="D43" s="2" t="str">
        <x:v>188</x:v>
      </x:c>
      <x:c r="E43" s="2" t="str">
        <x:v>Member state</x:v>
      </x:c>
      <x:c r="F43" s="2" t="n">
        <x:v>5174789</x:v>
      </x:c>
      <x:c r="G43" s="2" t="n">
        <x:v>5251497</x:v>
      </x:c>
      <x:c r="H43" s="2" t="n">
        <x:v>5324699</x:v>
      </x:c>
      <x:c r="I43" s="2" t="n">
        <x:v>5369806</x:v>
      </x:c>
      <x:c r="J43" s="2" t="n">
        <x:v>5381019</x:v>
      </x:c>
      <x:c r="K43" s="2" t="n">
        <x:v>5354150</x:v>
      </x:c>
      <x:c r="L43" s="2" t="n">
        <x:v>5344062</x:v>
      </x:c>
      <x:c r="M43" s="2" t="str">
        <x:v>trade</x:v>
      </x:c>
      <x:c r="N43" s="2" t="str">
        <x:v>Watch product/corridor opportunity</x:v>
      </x:c>
      <x:c r="O43" s="2" t="str">
        <x:v>Not verified, absence not inferred</x:v>
      </x:c>
      <x:c r="P43" s="2" t="str">
        <x:v>Staple trade, product selection pending</x:v>
      </x:c>
      <x:c r="Q43" s="2" t="str">
        <x:v>Confirm product demand, accessible HS line, counterparties, delivered spread, cash conversion and legal clearance.</x:v>
      </x:c>
    </x:row>
    <x:row r="44" ht="60" customHeight="1">
      <x:c r="A44" s="2" t="str">
        <x:v>HRV</x:v>
      </x:c>
      <x:c r="B44" s="2" t="str">
        <x:v>Croatia</x:v>
      </x:c>
      <x:c r="C44" s="2" t="str">
        <x:v>Europe</x:v>
      </x:c>
      <x:c r="D44" s="2" t="str">
        <x:v>191</x:v>
      </x:c>
      <x:c r="E44" s="2" t="str">
        <x:v>Member state</x:v>
      </x:c>
      <x:c r="F44" s="2" t="n">
        <x:v>3822345</x:v>
      </x:c>
      <x:c r="G44" s="2" t="n">
        <x:v>3725770</x:v>
      </x:c>
      <x:c r="H44" s="2" t="n">
        <x:v>3607215</x:v>
      </x:c>
      <x:c r="I44" s="2" t="n">
        <x:v>3488309</x:v>
      </x:c>
      <x:c r="J44" s="2" t="n">
        <x:v>3362953</x:v>
      </x:c>
      <x:c r="K44" s="2" t="n">
        <x:v>3234160</x:v>
      </x:c>
      <x:c r="L44" s="2" t="n">
        <x:v>3208229</x:v>
      </x:c>
      <x:c r="M44" s="2" t="str">
        <x:v>trade</x:v>
      </x:c>
      <x:c r="N44" s="2" t="str">
        <x:v>Watch customer specialization</x:v>
      </x:c>
      <x:c r="O44" s="2" t="str">
        <x:v>Not verified, absence not inferred</x:v>
      </x:c>
      <x:c r="P44" s="2" t="str">
        <x:v>Staple trade, product selection pending</x:v>
      </x:c>
      <x:c r="Q44" s="2" t="str">
        <x:v>Confirm product demand, accessible HS line, counterparties, delivered spread, cash conversion and legal clearance.</x:v>
      </x:c>
    </x:row>
    <x:row r="45" ht="60" customHeight="1">
      <x:c r="A45" s="2" t="str">
        <x:v>CUB</x:v>
      </x:c>
      <x:c r="B45" s="2" t="str">
        <x:v>Cuba</x:v>
      </x:c>
      <x:c r="C45" s="2" t="str">
        <x:v>Americas</x:v>
      </x:c>
      <x:c r="D45" s="2" t="str">
        <x:v>192</x:v>
      </x:c>
      <x:c r="E45" s="2" t="str">
        <x:v>Member state</x:v>
      </x:c>
      <x:c r="F45" s="2" t="n">
        <x:v>10892659</x:v>
      </x:c>
      <x:c r="G45" s="2" t="n">
        <x:v>10700822</x:v>
      </x:c>
      <x:c r="H45" s="2" t="n">
        <x:v>10431762</x:v>
      </x:c>
      <x:c r="I45" s="2" t="n">
        <x:v>10125837</x:v>
      </x:c>
      <x:c r="J45" s="2" t="n">
        <x:v>9775199</x:v>
      </x:c>
      <x:c r="K45" s="2" t="n">
        <x:v>9381999</x:v>
      </x:c>
      <x:c r="L45" s="2" t="n">
        <x:v>9298547</x:v>
      </x:c>
      <x:c r="M45" s="2" t="str">
        <x:v>trade</x:v>
      </x:c>
      <x:c r="N45" s="2" t="str">
        <x:v>Watch customer specialization</x:v>
      </x:c>
      <x:c r="O45" s="2" t="str">
        <x:v>Not verified, absence not inferred</x:v>
      </x:c>
      <x:c r="P45" s="2" t="str">
        <x:v>Staple trade, product selection pending</x:v>
      </x:c>
      <x:c r="Q45" s="2" t="str">
        <x:v>Confirm product demand, accessible HS line, counterparties, delivered spread, cash conversion and legal clearance.</x:v>
      </x:c>
    </x:row>
    <x:row r="46" ht="60" customHeight="1">
      <x:c r="A46" s="2" t="str">
        <x:v>CYP</x:v>
      </x:c>
      <x:c r="B46" s="2" t="str">
        <x:v>Cyprus</x:v>
      </x:c>
      <x:c r="C46" s="2" t="str">
        <x:v>Asia</x:v>
      </x:c>
      <x:c r="D46" s="2" t="str">
        <x:v>196</x:v>
      </x:c>
      <x:c r="E46" s="2" t="str">
        <x:v>Member state</x:v>
      </x:c>
      <x:c r="F46" s="2" t="n">
        <x:v>1382334</x:v>
      </x:c>
      <x:c r="G46" s="2" t="n">
        <x:v>1422318</x:v>
      </x:c>
      <x:c r="H46" s="2" t="n">
        <x:v>1459190</x:v>
      </x:c>
      <x:c r="I46" s="2" t="n">
        <x:v>1484849</x:v>
      </x:c>
      <x:c r="J46" s="2" t="n">
        <x:v>1500070</x:v>
      </x:c>
      <x:c r="K46" s="2" t="n">
        <x:v>1508482</x:v>
      </x:c>
      <x:c r="L46" s="2" t="n">
        <x:v>1509486</x:v>
      </x:c>
      <x:c r="M46" s="2" t="str">
        <x:v>trade</x:v>
      </x:c>
      <x:c r="N46" s="2" t="str">
        <x:v>Watch product/corridor opportunity</x:v>
      </x:c>
      <x:c r="O46" s="2" t="str">
        <x:v>Not verified, absence not inferred</x:v>
      </x:c>
      <x:c r="P46" s="2" t="str">
        <x:v>Staple trade, product selection pending</x:v>
      </x:c>
      <x:c r="Q46" s="2" t="str">
        <x:v>Confirm product demand, accessible HS line, counterparties, delivered spread, cash conversion and legal clearance.</x:v>
      </x:c>
    </x:row>
    <x:row r="47" ht="60" customHeight="1">
      <x:c r="A47" s="2" t="str">
        <x:v>CZE</x:v>
      </x:c>
      <x:c r="B47" s="2" t="str">
        <x:v>Czechia</x:v>
      </x:c>
      <x:c r="C47" s="2" t="str">
        <x:v>Europe</x:v>
      </x:c>
      <x:c r="D47" s="2" t="str">
        <x:v>203</x:v>
      </x:c>
      <x:c r="E47" s="2" t="str">
        <x:v>Member state</x:v>
      </x:c>
      <x:c r="F47" s="2" t="n">
        <x:v>10527781</x:v>
      </x:c>
      <x:c r="G47" s="2" t="n">
        <x:v>10425089</x:v>
      </x:c>
      <x:c r="H47" s="2" t="n">
        <x:v>10265956</x:v>
      </x:c>
      <x:c r="I47" s="2" t="n">
        <x:v>10107226</x:v>
      </x:c>
      <x:c r="J47" s="2" t="n">
        <x:v>9965090</x:v>
      </x:c>
      <x:c r="K47" s="2" t="n">
        <x:v>9825543</x:v>
      </x:c>
      <x:c r="L47" s="2" t="n">
        <x:v>9795302</x:v>
      </x:c>
      <x:c r="M47" s="2" t="str">
        <x:v>trade</x:v>
      </x:c>
      <x:c r="N47" s="2" t="str">
        <x:v>Watch customer specialization</x:v>
      </x:c>
      <x:c r="O47" s="2" t="str">
        <x:v>Not verified, absence not inferred</x:v>
      </x:c>
      <x:c r="P47" s="2" t="str">
        <x:v>Staple trade, product selection pending</x:v>
      </x:c>
      <x:c r="Q47" s="2" t="str">
        <x:v>Confirm product demand, accessible HS line, counterparties, delivered spread, cash conversion and legal clearance.</x:v>
      </x:c>
    </x:row>
    <x:row r="48" ht="60" customHeight="1">
      <x:c r="A48" s="2" t="str">
        <x:v>CIV</x:v>
      </x:c>
      <x:c r="B48" s="2" t="str">
        <x:v>Côte d’Ivoire</x:v>
      </x:c>
      <x:c r="C48" s="2" t="str">
        <x:v>Africa</x:v>
      </x:c>
      <x:c r="D48" s="2" t="str">
        <x:v>384</x:v>
      </x:c>
      <x:c r="E48" s="2" t="str">
        <x:v>Member state</x:v>
      </x:c>
      <x:c r="F48" s="2" t="n">
        <x:v>33494345.999999996</x:v>
      </x:c>
      <x:c r="G48" s="2" t="n">
        <x:v>36699009</x:v>
      </x:c>
      <x:c r="H48" s="2" t="n">
        <x:v>41033849</x:v>
      </x:c>
      <x:c r="I48" s="2" t="n">
        <x:v>45743925</x:v>
      </x:c>
      <x:c r="J48" s="2" t="n">
        <x:v>50716067</x:v>
      </x:c>
      <x:c r="K48" s="2" t="n">
        <x:v>55746985</x:v>
      </x:c>
      <x:c r="L48" s="2" t="n">
        <x:v>56759561</x:v>
      </x:c>
      <x:c r="M48" s="2" t="str">
        <x:v>trade</x:v>
      </x:c>
      <x:c r="N48" s="2" t="str">
        <x:v>Review existing operation</x:v>
      </x:c>
      <x:c r="O48" s="2" t="str">
        <x:v>Disclosed location in June-2026 factsheet</x:v>
      </x:c>
      <x:c r="P48" s="2" t="str">
        <x:v>Staple trade, product selection pending</x:v>
      </x:c>
      <x:c r="Q48" s="2" t="str">
        <x:v>Confirm product demand, accessible HS line, counterparties, delivered spread, cash conversion and legal clearance.</x:v>
      </x:c>
    </x:row>
    <x:row r="49" ht="60" customHeight="1">
      <x:c r="A49" s="2" t="str">
        <x:v>PRK</x:v>
      </x:c>
      <x:c r="B49" s="2" t="str">
        <x:v>Democratic People's Republic of Korea</x:v>
      </x:c>
      <x:c r="C49" s="2" t="str">
        <x:v>Asia</x:v>
      </x:c>
      <x:c r="D49" s="2" t="str">
        <x:v>408</x:v>
      </x:c>
      <x:c r="E49" s="2" t="str">
        <x:v>Member state</x:v>
      </x:c>
      <x:c r="F49" s="2" t="n">
        <x:v>26633691</x:v>
      </x:c>
      <x:c r="G49" s="2" t="n">
        <x:v>26784904</x:v>
      </x:c>
      <x:c r="H49" s="2" t="n">
        <x:v>26757724</x:v>
      </x:c>
      <x:c r="I49" s="2" t="n">
        <x:v>26542432</x:v>
      </x:c>
      <x:c r="J49" s="2" t="n">
        <x:v>26210203</x:v>
      </x:c>
      <x:c r="K49" s="2" t="n">
        <x:v>25787127</x:v>
      </x:c>
      <x:c r="L49" s="2" t="n">
        <x:v>25691411</x:v>
      </x:c>
      <x:c r="M49" s="2" t="str">
        <x:v>trade</x:v>
      </x:c>
      <x:c r="N49" s="2" t="str">
        <x:v>Watch product/corridor opportunity</x:v>
      </x:c>
      <x:c r="O49" s="2" t="str">
        <x:v>Not verified, absence not inferred</x:v>
      </x:c>
      <x:c r="P49" s="2" t="str">
        <x:v>Staple trade, product selection pending</x:v>
      </x:c>
      <x:c r="Q49" s="2" t="str">
        <x:v>Confirm product demand, accessible HS line, counterparties, delivered spread, cash conversion and legal clearance.</x:v>
      </x:c>
    </x:row>
    <x:row r="50" ht="60" customHeight="1">
      <x:c r="A50" s="2" t="str">
        <x:v>COD</x:v>
      </x:c>
      <x:c r="B50" s="2" t="str">
        <x:v>Democratic Republic of the Congo</x:v>
      </x:c>
      <x:c r="C50" s="2" t="str">
        <x:v>Africa</x:v>
      </x:c>
      <x:c r="D50" s="2" t="str">
        <x:v>180</x:v>
      </x:c>
      <x:c r="E50" s="2" t="str">
        <x:v>Member state</x:v>
      </x:c>
      <x:c r="F50" s="2" t="n">
        <x:v>116452162</x:v>
      </x:c>
      <x:c r="G50" s="2" t="n">
        <x:v>131532201</x:v>
      </x:c>
      <x:c r="H50" s="2" t="n">
        <x:v>151560103</x:v>
      </x:c>
      <x:c r="I50" s="2" t="n">
        <x:v>172595582</x:v>
      </x:c>
      <x:c r="J50" s="2" t="n">
        <x:v>194865379</x:v>
      </x:c>
      <x:c r="K50" s="2" t="n">
        <x:v>218246072</x:v>
      </x:c>
      <x:c r="L50" s="2" t="n">
        <x:v>223027957</x:v>
      </x:c>
      <x:c r="M50" s="2" t="str">
        <x:v>trade</x:v>
      </x:c>
      <x:c r="N50" s="2" t="str">
        <x:v>Watch product/corridor opportunity</x:v>
      </x:c>
      <x:c r="O50" s="2" t="str">
        <x:v>Not verified, absence not inferred</x:v>
      </x:c>
      <x:c r="P50" s="2" t="str">
        <x:v>Staple trade, product selection pending</x:v>
      </x:c>
      <x:c r="Q50" s="2" t="str">
        <x:v>Confirm product demand, accessible HS line, counterparties, delivered spread, cash conversion and legal clearance.</x:v>
      </x:c>
    </x:row>
    <x:row r="51" ht="60" customHeight="1">
      <x:c r="A51" s="2" t="str">
        <x:v>DNK</x:v>
      </x:c>
      <x:c r="B51" s="2" t="str">
        <x:v>Denmark</x:v>
      </x:c>
      <x:c r="C51" s="2" t="str">
        <x:v>Europe</x:v>
      </x:c>
      <x:c r="D51" s="2" t="str">
        <x:v>208</x:v>
      </x:c>
      <x:c r="E51" s="2" t="str">
        <x:v>Member state</x:v>
      </x:c>
      <x:c r="F51" s="2" t="n">
        <x:v>6023520</x:v>
      </x:c>
      <x:c r="G51" s="2" t="n">
        <x:v>6081995</x:v>
      </x:c>
      <x:c r="H51" s="2" t="n">
        <x:v>6119806</x:v>
      </x:c>
      <x:c r="I51" s="2" t="n">
        <x:v>6134659</x:v>
      </x:c>
      <x:c r="J51" s="2" t="n">
        <x:v>6134655</x:v>
      </x:c>
      <x:c r="K51" s="2" t="n">
        <x:v>6124838</x:v>
      </x:c>
      <x:c r="L51" s="2" t="n">
        <x:v>6121371</x:v>
      </x:c>
      <x:c r="M51" s="2" t="str">
        <x:v>trade</x:v>
      </x:c>
      <x:c r="N51" s="2" t="str">
        <x:v>Watch product/corridor opportunity</x:v>
      </x:c>
      <x:c r="O51" s="2" t="str">
        <x:v>Not verified, absence not inferred</x:v>
      </x:c>
      <x:c r="P51" s="2" t="str">
        <x:v>Staple trade, product selection pending</x:v>
      </x:c>
      <x:c r="Q51" s="2" t="str">
        <x:v>Confirm product demand, accessible HS line, counterparties, delivered spread, cash conversion and legal clearance.</x:v>
      </x:c>
    </x:row>
    <x:row r="52" ht="60" customHeight="1">
      <x:c r="A52" s="2" t="str">
        <x:v>DJI</x:v>
      </x:c>
      <x:c r="B52" s="2" t="str">
        <x:v>Djibouti</x:v>
      </x:c>
      <x:c r="C52" s="2" t="str">
        <x:v>Africa</x:v>
      </x:c>
      <x:c r="D52" s="2" t="str">
        <x:v>262</x:v>
      </x:c>
      <x:c r="E52" s="2" t="str">
        <x:v>Member state</x:v>
      </x:c>
      <x:c r="F52" s="2" t="n">
        <x:v>1199459</x:v>
      </x:c>
      <x:c r="G52" s="2" t="n">
        <x:v>1262678</x:v>
      </x:c>
      <x:c r="H52" s="2" t="n">
        <x:v>1335498</x:v>
      </x:c>
      <x:c r="I52" s="2" t="n">
        <x:v>1406635</x:v>
      </x:c>
      <x:c r="J52" s="2" t="n">
        <x:v>1474041</x:v>
      </x:c>
      <x:c r="K52" s="2" t="n">
        <x:v>1530540</x:v>
      </x:c>
      <x:c r="L52" s="2" t="n">
        <x:v>1540678</x:v>
      </x:c>
      <x:c r="M52" s="2" t="str">
        <x:v>trade</x:v>
      </x:c>
      <x:c r="N52" s="2" t="str">
        <x:v>Watch product/corridor opportunity</x:v>
      </x:c>
      <x:c r="O52" s="2" t="str">
        <x:v>Not verified, absence not inferred</x:v>
      </x:c>
      <x:c r="P52" s="2" t="str">
        <x:v>Staple trade, product selection pending</x:v>
      </x:c>
      <x:c r="Q52" s="2" t="str">
        <x:v>Confirm product demand, accessible HS line, counterparties, delivered spread, cash conversion and legal clearance.</x:v>
      </x:c>
    </x:row>
    <x:row r="53" ht="60" customHeight="1">
      <x:c r="A53" s="2" t="str">
        <x:v>DMA</x:v>
      </x:c>
      <x:c r="B53" s="2" t="str">
        <x:v>Dominica</x:v>
      </x:c>
      <x:c r="C53" s="2" t="str">
        <x:v>Americas</x:v>
      </x:c>
      <x:c r="D53" s="2" t="str">
        <x:v>212</x:v>
      </x:c>
      <x:c r="E53" s="2" t="str">
        <x:v>Member state</x:v>
      </x:c>
      <x:c r="F53" s="2" t="n">
        <x:v>65510.99999999999</x:v>
      </x:c>
      <x:c r="G53" s="2" t="n">
        <x:v>64169</x:v>
      </x:c>
      <x:c r="H53" s="2" t="n">
        <x:v>63761</x:v>
      </x:c>
      <x:c r="I53" s="2" t="n">
        <x:v>63799</x:v>
      </x:c>
      <x:c r="J53" s="2" t="n">
        <x:v>63629</x:v>
      </x:c>
      <x:c r="K53" s="2" t="n">
        <x:v>63192</x:v>
      </x:c>
      <x:c r="L53" s="2" t="n">
        <x:v>63062</x:v>
      </x:c>
      <x:c r="M53" s="2" t="str">
        <x:v>trade</x:v>
      </x:c>
      <x:c r="N53" s="2" t="str">
        <x:v>Watch regional trade</x:v>
      </x:c>
      <x:c r="O53" s="2" t="str">
        <x:v>Not verified, absence not inferred</x:v>
      </x:c>
      <x:c r="P53" s="2" t="str">
        <x:v>Staple trade, product selection pending</x:v>
      </x:c>
      <x:c r="Q53" s="2" t="str">
        <x:v>Confirm product demand, accessible HS line, counterparties, delivered spread, cash conversion and legal clearance.</x:v>
      </x:c>
    </x:row>
    <x:row r="54" ht="60" customHeight="1">
      <x:c r="A54" s="2" t="str">
        <x:v>DOM</x:v>
      </x:c>
      <x:c r="B54" s="2" t="str">
        <x:v>Dominican Republic</x:v>
      </x:c>
      <x:c r="C54" s="2" t="str">
        <x:v>Americas</x:v>
      </x:c>
      <x:c r="D54" s="2" t="str">
        <x:v>214</x:v>
      </x:c>
      <x:c r="E54" s="2" t="str">
        <x:v>Member state</x:v>
      </x:c>
      <x:c r="F54" s="2" t="n">
        <x:v>11609500</x:v>
      </x:c>
      <x:c r="G54" s="2" t="n">
        <x:v>11938852</x:v>
      </x:c>
      <x:c r="H54" s="2" t="n">
        <x:v>12289431</x:v>
      </x:c>
      <x:c r="I54" s="2" t="n">
        <x:v>12579320</x:v>
      </x:c>
      <x:c r="J54" s="2" t="n">
        <x:v>12816005</x:v>
      </x:c>
      <x:c r="K54" s="2" t="n">
        <x:v>12996293</x:v>
      </x:c>
      <x:c r="L54" s="2" t="n">
        <x:v>13025140</x:v>
      </x:c>
      <x:c r="M54" s="2" t="str">
        <x:v>trade</x:v>
      </x:c>
      <x:c r="N54" s="2" t="str">
        <x:v>Watch product/corridor opportunity</x:v>
      </x:c>
      <x:c r="O54" s="2" t="str">
        <x:v>Not verified, absence not inferred</x:v>
      </x:c>
      <x:c r="P54" s="2" t="str">
        <x:v>Staple trade, product selection pending</x:v>
      </x:c>
      <x:c r="Q54" s="2" t="str">
        <x:v>Confirm product demand, accessible HS line, counterparties, delivered spread, cash conversion and legal clearance.</x:v>
      </x:c>
    </x:row>
    <x:row r="55" ht="60" customHeight="1">
      <x:c r="A55" s="2" t="str">
        <x:v>ECU</x:v>
      </x:c>
      <x:c r="B55" s="2" t="str">
        <x:v>Ecuador</x:v>
      </x:c>
      <x:c r="C55" s="2" t="str">
        <x:v>Americas</x:v>
      </x:c>
      <x:c r="D55" s="2" t="str">
        <x:v>218</x:v>
      </x:c>
      <x:c r="E55" s="2" t="str">
        <x:v>Member state</x:v>
      </x:c>
      <x:c r="F55" s="2" t="n">
        <x:v>18444506</x:v>
      </x:c>
      <x:c r="G55" s="2" t="n">
        <x:v>19069719</x:v>
      </x:c>
      <x:c r="H55" s="2" t="n">
        <x:v>19800128</x:v>
      </x:c>
      <x:c r="I55" s="2" t="n">
        <x:v>20434220</x:v>
      </x:c>
      <x:c r="J55" s="2" t="n">
        <x:v>20950628</x:v>
      </x:c>
      <x:c r="K55" s="2" t="n">
        <x:v>21337237</x:v>
      </x:c>
      <x:c r="L55" s="2" t="n">
        <x:v>21398376</x:v>
      </x:c>
      <x:c r="M55" s="2" t="str">
        <x:v>trade</x:v>
      </x:c>
      <x:c r="N55" s="2" t="str">
        <x:v>Watch product/corridor opportunity</x:v>
      </x:c>
      <x:c r="O55" s="2" t="str">
        <x:v>Not verified, absence not inferred</x:v>
      </x:c>
      <x:c r="P55" s="2" t="str">
        <x:v>Staple trade, product selection pending</x:v>
      </x:c>
      <x:c r="Q55" s="2" t="str">
        <x:v>Confirm product demand, accessible HS line, counterparties, delivered spread, cash conversion and legal clearance.</x:v>
      </x:c>
    </x:row>
    <x:row r="56" ht="60" customHeight="1">
      <x:c r="A56" s="2" t="str">
        <x:v>EGY</x:v>
      </x:c>
      <x:c r="B56" s="2" t="str">
        <x:v>Egypt</x:v>
      </x:c>
      <x:c r="C56" s="2" t="str">
        <x:v>Africa</x:v>
      </x:c>
      <x:c r="D56" s="2" t="str">
        <x:v>818</x:v>
      </x:c>
      <x:c r="E56" s="2" t="str">
        <x:v>Member state</x:v>
      </x:c>
      <x:c r="F56" s="2" t="n">
        <x:v>120101175</x:v>
      </x:c>
      <x:c r="G56" s="2" t="n">
        <x:v>127139322</x:v>
      </x:c>
      <x:c r="H56" s="2" t="n">
        <x:v>136097217</x:v>
      </x:c>
      <x:c r="I56" s="2" t="n">
        <x:v>145213654</x:v>
      </x:c>
      <x:c r="J56" s="2" t="n">
        <x:v>153919189</x:v>
      </x:c>
      <x:c r="K56" s="2" t="n">
        <x:v>161630192</x:v>
      </x:c>
      <x:c r="L56" s="2" t="n">
        <x:v>163063539</x:v>
      </x:c>
      <x:c r="M56" s="2" t="str">
        <x:v>trade</x:v>
      </x:c>
      <x:c r="N56" s="2" t="str">
        <x:v>Watch product/corridor opportunity</x:v>
      </x:c>
      <x:c r="O56" s="2" t="str">
        <x:v>Not verified, absence not inferred</x:v>
      </x:c>
      <x:c r="P56" s="2" t="str">
        <x:v>Staple trade, product selection pending</x:v>
      </x:c>
      <x:c r="Q56" s="2" t="str">
        <x:v>Confirm product demand, accessible HS line, counterparties, delivered spread, cash conversion and legal clearance.</x:v>
      </x:c>
    </x:row>
    <x:row r="57" ht="60" customHeight="1">
      <x:c r="A57" s="2" t="str">
        <x:v>SLV</x:v>
      </x:c>
      <x:c r="B57" s="2" t="str">
        <x:v>El Salvador</x:v>
      </x:c>
      <x:c r="C57" s="2" t="str">
        <x:v>Americas</x:v>
      </x:c>
      <x:c r="D57" s="2" t="str">
        <x:v>222</x:v>
      </x:c>
      <x:c r="E57" s="2" t="str">
        <x:v>Member state</x:v>
      </x:c>
      <x:c r="F57" s="2" t="n">
        <x:v>6391253</x:v>
      </x:c>
      <x:c r="G57" s="2" t="n">
        <x:v>6486207</x:v>
      </x:c>
      <x:c r="H57" s="2" t="n">
        <x:v>6578181</x:v>
      </x:c>
      <x:c r="I57" s="2" t="n">
        <x:v>6640752</x:v>
      </x:c>
      <x:c r="J57" s="2" t="n">
        <x:v>6668025</x:v>
      </x:c>
      <x:c r="K57" s="2" t="n">
        <x:v>6663346</x:v>
      </x:c>
      <x:c r="L57" s="2" t="n">
        <x:v>6658584</x:v>
      </x:c>
      <x:c r="M57" s="2" t="str">
        <x:v>trade</x:v>
      </x:c>
      <x:c r="N57" s="2" t="str">
        <x:v>Watch product/corridor opportunity</x:v>
      </x:c>
      <x:c r="O57" s="2" t="str">
        <x:v>Not verified, absence not inferred</x:v>
      </x:c>
      <x:c r="P57" s="2" t="str">
        <x:v>Staple trade, product selection pending</x:v>
      </x:c>
      <x:c r="Q57" s="2" t="str">
        <x:v>Confirm product demand, accessible HS line, counterparties, delivered spread, cash conversion and legal clearance.</x:v>
      </x:c>
    </x:row>
    <x:row r="58" ht="60" customHeight="1">
      <x:c r="A58" s="2" t="str">
        <x:v>GNQ</x:v>
      </x:c>
      <x:c r="B58" s="2" t="str">
        <x:v>Equatorial Guinea</x:v>
      </x:c>
      <x:c r="C58" s="2" t="str">
        <x:v>Africa</x:v>
      </x:c>
      <x:c r="D58" s="2" t="str">
        <x:v>226</x:v>
      </x:c>
      <x:c r="E58" s="2" t="str">
        <x:v>Member state</x:v>
      </x:c>
      <x:c r="F58" s="2" t="n">
        <x:v>1984468</x:v>
      </x:c>
      <x:c r="G58" s="2" t="n">
        <x:v>2170445</x:v>
      </x:c>
      <x:c r="H58" s="2" t="n">
        <x:v>2414269</x:v>
      </x:c>
      <x:c r="I58" s="2" t="n">
        <x:v>2665586</x:v>
      </x:c>
      <x:c r="J58" s="2" t="n">
        <x:v>2911235</x:v>
      </x:c>
      <x:c r="K58" s="2" t="n">
        <x:v>3143728</x:v>
      </x:c>
      <x:c r="L58" s="2" t="n">
        <x:v>3190137</x:v>
      </x:c>
      <x:c r="M58" s="2" t="str">
        <x:v>trade</x:v>
      </x:c>
      <x:c r="N58" s="2" t="str">
        <x:v>Watch product/corridor opportunity</x:v>
      </x:c>
      <x:c r="O58" s="2" t="str">
        <x:v>Not verified, absence not inferred</x:v>
      </x:c>
      <x:c r="P58" s="2" t="str">
        <x:v>Staple trade, product selection pending</x:v>
      </x:c>
      <x:c r="Q58" s="2" t="str">
        <x:v>Confirm product demand, accessible HS line, counterparties, delivered spread, cash conversion and legal clearance.</x:v>
      </x:c>
    </x:row>
    <x:row r="59" ht="60" customHeight="1">
      <x:c r="A59" s="2" t="str">
        <x:v>ERI</x:v>
      </x:c>
      <x:c r="B59" s="2" t="str">
        <x:v>Eritrea</x:v>
      </x:c>
      <x:c r="C59" s="2" t="str">
        <x:v>Africa</x:v>
      </x:c>
      <x:c r="D59" s="2" t="str">
        <x:v>232</x:v>
      </x:c>
      <x:c r="E59" s="2" t="str">
        <x:v>Member state</x:v>
      </x:c>
      <x:c r="F59" s="2" t="n">
        <x:v>3682669</x:v>
      </x:c>
      <x:c r="G59" s="2" t="n">
        <x:v>4002672</x:v>
      </x:c>
      <x:c r="H59" s="2" t="n">
        <x:v>4420922</x:v>
      </x:c>
      <x:c r="I59" s="2" t="n">
        <x:v>4868676</x:v>
      </x:c>
      <x:c r="J59" s="2" t="n">
        <x:v>5292768</x:v>
      </x:c>
      <x:c r="K59" s="2" t="n">
        <x:v>5696062</x:v>
      </x:c>
      <x:c r="L59" s="2" t="n">
        <x:v>5775739</x:v>
      </x:c>
      <x:c r="M59" s="2" t="str">
        <x:v>trade</x:v>
      </x:c>
      <x:c r="N59" s="2" t="str">
        <x:v>Watch product/corridor opportunity</x:v>
      </x:c>
      <x:c r="O59" s="2" t="str">
        <x:v>Not verified, absence not inferred</x:v>
      </x:c>
      <x:c r="P59" s="2" t="str">
        <x:v>Staple trade, product selection pending</x:v>
      </x:c>
      <x:c r="Q59" s="2" t="str">
        <x:v>Confirm product demand, accessible HS line, counterparties, delivered spread, cash conversion and legal clearance.</x:v>
      </x:c>
    </x:row>
    <x:row r="60" ht="60" customHeight="1">
      <x:c r="A60" s="2" t="str">
        <x:v>EST</x:v>
      </x:c>
      <x:c r="B60" s="2" t="str">
        <x:v>Estonia</x:v>
      </x:c>
      <x:c r="C60" s="2" t="str">
        <x:v>Europe</x:v>
      </x:c>
      <x:c r="D60" s="2" t="str">
        <x:v>233</x:v>
      </x:c>
      <x:c r="E60" s="2" t="str">
        <x:v>Member state</x:v>
      </x:c>
      <x:c r="F60" s="2" t="n">
        <x:v>1331062</x:v>
      </x:c>
      <x:c r="G60" s="2" t="n">
        <x:v>1302772</x:v>
      </x:c>
      <x:c r="H60" s="2" t="n">
        <x:v>1268271</x:v>
      </x:c>
      <x:c r="I60" s="2" t="n">
        <x:v>1236787</x:v>
      </x:c>
      <x:c r="J60" s="2" t="n">
        <x:v>1206184</x:v>
      </x:c>
      <x:c r="K60" s="2" t="n">
        <x:v>1174267</x:v>
      </x:c>
      <x:c r="L60" s="2" t="n">
        <x:v>1167469</x:v>
      </x:c>
      <x:c r="M60" s="2" t="str">
        <x:v>trade</x:v>
      </x:c>
      <x:c r="N60" s="2" t="str">
        <x:v>Watch customer specialization</x:v>
      </x:c>
      <x:c r="O60" s="2" t="str">
        <x:v>Not verified, absence not inferred</x:v>
      </x:c>
      <x:c r="P60" s="2" t="str">
        <x:v>Staple trade, product selection pending</x:v>
      </x:c>
      <x:c r="Q60" s="2" t="str">
        <x:v>Confirm product demand, accessible HS line, counterparties, delivered spread, cash conversion and legal clearance.</x:v>
      </x:c>
    </x:row>
    <x:row r="61" ht="60" customHeight="1">
      <x:c r="A61" s="2" t="str">
        <x:v>SWZ</x:v>
      </x:c>
      <x:c r="B61" s="2" t="str">
        <x:v>Eswatini</x:v>
      </x:c>
      <x:c r="C61" s="2" t="str">
        <x:v>Africa</x:v>
      </x:c>
      <x:c r="D61" s="2" t="str">
        <x:v>748</x:v>
      </x:c>
      <x:c r="E61" s="2" t="str">
        <x:v>Member state</x:v>
      </x:c>
      <x:c r="F61" s="2" t="n">
        <x:v>1269859</x:v>
      </x:c>
      <x:c r="G61" s="2" t="n">
        <x:v>1320918</x:v>
      </x:c>
      <x:c r="H61" s="2" t="n">
        <x:v>1379418</x:v>
      </x:c>
      <x:c r="I61" s="2" t="n">
        <x:v>1429781</x:v>
      </x:c>
      <x:c r="J61" s="2" t="n">
        <x:v>1472137</x:v>
      </x:c>
      <x:c r="K61" s="2" t="n">
        <x:v>1505331</x:v>
      </x:c>
      <x:c r="L61" s="2" t="n">
        <x:v>1510782</x:v>
      </x:c>
      <x:c r="M61" s="2" t="str">
        <x:v>trade</x:v>
      </x:c>
      <x:c r="N61" s="2" t="str">
        <x:v>Watch product/corridor opportunity</x:v>
      </x:c>
      <x:c r="O61" s="2" t="str">
        <x:v>Not verified, absence not inferred</x:v>
      </x:c>
      <x:c r="P61" s="2" t="str">
        <x:v>Staple trade, product selection pending</x:v>
      </x:c>
      <x:c r="Q61" s="2" t="str">
        <x:v>Confirm product demand, accessible HS line, counterparties, delivered spread, cash conversion and legal clearance.</x:v>
      </x:c>
    </x:row>
    <x:row r="62" ht="60" customHeight="1">
      <x:c r="A62" s="2" t="str">
        <x:v>ETH</x:v>
      </x:c>
      <x:c r="B62" s="2" t="str">
        <x:v>Ethiopia</x:v>
      </x:c>
      <x:c r="C62" s="2" t="str">
        <x:v>Africa</x:v>
      </x:c>
      <x:c r="D62" s="2" t="str">
        <x:v>231</x:v>
      </x:c>
      <x:c r="E62" s="2" t="str">
        <x:v>Member state</x:v>
      </x:c>
      <x:c r="F62" s="2" t="n">
        <x:v>138902185</x:v>
      </x:c>
      <x:c r="G62" s="2" t="n">
        <x:v>152855357</x:v>
      </x:c>
      <x:c r="H62" s="2" t="n">
        <x:v>170532954</x:v>
      </x:c>
      <x:c r="I62" s="2" t="n">
        <x:v>188450902</x:v>
      </x:c>
      <x:c r="J62" s="2" t="n">
        <x:v>206673639</x:v>
      </x:c>
      <x:c r="K62" s="2" t="n">
        <x:v>225021875</x:v>
      </x:c>
      <x:c r="L62" s="2" t="n">
        <x:v>228687201</x:v>
      </x:c>
      <x:c r="M62" s="2" t="str">
        <x:v>trade</x:v>
      </x:c>
      <x:c r="N62" s="2" t="str">
        <x:v>Watch product/corridor opportunity</x:v>
      </x:c>
      <x:c r="O62" s="2" t="str">
        <x:v>Not verified, absence not inferred</x:v>
      </x:c>
      <x:c r="P62" s="2" t="str">
        <x:v>Staple trade, product selection pending</x:v>
      </x:c>
      <x:c r="Q62" s="2" t="str">
        <x:v>Confirm product demand, accessible HS line, counterparties, delivered spread, cash conversion and legal clearance.</x:v>
      </x:c>
    </x:row>
    <x:row r="63" ht="60" customHeight="1">
      <x:c r="A63" s="2" t="str">
        <x:v>FJI</x:v>
      </x:c>
      <x:c r="B63" s="2" t="str">
        <x:v>Fiji</x:v>
      </x:c>
      <x:c r="C63" s="2" t="str">
        <x:v>Oceania</x:v>
      </x:c>
      <x:c r="D63" s="2" t="str">
        <x:v>242</x:v>
      </x:c>
      <x:c r="E63" s="2" t="str">
        <x:v>Member state</x:v>
      </x:c>
      <x:c r="F63" s="2" t="n">
        <x:v>937282</x:v>
      </x:c>
      <x:c r="G63" s="2" t="n">
        <x:v>953106</x:v>
      </x:c>
      <x:c r="H63" s="2" t="n">
        <x:v>969629</x:v>
      </x:c>
      <x:c r="I63" s="2" t="n">
        <x:v>983858</x:v>
      </x:c>
      <x:c r="J63" s="2" t="n">
        <x:v>994457</x:v>
      </x:c>
      <x:c r="K63" s="2" t="n">
        <x:v>1000261</x:v>
      </x:c>
      <x:c r="L63" s="2" t="n">
        <x:v>1000845</x:v>
      </x:c>
      <x:c r="M63" s="2" t="str">
        <x:v>trade</x:v>
      </x:c>
      <x:c r="N63" s="2" t="str">
        <x:v>Watch regional trade</x:v>
      </x:c>
      <x:c r="O63" s="2" t="str">
        <x:v>Not verified, absence not inferred</x:v>
      </x:c>
      <x:c r="P63" s="2" t="str">
        <x:v>Staple trade, product selection pending</x:v>
      </x:c>
      <x:c r="Q63" s="2" t="str">
        <x:v>Confirm product demand, accessible HS line, counterparties, delivered spread, cash conversion and legal clearance.</x:v>
      </x:c>
    </x:row>
    <x:row r="64" ht="60" customHeight="1">
      <x:c r="A64" s="2" t="str">
        <x:v>FIN</x:v>
      </x:c>
      <x:c r="B64" s="2" t="str">
        <x:v>Finland</x:v>
      </x:c>
      <x:c r="C64" s="2" t="str">
        <x:v>Europe</x:v>
      </x:c>
      <x:c r="D64" s="2" t="str">
        <x:v>246</x:v>
      </x:c>
      <x:c r="E64" s="2" t="str">
        <x:v>Member state</x:v>
      </x:c>
      <x:c r="F64" s="2" t="n">
        <x:v>5621739</x:v>
      </x:c>
      <x:c r="G64" s="2" t="n">
        <x:v>5592051</x:v>
      </x:c>
      <x:c r="H64" s="2" t="n">
        <x:v>5540655</x:v>
      </x:c>
      <x:c r="I64" s="2" t="n">
        <x:v>5480523</x:v>
      </x:c>
      <x:c r="J64" s="2" t="n">
        <x:v>5418350</x:v>
      </x:c>
      <x:c r="K64" s="2" t="n">
        <x:v>5351645</x:v>
      </x:c>
      <x:c r="L64" s="2" t="n">
        <x:v>5337090</x:v>
      </x:c>
      <x:c r="M64" s="2" t="str">
        <x:v>trade</x:v>
      </x:c>
      <x:c r="N64" s="2" t="str">
        <x:v>Watch customer specialization</x:v>
      </x:c>
      <x:c r="O64" s="2" t="str">
        <x:v>Not verified, absence not inferred</x:v>
      </x:c>
      <x:c r="P64" s="2" t="str">
        <x:v>Staple trade, product selection pending</x:v>
      </x:c>
      <x:c r="Q64" s="2" t="str">
        <x:v>Confirm product demand, accessible HS line, counterparties, delivered spread, cash conversion and legal clearance.</x:v>
      </x:c>
    </x:row>
    <x:row r="65" ht="60" customHeight="1">
      <x:c r="A65" s="2" t="str">
        <x:v>FRA</x:v>
      </x:c>
      <x:c r="B65" s="2" t="str">
        <x:v>France</x:v>
      </x:c>
      <x:c r="C65" s="2" t="str">
        <x:v>Europe</x:v>
      </x:c>
      <x:c r="D65" s="2" t="str">
        <x:v>250</x:v>
      </x:c>
      <x:c r="E65" s="2" t="str">
        <x:v>Member state</x:v>
      </x:c>
      <x:c r="F65" s="2" t="n">
        <x:v>66746401</x:v>
      </x:c>
      <x:c r="G65" s="2" t="n">
        <x:v>67107691.00000001</x:v>
      </x:c>
      <x:c r="H65" s="2" t="n">
        <x:v>67547946</x:v>
      </x:c>
      <x:c r="I65" s="2" t="n">
        <x:v>67938904</x:v>
      </x:c>
      <x:c r="J65" s="2" t="n">
        <x:v>68190955</x:v>
      </x:c>
      <x:c r="K65" s="2" t="n">
        <x:v>68219675</x:v>
      </x:c>
      <x:c r="L65" s="2" t="n">
        <x:v>68200254</x:v>
      </x:c>
      <x:c r="M65" s="2" t="str">
        <x:v>trade</x:v>
      </x:c>
      <x:c r="N65" s="2" t="str">
        <x:v>Review existing operation</x:v>
      </x:c>
      <x:c r="O65" s="2" t="str">
        <x:v>Disclosed location in June-2026 factsheet</x:v>
      </x:c>
      <x:c r="P65" s="2" t="str">
        <x:v>Staple trade, product selection pending</x:v>
      </x:c>
      <x:c r="Q65" s="2" t="str">
        <x:v>Confirm product demand, accessible HS line, counterparties, delivered spread, cash conversion and legal clearance.</x:v>
      </x:c>
    </x:row>
    <x:row r="66" ht="60" customHeight="1">
      <x:c r="A66" s="2" t="str">
        <x:v>GAB</x:v>
      </x:c>
      <x:c r="B66" s="2" t="str">
        <x:v>Gabon</x:v>
      </x:c>
      <x:c r="C66" s="2" t="str">
        <x:v>Africa</x:v>
      </x:c>
      <x:c r="D66" s="2" t="str">
        <x:v>266</x:v>
      </x:c>
      <x:c r="E66" s="2" t="str">
        <x:v>Member state</x:v>
      </x:c>
      <x:c r="F66" s="2" t="n">
        <x:v>2647399</x:v>
      </x:c>
      <x:c r="G66" s="2" t="n">
        <x:v>2866667</x:v>
      </x:c>
      <x:c r="H66" s="2" t="n">
        <x:v>3151468</x:v>
      </x:c>
      <x:c r="I66" s="2" t="n">
        <x:v>3452988</x:v>
      </x:c>
      <x:c r="J66" s="2" t="n">
        <x:v>3767429</x:v>
      </x:c>
      <x:c r="K66" s="2" t="n">
        <x:v>4084533</x:v>
      </x:c>
      <x:c r="L66" s="2" t="n">
        <x:v>4147627.0000000005</x:v>
      </x:c>
      <x:c r="M66" s="2" t="str">
        <x:v>trade</x:v>
      </x:c>
      <x:c r="N66" s="2" t="str">
        <x:v>Watch product/corridor opportunity</x:v>
      </x:c>
      <x:c r="O66" s="2" t="str">
        <x:v>Not verified, absence not inferred</x:v>
      </x:c>
      <x:c r="P66" s="2" t="str">
        <x:v>Staple trade, product selection pending</x:v>
      </x:c>
      <x:c r="Q66" s="2" t="str">
        <x:v>Confirm product demand, accessible HS line, counterparties, delivered spread, cash conversion and legal clearance.</x:v>
      </x:c>
    </x:row>
    <x:row r="67" ht="60" customHeight="1">
      <x:c r="A67" s="2" t="str">
        <x:v>GMB</x:v>
      </x:c>
      <x:c r="B67" s="2" t="str">
        <x:v>Gambia</x:v>
      </x:c>
      <x:c r="C67" s="2" t="str">
        <x:v>Africa</x:v>
      </x:c>
      <x:c r="D67" s="2" t="str">
        <x:v>270</x:v>
      </x:c>
      <x:c r="E67" s="2" t="str">
        <x:v>Member state</x:v>
      </x:c>
      <x:c r="F67" s="2" t="n">
        <x:v>2884079</x:v>
      </x:c>
      <x:c r="G67" s="2" t="n">
        <x:v>3130133</x:v>
      </x:c>
      <x:c r="H67" s="2" t="n">
        <x:v>3433425</x:v>
      </x:c>
      <x:c r="I67" s="2" t="n">
        <x:v>3732798</x:v>
      </x:c>
      <x:c r="J67" s="2" t="n">
        <x:v>4024237</x:v>
      </x:c>
      <x:c r="K67" s="2" t="n">
        <x:v>4301895</x:v>
      </x:c>
      <x:c r="L67" s="2" t="n">
        <x:v>4355372</x:v>
      </x:c>
      <x:c r="M67" s="2" t="str">
        <x:v>trade</x:v>
      </x:c>
      <x:c r="N67" s="2" t="str">
        <x:v>Watch product/corridor opportunity</x:v>
      </x:c>
      <x:c r="O67" s="2" t="str">
        <x:v>Not verified, absence not inferred</x:v>
      </x:c>
      <x:c r="P67" s="2" t="str">
        <x:v>Staple trade, product selection pending</x:v>
      </x:c>
      <x:c r="Q67" s="2" t="str">
        <x:v>Confirm product demand, accessible HS line, counterparties, delivered spread, cash conversion and legal clearance.</x:v>
      </x:c>
    </x:row>
    <x:row r="68" ht="60" customHeight="1">
      <x:c r="A68" s="2" t="str">
        <x:v>GEO</x:v>
      </x:c>
      <x:c r="B68" s="2" t="str">
        <x:v>Georgia</x:v>
      </x:c>
      <x:c r="C68" s="2" t="str">
        <x:v>Asia</x:v>
      </x:c>
      <x:c r="D68" s="2" t="str">
        <x:v>268</x:v>
      </x:c>
      <x:c r="E68" s="2" t="str">
        <x:v>Member state</x:v>
      </x:c>
      <x:c r="F68" s="2" t="n">
        <x:v>3804642</x:v>
      </x:c>
      <x:c r="G68" s="2" t="n">
        <x:v>3790542</x:v>
      </x:c>
      <x:c r="H68" s="2" t="n">
        <x:v>3764200</x:v>
      </x:c>
      <x:c r="I68" s="2" t="n">
        <x:v>3732856</x:v>
      </x:c>
      <x:c r="J68" s="2" t="n">
        <x:v>3703994</x:v>
      </x:c>
      <x:c r="K68" s="2" t="n">
        <x:v>3664014</x:v>
      </x:c>
      <x:c r="L68" s="2" t="n">
        <x:v>3654921</x:v>
      </x:c>
      <x:c r="M68" s="2" t="str">
        <x:v>trade</x:v>
      </x:c>
      <x:c r="N68" s="2" t="str">
        <x:v>Watch product/corridor opportunity</x:v>
      </x:c>
      <x:c r="O68" s="2" t="str">
        <x:v>Not verified, absence not inferred</x:v>
      </x:c>
      <x:c r="P68" s="2" t="str">
        <x:v>Staple trade, product selection pending</x:v>
      </x:c>
      <x:c r="Q68" s="2" t="str">
        <x:v>Confirm product demand, accessible HS line, counterparties, delivered spread, cash conversion and legal clearance.</x:v>
      </x:c>
    </x:row>
    <x:row r="69" ht="60" customHeight="1">
      <x:c r="A69" s="2" t="str">
        <x:v>DEU</x:v>
      </x:c>
      <x:c r="B69" s="2" t="str">
        <x:v>Germany</x:v>
      </x:c>
      <x:c r="C69" s="2" t="str">
        <x:v>Europe</x:v>
      </x:c>
      <x:c r="D69" s="2" t="str">
        <x:v>276</x:v>
      </x:c>
      <x:c r="E69" s="2" t="str">
        <x:v>Member state</x:v>
      </x:c>
      <x:c r="F69" s="2" t="n">
        <x:v>83644258</x:v>
      </x:c>
      <x:c r="G69" s="2" t="n">
        <x:v>82780953</x:v>
      </x:c>
      <x:c r="H69" s="2" t="n">
        <x:v>81669909</x:v>
      </x:c>
      <x:c r="I69" s="2" t="n">
        <x:v>80551736</x:v>
      </x:c>
      <x:c r="J69" s="2" t="n">
        <x:v>79491795</x:v>
      </x:c>
      <x:c r="K69" s="2" t="n">
        <x:v>78294613</x:v>
      </x:c>
      <x:c r="L69" s="2" t="n">
        <x:v>78048438</x:v>
      </x:c>
      <x:c r="M69" s="2" t="str">
        <x:v>trade</x:v>
      </x:c>
      <x:c r="N69" s="2" t="str">
        <x:v>Watch customer specialization</x:v>
      </x:c>
      <x:c r="O69" s="2" t="str">
        <x:v>Not verified, absence not inferred</x:v>
      </x:c>
      <x:c r="P69" s="2" t="str">
        <x:v>Staple trade, product selection pending</x:v>
      </x:c>
      <x:c r="Q69" s="2" t="str">
        <x:v>Confirm product demand, accessible HS line, counterparties, delivered spread, cash conversion and legal clearance.</x:v>
      </x:c>
    </x:row>
    <x:row r="70" ht="60" customHeight="1">
      <x:c r="A70" s="2" t="str">
        <x:v>GHA</x:v>
      </x:c>
      <x:c r="B70" s="2" t="str">
        <x:v>Ghana</x:v>
      </x:c>
      <x:c r="C70" s="2" t="str">
        <x:v>Africa</x:v>
      </x:c>
      <x:c r="D70" s="2" t="str">
        <x:v>288</x:v>
      </x:c>
      <x:c r="E70" s="2" t="str">
        <x:v>Member state</x:v>
      </x:c>
      <x:c r="F70" s="2" t="n">
        <x:v>35697557</x:v>
      </x:c>
      <x:c r="G70" s="2" t="n">
        <x:v>38222089</x:v>
      </x:c>
      <x:c r="H70" s="2" t="n">
        <x:v>41412554</x:v>
      </x:c>
      <x:c r="I70" s="2" t="n">
        <x:v>44568350</x:v>
      </x:c>
      <x:c r="J70" s="2" t="n">
        <x:v>47634274</x:v>
      </x:c>
      <x:c r="K70" s="2" t="n">
        <x:v>50553047</x:v>
      </x:c>
      <x:c r="L70" s="2" t="n">
        <x:v>51112490</x:v>
      </x:c>
      <x:c r="M70" s="2" t="str">
        <x:v>partner</x:v>
      </x:c>
      <x:c r="N70" s="2" t="str">
        <x:v>Diligence priority</x:v>
      </x:c>
      <x:c r="O70" s="2" t="str">
        <x:v>Disclosed location in June-2026 factsheet</x:v>
      </x:c>
      <x:c r="P70" s="2" t="str">
        <x:v>Flour and pasta</x:v>
      </x:c>
      <x:c r="Q70" s="2" t="str">
        <x:v>Verify utilization, gross-to-net margin and pasta adoption against substitute meals.</x:v>
      </x:c>
    </x:row>
    <x:row r="71" ht="60" customHeight="1">
      <x:c r="A71" s="2" t="str">
        <x:v>GRC</x:v>
      </x:c>
      <x:c r="B71" s="2" t="str">
        <x:v>Greece</x:v>
      </x:c>
      <x:c r="C71" s="2" t="str">
        <x:v>Europe</x:v>
      </x:c>
      <x:c r="D71" s="2" t="str">
        <x:v>300</x:v>
      </x:c>
      <x:c r="E71" s="2" t="str">
        <x:v>Member state</x:v>
      </x:c>
      <x:c r="F71" s="2" t="n">
        <x:v>9897115</x:v>
      </x:c>
      <x:c r="G71" s="2" t="n">
        <x:v>9721984</x:v>
      </x:c>
      <x:c r="H71" s="2" t="n">
        <x:v>9496499</x:v>
      </x:c>
      <x:c r="I71" s="2" t="n">
        <x:v>9275613</x:v>
      </x:c>
      <x:c r="J71" s="2" t="n">
        <x:v>9058325</x:v>
      </x:c>
      <x:c r="K71" s="2" t="n">
        <x:v>8812069</x:v>
      </x:c>
      <x:c r="L71" s="2" t="n">
        <x:v>8758041</x:v>
      </x:c>
      <x:c r="M71" s="2" t="str">
        <x:v>trade</x:v>
      </x:c>
      <x:c r="N71" s="2" t="str">
        <x:v>Watch customer specialization</x:v>
      </x:c>
      <x:c r="O71" s="2" t="str">
        <x:v>Not verified, absence not inferred</x:v>
      </x:c>
      <x:c r="P71" s="2" t="str">
        <x:v>Staple trade, product selection pending</x:v>
      </x:c>
      <x:c r="Q71" s="2" t="str">
        <x:v>Confirm product demand, accessible HS line, counterparties, delivered spread, cash conversion and legal clearance.</x:v>
      </x:c>
    </x:row>
    <x:row r="72" ht="60" customHeight="1">
      <x:c r="A72" s="2" t="str">
        <x:v>GRD</x:v>
      </x:c>
      <x:c r="B72" s="2" t="str">
        <x:v>Grenada</x:v>
      </x:c>
      <x:c r="C72" s="2" t="str">
        <x:v>Americas</x:v>
      </x:c>
      <x:c r="D72" s="2" t="str">
        <x:v>308</x:v>
      </x:c>
      <x:c r="E72" s="2" t="str">
        <x:v>Member state</x:v>
      </x:c>
      <x:c r="F72" s="2" t="n">
        <x:v>117362</x:v>
      </x:c>
      <x:c r="G72" s="2" t="n">
        <x:v>117466</x:v>
      </x:c>
      <x:c r="H72" s="2" t="n">
        <x:v>117244</x:v>
      </x:c>
      <x:c r="I72" s="2" t="n">
        <x:v>116493</x:v>
      </x:c>
      <x:c r="J72" s="2" t="n">
        <x:v>115123</x:v>
      </x:c>
      <x:c r="K72" s="2" t="n">
        <x:v>113243</x:v>
      </x:c>
      <x:c r="L72" s="2" t="n">
        <x:v>112801</x:v>
      </x:c>
      <x:c r="M72" s="2" t="str">
        <x:v>trade</x:v>
      </x:c>
      <x:c r="N72" s="2" t="str">
        <x:v>Watch regional trade</x:v>
      </x:c>
      <x:c r="O72" s="2" t="str">
        <x:v>Not verified, absence not inferred</x:v>
      </x:c>
      <x:c r="P72" s="2" t="str">
        <x:v>Staple trade, product selection pending</x:v>
      </x:c>
      <x:c r="Q72" s="2" t="str">
        <x:v>Confirm product demand, accessible HS line, counterparties, delivered spread, cash conversion and legal clearance.</x:v>
      </x:c>
    </x:row>
    <x:row r="73" ht="60" customHeight="1">
      <x:c r="A73" s="2" t="str">
        <x:v>GTM</x:v>
      </x:c>
      <x:c r="B73" s="2" t="str">
        <x:v>Guatemala</x:v>
      </x:c>
      <x:c r="C73" s="2" t="str">
        <x:v>Americas</x:v>
      </x:c>
      <x:c r="D73" s="2" t="str">
        <x:v>320</x:v>
      </x:c>
      <x:c r="E73" s="2" t="str">
        <x:v>Member state</x:v>
      </x:c>
      <x:c r="F73" s="2" t="n">
        <x:v>18967978</x:v>
      </x:c>
      <x:c r="G73" s="2" t="n">
        <x:v>20067253</x:v>
      </x:c>
      <x:c r="H73" s="2" t="n">
        <x:v>21394237</x:v>
      </x:c>
      <x:c r="I73" s="2" t="n">
        <x:v>22626870</x:v>
      </x:c>
      <x:c r="J73" s="2" t="n">
        <x:v>23719089</x:v>
      </x:c>
      <x:c r="K73" s="2" t="n">
        <x:v>24670857</x:v>
      </x:c>
      <x:c r="L73" s="2" t="n">
        <x:v>24845333</x:v>
      </x:c>
      <x:c r="M73" s="2" t="str">
        <x:v>trade</x:v>
      </x:c>
      <x:c r="N73" s="2" t="str">
        <x:v>Watch product/corridor opportunity</x:v>
      </x:c>
      <x:c r="O73" s="2" t="str">
        <x:v>Not verified, absence not inferred</x:v>
      </x:c>
      <x:c r="P73" s="2" t="str">
        <x:v>Staple trade, product selection pending</x:v>
      </x:c>
      <x:c r="Q73" s="2" t="str">
        <x:v>Confirm product demand, accessible HS line, counterparties, delivered spread, cash conversion and legal clearance.</x:v>
      </x:c>
    </x:row>
    <x:row r="74" ht="60" customHeight="1">
      <x:c r="A74" s="2" t="str">
        <x:v>GIN</x:v>
      </x:c>
      <x:c r="B74" s="2" t="str">
        <x:v>Guinea</x:v>
      </x:c>
      <x:c r="C74" s="2" t="str">
        <x:v>Africa</x:v>
      </x:c>
      <x:c r="D74" s="2" t="str">
        <x:v>324</x:v>
      </x:c>
      <x:c r="E74" s="2" t="str">
        <x:v>Member state</x:v>
      </x:c>
      <x:c r="F74" s="2" t="n">
        <x:v>15441993</x:v>
      </x:c>
      <x:c r="G74" s="2" t="n">
        <x:v>16807147</x:v>
      </x:c>
      <x:c r="H74" s="2" t="n">
        <x:v>18486013</x:v>
      </x:c>
      <x:c r="I74" s="2" t="n">
        <x:v>20160750</x:v>
      </x:c>
      <x:c r="J74" s="2" t="n">
        <x:v>21817245</x:v>
      </x:c>
      <x:c r="K74" s="2" t="n">
        <x:v>23404584</x:v>
      </x:c>
      <x:c r="L74" s="2" t="n">
        <x:v>23715929</x:v>
      </x:c>
      <x:c r="M74" s="2" t="str">
        <x:v>trade</x:v>
      </x:c>
      <x:c r="N74" s="2" t="str">
        <x:v>Watch product/corridor opportunity</x:v>
      </x:c>
      <x:c r="O74" s="2" t="str">
        <x:v>Not verified, absence not inferred</x:v>
      </x:c>
      <x:c r="P74" s="2" t="str">
        <x:v>Staple trade, product selection pending</x:v>
      </x:c>
      <x:c r="Q74" s="2" t="str">
        <x:v>Confirm product demand, accessible HS line, counterparties, delivered spread, cash conversion and legal clearance.</x:v>
      </x:c>
    </x:row>
    <x:row r="75" ht="60" customHeight="1">
      <x:c r="A75" s="2" t="str">
        <x:v>GNB</x:v>
      </x:c>
      <x:c r="B75" s="2" t="str">
        <x:v>Guinea-Bissau</x:v>
      </x:c>
      <x:c r="C75" s="2" t="str">
        <x:v>Africa</x:v>
      </x:c>
      <x:c r="D75" s="2" t="str">
        <x:v>624</x:v>
      </x:c>
      <x:c r="E75" s="2" t="str">
        <x:v>Member state</x:v>
      </x:c>
      <x:c r="F75" s="2" t="n">
        <x:v>2297808</x:v>
      </x:c>
      <x:c r="G75" s="2" t="n">
        <x:v>2488934</x:v>
      </x:c>
      <x:c r="H75" s="2" t="n">
        <x:v>2730133</x:v>
      </x:c>
      <x:c r="I75" s="2" t="n">
        <x:v>2969702</x:v>
      </x:c>
      <x:c r="J75" s="2" t="n">
        <x:v>3204249</x:v>
      </x:c>
      <x:c r="K75" s="2" t="n">
        <x:v>3438608</x:v>
      </x:c>
      <x:c r="L75" s="2" t="n">
        <x:v>3483363</x:v>
      </x:c>
      <x:c r="M75" s="2" t="str">
        <x:v>trade</x:v>
      </x:c>
      <x:c r="N75" s="2" t="str">
        <x:v>Watch product/corridor opportunity</x:v>
      </x:c>
      <x:c r="O75" s="2" t="str">
        <x:v>Not verified, absence not inferred</x:v>
      </x:c>
      <x:c r="P75" s="2" t="str">
        <x:v>Staple trade, product selection pending</x:v>
      </x:c>
      <x:c r="Q75" s="2" t="str">
        <x:v>Confirm product demand, accessible HS line, counterparties, delivered spread, cash conversion and legal clearance.</x:v>
      </x:c>
    </x:row>
    <x:row r="76" ht="60" customHeight="1">
      <x:c r="A76" s="2" t="str">
        <x:v>GUY</x:v>
      </x:c>
      <x:c r="B76" s="2" t="str">
        <x:v>Guyana</x:v>
      </x:c>
      <x:c r="C76" s="2" t="str">
        <x:v>Americas</x:v>
      </x:c>
      <x:c r="D76" s="2" t="str">
        <x:v>328</x:v>
      </x:c>
      <x:c r="E76" s="2" t="str">
        <x:v>Member state</x:v>
      </x:c>
      <x:c r="F76" s="2" t="n">
        <x:v>840890</x:v>
      </x:c>
      <x:c r="G76" s="2" t="n">
        <x:v>861038</x:v>
      </x:c>
      <x:c r="H76" s="2" t="n">
        <x:v>885936</x:v>
      </x:c>
      <x:c r="I76" s="2" t="n">
        <x:v>907506</x:v>
      </x:c>
      <x:c r="J76" s="2" t="n">
        <x:v>926353</x:v>
      </x:c>
      <x:c r="K76" s="2" t="n">
        <x:v>940607</x:v>
      </x:c>
      <x:c r="L76" s="2" t="n">
        <x:v>942745</x:v>
      </x:c>
      <x:c r="M76" s="2" t="str">
        <x:v>trade</x:v>
      </x:c>
      <x:c r="N76" s="2" t="str">
        <x:v>Watch regional trade</x:v>
      </x:c>
      <x:c r="O76" s="2" t="str">
        <x:v>Not verified, absence not inferred</x:v>
      </x:c>
      <x:c r="P76" s="2" t="str">
        <x:v>Staple trade, product selection pending</x:v>
      </x:c>
      <x:c r="Q76" s="2" t="str">
        <x:v>Confirm product demand, accessible HS line, counterparties, delivered spread, cash conversion and legal clearance.</x:v>
      </x:c>
    </x:row>
    <x:row r="77" ht="60" customHeight="1">
      <x:c r="A77" s="2" t="str">
        <x:v>HTI</x:v>
      </x:c>
      <x:c r="B77" s="2" t="str">
        <x:v>Haiti</x:v>
      </x:c>
      <x:c r="C77" s="2" t="str">
        <x:v>Americas</x:v>
      </x:c>
      <x:c r="D77" s="2" t="str">
        <x:v>332</x:v>
      </x:c>
      <x:c r="E77" s="2" t="str">
        <x:v>Member state</x:v>
      </x:c>
      <x:c r="F77" s="2" t="n">
        <x:v>12037506</x:v>
      </x:c>
      <x:c r="G77" s="2" t="n">
        <x:v>12552359</x:v>
      </x:c>
      <x:c r="H77" s="2" t="n">
        <x:v>13165000</x:v>
      </x:c>
      <x:c r="I77" s="2" t="n">
        <x:v>13733853</x:v>
      </x:c>
      <x:c r="J77" s="2" t="n">
        <x:v>14252967</x:v>
      </x:c>
      <x:c r="K77" s="2" t="n">
        <x:v>14710862</x:v>
      </x:c>
      <x:c r="L77" s="2" t="n">
        <x:v>14794290</x:v>
      </x:c>
      <x:c r="M77" s="2" t="str">
        <x:v>trade</x:v>
      </x:c>
      <x:c r="N77" s="2" t="str">
        <x:v>Watch product/corridor opportunity</x:v>
      </x:c>
      <x:c r="O77" s="2" t="str">
        <x:v>Not verified, absence not inferred</x:v>
      </x:c>
      <x:c r="P77" s="2" t="str">
        <x:v>Staple trade, product selection pending</x:v>
      </x:c>
      <x:c r="Q77" s="2" t="str">
        <x:v>Confirm product demand, accessible HS line, counterparties, delivered spread, cash conversion and legal clearance.</x:v>
      </x:c>
    </x:row>
    <x:row r="78" ht="60" customHeight="1">
      <x:c r="A78" s="2" t="str">
        <x:v>VAT</x:v>
      </x:c>
      <x:c r="B78" s="2" t="str">
        <x:v>Holy See</x:v>
      </x:c>
      <x:c r="C78" s="2" t="str">
        <x:v>Europe</x:v>
      </x:c>
      <x:c r="D78" s="2" t="str">
        <x:v>336</x:v>
      </x:c>
      <x:c r="E78" s="2" t="str">
        <x:v>Observer state</x:v>
      </x:c>
      <x:c r="F78" s="2" t="n">
        <x:v>506</x:v>
      </x:c>
      <x:c r="G78" s="2" t="n">
        <x:v>528</x:v>
      </x:c>
      <x:c r="H78" s="2" t="n">
        <x:v>537</x:v>
      </x:c>
      <x:c r="I78" s="2" t="n">
        <x:v>587</x:v>
      </x:c>
      <x:c r="J78" s="2" t="n">
        <x:v>649</x:v>
      </x:c>
      <x:c r="K78" s="2" t="n">
        <x:v>714</x:v>
      </x:c>
      <x:c r="L78" s="2" t="n">
        <x:v>726</x:v>
      </x:c>
      <x:c r="M78" s="2" t="str">
        <x:v>trade</x:v>
      </x:c>
      <x:c r="N78" s="2" t="str">
        <x:v>No standalone asset proposal</x:v>
      </x:c>
      <x:c r="O78" s="2" t="str">
        <x:v>Not verified, absence not inferred</x:v>
      </x:c>
      <x:c r="P78" s="2" t="str">
        <x:v>Staple trade, product selection pending</x:v>
      </x:c>
      <x:c r="Q78" s="2" t="str">
        <x:v>Confirm product demand, accessible HS line, counterparties, delivered spread, cash conversion and legal clearance.</x:v>
      </x:c>
    </x:row>
    <x:row r="79" ht="60" customHeight="1">
      <x:c r="A79" s="2" t="str">
        <x:v>HND</x:v>
      </x:c>
      <x:c r="B79" s="2" t="str">
        <x:v>Honduras</x:v>
      </x:c>
      <x:c r="C79" s="2" t="str">
        <x:v>Americas</x:v>
      </x:c>
      <x:c r="D79" s="2" t="str">
        <x:v>340</x:v>
      </x:c>
      <x:c r="E79" s="2" t="str">
        <x:v>Member state</x:v>
      </x:c>
      <x:c r="F79" s="2" t="n">
        <x:v>11184760</x:v>
      </x:c>
      <x:c r="G79" s="2" t="n">
        <x:v>11885319</x:v>
      </x:c>
      <x:c r="H79" s="2" t="n">
        <x:v>12714114</x:v>
      </x:c>
      <x:c r="I79" s="2" t="n">
        <x:v>13484653</x:v>
      </x:c>
      <x:c r="J79" s="2" t="n">
        <x:v>14197946</x:v>
      </x:c>
      <x:c r="K79" s="2" t="n">
        <x:v>14846779</x:v>
      </x:c>
      <x:c r="L79" s="2" t="n">
        <x:v>14968238</x:v>
      </x:c>
      <x:c r="M79" s="2" t="str">
        <x:v>trade</x:v>
      </x:c>
      <x:c r="N79" s="2" t="str">
        <x:v>Watch product/corridor opportunity</x:v>
      </x:c>
      <x:c r="O79" s="2" t="str">
        <x:v>Not verified, absence not inferred</x:v>
      </x:c>
      <x:c r="P79" s="2" t="str">
        <x:v>Staple trade, product selection pending</x:v>
      </x:c>
      <x:c r="Q79" s="2" t="str">
        <x:v>Confirm product demand, accessible HS line, counterparties, delivered spread, cash conversion and legal clearance.</x:v>
      </x:c>
    </x:row>
    <x:row r="80" ht="60" customHeight="1">
      <x:c r="A80" s="2" t="str">
        <x:v>HUN</x:v>
      </x:c>
      <x:c r="B80" s="2" t="str">
        <x:v>Hungary</x:v>
      </x:c>
      <x:c r="C80" s="2" t="str">
        <x:v>Europe</x:v>
      </x:c>
      <x:c r="D80" s="2" t="str">
        <x:v>348</x:v>
      </x:c>
      <x:c r="E80" s="2" t="str">
        <x:v>Member state</x:v>
      </x:c>
      <x:c r="F80" s="2" t="n">
        <x:v>9585818</x:v>
      </x:c>
      <x:c r="G80" s="2" t="n">
        <x:v>9449115</x:v>
      </x:c>
      <x:c r="H80" s="2" t="n">
        <x:v>9259903</x:v>
      </x:c>
      <x:c r="I80" s="2" t="n">
        <x:v>9067617</x:v>
      </x:c>
      <x:c r="J80" s="2" t="n">
        <x:v>8889214</x:v>
      </x:c>
      <x:c r="K80" s="2" t="n">
        <x:v>8725347</x:v>
      </x:c>
      <x:c r="L80" s="2" t="n">
        <x:v>8693973</x:v>
      </x:c>
      <x:c r="M80" s="2" t="str">
        <x:v>trade</x:v>
      </x:c>
      <x:c r="N80" s="2" t="str">
        <x:v>Watch customer specialization</x:v>
      </x:c>
      <x:c r="O80" s="2" t="str">
        <x:v>Not verified, absence not inferred</x:v>
      </x:c>
      <x:c r="P80" s="2" t="str">
        <x:v>Staple trade, product selection pending</x:v>
      </x:c>
      <x:c r="Q80" s="2" t="str">
        <x:v>Confirm product demand, accessible HS line, counterparties, delivered spread, cash conversion and legal clearance.</x:v>
      </x:c>
    </x:row>
    <x:row r="81" ht="60" customHeight="1">
      <x:c r="A81" s="2" t="str">
        <x:v>ISL</x:v>
      </x:c>
      <x:c r="B81" s="2" t="str">
        <x:v>Iceland</x:v>
      </x:c>
      <x:c r="C81" s="2" t="str">
        <x:v>Europe</x:v>
      </x:c>
      <x:c r="D81" s="2" t="str">
        <x:v>352</x:v>
      </x:c>
      <x:c r="E81" s="2" t="str">
        <x:v>Member state</x:v>
      </x:c>
      <x:c r="F81" s="2" t="n">
        <x:v>402329</x:v>
      </x:c>
      <x:c r="G81" s="2" t="n">
        <x:v>414348</x:v>
      </x:c>
      <x:c r="H81" s="2" t="n">
        <x:v>423579</x:v>
      </x:c>
      <x:c r="I81" s="2" t="n">
        <x:v>429452</x:v>
      </x:c>
      <x:c r="J81" s="2" t="n">
        <x:v>432484</x:v>
      </x:c>
      <x:c r="K81" s="2" t="n">
        <x:v>432993</x:v>
      </x:c>
      <x:c r="L81" s="2" t="n">
        <x:v>432981</x:v>
      </x:c>
      <x:c r="M81" s="2" t="str">
        <x:v>trade</x:v>
      </x:c>
      <x:c r="N81" s="2" t="str">
        <x:v>Watch regional trade</x:v>
      </x:c>
      <x:c r="O81" s="2" t="str">
        <x:v>Not verified, absence not inferred</x:v>
      </x:c>
      <x:c r="P81" s="2" t="str">
        <x:v>Staple trade, product selection pending</x:v>
      </x:c>
      <x:c r="Q81" s="2" t="str">
        <x:v>Confirm product demand, accessible HS line, counterparties, delivered spread, cash conversion and legal clearance.</x:v>
      </x:c>
    </x:row>
    <x:row r="82" ht="60" customHeight="1">
      <x:c r="A82" s="2" t="str">
        <x:v>IND</x:v>
      </x:c>
      <x:c r="B82" s="2" t="str">
        <x:v>India</x:v>
      </x:c>
      <x:c r="C82" s="2" t="str">
        <x:v>Asia</x:v>
      </x:c>
      <x:c r="D82" s="2" t="str">
        <x:v>356</x:v>
      </x:c>
      <x:c r="E82" s="2" t="str">
        <x:v>Member state</x:v>
      </x:c>
      <x:c r="F82" s="2" t="n">
        <x:v>1476625576</x:v>
      </x:c>
      <x:c r="G82" s="2" t="n">
        <x:v>1525138844</x:v>
      </x:c>
      <x:c r="H82" s="2" t="n">
        <x:v>1578694796</x:v>
      </x:c>
      <x:c r="I82" s="2" t="n">
        <x:v>1622580039</x:v>
      </x:c>
      <x:c r="J82" s="2" t="n">
        <x:v>1656067583</x:v>
      </x:c>
      <x:c r="K82" s="2" t="n">
        <x:v>1679589259</x:v>
      </x:c>
      <x:c r="L82" s="2" t="n">
        <x:v>1683220886</x:v>
      </x:c>
      <x:c r="M82" s="2" t="str">
        <x:v>trade</x:v>
      </x:c>
      <x:c r="N82" s="2" t="str">
        <x:v>Diligence priority</x:v>
      </x:c>
      <x:c r="O82" s="2" t="str">
        <x:v>Disclosed location in June-2026 factsheet</x:v>
      </x:c>
      <x:c r="P82" s="2" t="str">
        <x:v>Rice sourcing</x:v>
      </x:c>
      <x:c r="Q82" s="2" t="str">
        <x:v>Check product-specific export rules, supplier rights, landed spread and destination credit.</x:v>
      </x:c>
    </x:row>
    <x:row r="83" ht="60" customHeight="1">
      <x:c r="A83" s="2" t="str">
        <x:v>IDN</x:v>
      </x:c>
      <x:c r="B83" s="2" t="str">
        <x:v>Indonesia</x:v>
      </x:c>
      <x:c r="C83" s="2" t="str">
        <x:v>Asia</x:v>
      </x:c>
      <x:c r="D83" s="2" t="str">
        <x:v>360</x:v>
      </x:c>
      <x:c r="E83" s="2" t="str">
        <x:v>Member state</x:v>
      </x:c>
      <x:c r="F83" s="2" t="n">
        <x:v>287886782</x:v>
      </x:c>
      <x:c r="G83" s="2" t="n">
        <x:v>295876648</x:v>
      </x:c>
      <x:c r="H83" s="2" t="n">
        <x:v>304566622</x:v>
      </x:c>
      <x:c r="I83" s="2" t="n">
        <x:v>311797395</x:v>
      </x:c>
      <x:c r="J83" s="2" t="n">
        <x:v>317249613</x:v>
      </x:c>
      <x:c r="K83" s="2" t="n">
        <x:v>320712949</x:v>
      </x:c>
      <x:c r="L83" s="2" t="n">
        <x:v>321175111</x:v>
      </x:c>
      <x:c r="M83" s="2" t="str">
        <x:v>trade</x:v>
      </x:c>
      <x:c r="N83" s="2" t="str">
        <x:v>Review existing operation</x:v>
      </x:c>
      <x:c r="O83" s="2" t="str">
        <x:v>Disclosed location in June-2026 factsheet</x:v>
      </x:c>
      <x:c r="P83" s="2" t="str">
        <x:v>Staple trade, product selection pending</x:v>
      </x:c>
      <x:c r="Q83" s="2" t="str">
        <x:v>Confirm product demand, accessible HS line, counterparties, delivered spread, cash conversion and legal clearance.</x:v>
      </x:c>
    </x:row>
    <x:row r="84" ht="60" customHeight="1">
      <x:c r="A84" s="2" t="str">
        <x:v>IRN</x:v>
      </x:c>
      <x:c r="B84" s="2" t="str">
        <x:v>Iran (Islamic Republic of)</x:v>
      </x:c>
      <x:c r="C84" s="2" t="str">
        <x:v>Asia</x:v>
      </x:c>
      <x:c r="D84" s="2" t="str">
        <x:v>364</x:v>
      </x:c>
      <x:c r="E84" s="2" t="str">
        <x:v>Member state</x:v>
      </x:c>
      <x:c r="F84" s="2" t="n">
        <x:v>93168497</x:v>
      </x:c>
      <x:c r="G84" s="2" t="n">
        <x:v>95486667</x:v>
      </x:c>
      <x:c r="H84" s="2" t="n">
        <x:v>97679252</x:v>
      </x:c>
      <x:c r="I84" s="2" t="n">
        <x:v>99524277</x:v>
      </x:c>
      <x:c r="J84" s="2" t="n">
        <x:v>100990613</x:v>
      </x:c>
      <x:c r="K84" s="2" t="n">
        <x:v>101861993</x:v>
      </x:c>
      <x:c r="L84" s="2" t="n">
        <x:v>101942322</x:v>
      </x:c>
      <x:c r="M84" s="2" t="str">
        <x:v>trade</x:v>
      </x:c>
      <x:c r="N84" s="2" t="str">
        <x:v>Watch product/corridor opportunity</x:v>
      </x:c>
      <x:c r="O84" s="2" t="str">
        <x:v>Not verified, absence not inferred</x:v>
      </x:c>
      <x:c r="P84" s="2" t="str">
        <x:v>Staple trade, product selection pending</x:v>
      </x:c>
      <x:c r="Q84" s="2" t="str">
        <x:v>Confirm product demand, accessible HS line, counterparties, delivered spread, cash conversion and legal clearance.</x:v>
      </x:c>
    </x:row>
    <x:row r="85" ht="60" customHeight="1">
      <x:c r="A85" s="2" t="str">
        <x:v>IRQ</x:v>
      </x:c>
      <x:c r="B85" s="2" t="str">
        <x:v>Iraq</x:v>
      </x:c>
      <x:c r="C85" s="2" t="str">
        <x:v>Asia</x:v>
      </x:c>
      <x:c r="D85" s="2" t="str">
        <x:v>368</x:v>
      </x:c>
      <x:c r="E85" s="2" t="str">
        <x:v>Member state</x:v>
      </x:c>
      <x:c r="F85" s="2" t="n">
        <x:v>48007437</x:v>
      </x:c>
      <x:c r="G85" s="2" t="n">
        <x:v>51937208</x:v>
      </x:c>
      <x:c r="H85" s="2" t="n">
        <x:v>57035914</x:v>
      </x:c>
      <x:c r="I85" s="2" t="n">
        <x:v>62223211</x:v>
      </x:c>
      <x:c r="J85" s="2" t="n">
        <x:v>67204177</x:v>
      </x:c>
      <x:c r="K85" s="2" t="n">
        <x:v>71928750</x:v>
      </x:c>
      <x:c r="L85" s="2" t="n">
        <x:v>72837415</x:v>
      </x:c>
      <x:c r="M85" s="2" t="str">
        <x:v>trade</x:v>
      </x:c>
      <x:c r="N85" s="2" t="str">
        <x:v>Watch product/corridor opportunity</x:v>
      </x:c>
      <x:c r="O85" s="2" t="str">
        <x:v>Not verified, absence not inferred</x:v>
      </x:c>
      <x:c r="P85" s="2" t="str">
        <x:v>Staple trade, product selection pending</x:v>
      </x:c>
      <x:c r="Q85" s="2" t="str">
        <x:v>Confirm product demand, accessible HS line, counterparties, delivered spread, cash conversion and legal clearance.</x:v>
      </x:c>
    </x:row>
    <x:row r="86" ht="60" customHeight="1">
      <x:c r="A86" s="2" t="str">
        <x:v>IRL</x:v>
      </x:c>
      <x:c r="B86" s="2" t="str">
        <x:v>Ireland</x:v>
      </x:c>
      <x:c r="C86" s="2" t="str">
        <x:v>Europe</x:v>
      </x:c>
      <x:c r="D86" s="2" t="str">
        <x:v>372</x:v>
      </x:c>
      <x:c r="E86" s="2" t="str">
        <x:v>Member state</x:v>
      </x:c>
      <x:c r="F86" s="2" t="n">
        <x:v>5356950</x:v>
      </x:c>
      <x:c r="G86" s="2" t="n">
        <x:v>5525093</x:v>
      </x:c>
      <x:c r="H86" s="2" t="n">
        <x:v>5686868</x:v>
      </x:c>
      <x:c r="I86" s="2" t="n">
        <x:v>5817570</x:v>
      </x:c>
      <x:c r="J86" s="2" t="n">
        <x:v>5916936</x:v>
      </x:c>
      <x:c r="K86" s="2" t="n">
        <x:v>5970042</x:v>
      </x:c>
      <x:c r="L86" s="2" t="n">
        <x:v>5973837</x:v>
      </x:c>
      <x:c r="M86" s="2" t="str">
        <x:v>trade</x:v>
      </x:c>
      <x:c r="N86" s="2" t="str">
        <x:v>Watch product/corridor opportunity</x:v>
      </x:c>
      <x:c r="O86" s="2" t="str">
        <x:v>Not verified, absence not inferred</x:v>
      </x:c>
      <x:c r="P86" s="2" t="str">
        <x:v>Staple trade, product selection pending</x:v>
      </x:c>
      <x:c r="Q86" s="2" t="str">
        <x:v>Confirm product demand, accessible HS line, counterparties, delivered spread, cash conversion and legal clearance.</x:v>
      </x:c>
    </x:row>
    <x:row r="87" ht="60" customHeight="1">
      <x:c r="A87" s="2" t="str">
        <x:v>ISR</x:v>
      </x:c>
      <x:c r="B87" s="2" t="str">
        <x:v>Israel</x:v>
      </x:c>
      <x:c r="C87" s="2" t="str">
        <x:v>Asia</x:v>
      </x:c>
      <x:c r="D87" s="2" t="str">
        <x:v>376</x:v>
      </x:c>
      <x:c r="E87" s="2" t="str">
        <x:v>Member state</x:v>
      </x:c>
      <x:c r="F87" s="2" t="n">
        <x:v>9647689</x:v>
      </x:c>
      <x:c r="G87" s="2" t="n">
        <x:v>10175954</x:v>
      </x:c>
      <x:c r="H87" s="2" t="n">
        <x:v>10858122</x:v>
      </x:c>
      <x:c r="I87" s="2" t="n">
        <x:v>11581474</x:v>
      </x:c>
      <x:c r="J87" s="2" t="n">
        <x:v>12342061</x:v>
      </x:c>
      <x:c r="K87" s="2" t="n">
        <x:v>13092722</x:v>
      </x:c>
      <x:c r="L87" s="2" t="n">
        <x:v>13244415</x:v>
      </x:c>
      <x:c r="M87" s="2" t="str">
        <x:v>trade</x:v>
      </x:c>
      <x:c r="N87" s="2" t="str">
        <x:v>Watch product/corridor opportunity</x:v>
      </x:c>
      <x:c r="O87" s="2" t="str">
        <x:v>Not verified, absence not inferred</x:v>
      </x:c>
      <x:c r="P87" s="2" t="str">
        <x:v>Staple trade, product selection pending</x:v>
      </x:c>
      <x:c r="Q87" s="2" t="str">
        <x:v>Confirm product demand, accessible HS line, counterparties, delivered spread, cash conversion and legal clearance.</x:v>
      </x:c>
    </x:row>
    <x:row r="88" ht="60" customHeight="1">
      <x:c r="A88" s="2" t="str">
        <x:v>ITA</x:v>
      </x:c>
      <x:c r="B88" s="2" t="str">
        <x:v>Italy</x:v>
      </x:c>
      <x:c r="C88" s="2" t="str">
        <x:v>Europe</x:v>
      </x:c>
      <x:c r="D88" s="2" t="str">
        <x:v>380</x:v>
      </x:c>
      <x:c r="E88" s="2" t="str">
        <x:v>Member state</x:v>
      </x:c>
      <x:c r="F88" s="2" t="n">
        <x:v>58926166</x:v>
      </x:c>
      <x:c r="G88" s="2" t="n">
        <x:v>57946072</x:v>
      </x:c>
      <x:c r="H88" s="2" t="n">
        <x:v>56620005</x:v>
      </x:c>
      <x:c r="I88" s="2" t="n">
        <x:v>55221168</x:v>
      </x:c>
      <x:c r="J88" s="2" t="n">
        <x:v>53680471</x:v>
      </x:c>
      <x:c r="K88" s="2" t="n">
        <x:v>51891099</x:v>
      </x:c>
      <x:c r="L88" s="2" t="n">
        <x:v>51499509</x:v>
      </x:c>
      <x:c r="M88" s="2" t="str">
        <x:v>trade</x:v>
      </x:c>
      <x:c r="N88" s="2" t="str">
        <x:v>Watch customer specialization</x:v>
      </x:c>
      <x:c r="O88" s="2" t="str">
        <x:v>Not verified, absence not inferred</x:v>
      </x:c>
      <x:c r="P88" s="2" t="str">
        <x:v>Staple trade, product selection pending</x:v>
      </x:c>
      <x:c r="Q88" s="2" t="str">
        <x:v>Confirm product demand, accessible HS line, counterparties, delivered spread, cash conversion and legal clearance.</x:v>
      </x:c>
    </x:row>
    <x:row r="89" ht="60" customHeight="1">
      <x:c r="A89" s="2" t="str">
        <x:v>JAM</x:v>
      </x:c>
      <x:c r="B89" s="2" t="str">
        <x:v>Jamaica</x:v>
      </x:c>
      <x:c r="C89" s="2" t="str">
        <x:v>Americas</x:v>
      </x:c>
      <x:c r="D89" s="2" t="str">
        <x:v>388</x:v>
      </x:c>
      <x:c r="E89" s="2" t="str">
        <x:v>Member state</x:v>
      </x:c>
      <x:c r="F89" s="2" t="n">
        <x:v>2833403</x:v>
      </x:c>
      <x:c r="G89" s="2" t="n">
        <x:v>2808954</x:v>
      </x:c>
      <x:c r="H89" s="2" t="n">
        <x:v>2755934</x:v>
      </x:c>
      <x:c r="I89" s="2" t="n">
        <x:v>2676100</x:v>
      </x:c>
      <x:c r="J89" s="2" t="n">
        <x:v>2574081</x:v>
      </x:c>
      <x:c r="K89" s="2" t="n">
        <x:v>2454940</x:v>
      </x:c>
      <x:c r="L89" s="2" t="n">
        <x:v>2429919</x:v>
      </x:c>
      <x:c r="M89" s="2" t="str">
        <x:v>trade</x:v>
      </x:c>
      <x:c r="N89" s="2" t="str">
        <x:v>Watch customer specialization</x:v>
      </x:c>
      <x:c r="O89" s="2" t="str">
        <x:v>Not verified, absence not inferred</x:v>
      </x:c>
      <x:c r="P89" s="2" t="str">
        <x:v>Staple trade, product selection pending</x:v>
      </x:c>
      <x:c r="Q89" s="2" t="str">
        <x:v>Confirm product demand, accessible HS line, counterparties, delivered spread, cash conversion and legal clearance.</x:v>
      </x:c>
    </x:row>
    <x:row r="90" ht="60" customHeight="1">
      <x:c r="A90" s="2" t="str">
        <x:v>JPN</x:v>
      </x:c>
      <x:c r="B90" s="2" t="str">
        <x:v>Japan</x:v>
      </x:c>
      <x:c r="C90" s="2" t="str">
        <x:v>Asia</x:v>
      </x:c>
      <x:c r="D90" s="2" t="str">
        <x:v>392</x:v>
      </x:c>
      <x:c r="E90" s="2" t="str">
        <x:v>Member state</x:v>
      </x:c>
      <x:c r="F90" s="2" t="n">
        <x:v>122427731</x:v>
      </x:c>
      <x:c r="G90" s="2" t="n">
        <x:v>119584121</x:v>
      </x:c>
      <x:c r="H90" s="2" t="n">
        <x:v>115876149</x:v>
      </x:c>
      <x:c r="I90" s="2" t="n">
        <x:v>112158303</x:v>
      </x:c>
      <x:c r="J90" s="2" t="n">
        <x:v>108551995</x:v>
      </x:c>
      <x:c r="K90" s="2" t="n">
        <x:v>105123167</x:v>
      </x:c>
      <x:c r="L90" s="2" t="n">
        <x:v>104452458</x:v>
      </x:c>
      <x:c r="M90" s="2" t="str">
        <x:v>trade</x:v>
      </x:c>
      <x:c r="N90" s="2" t="str">
        <x:v>Watch customer specialization</x:v>
      </x:c>
      <x:c r="O90" s="2" t="str">
        <x:v>Not verified, absence not inferred</x:v>
      </x:c>
      <x:c r="P90" s="2" t="str">
        <x:v>Staple trade, product selection pending</x:v>
      </x:c>
      <x:c r="Q90" s="2" t="str">
        <x:v>Confirm product demand, accessible HS line, counterparties, delivered spread, cash conversion and legal clearance.</x:v>
      </x:c>
    </x:row>
    <x:row r="91" ht="60" customHeight="1">
      <x:c r="A91" s="2" t="str">
        <x:v>JOR</x:v>
      </x:c>
      <x:c r="B91" s="2" t="str">
        <x:v>Jordan</x:v>
      </x:c>
      <x:c r="C91" s="2" t="str">
        <x:v>Asia</x:v>
      </x:c>
      <x:c r="D91" s="2" t="str">
        <x:v>400</x:v>
      </x:c>
      <x:c r="E91" s="2" t="str">
        <x:v>Member state</x:v>
      </x:c>
      <x:c r="F91" s="2" t="n">
        <x:v>11589532</x:v>
      </x:c>
      <x:c r="G91" s="2" t="n">
        <x:v>12448776</x:v>
      </x:c>
      <x:c r="H91" s="2" t="n">
        <x:v>13440834</x:v>
      </x:c>
      <x:c r="I91" s="2" t="n">
        <x:v>14471297</x:v>
      </x:c>
      <x:c r="J91" s="2" t="n">
        <x:v>15471984</x:v>
      </x:c>
      <x:c r="K91" s="2" t="n">
        <x:v>16367354</x:v>
      </x:c>
      <x:c r="L91" s="2" t="n">
        <x:v>16525167.000000002</x:v>
      </x:c>
      <x:c r="M91" s="2" t="str">
        <x:v>trade</x:v>
      </x:c>
      <x:c r="N91" s="2" t="str">
        <x:v>Watch product/corridor opportunity</x:v>
      </x:c>
      <x:c r="O91" s="2" t="str">
        <x:v>Not verified, absence not inferred</x:v>
      </x:c>
      <x:c r="P91" s="2" t="str">
        <x:v>Staple trade, product selection pending</x:v>
      </x:c>
      <x:c r="Q91" s="2" t="str">
        <x:v>Confirm product demand, accessible HS line, counterparties, delivered spread, cash conversion and legal clearance.</x:v>
      </x:c>
    </x:row>
    <x:row r="92" ht="60" customHeight="1">
      <x:c r="A92" s="2" t="str">
        <x:v>KAZ</x:v>
      </x:c>
      <x:c r="B92" s="2" t="str">
        <x:v>Kazakhstan</x:v>
      </x:c>
      <x:c r="C92" s="2" t="str">
        <x:v>Asia</x:v>
      </x:c>
      <x:c r="D92" s="2" t="str">
        <x:v>398</x:v>
      </x:c>
      <x:c r="E92" s="2" t="str">
        <x:v>Member state</x:v>
      </x:c>
      <x:c r="F92" s="2" t="n">
        <x:v>21083626</x:v>
      </x:c>
      <x:c r="G92" s="2" t="n">
        <x:v>22003193</x:v>
      </x:c>
      <x:c r="H92" s="2" t="n">
        <x:v>23125951</x:v>
      </x:c>
      <x:c r="I92" s="2" t="n">
        <x:v>24246823</x:v>
      </x:c>
      <x:c r="J92" s="2" t="n">
        <x:v>25409756</x:v>
      </x:c>
      <x:c r="K92" s="2" t="n">
        <x:v>26544265</x:v>
      </x:c>
      <x:c r="L92" s="2" t="n">
        <x:v>26757521</x:v>
      </x:c>
      <x:c r="M92" s="2" t="str">
        <x:v>trade</x:v>
      </x:c>
      <x:c r="N92" s="2" t="str">
        <x:v>Watch product/corridor opportunity</x:v>
      </x:c>
      <x:c r="O92" s="2" t="str">
        <x:v>Not verified, absence not inferred</x:v>
      </x:c>
      <x:c r="P92" s="2" t="str">
        <x:v>Staple trade, product selection pending</x:v>
      </x:c>
      <x:c r="Q92" s="2" t="str">
        <x:v>Confirm product demand, accessible HS line, counterparties, delivered spread, cash conversion and legal clearance.</x:v>
      </x:c>
    </x:row>
    <x:row r="93" ht="60" customHeight="1">
      <x:c r="A93" s="2" t="str">
        <x:v>KEN</x:v>
      </x:c>
      <x:c r="B93" s="2" t="str">
        <x:v>Kenya</x:v>
      </x:c>
      <x:c r="C93" s="2" t="str">
        <x:v>Africa</x:v>
      </x:c>
      <x:c r="D93" s="2" t="str">
        <x:v>404</x:v>
      </x:c>
      <x:c r="E93" s="2" t="str">
        <x:v>Member state</x:v>
      </x:c>
      <x:c r="F93" s="2" t="n">
        <x:v>58636412</x:v>
      </x:c>
      <x:c r="G93" s="2" t="n">
        <x:v>63102245</x:v>
      </x:c>
      <x:c r="H93" s="2" t="n">
        <x:v>68715909</x:v>
      </x:c>
      <x:c r="I93" s="2" t="n">
        <x:v>74108863</x:v>
      </x:c>
      <x:c r="J93" s="2" t="n">
        <x:v>79088836</x:v>
      </x:c>
      <x:c r="K93" s="2" t="n">
        <x:v>83593239</x:v>
      </x:c>
      <x:c r="L93" s="2" t="n">
        <x:v>84451673</x:v>
      </x:c>
      <x:c r="M93" s="2" t="str">
        <x:v>trade</x:v>
      </x:c>
      <x:c r="N93" s="2" t="str">
        <x:v>Watch product/corridor opportunity</x:v>
      </x:c>
      <x:c r="O93" s="2" t="str">
        <x:v>Not verified, absence not inferred</x:v>
      </x:c>
      <x:c r="P93" s="2" t="str">
        <x:v>Staple trade, product selection pending</x:v>
      </x:c>
      <x:c r="Q93" s="2" t="str">
        <x:v>Confirm product demand, accessible HS line, counterparties, delivered spread, cash conversion and legal clearance.</x:v>
      </x:c>
    </x:row>
    <x:row r="94" ht="60" customHeight="1">
      <x:c r="A94" s="2" t="str">
        <x:v>KIR</x:v>
      </x:c>
      <x:c r="B94" s="2" t="str">
        <x:v>Kiribati</x:v>
      </x:c>
      <x:c r="C94" s="2" t="str">
        <x:v>Oceania</x:v>
      </x:c>
      <x:c r="D94" s="2" t="str">
        <x:v>296</x:v>
      </x:c>
      <x:c r="E94" s="2" t="str">
        <x:v>Member state</x:v>
      </x:c>
      <x:c r="F94" s="2" t="n">
        <x:v>138445</x:v>
      </x:c>
      <x:c r="G94" s="2" t="n">
        <x:v>146126</x:v>
      </x:c>
      <x:c r="H94" s="2" t="n">
        <x:v>155440</x:v>
      </x:c>
      <x:c r="I94" s="2" t="n">
        <x:v>164700</x:v>
      </x:c>
      <x:c r="J94" s="2" t="n">
        <x:v>173813</x:v>
      </x:c>
      <x:c r="K94" s="2" t="n">
        <x:v>182621</x:v>
      </x:c>
      <x:c r="L94" s="2" t="n">
        <x:v>184260</x:v>
      </x:c>
      <x:c r="M94" s="2" t="str">
        <x:v>trade</x:v>
      </x:c>
      <x:c r="N94" s="2" t="str">
        <x:v>Watch regional trade</x:v>
      </x:c>
      <x:c r="O94" s="2" t="str">
        <x:v>Not verified, absence not inferred</x:v>
      </x:c>
      <x:c r="P94" s="2" t="str">
        <x:v>Staple trade, product selection pending</x:v>
      </x:c>
      <x:c r="Q94" s="2" t="str">
        <x:v>Confirm product demand, accessible HS line, counterparties, delivered spread, cash conversion and legal clearance.</x:v>
      </x:c>
    </x:row>
    <x:row r="95" ht="60" customHeight="1">
      <x:c r="A95" s="2" t="str">
        <x:v>KWT</x:v>
      </x:c>
      <x:c r="B95" s="2" t="str">
        <x:v>Kuwait</x:v>
      </x:c>
      <x:c r="C95" s="2" t="str">
        <x:v>Asia</x:v>
      </x:c>
      <x:c r="D95" s="2" t="str">
        <x:v>414</x:v>
      </x:c>
      <x:c r="E95" s="2" t="str">
        <x:v>Member state</x:v>
      </x:c>
      <x:c r="F95" s="2" t="n">
        <x:v>5102773</x:v>
      </x:c>
      <x:c r="G95" s="2" t="n">
        <x:v>5324198</x:v>
      </x:c>
      <x:c r="H95" s="2" t="n">
        <x:v>5569671</x:v>
      </x:c>
      <x:c r="I95" s="2" t="n">
        <x:v>5831211</x:v>
      </x:c>
      <x:c r="J95" s="2" t="n">
        <x:v>6099774</x:v>
      </x:c>
      <x:c r="K95" s="2" t="n">
        <x:v>6367756</x:v>
      </x:c>
      <x:c r="L95" s="2" t="n">
        <x:v>6421239</x:v>
      </x:c>
      <x:c r="M95" s="2" t="str">
        <x:v>trade</x:v>
      </x:c>
      <x:c r="N95" s="2" t="str">
        <x:v>Watch product/corridor opportunity</x:v>
      </x:c>
      <x:c r="O95" s="2" t="str">
        <x:v>Not verified, absence not inferred</x:v>
      </x:c>
      <x:c r="P95" s="2" t="str">
        <x:v>Staple trade, product selection pending</x:v>
      </x:c>
      <x:c r="Q95" s="2" t="str">
        <x:v>Confirm product demand, accessible HS line, counterparties, delivered spread, cash conversion and legal clearance.</x:v>
      </x:c>
    </x:row>
    <x:row r="96" ht="60" customHeight="1">
      <x:c r="A96" s="2" t="str">
        <x:v>KGZ</x:v>
      </x:c>
      <x:c r="B96" s="2" t="str">
        <x:v>Kyrgyzstan</x:v>
      </x:c>
      <x:c r="C96" s="2" t="str">
        <x:v>Asia</x:v>
      </x:c>
      <x:c r="D96" s="2" t="str">
        <x:v>417</x:v>
      </x:c>
      <x:c r="E96" s="2" t="str">
        <x:v>Member state</x:v>
      </x:c>
      <x:c r="F96" s="2" t="n">
        <x:v>7400465</x:v>
      </x:c>
      <x:c r="G96" s="2" t="n">
        <x:v>7803618</x:v>
      </x:c>
      <x:c r="H96" s="2" t="n">
        <x:v>8282415.000000001</x:v>
      </x:c>
      <x:c r="I96" s="2" t="n">
        <x:v>8757697</x:v>
      </x:c>
      <x:c r="J96" s="2" t="n">
        <x:v>9222104</x:v>
      </x:c>
      <x:c r="K96" s="2" t="n">
        <x:v>9642952</x:v>
      </x:c>
      <x:c r="L96" s="2" t="n">
        <x:v>9722163</x:v>
      </x:c>
      <x:c r="M96" s="2" t="str">
        <x:v>trade</x:v>
      </x:c>
      <x:c r="N96" s="2" t="str">
        <x:v>Watch product/corridor opportunity</x:v>
      </x:c>
      <x:c r="O96" s="2" t="str">
        <x:v>Not verified, absence not inferred</x:v>
      </x:c>
      <x:c r="P96" s="2" t="str">
        <x:v>Staple trade, product selection pending</x:v>
      </x:c>
      <x:c r="Q96" s="2" t="str">
        <x:v>Confirm product demand, accessible HS line, counterparties, delivered spread, cash conversion and legal clearance.</x:v>
      </x:c>
    </x:row>
    <x:row r="97" ht="60" customHeight="1">
      <x:c r="A97" s="2" t="str">
        <x:v>LAO</x:v>
      </x:c>
      <x:c r="B97" s="2" t="str">
        <x:v>Lao People's Democratic Republic</x:v>
      </x:c>
      <x:c r="C97" s="2" t="str">
        <x:v>Asia</x:v>
      </x:c>
      <x:c r="D97" s="2" t="str">
        <x:v>418</x:v>
      </x:c>
      <x:c r="E97" s="2" t="str">
        <x:v>Member state</x:v>
      </x:c>
      <x:c r="F97" s="2" t="n">
        <x:v>7974017</x:v>
      </x:c>
      <x:c r="G97" s="2" t="n">
        <x:v>8357022.999999999</x:v>
      </x:c>
      <x:c r="H97" s="2" t="n">
        <x:v>8788756</x:v>
      </x:c>
      <x:c r="I97" s="2" t="n">
        <x:v>9169002</x:v>
      </x:c>
      <x:c r="J97" s="2" t="n">
        <x:v>9492503</x:v>
      </x:c>
      <x:c r="K97" s="2" t="n">
        <x:v>9757285</x:v>
      </x:c>
      <x:c r="L97" s="2" t="n">
        <x:v>9802787</x:v>
      </x:c>
      <x:c r="M97" s="2" t="str">
        <x:v>trade</x:v>
      </x:c>
      <x:c r="N97" s="2" t="str">
        <x:v>Watch product/corridor opportunity</x:v>
      </x:c>
      <x:c r="O97" s="2" t="str">
        <x:v>Not verified, absence not inferred</x:v>
      </x:c>
      <x:c r="P97" s="2" t="str">
        <x:v>Staple trade, product selection pending</x:v>
      </x:c>
      <x:c r="Q97" s="2" t="str">
        <x:v>Confirm product demand, accessible HS line, counterparties, delivered spread, cash conversion and legal clearance.</x:v>
      </x:c>
    </x:row>
    <x:row r="98" ht="60" customHeight="1">
      <x:c r="A98" s="2" t="str">
        <x:v>LVA</x:v>
      </x:c>
      <x:c r="B98" s="2" t="str">
        <x:v>Latvia</x:v>
      </x:c>
      <x:c r="C98" s="2" t="str">
        <x:v>Europe</x:v>
      </x:c>
      <x:c r="D98" s="2" t="str">
        <x:v>428</x:v>
      </x:c>
      <x:c r="E98" s="2" t="str">
        <x:v>Member state</x:v>
      </x:c>
      <x:c r="F98" s="2" t="n">
        <x:v>1835935</x:v>
      </x:c>
      <x:c r="G98" s="2" t="n">
        <x:v>1777620</x:v>
      </x:c>
      <x:c r="H98" s="2" t="n">
        <x:v>1706428</x:v>
      </x:c>
      <x:c r="I98" s="2" t="n">
        <x:v>1640644</x:v>
      </x:c>
      <x:c r="J98" s="2" t="n">
        <x:v>1577406</x:v>
      </x:c>
      <x:c r="K98" s="2" t="n">
        <x:v>1513810</x:v>
      </x:c>
      <x:c r="L98" s="2" t="n">
        <x:v>1501015</x:v>
      </x:c>
      <x:c r="M98" s="2" t="str">
        <x:v>trade</x:v>
      </x:c>
      <x:c r="N98" s="2" t="str">
        <x:v>Watch customer specialization</x:v>
      </x:c>
      <x:c r="O98" s="2" t="str">
        <x:v>Not verified, absence not inferred</x:v>
      </x:c>
      <x:c r="P98" s="2" t="str">
        <x:v>Staple trade, product selection pending</x:v>
      </x:c>
      <x:c r="Q98" s="2" t="str">
        <x:v>Confirm product demand, accessible HS line, counterparties, delivered spread, cash conversion and legal clearance.</x:v>
      </x:c>
    </x:row>
    <x:row r="99" ht="60" customHeight="1">
      <x:c r="A99" s="2" t="str">
        <x:v>LBN</x:v>
      </x:c>
      <x:c r="B99" s="2" t="str">
        <x:v>Lebanon</x:v>
      </x:c>
      <x:c r="C99" s="2" t="str">
        <x:v>Asia</x:v>
      </x:c>
      <x:c r="D99" s="2" t="str">
        <x:v>422</x:v>
      </x:c>
      <x:c r="E99" s="2" t="str">
        <x:v>Member state</x:v>
      </x:c>
      <x:c r="F99" s="2" t="n">
        <x:v>5897467</x:v>
      </x:c>
      <x:c r="G99" s="2" t="n">
        <x:v>6103808</x:v>
      </x:c>
      <x:c r="H99" s="2" t="n">
        <x:v>6357724</x:v>
      </x:c>
      <x:c r="I99" s="2" t="n">
        <x:v>6620329</x:v>
      </x:c>
      <x:c r="J99" s="2" t="n">
        <x:v>6834988</x:v>
      </x:c>
      <x:c r="K99" s="2" t="n">
        <x:v>6999260</x:v>
      </x:c>
      <x:c r="L99" s="2" t="n">
        <x:v>7025484</x:v>
      </x:c>
      <x:c r="M99" s="2" t="str">
        <x:v>trade</x:v>
      </x:c>
      <x:c r="N99" s="2" t="str">
        <x:v>Watch product/corridor opportunity</x:v>
      </x:c>
      <x:c r="O99" s="2" t="str">
        <x:v>Not verified, absence not inferred</x:v>
      </x:c>
      <x:c r="P99" s="2" t="str">
        <x:v>Staple trade, product selection pending</x:v>
      </x:c>
      <x:c r="Q99" s="2" t="str">
        <x:v>Confirm product demand, accessible HS line, counterparties, delivered spread, cash conversion and legal clearance.</x:v>
      </x:c>
    </x:row>
    <x:row r="100" ht="60" customHeight="1">
      <x:c r="A100" s="2" t="str">
        <x:v>LSO</x:v>
      </x:c>
      <x:c r="B100" s="2" t="str">
        <x:v>Lesotho</x:v>
      </x:c>
      <x:c r="C100" s="2" t="str">
        <x:v>Africa</x:v>
      </x:c>
      <x:c r="D100" s="2" t="str">
        <x:v>426</x:v>
      </x:c>
      <x:c r="E100" s="2" t="str">
        <x:v>Member state</x:v>
      </x:c>
      <x:c r="F100" s="2" t="n">
        <x:v>2389336</x:v>
      </x:c>
      <x:c r="G100" s="2" t="n">
        <x:v>2493818</x:v>
      </x:c>
      <x:c r="H100" s="2" t="n">
        <x:v>2626567</x:v>
      </x:c>
      <x:c r="I100" s="2" t="n">
        <x:v>2757876</x:v>
      </x:c>
      <x:c r="J100" s="2" t="n">
        <x:v>2881339</x:v>
      </x:c>
      <x:c r="K100" s="2" t="n">
        <x:v>2993077</x:v>
      </x:c>
      <x:c r="L100" s="2" t="n">
        <x:v>3013558</x:v>
      </x:c>
      <x:c r="M100" s="2" t="str">
        <x:v>trade</x:v>
      </x:c>
      <x:c r="N100" s="2" t="str">
        <x:v>Watch product/corridor opportunity</x:v>
      </x:c>
      <x:c r="O100" s="2" t="str">
        <x:v>Not verified, absence not inferred</x:v>
      </x:c>
      <x:c r="P100" s="2" t="str">
        <x:v>Staple trade, product selection pending</x:v>
      </x:c>
      <x:c r="Q100" s="2" t="str">
        <x:v>Confirm product demand, accessible HS line, counterparties, delivered spread, cash conversion and legal clearance.</x:v>
      </x:c>
    </x:row>
    <x:row r="101" ht="60" customHeight="1">
      <x:c r="A101" s="2" t="str">
        <x:v>LBR</x:v>
      </x:c>
      <x:c r="B101" s="2" t="str">
        <x:v>Liberia</x:v>
      </x:c>
      <x:c r="C101" s="2" t="str">
        <x:v>Africa</x:v>
      </x:c>
      <x:c r="D101" s="2" t="str">
        <x:v>430</x:v>
      </x:c>
      <x:c r="E101" s="2" t="str">
        <x:v>Member state</x:v>
      </x:c>
      <x:c r="F101" s="2" t="n">
        <x:v>5853949</x:v>
      </x:c>
      <x:c r="G101" s="2" t="n">
        <x:v>6366291</x:v>
      </x:c>
      <x:c r="H101" s="2" t="n">
        <x:v>7003557</x:v>
      </x:c>
      <x:c r="I101" s="2" t="n">
        <x:v>7681688</x:v>
      </x:c>
      <x:c r="J101" s="2" t="n">
        <x:v>8310645</x:v>
      </x:c>
      <x:c r="K101" s="2" t="n">
        <x:v>8910530</x:v>
      </x:c>
      <x:c r="L101" s="2" t="n">
        <x:v>9020146</x:v>
      </x:c>
      <x:c r="M101" s="2" t="str">
        <x:v>trade</x:v>
      </x:c>
      <x:c r="N101" s="2" t="str">
        <x:v>Watch product/corridor opportunity</x:v>
      </x:c>
      <x:c r="O101" s="2" t="str">
        <x:v>Not verified, absence not inferred</x:v>
      </x:c>
      <x:c r="P101" s="2" t="str">
        <x:v>Staple trade, product selection pending</x:v>
      </x:c>
      <x:c r="Q101" s="2" t="str">
        <x:v>Confirm product demand, accessible HS line, counterparties, delivered spread, cash conversion and legal clearance.</x:v>
      </x:c>
    </x:row>
    <x:row r="102" ht="60" customHeight="1">
      <x:c r="A102" s="2" t="str">
        <x:v>LBY</x:v>
      </x:c>
      <x:c r="B102" s="2" t="str">
        <x:v>Libya</x:v>
      </x:c>
      <x:c r="C102" s="2" t="str">
        <x:v>Africa</x:v>
      </x:c>
      <x:c r="D102" s="2" t="str">
        <x:v>434</x:v>
      </x:c>
      <x:c r="E102" s="2" t="str">
        <x:v>Member state</x:v>
      </x:c>
      <x:c r="F102" s="2" t="n">
        <x:v>7539851</x:v>
      </x:c>
      <x:c r="G102" s="2" t="n">
        <x:v>7885806</x:v>
      </x:c>
      <x:c r="H102" s="2" t="n">
        <x:v>8283952.999999999</x:v>
      </x:c>
      <x:c r="I102" s="2" t="n">
        <x:v>8651417</x:v>
      </x:c>
      <x:c r="J102" s="2" t="n">
        <x:v>8983949</x:v>
      </x:c>
      <x:c r="K102" s="2" t="n">
        <x:v>9260605</x:v>
      </x:c>
      <x:c r="L102" s="2" t="n">
        <x:v>9310578</x:v>
      </x:c>
      <x:c r="M102" s="2" t="str">
        <x:v>trade</x:v>
      </x:c>
      <x:c r="N102" s="2" t="str">
        <x:v>Watch product/corridor opportunity</x:v>
      </x:c>
      <x:c r="O102" s="2" t="str">
        <x:v>Not verified, absence not inferred</x:v>
      </x:c>
      <x:c r="P102" s="2" t="str">
        <x:v>Staple trade, product selection pending</x:v>
      </x:c>
      <x:c r="Q102" s="2" t="str">
        <x:v>Confirm product demand, accessible HS line, counterparties, delivered spread, cash conversion and legal clearance.</x:v>
      </x:c>
    </x:row>
    <x:row r="103" ht="60" customHeight="1">
      <x:c r="A103" s="2" t="str">
        <x:v>LIE</x:v>
      </x:c>
      <x:c r="B103" s="2" t="str">
        <x:v>Liechtenstein</x:v>
      </x:c>
      <x:c r="C103" s="2" t="str">
        <x:v>Europe</x:v>
      </x:c>
      <x:c r="D103" s="2" t="str">
        <x:v>438</x:v>
      </x:c>
      <x:c r="E103" s="2" t="str">
        <x:v>Member state</x:v>
      </x:c>
      <x:c r="F103" s="2" t="n">
        <x:v>40368</x:v>
      </x:c>
      <x:c r="G103" s="2" t="n">
        <x:v>41202</x:v>
      </x:c>
      <x:c r="H103" s="2" t="n">
        <x:v>42005</x:v>
      </x:c>
      <x:c r="I103" s="2" t="n">
        <x:v>42534</x:v>
      </x:c>
      <x:c r="J103" s="2" t="n">
        <x:v>42861</x:v>
      </x:c>
      <x:c r="K103" s="2" t="n">
        <x:v>43013</x:v>
      </x:c>
      <x:c r="L103" s="2" t="n">
        <x:v>43031</x:v>
      </x:c>
      <x:c r="M103" s="2" t="str">
        <x:v>trade</x:v>
      </x:c>
      <x:c r="N103" s="2" t="str">
        <x:v>Watch regional trade</x:v>
      </x:c>
      <x:c r="O103" s="2" t="str">
        <x:v>Not verified, absence not inferred</x:v>
      </x:c>
      <x:c r="P103" s="2" t="str">
        <x:v>Staple trade, product selection pending</x:v>
      </x:c>
      <x:c r="Q103" s="2" t="str">
        <x:v>Confirm product demand, accessible HS line, counterparties, delivered spread, cash conversion and legal clearance.</x:v>
      </x:c>
    </x:row>
    <x:row r="104" ht="60" customHeight="1">
      <x:c r="A104" s="2" t="str">
        <x:v>LTU</x:v>
      </x:c>
      <x:c r="B104" s="2" t="str">
        <x:v>Lithuania</x:v>
      </x:c>
      <x:c r="C104" s="2" t="str">
        <x:v>Europe</x:v>
      </x:c>
      <x:c r="D104" s="2" t="str">
        <x:v>440</x:v>
      </x:c>
      <x:c r="E104" s="2" t="str">
        <x:v>Member state</x:v>
      </x:c>
      <x:c r="F104" s="2" t="n">
        <x:v>2797338</x:v>
      </x:c>
      <x:c r="G104" s="2" t="n">
        <x:v>2706358</x:v>
      </x:c>
      <x:c r="H104" s="2" t="n">
        <x:v>2597392</x:v>
      </x:c>
      <x:c r="I104" s="2" t="n">
        <x:v>2484835</x:v>
      </x:c>
      <x:c r="J104" s="2" t="n">
        <x:v>2372137</x:v>
      </x:c>
      <x:c r="K104" s="2" t="n">
        <x:v>2258774</x:v>
      </x:c>
      <x:c r="L104" s="2" t="n">
        <x:v>2235291</x:v>
      </x:c>
      <x:c r="M104" s="2" t="str">
        <x:v>trade</x:v>
      </x:c>
      <x:c r="N104" s="2" t="str">
        <x:v>Watch customer specialization</x:v>
      </x:c>
      <x:c r="O104" s="2" t="str">
        <x:v>Not verified, absence not inferred</x:v>
      </x:c>
      <x:c r="P104" s="2" t="str">
        <x:v>Staple trade, product selection pending</x:v>
      </x:c>
      <x:c r="Q104" s="2" t="str">
        <x:v>Confirm product demand, accessible HS line, counterparties, delivered spread, cash conversion and legal clearance.</x:v>
      </x:c>
    </x:row>
    <x:row r="105" ht="60" customHeight="1">
      <x:c r="A105" s="2" t="str">
        <x:v>LUX</x:v>
      </x:c>
      <x:c r="B105" s="2" t="str">
        <x:v>Luxembourg</x:v>
      </x:c>
      <x:c r="C105" s="2" t="str">
        <x:v>Europe</x:v>
      </x:c>
      <x:c r="D105" s="2" t="str">
        <x:v>442</x:v>
      </x:c>
      <x:c r="E105" s="2" t="str">
        <x:v>Member state</x:v>
      </x:c>
      <x:c r="F105" s="2" t="n">
        <x:v>687448</x:v>
      </x:c>
      <x:c r="G105" s="2" t="n">
        <x:v>713667</x:v>
      </x:c>
      <x:c r="H105" s="2" t="n">
        <x:v>740629</x:v>
      </x:c>
      <x:c r="I105" s="2" t="n">
        <x:v>762673</x:v>
      </x:c>
      <x:c r="J105" s="2" t="n">
        <x:v>779539</x:v>
      </x:c>
      <x:c r="K105" s="2" t="n">
        <x:v>791464</x:v>
      </x:c>
      <x:c r="L105" s="2" t="n">
        <x:v>793283</x:v>
      </x:c>
      <x:c r="M105" s="2" t="str">
        <x:v>trade</x:v>
      </x:c>
      <x:c r="N105" s="2" t="str">
        <x:v>Watch regional trade</x:v>
      </x:c>
      <x:c r="O105" s="2" t="str">
        <x:v>Not verified, absence not inferred</x:v>
      </x:c>
      <x:c r="P105" s="2" t="str">
        <x:v>Staple trade, product selection pending</x:v>
      </x:c>
      <x:c r="Q105" s="2" t="str">
        <x:v>Confirm product demand, accessible HS line, counterparties, delivered spread, cash conversion and legal clearance.</x:v>
      </x:c>
    </x:row>
    <x:row r="106" ht="60" customHeight="1">
      <x:c r="A106" s="2" t="str">
        <x:v>MDG</x:v>
      </x:c>
      <x:c r="B106" s="2" t="str">
        <x:v>Madagascar</x:v>
      </x:c>
      <x:c r="C106" s="2" t="str">
        <x:v>Africa</x:v>
      </x:c>
      <x:c r="D106" s="2" t="str">
        <x:v>450</x:v>
      </x:c>
      <x:c r="E106" s="2" t="str">
        <x:v>Member state</x:v>
      </x:c>
      <x:c r="F106" s="2" t="n">
        <x:v>33522052.000000004</x:v>
      </x:c>
      <x:c r="G106" s="2" t="n">
        <x:v>36693183</x:v>
      </x:c>
      <x:c r="H106" s="2" t="n">
        <x:v>40733844</x:v>
      </x:c>
      <x:c r="I106" s="2" t="n">
        <x:v>44846895</x:v>
      </x:c>
      <x:c r="J106" s="2" t="n">
        <x:v>49011274</x:v>
      </x:c>
      <x:c r="K106" s="2" t="n">
        <x:v>53185475</x:v>
      </x:c>
      <x:c r="L106" s="2" t="n">
        <x:v>54016765</x:v>
      </x:c>
      <x:c r="M106" s="2" t="str">
        <x:v>trade</x:v>
      </x:c>
      <x:c r="N106" s="2" t="str">
        <x:v>Watch product/corridor opportunity</x:v>
      </x:c>
      <x:c r="O106" s="2" t="str">
        <x:v>Not verified, absence not inferred</x:v>
      </x:c>
      <x:c r="P106" s="2" t="str">
        <x:v>Staple trade, product selection pending</x:v>
      </x:c>
      <x:c r="Q106" s="2" t="str">
        <x:v>Confirm product demand, accessible HS line, counterparties, delivered spread, cash conversion and legal clearance.</x:v>
      </x:c>
    </x:row>
    <x:row r="107" ht="60" customHeight="1">
      <x:c r="A107" s="2" t="str">
        <x:v>MWI</x:v>
      </x:c>
      <x:c r="B107" s="2" t="str">
        <x:v>Malawi</x:v>
      </x:c>
      <x:c r="C107" s="2" t="str">
        <x:v>Africa</x:v>
      </x:c>
      <x:c r="D107" s="2" t="str">
        <x:v>454</x:v>
      </x:c>
      <x:c r="E107" s="2" t="str">
        <x:v>Member state</x:v>
      </x:c>
      <x:c r="F107" s="2" t="n">
        <x:v>22785535</x:v>
      </x:c>
      <x:c r="G107" s="2" t="n">
        <x:v>25160287</x:v>
      </x:c>
      <x:c r="H107" s="2" t="n">
        <x:v>28213795</x:v>
      </x:c>
      <x:c r="I107" s="2" t="n">
        <x:v>31302098</x:v>
      </x:c>
      <x:c r="J107" s="2" t="n">
        <x:v>34350954</x:v>
      </x:c>
      <x:c r="K107" s="2" t="n">
        <x:v>37361683</x:v>
      </x:c>
      <x:c r="L107" s="2" t="n">
        <x:v>37964325</x:v>
      </x:c>
      <x:c r="M107" s="2" t="str">
        <x:v>trade</x:v>
      </x:c>
      <x:c r="N107" s="2" t="str">
        <x:v>Watch product/corridor opportunity</x:v>
      </x:c>
      <x:c r="O107" s="2" t="str">
        <x:v>Not verified, absence not inferred</x:v>
      </x:c>
      <x:c r="P107" s="2" t="str">
        <x:v>Staple trade, product selection pending</x:v>
      </x:c>
      <x:c r="Q107" s="2" t="str">
        <x:v>Confirm product demand, accessible HS line, counterparties, delivered spread, cash conversion and legal clearance.</x:v>
      </x:c>
    </x:row>
    <x:row r="108" ht="60" customHeight="1">
      <x:c r="A108" s="2" t="str">
        <x:v>MYS</x:v>
      </x:c>
      <x:c r="B108" s="2" t="str">
        <x:v>Malaysia</x:v>
      </x:c>
      <x:c r="C108" s="2" t="str">
        <x:v>Asia</x:v>
      </x:c>
      <x:c r="D108" s="2" t="str">
        <x:v>458</x:v>
      </x:c>
      <x:c r="E108" s="2" t="str">
        <x:v>Member state</x:v>
      </x:c>
      <x:c r="F108" s="2" t="n">
        <x:v>36385115</x:v>
      </x:c>
      <x:c r="G108" s="2" t="n">
        <x:v>37961719</x:v>
      </x:c>
      <x:c r="H108" s="2" t="n">
        <x:v>39814825</x:v>
      </x:c>
      <x:c r="I108" s="2" t="n">
        <x:v>41509644</x:v>
      </x:c>
      <x:c r="J108" s="2" t="n">
        <x:v>43038204</x:v>
      </x:c>
      <x:c r="K108" s="2" t="n">
        <x:v>44289772</x:v>
      </x:c>
      <x:c r="L108" s="2" t="n">
        <x:v>44502613</x:v>
      </x:c>
      <x:c r="M108" s="2" t="str">
        <x:v>trade</x:v>
      </x:c>
      <x:c r="N108" s="2" t="str">
        <x:v>Review existing operation</x:v>
      </x:c>
      <x:c r="O108" s="2" t="str">
        <x:v>Disclosed location in June-2026 factsheet</x:v>
      </x:c>
      <x:c r="P108" s="2" t="str">
        <x:v>Staple trade, product selection pending</x:v>
      </x:c>
      <x:c r="Q108" s="2" t="str">
        <x:v>Confirm product demand, accessible HS line, counterparties, delivered spread, cash conversion and legal clearance.</x:v>
      </x:c>
    </x:row>
    <x:row r="109" ht="60" customHeight="1">
      <x:c r="A109" s="2" t="str">
        <x:v>MDV</x:v>
      </x:c>
      <x:c r="B109" s="2" t="str">
        <x:v>Maldives</x:v>
      </x:c>
      <x:c r="C109" s="2" t="str">
        <x:v>Asia</x:v>
      </x:c>
      <x:c r="D109" s="2" t="str">
        <x:v>462</x:v>
      </x:c>
      <x:c r="E109" s="2" t="str">
        <x:v>Member state</x:v>
      </x:c>
      <x:c r="F109" s="2" t="n">
        <x:v>531517</x:v>
      </x:c>
      <x:c r="G109" s="2" t="n">
        <x:v>539667</x:v>
      </x:c>
      <x:c r="H109" s="2" t="n">
        <x:v>551594</x:v>
      </x:c>
      <x:c r="I109" s="2" t="n">
        <x:v>564798</x:v>
      </x:c>
      <x:c r="J109" s="2" t="n">
        <x:v>578453</x:v>
      </x:c>
      <x:c r="K109" s="2" t="n">
        <x:v>589962</x:v>
      </x:c>
      <x:c r="L109" s="2" t="n">
        <x:v>591628</x:v>
      </x:c>
      <x:c r="M109" s="2" t="str">
        <x:v>trade</x:v>
      </x:c>
      <x:c r="N109" s="2" t="str">
        <x:v>Watch regional trade</x:v>
      </x:c>
      <x:c r="O109" s="2" t="str">
        <x:v>Not verified, absence not inferred</x:v>
      </x:c>
      <x:c r="P109" s="2" t="str">
        <x:v>Staple trade, product selection pending</x:v>
      </x:c>
      <x:c r="Q109" s="2" t="str">
        <x:v>Confirm product demand, accessible HS line, counterparties, delivered spread, cash conversion and legal clearance.</x:v>
      </x:c>
    </x:row>
    <x:row r="110" ht="60" customHeight="1">
      <x:c r="A110" s="2" t="str">
        <x:v>MLI</x:v>
      </x:c>
      <x:c r="B110" s="2" t="str">
        <x:v>Mali</x:v>
      </x:c>
      <x:c r="C110" s="2" t="str">
        <x:v>Africa</x:v>
      </x:c>
      <x:c r="D110" s="2" t="str">
        <x:v>466</x:v>
      </x:c>
      <x:c r="E110" s="2" t="str">
        <x:v>Member state</x:v>
      </x:c>
      <x:c r="F110" s="2" t="n">
        <x:v>25932275</x:v>
      </x:c>
      <x:c r="G110" s="2" t="n">
        <x:v>29002865</x:v>
      </x:c>
      <x:c r="H110" s="2" t="n">
        <x:v>33118345</x:v>
      </x:c>
      <x:c r="I110" s="2" t="n">
        <x:v>37413643</x:v>
      </x:c>
      <x:c r="J110" s="2" t="n">
        <x:v>41778982</x:v>
      </x:c>
      <x:c r="K110" s="2" t="n">
        <x:v>46154079</x:v>
      </x:c>
      <x:c r="L110" s="2" t="n">
        <x:v>47029244</x:v>
      </x:c>
      <x:c r="M110" s="2" t="str">
        <x:v>trade</x:v>
      </x:c>
      <x:c r="N110" s="2" t="str">
        <x:v>Watch product/corridor opportunity</x:v>
      </x:c>
      <x:c r="O110" s="2" t="str">
        <x:v>Not verified, absence not inferred</x:v>
      </x:c>
      <x:c r="P110" s="2" t="str">
        <x:v>Staple trade, product selection pending</x:v>
      </x:c>
      <x:c r="Q110" s="2" t="str">
        <x:v>Confirm product demand, accessible HS line, counterparties, delivered spread, cash conversion and legal clearance.</x:v>
      </x:c>
    </x:row>
    <x:row r="111" ht="60" customHeight="1">
      <x:c r="A111" s="2" t="str">
        <x:v>MLT</x:v>
      </x:c>
      <x:c r="B111" s="2" t="str">
        <x:v>Malta</x:v>
      </x:c>
      <x:c r="C111" s="2" t="str">
        <x:v>Europe</x:v>
      </x:c>
      <x:c r="D111" s="2" t="str">
        <x:v>470</x:v>
      </x:c>
      <x:c r="E111" s="2" t="str">
        <x:v>Member state</x:v>
      </x:c>
      <x:c r="F111" s="2" t="n">
        <x:v>549011</x:v>
      </x:c>
      <x:c r="G111" s="2" t="n">
        <x:v>555231</x:v>
      </x:c>
      <x:c r="H111" s="2" t="n">
        <x:v>556508</x:v>
      </x:c>
      <x:c r="I111" s="2" t="n">
        <x:v>551735</x:v>
      </x:c>
      <x:c r="J111" s="2" t="n">
        <x:v>544634</x:v>
      </x:c>
      <x:c r="K111" s="2" t="n">
        <x:v>535721</x:v>
      </x:c>
      <x:c r="L111" s="2" t="n">
        <x:v>533639</x:v>
      </x:c>
      <x:c r="M111" s="2" t="str">
        <x:v>trade</x:v>
      </x:c>
      <x:c r="N111" s="2" t="str">
        <x:v>Watch regional trade</x:v>
      </x:c>
      <x:c r="O111" s="2" t="str">
        <x:v>Not verified, absence not inferred</x:v>
      </x:c>
      <x:c r="P111" s="2" t="str">
        <x:v>Staple trade, product selection pending</x:v>
      </x:c>
      <x:c r="Q111" s="2" t="str">
        <x:v>Confirm product demand, accessible HS line, counterparties, delivered spread, cash conversion and legal clearance.</x:v>
      </x:c>
    </x:row>
    <x:row r="112" ht="60" customHeight="1">
      <x:c r="A112" s="2" t="str">
        <x:v>MHL</x:v>
      </x:c>
      <x:c r="B112" s="2" t="str">
        <x:v>Marshall Islands</x:v>
      </x:c>
      <x:c r="C112" s="2" t="str">
        <x:v>Oceania</x:v>
      </x:c>
      <x:c r="D112" s="2" t="str">
        <x:v>584</x:v>
      </x:c>
      <x:c r="E112" s="2" t="str">
        <x:v>Member state</x:v>
      </x:c>
      <x:c r="F112" s="2" t="n">
        <x:v>35075</x:v>
      </x:c>
      <x:c r="G112" s="2" t="n">
        <x:v>31186</x:v>
      </x:c>
      <x:c r="H112" s="2" t="n">
        <x:v>28142</x:v>
      </x:c>
      <x:c r="I112" s="2" t="n">
        <x:v>26597</x:v>
      </x:c>
      <x:c r="J112" s="2" t="n">
        <x:v>25773</x:v>
      </x:c>
      <x:c r="K112" s="2" t="n">
        <x:v>25195</x:v>
      </x:c>
      <x:c r="L112" s="2" t="n">
        <x:v>25088</x:v>
      </x:c>
      <x:c r="M112" s="2" t="str">
        <x:v>trade</x:v>
      </x:c>
      <x:c r="N112" s="2" t="str">
        <x:v>Watch regional trade</x:v>
      </x:c>
      <x:c r="O112" s="2" t="str">
        <x:v>Not verified, absence not inferred</x:v>
      </x:c>
      <x:c r="P112" s="2" t="str">
        <x:v>Staple trade, product selection pending</x:v>
      </x:c>
      <x:c r="Q112" s="2" t="str">
        <x:v>Confirm product demand, accessible HS line, counterparties, delivered spread, cash conversion and legal clearance.</x:v>
      </x:c>
    </x:row>
    <x:row r="113" ht="60" customHeight="1">
      <x:c r="A113" s="2" t="str">
        <x:v>MRT</x:v>
      </x:c>
      <x:c r="B113" s="2" t="str">
        <x:v>Mauritania</x:v>
      </x:c>
      <x:c r="C113" s="2" t="str">
        <x:v>Africa</x:v>
      </x:c>
      <x:c r="D113" s="2" t="str">
        <x:v>478</x:v>
      </x:c>
      <x:c r="E113" s="2" t="str">
        <x:v>Member state</x:v>
      </x:c>
      <x:c r="F113" s="2" t="n">
        <x:v>5461319</x:v>
      </x:c>
      <x:c r="G113" s="2" t="n">
        <x:v>6062528</x:v>
      </x:c>
      <x:c r="H113" s="2" t="n">
        <x:v>6856319</x:v>
      </x:c>
      <x:c r="I113" s="2" t="n">
        <x:v>7681908</x:v>
      </x:c>
      <x:c r="J113" s="2" t="n">
        <x:v>8538531</x:v>
      </x:c>
      <x:c r="K113" s="2" t="n">
        <x:v>9415598</x:v>
      </x:c>
      <x:c r="L113" s="2" t="n">
        <x:v>9592001</x:v>
      </x:c>
      <x:c r="M113" s="2" t="str">
        <x:v>trade</x:v>
      </x:c>
      <x:c r="N113" s="2" t="str">
        <x:v>Watch product/corridor opportunity</x:v>
      </x:c>
      <x:c r="O113" s="2" t="str">
        <x:v>Not verified, absence not inferred</x:v>
      </x:c>
      <x:c r="P113" s="2" t="str">
        <x:v>Staple trade, product selection pending</x:v>
      </x:c>
      <x:c r="Q113" s="2" t="str">
        <x:v>Confirm product demand, accessible HS line, counterparties, delivered spread, cash conversion and legal clearance.</x:v>
      </x:c>
    </x:row>
    <x:row r="114" ht="60" customHeight="1">
      <x:c r="A114" s="2" t="str">
        <x:v>MUS</x:v>
      </x:c>
      <x:c r="B114" s="2" t="str">
        <x:v>Mauritius</x:v>
      </x:c>
      <x:c r="C114" s="2" t="str">
        <x:v>Africa</x:v>
      </x:c>
      <x:c r="D114" s="2" t="str">
        <x:v>480</x:v>
      </x:c>
      <x:c r="E114" s="2" t="str">
        <x:v>Member state</x:v>
      </x:c>
      <x:c r="F114" s="2" t="n">
        <x:v>1265059</x:v>
      </x:c>
      <x:c r="G114" s="2" t="n">
        <x:v>1250432</x:v>
      </x:c>
      <x:c r="H114" s="2" t="n">
        <x:v>1226955</x:v>
      </x:c>
      <x:c r="I114" s="2" t="n">
        <x:v>1195223</x:v>
      </x:c>
      <x:c r="J114" s="2" t="n">
        <x:v>1154659</x:v>
      </x:c>
      <x:c r="K114" s="2" t="n">
        <x:v>1107197</x:v>
      </x:c>
      <x:c r="L114" s="2" t="n">
        <x:v>1097238</x:v>
      </x:c>
      <x:c r="M114" s="2" t="str">
        <x:v>trade</x:v>
      </x:c>
      <x:c r="N114" s="2" t="str">
        <x:v>Watch customer specialization</x:v>
      </x:c>
      <x:c r="O114" s="2" t="str">
        <x:v>Not verified, absence not inferred</x:v>
      </x:c>
      <x:c r="P114" s="2" t="str">
        <x:v>Staple trade, product selection pending</x:v>
      </x:c>
      <x:c r="Q114" s="2" t="str">
        <x:v>Confirm product demand, accessible HS line, counterparties, delivered spread, cash conversion and legal clearance.</x:v>
      </x:c>
    </x:row>
    <x:row r="115" ht="60" customHeight="1">
      <x:c r="A115" s="2" t="str">
        <x:v>MEX</x:v>
      </x:c>
      <x:c r="B115" s="2" t="str">
        <x:v>Mexico</x:v>
      </x:c>
      <x:c r="C115" s="2" t="str">
        <x:v>Americas</x:v>
      </x:c>
      <x:c r="D115" s="2" t="str">
        <x:v>484</x:v>
      </x:c>
      <x:c r="E115" s="2" t="str">
        <x:v>Member state</x:v>
      </x:c>
      <x:c r="F115" s="2" t="n">
        <x:v>132997658</x:v>
      </x:c>
      <x:c r="G115" s="2" t="n">
        <x:v>136904738</x:v>
      </x:c>
      <x:c r="H115" s="2" t="n">
        <x:v>141150819</x:v>
      </x:c>
      <x:c r="I115" s="2" t="n">
        <x:v>144624323</x:v>
      </x:c>
      <x:c r="J115" s="2" t="n">
        <x:v>147240092</x:v>
      </x:c>
      <x:c r="K115" s="2" t="n">
        <x:v>148946274</x:v>
      </x:c>
      <x:c r="L115" s="2" t="n">
        <x:v>149181847</x:v>
      </x:c>
      <x:c r="M115" s="2" t="str">
        <x:v>trade</x:v>
      </x:c>
      <x:c r="N115" s="2" t="str">
        <x:v>Review existing operation</x:v>
      </x:c>
      <x:c r="O115" s="2" t="str">
        <x:v>Disclosed location in June-2026 factsheet</x:v>
      </x:c>
      <x:c r="P115" s="2" t="str">
        <x:v>Staple trade, product selection pending</x:v>
      </x:c>
      <x:c r="Q115" s="2" t="str">
        <x:v>Confirm product demand, accessible HS line, counterparties, delivered spread, cash conversion and legal clearance.</x:v>
      </x:c>
    </x:row>
    <x:row r="116" ht="60" customHeight="1">
      <x:c r="A116" s="2" t="str">
        <x:v>FSM</x:v>
      </x:c>
      <x:c r="B116" s="2" t="str">
        <x:v>Micronesia (Federated States of)</x:v>
      </x:c>
      <x:c r="C116" s="2" t="str">
        <x:v>Oceania</x:v>
      </x:c>
      <x:c r="D116" s="2" t="str">
        <x:v>583</x:v>
      </x:c>
      <x:c r="E116" s="2" t="str">
        <x:v>Member state</x:v>
      </x:c>
      <x:c r="F116" s="2" t="n">
        <x:v>114183</x:v>
      </x:c>
      <x:c r="G116" s="2" t="n">
        <x:v>116350</x:v>
      </x:c>
      <x:c r="H116" s="2" t="n">
        <x:v>119143</x:v>
      </x:c>
      <x:c r="I116" s="2" t="n">
        <x:v>121681</x:v>
      </x:c>
      <x:c r="J116" s="2" t="n">
        <x:v>124064</x:v>
      </x:c>
      <x:c r="K116" s="2" t="n">
        <x:v>126408</x:v>
      </x:c>
      <x:c r="L116" s="2" t="n">
        <x:v>126853</x:v>
      </x:c>
      <x:c r="M116" s="2" t="str">
        <x:v>trade</x:v>
      </x:c>
      <x:c r="N116" s="2" t="str">
        <x:v>Watch regional trade</x:v>
      </x:c>
      <x:c r="O116" s="2" t="str">
        <x:v>Not verified, absence not inferred</x:v>
      </x:c>
      <x:c r="P116" s="2" t="str">
        <x:v>Staple trade, product selection pending</x:v>
      </x:c>
      <x:c r="Q116" s="2" t="str">
        <x:v>Confirm product demand, accessible HS line, counterparties, delivered spread, cash conversion and legal clearance.</x:v>
      </x:c>
    </x:row>
    <x:row r="117" ht="60" customHeight="1">
      <x:c r="A117" s="2" t="str">
        <x:v>MCO</x:v>
      </x:c>
      <x:c r="B117" s="2" t="str">
        <x:v>Monaco</x:v>
      </x:c>
      <x:c r="C117" s="2" t="str">
        <x:v>Europe</x:v>
      </x:c>
      <x:c r="D117" s="2" t="str">
        <x:v>492</x:v>
      </x:c>
      <x:c r="E117" s="2" t="str">
        <x:v>Member state</x:v>
      </x:c>
      <x:c r="F117" s="2" t="n">
        <x:v>38087</x:v>
      </x:c>
      <x:c r="G117" s="2" t="n">
        <x:v>37366</x:v>
      </x:c>
      <x:c r="H117" s="2" t="n">
        <x:v>36894</x:v>
      </x:c>
      <x:c r="I117" s="2" t="n">
        <x:v>36627</x:v>
      </x:c>
      <x:c r="J117" s="2" t="n">
        <x:v>36523</x:v>
      </x:c>
      <x:c r="K117" s="2" t="n">
        <x:v>36757</x:v>
      </x:c>
      <x:c r="L117" s="2" t="n">
        <x:v>36840</x:v>
      </x:c>
      <x:c r="M117" s="2" t="str">
        <x:v>trade</x:v>
      </x:c>
      <x:c r="N117" s="2" t="str">
        <x:v>Watch regional trade</x:v>
      </x:c>
      <x:c r="O117" s="2" t="str">
        <x:v>Not verified, absence not inferred</x:v>
      </x:c>
      <x:c r="P117" s="2" t="str">
        <x:v>Staple trade, product selection pending</x:v>
      </x:c>
      <x:c r="Q117" s="2" t="str">
        <x:v>Confirm product demand, accessible HS line, counterparties, delivered spread, cash conversion and legal clearance.</x:v>
      </x:c>
    </x:row>
    <x:row r="118" ht="60" customHeight="1">
      <x:c r="A118" s="2" t="str">
        <x:v>MNG</x:v>
      </x:c>
      <x:c r="B118" s="2" t="str">
        <x:v>Mongolia</x:v>
      </x:c>
      <x:c r="C118" s="2" t="str">
        <x:v>Asia</x:v>
      </x:c>
      <x:c r="D118" s="2" t="str">
        <x:v>496</x:v>
      </x:c>
      <x:c r="E118" s="2" t="str">
        <x:v>Member state</x:v>
      </x:c>
      <x:c r="F118" s="2" t="n">
        <x:v>3556798</x:v>
      </x:c>
      <x:c r="G118" s="2" t="n">
        <x:v>3705231</x:v>
      </x:c>
      <x:c r="H118" s="2" t="n">
        <x:v>3889776</x:v>
      </x:c>
      <x:c r="I118" s="2" t="n">
        <x:v>4095554</x:v>
      </x:c>
      <x:c r="J118" s="2" t="n">
        <x:v>4308779</x:v>
      </x:c>
      <x:c r="K118" s="2" t="n">
        <x:v>4501493</x:v>
      </x:c>
      <x:c r="L118" s="2" t="n">
        <x:v>4535765</x:v>
      </x:c>
      <x:c r="M118" s="2" t="str">
        <x:v>trade</x:v>
      </x:c>
      <x:c r="N118" s="2" t="str">
        <x:v>Watch product/corridor opportunity</x:v>
      </x:c>
      <x:c r="O118" s="2" t="str">
        <x:v>Not verified, absence not inferred</x:v>
      </x:c>
      <x:c r="P118" s="2" t="str">
        <x:v>Staple trade, product selection pending</x:v>
      </x:c>
      <x:c r="Q118" s="2" t="str">
        <x:v>Confirm product demand, accessible HS line, counterparties, delivered spread, cash conversion and legal clearance.</x:v>
      </x:c>
    </x:row>
    <x:row r="119" ht="60" customHeight="1">
      <x:c r="A119" s="2" t="str">
        <x:v>MNE</x:v>
      </x:c>
      <x:c r="B119" s="2" t="str">
        <x:v>Montenegro</x:v>
      </x:c>
      <x:c r="C119" s="2" t="str">
        <x:v>Europe</x:v>
      </x:c>
      <x:c r="D119" s="2" t="str">
        <x:v>499</x:v>
      </x:c>
      <x:c r="E119" s="2" t="str">
        <x:v>Member state</x:v>
      </x:c>
      <x:c r="F119" s="2" t="n">
        <x:v>626233</x:v>
      </x:c>
      <x:c r="G119" s="2" t="n">
        <x:v>612562</x:v>
      </x:c>
      <x:c r="H119" s="2" t="n">
        <x:v>594137</x:v>
      </x:c>
      <x:c r="I119" s="2" t="n">
        <x:v>574434</x:v>
      </x:c>
      <x:c r="J119" s="2" t="n">
        <x:v>554231</x:v>
      </x:c>
      <x:c r="K119" s="2" t="n">
        <x:v>533295</x:v>
      </x:c>
      <x:c r="L119" s="2" t="n">
        <x:v>529032</x:v>
      </x:c>
      <x:c r="M119" s="2" t="str">
        <x:v>trade</x:v>
      </x:c>
      <x:c r="N119" s="2" t="str">
        <x:v>Watch regional trade</x:v>
      </x:c>
      <x:c r="O119" s="2" t="str">
        <x:v>Not verified, absence not inferred</x:v>
      </x:c>
      <x:c r="P119" s="2" t="str">
        <x:v>Staple trade, product selection pending</x:v>
      </x:c>
      <x:c r="Q119" s="2" t="str">
        <x:v>Confirm product demand, accessible HS line, counterparties, delivered spread, cash conversion and legal clearance.</x:v>
      </x:c>
    </x:row>
    <x:row r="120" ht="60" customHeight="1">
      <x:c r="A120" s="2" t="str">
        <x:v>MAR</x:v>
      </x:c>
      <x:c r="B120" s="2" t="str">
        <x:v>Morocco</x:v>
      </x:c>
      <x:c r="C120" s="2" t="str">
        <x:v>Africa</x:v>
      </x:c>
      <x:c r="D120" s="2" t="str">
        <x:v>504</x:v>
      </x:c>
      <x:c r="E120" s="2" t="str">
        <x:v>Member state</x:v>
      </x:c>
      <x:c r="F120" s="2" t="n">
        <x:v>38762441</x:v>
      </x:c>
      <x:c r="G120" s="2" t="n">
        <x:v>39953460</x:v>
      </x:c>
      <x:c r="H120" s="2" t="n">
        <x:v>41182094</x:v>
      </x:c>
      <x:c r="I120" s="2" t="n">
        <x:v>42168205</x:v>
      </x:c>
      <x:c r="J120" s="2" t="n">
        <x:v>42925306</x:v>
      </x:c>
      <x:c r="K120" s="2" t="n">
        <x:v>43440431</x:v>
      </x:c>
      <x:c r="L120" s="2" t="n">
        <x:v>43517149</x:v>
      </x:c>
      <x:c r="M120" s="2" t="str">
        <x:v>trade</x:v>
      </x:c>
      <x:c r="N120" s="2" t="str">
        <x:v>Watch product/corridor opportunity</x:v>
      </x:c>
      <x:c r="O120" s="2" t="str">
        <x:v>Not verified, absence not inferred</x:v>
      </x:c>
      <x:c r="P120" s="2" t="str">
        <x:v>Staple trade, product selection pending</x:v>
      </x:c>
      <x:c r="Q120" s="2" t="str">
        <x:v>Confirm product demand, accessible HS line, counterparties, delivered spread, cash conversion and legal clearance.</x:v>
      </x:c>
    </x:row>
    <x:row r="121" ht="60" customHeight="1">
      <x:c r="A121" s="2" t="str">
        <x:v>MOZ</x:v>
      </x:c>
      <x:c r="B121" s="2" t="str">
        <x:v>Mozambique</x:v>
      </x:c>
      <x:c r="C121" s="2" t="str">
        <x:v>Africa</x:v>
      </x:c>
      <x:c r="D121" s="2" t="str">
        <x:v>508</x:v>
      </x:c>
      <x:c r="E121" s="2" t="str">
        <x:v>Member state</x:v>
      </x:c>
      <x:c r="F121" s="2" t="n">
        <x:v>36639851</x:v>
      </x:c>
      <x:c r="G121" s="2" t="n">
        <x:v>40846755</x:v>
      </x:c>
      <x:c r="H121" s="2" t="n">
        <x:v>46411774</x:v>
      </x:c>
      <x:c r="I121" s="2" t="n">
        <x:v>52124215</x:v>
      </x:c>
      <x:c r="J121" s="2" t="n">
        <x:v>57851793</x:v>
      </x:c>
      <x:c r="K121" s="2" t="n">
        <x:v>63530952</x:v>
      </x:c>
      <x:c r="L121" s="2" t="n">
        <x:v>64647084</x:v>
      </x:c>
      <x:c r="M121" s="2" t="str">
        <x:v>partner</x:v>
      </x:c>
      <x:c r="N121" s="2" t="str">
        <x:v>Diligence priority</x:v>
      </x:c>
      <x:c r="O121" s="2" t="str">
        <x:v>Disclosed location in June-2026 factsheet</x:v>
      </x:c>
      <x:c r="P121" s="2" t="str">
        <x:v>Rice and edible oils</x:v>
      </x:c>
      <x:c r="Q121" s="2" t="str">
        <x:v>Test disruption exposure at named port/route and cash tied in seasonal stocks.</x:v>
      </x:c>
    </x:row>
    <x:row r="122" ht="60" customHeight="1">
      <x:c r="A122" s="2" t="str">
        <x:v>MMR</x:v>
      </x:c>
      <x:c r="B122" s="2" t="str">
        <x:v>Myanmar</x:v>
      </x:c>
      <x:c r="C122" s="2" t="str">
        <x:v>Asia</x:v>
      </x:c>
      <x:c r="D122" s="2" t="str">
        <x:v>104</x:v>
      </x:c>
      <x:c r="E122" s="2" t="str">
        <x:v>Member state</x:v>
      </x:c>
      <x:c r="F122" s="2" t="n">
        <x:v>55184819</x:v>
      </x:c>
      <x:c r="G122" s="2" t="n">
        <x:v>56351031</x:v>
      </x:c>
      <x:c r="H122" s="2" t="n">
        <x:v>57444464</x:v>
      </x:c>
      <x:c r="I122" s="2" t="n">
        <x:v>58169858</x:v>
      </x:c>
      <x:c r="J122" s="2" t="n">
        <x:v>58558172</x:v>
      </x:c>
      <x:c r="K122" s="2" t="n">
        <x:v>58623232</x:v>
      </x:c>
      <x:c r="L122" s="2" t="n">
        <x:v>58602738</x:v>
      </x:c>
      <x:c r="M122" s="2" t="str">
        <x:v>trade</x:v>
      </x:c>
      <x:c r="N122" s="2" t="str">
        <x:v>Watch product/corridor opportunity</x:v>
      </x:c>
      <x:c r="O122" s="2" t="str">
        <x:v>Not verified, absence not inferred</x:v>
      </x:c>
      <x:c r="P122" s="2" t="str">
        <x:v>Staple trade, product selection pending</x:v>
      </x:c>
      <x:c r="Q122" s="2" t="str">
        <x:v>Confirm product demand, accessible HS line, counterparties, delivered spread, cash conversion and legal clearance.</x:v>
      </x:c>
    </x:row>
    <x:row r="123" ht="60" customHeight="1">
      <x:c r="A123" s="2" t="str">
        <x:v>NAM</x:v>
      </x:c>
      <x:c r="B123" s="2" t="str">
        <x:v>Namibia</x:v>
      </x:c>
      <x:c r="C123" s="2" t="str">
        <x:v>Africa</x:v>
      </x:c>
      <x:c r="D123" s="2" t="str">
        <x:v>516</x:v>
      </x:c>
      <x:c r="E123" s="2" t="str">
        <x:v>Member state</x:v>
      </x:c>
      <x:c r="F123" s="2" t="n">
        <x:v>3153246</x:v>
      </x:c>
      <x:c r="G123" s="2" t="n">
        <x:v>3389958</x:v>
      </x:c>
      <x:c r="H123" s="2" t="n">
        <x:v>3678880</x:v>
      </x:c>
      <x:c r="I123" s="2" t="n">
        <x:v>3962405</x:v>
      </x:c>
      <x:c r="J123" s="2" t="n">
        <x:v>4243350</x:v>
      </x:c>
      <x:c r="K123" s="2" t="n">
        <x:v>4512301</x:v>
      </x:c>
      <x:c r="L123" s="2" t="n">
        <x:v>4564906</x:v>
      </x:c>
      <x:c r="M123" s="2" t="str">
        <x:v>trade</x:v>
      </x:c>
      <x:c r="N123" s="2" t="str">
        <x:v>Watch product/corridor opportunity</x:v>
      </x:c>
      <x:c r="O123" s="2" t="str">
        <x:v>Not verified, absence not inferred</x:v>
      </x:c>
      <x:c r="P123" s="2" t="str">
        <x:v>Staple trade, product selection pending</x:v>
      </x:c>
      <x:c r="Q123" s="2" t="str">
        <x:v>Confirm product demand, accessible HS line, counterparties, delivered spread, cash conversion and legal clearance.</x:v>
      </x:c>
    </x:row>
    <x:row r="124" ht="60" customHeight="1">
      <x:c r="A124" s="2" t="str">
        <x:v>NRU</x:v>
      </x:c>
      <x:c r="B124" s="2" t="str">
        <x:v>Naoero</x:v>
      </x:c>
      <x:c r="C124" s="2" t="str">
        <x:v>Oceania</x:v>
      </x:c>
      <x:c r="D124" s="2" t="str">
        <x:v>520</x:v>
      </x:c>
      <x:c r="E124" s="2" t="str">
        <x:v>Member state</x:v>
      </x:c>
      <x:c r="F124" s="2" t="n">
        <x:v>12101</x:v>
      </x:c>
      <x:c r="G124" s="2" t="n">
        <x:v>12521</x:v>
      </x:c>
      <x:c r="H124" s="2" t="n">
        <x:v>13233</x:v>
      </x:c>
      <x:c r="I124" s="2" t="n">
        <x:v>14039</x:v>
      </x:c>
      <x:c r="J124" s="2" t="n">
        <x:v>14928</x:v>
      </x:c>
      <x:c r="K124" s="2" t="n">
        <x:v>15758</x:v>
      </x:c>
      <x:c r="L124" s="2" t="n">
        <x:v>15913</x:v>
      </x:c>
      <x:c r="M124" s="2" t="str">
        <x:v>trade</x:v>
      </x:c>
      <x:c r="N124" s="2" t="str">
        <x:v>Watch regional trade</x:v>
      </x:c>
      <x:c r="O124" s="2" t="str">
        <x:v>Not verified, absence not inferred</x:v>
      </x:c>
      <x:c r="P124" s="2" t="str">
        <x:v>Staple trade, product selection pending</x:v>
      </x:c>
      <x:c r="Q124" s="2" t="str">
        <x:v>Confirm product demand, accessible HS line, counterparties, delivered spread, cash conversion and legal clearance.</x:v>
      </x:c>
    </x:row>
    <x:row r="125" ht="60" customHeight="1">
      <x:c r="A125" s="2" t="str">
        <x:v>NPL</x:v>
      </x:c>
      <x:c r="B125" s="2" t="str">
        <x:v>Nepal</x:v>
      </x:c>
      <x:c r="C125" s="2" t="str">
        <x:v>Asia</x:v>
      </x:c>
      <x:c r="D125" s="2" t="str">
        <x:v>524</x:v>
      </x:c>
      <x:c r="E125" s="2" t="str">
        <x:v>Member state</x:v>
      </x:c>
      <x:c r="F125" s="2" t="n">
        <x:v>29629410</x:v>
      </x:c>
      <x:c r="G125" s="2" t="n">
        <x:v>30509996</x:v>
      </x:c>
      <x:c r="H125" s="2" t="n">
        <x:v>31798004</x:v>
      </x:c>
      <x:c r="I125" s="2" t="n">
        <x:v>32909536.999999996</x:v>
      </x:c>
      <x:c r="J125" s="2" t="n">
        <x:v>33861060</x:v>
      </x:c>
      <x:c r="K125" s="2" t="n">
        <x:v>34642027</x:v>
      </x:c>
      <x:c r="L125" s="2" t="n">
        <x:v>34777003</x:v>
      </x:c>
      <x:c r="M125" s="2" t="str">
        <x:v>trade</x:v>
      </x:c>
      <x:c r="N125" s="2" t="str">
        <x:v>Watch product/corridor opportunity</x:v>
      </x:c>
      <x:c r="O125" s="2" t="str">
        <x:v>Not verified, absence not inferred</x:v>
      </x:c>
      <x:c r="P125" s="2" t="str">
        <x:v>Staple trade, product selection pending</x:v>
      </x:c>
      <x:c r="Q125" s="2" t="str">
        <x:v>Confirm product demand, accessible HS line, counterparties, delivered spread, cash conversion and legal clearance.</x:v>
      </x:c>
    </x:row>
    <x:row r="126" ht="60" customHeight="1">
      <x:c r="A126" s="2" t="str">
        <x:v>NLD</x:v>
      </x:c>
      <x:c r="B126" s="2" t="str">
        <x:v>Netherlands (Kingdom of the)</x:v>
      </x:c>
      <x:c r="C126" s="2" t="str">
        <x:v>Europe</x:v>
      </x:c>
      <x:c r="D126" s="2" t="str">
        <x:v>528</x:v>
      </x:c>
      <x:c r="E126" s="2" t="str">
        <x:v>Member state</x:v>
      </x:c>
      <x:c r="F126" s="2" t="n">
        <x:v>18448775</x:v>
      </x:c>
      <x:c r="G126" s="2" t="n">
        <x:v>18757217</x:v>
      </x:c>
      <x:c r="H126" s="2" t="n">
        <x:v>18977352</x:v>
      </x:c>
      <x:c r="I126" s="2" t="n">
        <x:v>19062983</x:v>
      </x:c>
      <x:c r="J126" s="2" t="n">
        <x:v>19041975</x:v>
      </x:c>
      <x:c r="K126" s="2" t="n">
        <x:v>18958475</x:v>
      </x:c>
      <x:c r="L126" s="2" t="n">
        <x:v>18934376</x:v>
      </x:c>
      <x:c r="M126" s="2" t="str">
        <x:v>trade</x:v>
      </x:c>
      <x:c r="N126" s="2" t="str">
        <x:v>Review existing operation</x:v>
      </x:c>
      <x:c r="O126" s="2" t="str">
        <x:v>Disclosed location in June-2026 factsheet</x:v>
      </x:c>
      <x:c r="P126" s="2" t="str">
        <x:v>Staple trade, product selection pending</x:v>
      </x:c>
      <x:c r="Q126" s="2" t="str">
        <x:v>Confirm product demand, accessible HS line, counterparties, delivered spread, cash conversion and legal clearance.</x:v>
      </x:c>
    </x:row>
    <x:row r="127" ht="60" customHeight="1">
      <x:c r="A127" s="2" t="str">
        <x:v>NZL</x:v>
      </x:c>
      <x:c r="B127" s="2" t="str">
        <x:v>New Zealand</x:v>
      </x:c>
      <x:c r="C127" s="2" t="str">
        <x:v>Oceania</x:v>
      </x:c>
      <x:c r="D127" s="2" t="str">
        <x:v>554</x:v>
      </x:c>
      <x:c r="E127" s="2" t="str">
        <x:v>Member state</x:v>
      </x:c>
      <x:c r="F127" s="2" t="n">
        <x:v>5287479</x:v>
      </x:c>
      <x:c r="G127" s="2" t="n">
        <x:v>5407349</x:v>
      </x:c>
      <x:c r="H127" s="2" t="n">
        <x:v>5520602</x:v>
      </x:c>
      <x:c r="I127" s="2" t="n">
        <x:v>5617291</x:v>
      </x:c>
      <x:c r="J127" s="2" t="n">
        <x:v>5700556</x:v>
      </x:c>
      <x:c r="K127" s="2" t="n">
        <x:v>5755288</x:v>
      </x:c>
      <x:c r="L127" s="2" t="n">
        <x:v>5766716</x:v>
      </x:c>
      <x:c r="M127" s="2" t="str">
        <x:v>trade</x:v>
      </x:c>
      <x:c r="N127" s="2" t="str">
        <x:v>Watch product/corridor opportunity</x:v>
      </x:c>
      <x:c r="O127" s="2" t="str">
        <x:v>Not verified, absence not inferred</x:v>
      </x:c>
      <x:c r="P127" s="2" t="str">
        <x:v>Staple trade, product selection pending</x:v>
      </x:c>
      <x:c r="Q127" s="2" t="str">
        <x:v>Confirm product demand, accessible HS line, counterparties, delivered spread, cash conversion and legal clearance.</x:v>
      </x:c>
    </x:row>
    <x:row r="128" ht="60" customHeight="1">
      <x:c r="A128" s="2" t="str">
        <x:v>NIC</x:v>
      </x:c>
      <x:c r="B128" s="2" t="str">
        <x:v>Nicaragua</x:v>
      </x:c>
      <x:c r="C128" s="2" t="str">
        <x:v>Americas</x:v>
      </x:c>
      <x:c r="D128" s="2" t="str">
        <x:v>558</x:v>
      </x:c>
      <x:c r="E128" s="2" t="str">
        <x:v>Member state</x:v>
      </x:c>
      <x:c r="F128" s="2" t="n">
        <x:v>7097329</x:v>
      </x:c>
      <x:c r="G128" s="2" t="n">
        <x:v>7441603</x:v>
      </x:c>
      <x:c r="H128" s="2" t="n">
        <x:v>7836703</x:v>
      </x:c>
      <x:c r="I128" s="2" t="n">
        <x:v>8189914</x:v>
      </x:c>
      <x:c r="J128" s="2" t="n">
        <x:v>8497615</x:v>
      </x:c>
      <x:c r="K128" s="2" t="n">
        <x:v>8756430</x:v>
      </x:c>
      <x:c r="L128" s="2" t="n">
        <x:v>8801962</x:v>
      </x:c>
      <x:c r="M128" s="2" t="str">
        <x:v>trade</x:v>
      </x:c>
      <x:c r="N128" s="2" t="str">
        <x:v>Watch product/corridor opportunity</x:v>
      </x:c>
      <x:c r="O128" s="2" t="str">
        <x:v>Not verified, absence not inferred</x:v>
      </x:c>
      <x:c r="P128" s="2" t="str">
        <x:v>Staple trade, product selection pending</x:v>
      </x:c>
      <x:c r="Q128" s="2" t="str">
        <x:v>Confirm product demand, accessible HS line, counterparties, delivered spread, cash conversion and legal clearance.</x:v>
      </x:c>
    </x:row>
    <x:row r="129" ht="60" customHeight="1">
      <x:c r="A129" s="2" t="str">
        <x:v>NER</x:v>
      </x:c>
      <x:c r="B129" s="2" t="str">
        <x:v>Niger</x:v>
      </x:c>
      <x:c r="C129" s="2" t="str">
        <x:v>Africa</x:v>
      </x:c>
      <x:c r="D129" s="2" t="str">
        <x:v>562</x:v>
      </x:c>
      <x:c r="E129" s="2" t="str">
        <x:v>Member state</x:v>
      </x:c>
      <x:c r="F129" s="2" t="n">
        <x:v>28814878</x:v>
      </x:c>
      <x:c r="G129" s="2" t="n">
        <x:v>32518075</x:v>
      </x:c>
      <x:c r="H129" s="2" t="n">
        <x:v>37353463</x:v>
      </x:c>
      <x:c r="I129" s="2" t="n">
        <x:v>42316740</x:v>
      </x:c>
      <x:c r="J129" s="2" t="n">
        <x:v>47374117</x:v>
      </x:c>
      <x:c r="K129" s="2" t="n">
        <x:v>52513876</x:v>
      </x:c>
      <x:c r="L129" s="2" t="n">
        <x:v>53546930</x:v>
      </x:c>
      <x:c r="M129" s="2" t="str">
        <x:v>trade</x:v>
      </x:c>
      <x:c r="N129" s="2" t="str">
        <x:v>Watch product/corridor opportunity</x:v>
      </x:c>
      <x:c r="O129" s="2" t="str">
        <x:v>Not verified, absence not inferred</x:v>
      </x:c>
      <x:c r="P129" s="2" t="str">
        <x:v>Staple trade, product selection pending</x:v>
      </x:c>
      <x:c r="Q129" s="2" t="str">
        <x:v>Confirm product demand, accessible HS line, counterparties, delivered spread, cash conversion and legal clearance.</x:v>
      </x:c>
    </x:row>
    <x:row r="130" ht="60" customHeight="1">
      <x:c r="A130" s="2" t="str">
        <x:v>NGA</x:v>
      </x:c>
      <x:c r="B130" s="2" t="str">
        <x:v>Nigeria</x:v>
      </x:c>
      <x:c r="C130" s="2" t="str">
        <x:v>Africa</x:v>
      </x:c>
      <x:c r="D130" s="2" t="str">
        <x:v>566</x:v>
      </x:c>
      <x:c r="E130" s="2" t="str">
        <x:v>Member state</x:v>
      </x:c>
      <x:c r="F130" s="2" t="n">
        <x:v>242431832</x:v>
      </x:c>
      <x:c r="G130" s="2" t="n">
        <x:v>262380969.99999997</x:v>
      </x:c>
      <x:c r="H130" s="2" t="n">
        <x:v>287685763</x:v>
      </x:c>
      <x:c r="I130" s="2" t="n">
        <x:v>312710416</x:v>
      </x:c>
      <x:c r="J130" s="2" t="n">
        <x:v>336662502</x:v>
      </x:c>
      <x:c r="K130" s="2" t="n">
        <x:v>359185556</x:v>
      </x:c>
      <x:c r="L130" s="2" t="n">
        <x:v>363523611</x:v>
      </x:c>
      <x:c r="M130" s="2" t="str">
        <x:v>partner</x:v>
      </x:c>
      <x:c r="N130" s="2" t="str">
        <x:v>Diligence priority</x:v>
      </x:c>
      <x:c r="O130" s="2" t="str">
        <x:v>Disclosed location in June-2026 factsheet</x:v>
      </x:c>
      <x:c r="P130" s="2" t="str">
        <x:v>Semolina and edible oils</x:v>
      </x:c>
      <x:c r="Q130" s="2" t="str">
        <x:v>Finance-approved eligible sell-through and route P&amp;L. Legal rechecks crude/refined HS access.</x:v>
      </x:c>
    </x:row>
    <x:row r="131" ht="60" customHeight="1">
      <x:c r="A131" s="2" t="str">
        <x:v>MKD</x:v>
      </x:c>
      <x:c r="B131" s="2" t="str">
        <x:v>North Macedonia</x:v>
      </x:c>
      <x:c r="C131" s="2" t="str">
        <x:v>Europe</x:v>
      </x:c>
      <x:c r="D131" s="2" t="str">
        <x:v>807</x:v>
      </x:c>
      <x:c r="E131" s="2" t="str">
        <x:v>Member state</x:v>
      </x:c>
      <x:c r="F131" s="2" t="n">
        <x:v>1804063</x:v>
      </x:c>
      <x:c r="G131" s="2" t="n">
        <x:v>1762486</x:v>
      </x:c>
      <x:c r="H131" s="2" t="n">
        <x:v>1704194</x:v>
      </x:c>
      <x:c r="I131" s="2" t="n">
        <x:v>1641908</x:v>
      </x:c>
      <x:c r="J131" s="2" t="n">
        <x:v>1577355</x:v>
      </x:c>
      <x:c r="K131" s="2" t="n">
        <x:v>1512688</x:v>
      </x:c>
      <x:c r="L131" s="2" t="n">
        <x:v>1499303</x:v>
      </x:c>
      <x:c r="M131" s="2" t="str">
        <x:v>trade</x:v>
      </x:c>
      <x:c r="N131" s="2" t="str">
        <x:v>Watch customer specialization</x:v>
      </x:c>
      <x:c r="O131" s="2" t="str">
        <x:v>Not verified, absence not inferred</x:v>
      </x:c>
      <x:c r="P131" s="2" t="str">
        <x:v>Staple trade, product selection pending</x:v>
      </x:c>
      <x:c r="Q131" s="2" t="str">
        <x:v>Confirm product demand, accessible HS line, counterparties, delivered spread, cash conversion and legal clearance.</x:v>
      </x:c>
    </x:row>
    <x:row r="132" ht="60" customHeight="1">
      <x:c r="A132" s="2" t="str">
        <x:v>NOR</x:v>
      </x:c>
      <x:c r="B132" s="2" t="str">
        <x:v>Norway</x:v>
      </x:c>
      <x:c r="C132" s="2" t="str">
        <x:v>Europe</x:v>
      </x:c>
      <x:c r="D132" s="2" t="str">
        <x:v>578</x:v>
      </x:c>
      <x:c r="E132" s="2" t="str">
        <x:v>Member state</x:v>
      </x:c>
      <x:c r="F132" s="2" t="n">
        <x:v>5652989</x:v>
      </x:c>
      <x:c r="G132" s="2" t="n">
        <x:v>5729095</x:v>
      </x:c>
      <x:c r="H132" s="2" t="n">
        <x:v>5801417</x:v>
      </x:c>
      <x:c r="I132" s="2" t="n">
        <x:v>5853869</x:v>
      </x:c>
      <x:c r="J132" s="2" t="n">
        <x:v>5886017</x:v>
      </x:c>
      <x:c r="K132" s="2" t="n">
        <x:v>5899829</x:v>
      </x:c>
      <x:c r="L132" s="2" t="n">
        <x:v>5899792</x:v>
      </x:c>
      <x:c r="M132" s="2" t="str">
        <x:v>trade</x:v>
      </x:c>
      <x:c r="N132" s="2" t="str">
        <x:v>Watch product/corridor opportunity</x:v>
      </x:c>
      <x:c r="O132" s="2" t="str">
        <x:v>Not verified, absence not inferred</x:v>
      </x:c>
      <x:c r="P132" s="2" t="str">
        <x:v>Staple trade, product selection pending</x:v>
      </x:c>
      <x:c r="Q132" s="2" t="str">
        <x:v>Confirm product demand, accessible HS line, counterparties, delivered spread, cash conversion and legal clearance.</x:v>
      </x:c>
    </x:row>
    <x:row r="133" ht="60" customHeight="1">
      <x:c r="A133" s="2" t="str">
        <x:v>OMN</x:v>
      </x:c>
      <x:c r="B133" s="2" t="str">
        <x:v>Oman</x:v>
      </x:c>
      <x:c r="C133" s="2" t="str">
        <x:v>Asia</x:v>
      </x:c>
      <x:c r="D133" s="2" t="str">
        <x:v>512</x:v>
      </x:c>
      <x:c r="E133" s="2" t="str">
        <x:v>Member state</x:v>
      </x:c>
      <x:c r="F133" s="2" t="n">
        <x:v>5671458</x:v>
      </x:c>
      <x:c r="G133" s="2" t="n">
        <x:v>6112706</x:v>
      </x:c>
      <x:c r="H133" s="2" t="n">
        <x:v>6517803</x:v>
      </x:c>
      <x:c r="I133" s="2" t="n">
        <x:v>6931974</x:v>
      </x:c>
      <x:c r="J133" s="2" t="n">
        <x:v>7370225</x:v>
      </x:c>
      <x:c r="K133" s="2" t="n">
        <x:v>7827002</x:v>
      </x:c>
      <x:c r="L133" s="2" t="n">
        <x:v>7920185</x:v>
      </x:c>
      <x:c r="M133" s="2" t="str">
        <x:v>trade</x:v>
      </x:c>
      <x:c r="N133" s="2" t="str">
        <x:v>Watch product/corridor opportunity</x:v>
      </x:c>
      <x:c r="O133" s="2" t="str">
        <x:v>Not verified, absence not inferred</x:v>
      </x:c>
      <x:c r="P133" s="2" t="str">
        <x:v>Staple trade, product selection pending</x:v>
      </x:c>
      <x:c r="Q133" s="2" t="str">
        <x:v>Confirm product demand, accessible HS line, counterparties, delivered spread, cash conversion and legal clearance.</x:v>
      </x:c>
    </x:row>
    <x:row r="134" ht="60" customHeight="1">
      <x:c r="A134" s="2" t="str">
        <x:v>PAK</x:v>
      </x:c>
      <x:c r="B134" s="2" t="str">
        <x:v>Pakistan</x:v>
      </x:c>
      <x:c r="C134" s="2" t="str">
        <x:v>Asia</x:v>
      </x:c>
      <x:c r="D134" s="2" t="str">
        <x:v>586</x:v>
      </x:c>
      <x:c r="E134" s="2" t="str">
        <x:v>Member state</x:v>
      </x:c>
      <x:c r="F134" s="2" t="n">
        <x:v>259299791</x:v>
      </x:c>
      <x:c r="G134" s="2" t="n">
        <x:v>276883255</x:v>
      </x:c>
      <x:c r="H134" s="2" t="n">
        <x:v>300643508</x:v>
      </x:c>
      <x:c r="I134" s="2" t="n">
        <x:v>324937697</x:v>
      </x:c>
      <x:c r="J134" s="2" t="n">
        <x:v>348837726</x:v>
      </x:c>
      <x:c r="K134" s="2" t="n">
        <x:v>371863793</x:v>
      </x:c>
      <x:c r="L134" s="2" t="n">
        <x:v>376335025</x:v>
      </x:c>
      <x:c r="M134" s="2" t="str">
        <x:v>trade</x:v>
      </x:c>
      <x:c r="N134" s="2" t="str">
        <x:v>Watch product/corridor opportunity</x:v>
      </x:c>
      <x:c r="O134" s="2" t="str">
        <x:v>Not verified, absence not inferred</x:v>
      </x:c>
      <x:c r="P134" s="2" t="str">
        <x:v>Staple trade, product selection pending</x:v>
      </x:c>
      <x:c r="Q134" s="2" t="str">
        <x:v>Confirm product demand, accessible HS line, counterparties, delivered spread, cash conversion and legal clearance.</x:v>
      </x:c>
    </x:row>
    <x:row r="135" ht="60" customHeight="1">
      <x:c r="A135" s="2" t="str">
        <x:v>PLW</x:v>
      </x:c>
      <x:c r="B135" s="2" t="str">
        <x:v>Palau</x:v>
      </x:c>
      <x:c r="C135" s="2" t="str">
        <x:v>Oceania</x:v>
      </x:c>
      <x:c r="D135" s="2" t="str">
        <x:v>585</x:v>
      </x:c>
      <x:c r="E135" s="2" t="str">
        <x:v>Member state</x:v>
      </x:c>
      <x:c r="F135" s="2" t="n">
        <x:v>17614</x:v>
      </x:c>
      <x:c r="G135" s="2" t="n">
        <x:v>17376</x:v>
      </x:c>
      <x:c r="H135" s="2" t="n">
        <x:v>17015</x:v>
      </x:c>
      <x:c r="I135" s="2" t="n">
        <x:v>16602</x:v>
      </x:c>
      <x:c r="J135" s="2" t="n">
        <x:v>16088.999999999998</x:v>
      </x:c>
      <x:c r="K135" s="2" t="n">
        <x:v>15518</x:v>
      </x:c>
      <x:c r="L135" s="2" t="n">
        <x:v>15403</x:v>
      </x:c>
      <x:c r="M135" s="2" t="str">
        <x:v>trade</x:v>
      </x:c>
      <x:c r="N135" s="2" t="str">
        <x:v>Watch regional trade</x:v>
      </x:c>
      <x:c r="O135" s="2" t="str">
        <x:v>Not verified, absence not inferred</x:v>
      </x:c>
      <x:c r="P135" s="2" t="str">
        <x:v>Staple trade, product selection pending</x:v>
      </x:c>
      <x:c r="Q135" s="2" t="str">
        <x:v>Confirm product demand, accessible HS line, counterparties, delivered spread, cash conversion and legal clearance.</x:v>
      </x:c>
    </x:row>
    <x:row r="136" ht="60" customHeight="1">
      <x:c r="A136" s="2" t="str">
        <x:v>PAN</x:v>
      </x:c>
      <x:c r="B136" s="2" t="str">
        <x:v>Panama</x:v>
      </x:c>
      <x:c r="C136" s="2" t="str">
        <x:v>Americas</x:v>
      </x:c>
      <x:c r="D136" s="2" t="str">
        <x:v>591</x:v>
      </x:c>
      <x:c r="E136" s="2" t="str">
        <x:v>Member state</x:v>
      </x:c>
      <x:c r="F136" s="2" t="n">
        <x:v>4625718</x:v>
      </x:c>
      <x:c r="G136" s="2" t="n">
        <x:v>4833859</x:v>
      </x:c>
      <x:c r="H136" s="2" t="n">
        <x:v>5072263</x:v>
      </x:c>
      <x:c r="I136" s="2" t="n">
        <x:v>5286592</x:v>
      </x:c>
      <x:c r="J136" s="2" t="n">
        <x:v>5473276</x:v>
      </x:c>
      <x:c r="K136" s="2" t="n">
        <x:v>5630680</x:v>
      </x:c>
      <x:c r="L136" s="2" t="n">
        <x:v>5658479</x:v>
      </x:c>
      <x:c r="M136" s="2" t="str">
        <x:v>trade</x:v>
      </x:c>
      <x:c r="N136" s="2" t="str">
        <x:v>Watch product/corridor opportunity</x:v>
      </x:c>
      <x:c r="O136" s="2" t="str">
        <x:v>Not verified, absence not inferred</x:v>
      </x:c>
      <x:c r="P136" s="2" t="str">
        <x:v>Staple trade, product selection pending</x:v>
      </x:c>
      <x:c r="Q136" s="2" t="str">
        <x:v>Confirm product demand, accessible HS line, counterparties, delivered spread, cash conversion and legal clearance.</x:v>
      </x:c>
    </x:row>
    <x:row r="137" ht="60" customHeight="1">
      <x:c r="A137" s="2" t="str">
        <x:v>PNG</x:v>
      </x:c>
      <x:c r="B137" s="2" t="str">
        <x:v>Papua New Guinea</x:v>
      </x:c>
      <x:c r="C137" s="2" t="str">
        <x:v>Oceania</x:v>
      </x:c>
      <x:c r="D137" s="2" t="str">
        <x:v>598</x:v>
      </x:c>
      <x:c r="E137" s="2" t="str">
        <x:v>Member state</x:v>
      </x:c>
      <x:c r="F137" s="2" t="n">
        <x:v>10947848</x:v>
      </x:c>
      <x:c r="G137" s="2" t="n">
        <x:v>11671424</x:v>
      </x:c>
      <x:c r="H137" s="2" t="n">
        <x:v>12540603</x:v>
      </x:c>
      <x:c r="I137" s="2" t="n">
        <x:v>13376160</x:v>
      </x:c>
      <x:c r="J137" s="2" t="n">
        <x:v>14165588</x:v>
      </x:c>
      <x:c r="K137" s="2" t="n">
        <x:v>14906590</x:v>
      </x:c>
      <x:c r="L137" s="2" t="n">
        <x:v>15046436</x:v>
      </x:c>
      <x:c r="M137" s="2" t="str">
        <x:v>trade</x:v>
      </x:c>
      <x:c r="N137" s="2" t="str">
        <x:v>Watch product/corridor opportunity</x:v>
      </x:c>
      <x:c r="O137" s="2" t="str">
        <x:v>Not verified, absence not inferred</x:v>
      </x:c>
      <x:c r="P137" s="2" t="str">
        <x:v>Staple trade, product selection pending</x:v>
      </x:c>
      <x:c r="Q137" s="2" t="str">
        <x:v>Confirm product demand, accessible HS line, counterparties, delivered spread, cash conversion and legal clearance.</x:v>
      </x:c>
    </x:row>
    <x:row r="138" ht="60" customHeight="1">
      <x:c r="A138" s="2" t="str">
        <x:v>PRY</x:v>
      </x:c>
      <x:c r="B138" s="2" t="str">
        <x:v>Paraguay</x:v>
      </x:c>
      <x:c r="C138" s="2" t="str">
        <x:v>Americas</x:v>
      </x:c>
      <x:c r="D138" s="2" t="str">
        <x:v>600</x:v>
      </x:c>
      <x:c r="E138" s="2" t="str">
        <x:v>Member state</x:v>
      </x:c>
      <x:c r="F138" s="2" t="n">
        <x:v>7095279</x:v>
      </x:c>
      <x:c r="G138" s="2" t="n">
        <x:v>7407618</x:v>
      </x:c>
      <x:c r="H138" s="2" t="n">
        <x:v>7763520</x:v>
      </x:c>
      <x:c r="I138" s="2" t="n">
        <x:v>8087572</x:v>
      </x:c>
      <x:c r="J138" s="2" t="n">
        <x:v>8380530.000000001</x:v>
      </x:c>
      <x:c r="K138" s="2" t="n">
        <x:v>8640464</x:v>
      </x:c>
      <x:c r="L138" s="2" t="n">
        <x:v>8687836</x:v>
      </x:c>
      <x:c r="M138" s="2" t="str">
        <x:v>trade</x:v>
      </x:c>
      <x:c r="N138" s="2" t="str">
        <x:v>Watch product/corridor opportunity</x:v>
      </x:c>
      <x:c r="O138" s="2" t="str">
        <x:v>Not verified, absence not inferred</x:v>
      </x:c>
      <x:c r="P138" s="2" t="str">
        <x:v>Staple trade, product selection pending</x:v>
      </x:c>
      <x:c r="Q138" s="2" t="str">
        <x:v>Confirm product demand, accessible HS line, counterparties, delivered spread, cash conversion and legal clearance.</x:v>
      </x:c>
    </x:row>
    <x:row r="139" ht="60" customHeight="1">
      <x:c r="A139" s="2" t="str">
        <x:v>PER</x:v>
      </x:c>
      <x:c r="B139" s="2" t="str">
        <x:v>Peru</x:v>
      </x:c>
      <x:c r="C139" s="2" t="str">
        <x:v>Americas</x:v>
      </x:c>
      <x:c r="D139" s="2" t="str">
        <x:v>604</x:v>
      </x:c>
      <x:c r="E139" s="2" t="str">
        <x:v>Member state</x:v>
      </x:c>
      <x:c r="F139" s="2" t="n">
        <x:v>34922148</x:v>
      </x:c>
      <x:c r="G139" s="2" t="n">
        <x:v>36193880</x:v>
      </x:c>
      <x:c r="H139" s="2" t="n">
        <x:v>37591425</x:v>
      </x:c>
      <x:c r="I139" s="2" t="n">
        <x:v>38794649</x:v>
      </x:c>
      <x:c r="J139" s="2" t="n">
        <x:v>39796724</x:v>
      </x:c>
      <x:c r="K139" s="2" t="n">
        <x:v>40583876</x:v>
      </x:c>
      <x:c r="L139" s="2" t="n">
        <x:v>40716361</x:v>
      </x:c>
      <x:c r="M139" s="2" t="str">
        <x:v>trade</x:v>
      </x:c>
      <x:c r="N139" s="2" t="str">
        <x:v>Watch product/corridor opportunity</x:v>
      </x:c>
      <x:c r="O139" s="2" t="str">
        <x:v>Not verified, absence not inferred</x:v>
      </x:c>
      <x:c r="P139" s="2" t="str">
        <x:v>Staple trade, product selection pending</x:v>
      </x:c>
      <x:c r="Q139" s="2" t="str">
        <x:v>Confirm product demand, accessible HS line, counterparties, delivered spread, cash conversion and legal clearance.</x:v>
      </x:c>
    </x:row>
    <x:row r="140" ht="60" customHeight="1">
      <x:c r="A140" s="2" t="str">
        <x:v>PHL</x:v>
      </x:c>
      <x:c r="B140" s="2" t="str">
        <x:v>Philippines</x:v>
      </x:c>
      <x:c r="C140" s="2" t="str">
        <x:v>Asia</x:v>
      </x:c>
      <x:c r="D140" s="2" t="str">
        <x:v>608</x:v>
      </x:c>
      <x:c r="E140" s="2" t="str">
        <x:v>Member state</x:v>
      </x:c>
      <x:c r="F140" s="2" t="n">
        <x:v>117724471</x:v>
      </x:c>
      <x:c r="G140" s="2" t="n">
        <x:v>121408895</x:v>
      </x:c>
      <x:c r="H140" s="2" t="n">
        <x:v>125740971</x:v>
      </x:c>
      <x:c r="I140" s="2" t="n">
        <x:v>129546659</x:v>
      </x:c>
      <x:c r="J140" s="2" t="n">
        <x:v>132492032</x:v>
      </x:c>
      <x:c r="K140" s="2" t="n">
        <x:v>134373439</x:v>
      </x:c>
      <x:c r="L140" s="2" t="n">
        <x:v>134612611</x:v>
      </x:c>
      <x:c r="M140" s="2" t="str">
        <x:v>trade</x:v>
      </x:c>
      <x:c r="N140" s="2" t="str">
        <x:v>Watch product/corridor opportunity</x:v>
      </x:c>
      <x:c r="O140" s="2" t="str">
        <x:v>Not verified, absence not inferred</x:v>
      </x:c>
      <x:c r="P140" s="2" t="str">
        <x:v>Staple trade, product selection pending</x:v>
      </x:c>
      <x:c r="Q140" s="2" t="str">
        <x:v>Confirm product demand, accessible HS line, counterparties, delivered spread, cash conversion and legal clearance.</x:v>
      </x:c>
    </x:row>
    <x:row r="141" ht="60" customHeight="1">
      <x:c r="A141" s="2" t="str">
        <x:v>POL</x:v>
      </x:c>
      <x:c r="B141" s="2" t="str">
        <x:v>Poland</x:v>
      </x:c>
      <x:c r="C141" s="2" t="str">
        <x:v>Europe</x:v>
      </x:c>
      <x:c r="D141" s="2" t="str">
        <x:v>616</x:v>
      </x:c>
      <x:c r="E141" s="2" t="str">
        <x:v>Member state</x:v>
      </x:c>
      <x:c r="F141" s="2" t="n">
        <x:v>37843188</x:v>
      </x:c>
      <x:c r="G141" s="2" t="n">
        <x:v>37198543</x:v>
      </x:c>
      <x:c r="H141" s="2" t="n">
        <x:v>36243787</x:v>
      </x:c>
      <x:c r="I141" s="2" t="n">
        <x:v>35179554</x:v>
      </x:c>
      <x:c r="J141" s="2" t="n">
        <x:v>34031059</x:v>
      </x:c>
      <x:c r="K141" s="2" t="n">
        <x:v>32814095.999999996</x:v>
      </x:c>
      <x:c r="L141" s="2" t="n">
        <x:v>32561485</x:v>
      </x:c>
      <x:c r="M141" s="2" t="str">
        <x:v>trade</x:v>
      </x:c>
      <x:c r="N141" s="2" t="str">
        <x:v>Watch customer specialization</x:v>
      </x:c>
      <x:c r="O141" s="2" t="str">
        <x:v>Not verified, absence not inferred</x:v>
      </x:c>
      <x:c r="P141" s="2" t="str">
        <x:v>Staple trade, product selection pending</x:v>
      </x:c>
      <x:c r="Q141" s="2" t="str">
        <x:v>Confirm product demand, accessible HS line, counterparties, delivered spread, cash conversion and legal clearance.</x:v>
      </x:c>
    </x:row>
    <x:row r="142" ht="60" customHeight="1">
      <x:c r="A142" s="2" t="str">
        <x:v>PRT</x:v>
      </x:c>
      <x:c r="B142" s="2" t="str">
        <x:v>Portugal</x:v>
      </x:c>
      <x:c r="C142" s="2" t="str">
        <x:v>Europe</x:v>
      </x:c>
      <x:c r="D142" s="2" t="str">
        <x:v>620</x:v>
      </x:c>
      <x:c r="E142" s="2" t="str">
        <x:v>Member state</x:v>
      </x:c>
      <x:c r="F142" s="2" t="n">
        <x:v>10395362</x:v>
      </x:c>
      <x:c r="G142" s="2" t="n">
        <x:v>10317927</x:v>
      </x:c>
      <x:c r="H142" s="2" t="n">
        <x:v>10208240</x:v>
      </x:c>
      <x:c r="I142" s="2" t="n">
        <x:v>10082255</x:v>
      </x:c>
      <x:c r="J142" s="2" t="n">
        <x:v>9938389</x:v>
      </x:c>
      <x:c r="K142" s="2" t="n">
        <x:v>9770271</x:v>
      </x:c>
      <x:c r="L142" s="2" t="n">
        <x:v>9734815</x:v>
      </x:c>
      <x:c r="M142" s="2" t="str">
        <x:v>trade</x:v>
      </x:c>
      <x:c r="N142" s="2" t="str">
        <x:v>Watch customer specialization</x:v>
      </x:c>
      <x:c r="O142" s="2" t="str">
        <x:v>Not verified, absence not inferred</x:v>
      </x:c>
      <x:c r="P142" s="2" t="str">
        <x:v>Staple trade, product selection pending</x:v>
      </x:c>
      <x:c r="Q142" s="2" t="str">
        <x:v>Confirm product demand, accessible HS line, counterparties, delivered spread, cash conversion and legal clearance.</x:v>
      </x:c>
    </x:row>
    <x:row r="143" ht="60" customHeight="1">
      <x:c r="A143" s="2" t="str">
        <x:v>QAT</x:v>
      </x:c>
      <x:c r="B143" s="2" t="str">
        <x:v>Qatar</x:v>
      </x:c>
      <x:c r="C143" s="2" t="str">
        <x:v>Asia</x:v>
      </x:c>
      <x:c r="D143" s="2" t="str">
        <x:v>634</x:v>
      </x:c>
      <x:c r="E143" s="2" t="str">
        <x:v>Member state</x:v>
      </x:c>
      <x:c r="F143" s="2" t="n">
        <x:v>3173559</x:v>
      </x:c>
      <x:c r="G143" s="2" t="n">
        <x:v>3333610</x:v>
      </x:c>
      <x:c r="H143" s="2" t="n">
        <x:v>3511258</x:v>
      </x:c>
      <x:c r="I143" s="2" t="n">
        <x:v>3711503</x:v>
      </x:c>
      <x:c r="J143" s="2" t="n">
        <x:v>3930896</x:v>
      </x:c>
      <x:c r="K143" s="2" t="n">
        <x:v>4164461.0000000005</x:v>
      </x:c>
      <x:c r="L143" s="2" t="n">
        <x:v>4212656</x:v>
      </x:c>
      <x:c r="M143" s="2" t="str">
        <x:v>trade</x:v>
      </x:c>
      <x:c r="N143" s="2" t="str">
        <x:v>Watch product/corridor opportunity</x:v>
      </x:c>
      <x:c r="O143" s="2" t="str">
        <x:v>Not verified, absence not inferred</x:v>
      </x:c>
      <x:c r="P143" s="2" t="str">
        <x:v>Staple trade, product selection pending</x:v>
      </x:c>
      <x:c r="Q143" s="2" t="str">
        <x:v>Confirm product demand, accessible HS line, counterparties, delivered spread, cash conversion and legal clearance.</x:v>
      </x:c>
    </x:row>
    <x:row r="144" ht="60" customHeight="1">
      <x:c r="A144" s="2" t="str">
        <x:v>KOR</x:v>
      </x:c>
      <x:c r="B144" s="2" t="str">
        <x:v>Republic of Korea</x:v>
      </x:c>
      <x:c r="C144" s="2" t="str">
        <x:v>Asia</x:v>
      </x:c>
      <x:c r="D144" s="2" t="str">
        <x:v>410</x:v>
      </x:c>
      <x:c r="E144" s="2" t="str">
        <x:v>Member state</x:v>
      </x:c>
      <x:c r="F144" s="2" t="n">
        <x:v>51600388</x:v>
      </x:c>
      <x:c r="G144" s="2" t="n">
        <x:v>51188584</x:v>
      </x:c>
      <x:c r="H144" s="2" t="n">
        <x:v>50300733</x:v>
      </x:c>
      <x:c r="I144" s="2" t="n">
        <x:v>48948687</x:v>
      </x:c>
      <x:c r="J144" s="2" t="n">
        <x:v>47232956</x:v>
      </x:c>
      <x:c r="K144" s="2" t="n">
        <x:v>45143134</x:v>
      </x:c>
      <x:c r="L144" s="2" t="n">
        <x:v>44671149</x:v>
      </x:c>
      <x:c r="M144" s="2" t="str">
        <x:v>trade</x:v>
      </x:c>
      <x:c r="N144" s="2" t="str">
        <x:v>Watch customer specialization</x:v>
      </x:c>
      <x:c r="O144" s="2" t="str">
        <x:v>Not verified, absence not inferred</x:v>
      </x:c>
      <x:c r="P144" s="2" t="str">
        <x:v>Staple trade, product selection pending</x:v>
      </x:c>
      <x:c r="Q144" s="2" t="str">
        <x:v>Confirm product demand, accessible HS line, counterparties, delivered spread, cash conversion and legal clearance.</x:v>
      </x:c>
    </x:row>
    <x:row r="145" ht="60" customHeight="1">
      <x:c r="A145" s="2" t="str">
        <x:v>MDA</x:v>
      </x:c>
      <x:c r="B145" s="2" t="str">
        <x:v>Republic of Moldova</x:v>
      </x:c>
      <x:c r="C145" s="2" t="str">
        <x:v>Europe</x:v>
      </x:c>
      <x:c r="D145" s="2" t="str">
        <x:v>498</x:v>
      </x:c>
      <x:c r="E145" s="2" t="str">
        <x:v>Member state</x:v>
      </x:c>
      <x:c r="F145" s="2" t="n">
        <x:v>2961253</x:v>
      </x:c>
      <x:c r="G145" s="2" t="n">
        <x:v>2845242</x:v>
      </x:c>
      <x:c r="H145" s="2" t="n">
        <x:v>2702010</x:v>
      </x:c>
      <x:c r="I145" s="2" t="n">
        <x:v>2568810</x:v>
      </x:c>
      <x:c r="J145" s="2" t="n">
        <x:v>2454941</x:v>
      </x:c>
      <x:c r="K145" s="2" t="n">
        <x:v>2351809</x:v>
      </x:c>
      <x:c r="L145" s="2" t="n">
        <x:v>2331186</x:v>
      </x:c>
      <x:c r="M145" s="2" t="str">
        <x:v>trade</x:v>
      </x:c>
      <x:c r="N145" s="2" t="str">
        <x:v>Watch customer specialization</x:v>
      </x:c>
      <x:c r="O145" s="2" t="str">
        <x:v>Not verified, absence not inferred</x:v>
      </x:c>
      <x:c r="P145" s="2" t="str">
        <x:v>Staple trade, product selection pending</x:v>
      </x:c>
      <x:c r="Q145" s="2" t="str">
        <x:v>Confirm product demand, accessible HS line, counterparties, delivered spread, cash conversion and legal clearance.</x:v>
      </x:c>
    </x:row>
    <x:row r="146" ht="60" customHeight="1">
      <x:c r="A146" s="2" t="str">
        <x:v>ROU</x:v>
      </x:c>
      <x:c r="B146" s="2" t="str">
        <x:v>Romania</x:v>
      </x:c>
      <x:c r="C146" s="2" t="str">
        <x:v>Europe</x:v>
      </x:c>
      <x:c r="D146" s="2" t="str">
        <x:v>642</x:v>
      </x:c>
      <x:c r="E146" s="2" t="str">
        <x:v>Member state</x:v>
      </x:c>
      <x:c r="F146" s="2" t="n">
        <x:v>18800605</x:v>
      </x:c>
      <x:c r="G146" s="2" t="n">
        <x:v>18359507</x:v>
      </x:c>
      <x:c r="H146" s="2" t="n">
        <x:v>17794417</x:v>
      </x:c>
      <x:c r="I146" s="2" t="n">
        <x:v>17209718</x:v>
      </x:c>
      <x:c r="J146" s="2" t="n">
        <x:v>16620320</x:v>
      </x:c>
      <x:c r="K146" s="2" t="n">
        <x:v>16027266</x:v>
      </x:c>
      <x:c r="L146" s="2" t="n">
        <x:v>15907818</x:v>
      </x:c>
      <x:c r="M146" s="2" t="str">
        <x:v>trade</x:v>
      </x:c>
      <x:c r="N146" s="2" t="str">
        <x:v>Watch customer specialization</x:v>
      </x:c>
      <x:c r="O146" s="2" t="str">
        <x:v>Not verified, absence not inferred</x:v>
      </x:c>
      <x:c r="P146" s="2" t="str">
        <x:v>Staple trade, product selection pending</x:v>
      </x:c>
      <x:c r="Q146" s="2" t="str">
        <x:v>Confirm product demand, accessible HS line, counterparties, delivered spread, cash conversion and legal clearance.</x:v>
      </x:c>
    </x:row>
    <x:row r="147" ht="60" customHeight="1">
      <x:c r="A147" s="2" t="str">
        <x:v>RUS</x:v>
      </x:c>
      <x:c r="B147" s="2" t="str">
        <x:v>Russian Federation</x:v>
      </x:c>
      <x:c r="C147" s="2" t="str">
        <x:v>Europe</x:v>
      </x:c>
      <x:c r="D147" s="2" t="str">
        <x:v>643</x:v>
      </x:c>
      <x:c r="E147" s="2" t="str">
        <x:v>Member state</x:v>
      </x:c>
      <x:c r="F147" s="2" t="n">
        <x:v>143394458</x:v>
      </x:c>
      <x:c r="G147" s="2" t="n">
        <x:v>141889410</x:v>
      </x:c>
      <x:c r="H147" s="2" t="n">
        <x:v>139909641</x:v>
      </x:c>
      <x:c r="I147" s="2" t="n">
        <x:v>138281831</x:v>
      </x:c>
      <x:c r="J147" s="2" t="n">
        <x:v>137152207</x:v>
      </x:c>
      <x:c r="K147" s="2" t="n">
        <x:v>136132775</x:v>
      </x:c>
      <x:c r="L147" s="2" t="n">
        <x:v>135876189</x:v>
      </x:c>
      <x:c r="M147" s="2" t="str">
        <x:v>trade</x:v>
      </x:c>
      <x:c r="N147" s="2" t="str">
        <x:v>Review existing operation</x:v>
      </x:c>
      <x:c r="O147" s="2" t="str">
        <x:v>Disclosed location in June-2026 factsheet</x:v>
      </x:c>
      <x:c r="P147" s="2" t="str">
        <x:v>Staple trade, product selection pending</x:v>
      </x:c>
      <x:c r="Q147" s="2" t="str">
        <x:v>Confirm product demand, accessible HS line, counterparties, delivered spread, cash conversion and legal clearance.</x:v>
      </x:c>
    </x:row>
    <x:row r="148" ht="60" customHeight="1">
      <x:c r="A148" s="2" t="str">
        <x:v>RWA</x:v>
      </x:c>
      <x:c r="B148" s="2" t="str">
        <x:v>Rwanda</x:v>
      </x:c>
      <x:c r="C148" s="2" t="str">
        <x:v>Africa</x:v>
      </x:c>
      <x:c r="D148" s="2" t="str">
        <x:v>646</x:v>
      </x:c>
      <x:c r="E148" s="2" t="str">
        <x:v>Member state</x:v>
      </x:c>
      <x:c r="F148" s="2" t="n">
        <x:v>14889693</x:v>
      </x:c>
      <x:c r="G148" s="2" t="n">
        <x:v>16154705</x:v>
      </x:c>
      <x:c r="H148" s="2" t="n">
        <x:v>17746319</x:v>
      </x:c>
      <x:c r="I148" s="2" t="n">
        <x:v>19440770</x:v>
      </x:c>
      <x:c r="J148" s="2" t="n">
        <x:v>21152658</x:v>
      </x:c>
      <x:c r="K148" s="2" t="n">
        <x:v>22707910</x:v>
      </x:c>
      <x:c r="L148" s="2" t="n">
        <x:v>23007765</x:v>
      </x:c>
      <x:c r="M148" s="2" t="str">
        <x:v>trade</x:v>
      </x:c>
      <x:c r="N148" s="2" t="str">
        <x:v>Watch product/corridor opportunity</x:v>
      </x:c>
      <x:c r="O148" s="2" t="str">
        <x:v>Not verified, absence not inferred</x:v>
      </x:c>
      <x:c r="P148" s="2" t="str">
        <x:v>Staple trade, product selection pending</x:v>
      </x:c>
      <x:c r="Q148" s="2" t="str">
        <x:v>Confirm product demand, accessible HS line, counterparties, delivered spread, cash conversion and legal clearance.</x:v>
      </x:c>
    </x:row>
    <x:row r="149" ht="60" customHeight="1">
      <x:c r="A149" s="2" t="str">
        <x:v>KNA</x:v>
      </x:c>
      <x:c r="B149" s="2" t="str">
        <x:v>Saint Kitts and Nevis</x:v>
      </x:c>
      <x:c r="C149" s="2" t="str">
        <x:v>Americas</x:v>
      </x:c>
      <x:c r="D149" s="2" t="str">
        <x:v>659</x:v>
      </x:c>
      <x:c r="E149" s="2" t="str">
        <x:v>Member state</x:v>
      </x:c>
      <x:c r="F149" s="2" t="n">
        <x:v>46992</x:v>
      </x:c>
      <x:c r="G149" s="2" t="n">
        <x:v>47134</x:v>
      </x:c>
      <x:c r="H149" s="2" t="n">
        <x:v>46928</x:v>
      </x:c>
      <x:c r="I149" s="2" t="n">
        <x:v>46313</x:v>
      </x:c>
      <x:c r="J149" s="2" t="n">
        <x:v>45367</x:v>
      </x:c>
      <x:c r="K149" s="2" t="n">
        <x:v>44249</x:v>
      </x:c>
      <x:c r="L149" s="2" t="n">
        <x:v>43998</x:v>
      </x:c>
      <x:c r="M149" s="2" t="str">
        <x:v>trade</x:v>
      </x:c>
      <x:c r="N149" s="2" t="str">
        <x:v>Watch regional trade</x:v>
      </x:c>
      <x:c r="O149" s="2" t="str">
        <x:v>Not verified, absence not inferred</x:v>
      </x:c>
      <x:c r="P149" s="2" t="str">
        <x:v>Staple trade, product selection pending</x:v>
      </x:c>
      <x:c r="Q149" s="2" t="str">
        <x:v>Confirm product demand, accessible HS line, counterparties, delivered spread, cash conversion and legal clearance.</x:v>
      </x:c>
    </x:row>
    <x:row r="150" ht="60" customHeight="1">
      <x:c r="A150" s="2" t="str">
        <x:v>LCA</x:v>
      </x:c>
      <x:c r="B150" s="2" t="str">
        <x:v>Saint Lucia</x:v>
      </x:c>
      <x:c r="C150" s="2" t="str">
        <x:v>Americas</x:v>
      </x:c>
      <x:c r="D150" s="2" t="str">
        <x:v>662</x:v>
      </x:c>
      <x:c r="E150" s="2" t="str">
        <x:v>Member state</x:v>
      </x:c>
      <x:c r="F150" s="2" t="n">
        <x:v>180488</x:v>
      </x:c>
      <x:c r="G150" s="2" t="n">
        <x:v>181359</x:v>
      </x:c>
      <x:c r="H150" s="2" t="n">
        <x:v>181178</x:v>
      </x:c>
      <x:c r="I150" s="2" t="n">
        <x:v>179293</x:v>
      </x:c>
      <x:c r="J150" s="2" t="n">
        <x:v>176236</x:v>
      </x:c>
      <x:c r="K150" s="2" t="n">
        <x:v>172081</x:v>
      </x:c>
      <x:c r="L150" s="2" t="n">
        <x:v>171147</x:v>
      </x:c>
      <x:c r="M150" s="2" t="str">
        <x:v>trade</x:v>
      </x:c>
      <x:c r="N150" s="2" t="str">
        <x:v>Watch regional trade</x:v>
      </x:c>
      <x:c r="O150" s="2" t="str">
        <x:v>Not verified, absence not inferred</x:v>
      </x:c>
      <x:c r="P150" s="2" t="str">
        <x:v>Staple trade, product selection pending</x:v>
      </x:c>
      <x:c r="Q150" s="2" t="str">
        <x:v>Confirm product demand, accessible HS line, counterparties, delivered spread, cash conversion and legal clearance.</x:v>
      </x:c>
    </x:row>
    <x:row r="151" ht="60" customHeight="1">
      <x:c r="A151" s="2" t="str">
        <x:v>VCT</x:v>
      </x:c>
      <x:c r="B151" s="2" t="str">
        <x:v>Saint Vincent and the Grenadines</x:v>
      </x:c>
      <x:c r="C151" s="2" t="str">
        <x:v>Americas</x:v>
      </x:c>
      <x:c r="D151" s="2" t="str">
        <x:v>670</x:v>
      </x:c>
      <x:c r="E151" s="2" t="str">
        <x:v>Member state</x:v>
      </x:c>
      <x:c r="F151" s="2" t="n">
        <x:v>99245</x:v>
      </x:c>
      <x:c r="G151" s="2" t="n">
        <x:v>96856</x:v>
      </x:c>
      <x:c r="H151" s="2" t="n">
        <x:v>94484</x:v>
      </x:c>
      <x:c r="I151" s="2" t="n">
        <x:v>92650</x:v>
      </x:c>
      <x:c r="J151" s="2" t="n">
        <x:v>90955</x:v>
      </x:c>
      <x:c r="K151" s="2" t="n">
        <x:v>88942</x:v>
      </x:c>
      <x:c r="L151" s="2" t="n">
        <x:v>88495</x:v>
      </x:c>
      <x:c r="M151" s="2" t="str">
        <x:v>trade</x:v>
      </x:c>
      <x:c r="N151" s="2" t="str">
        <x:v>Watch regional trade</x:v>
      </x:c>
      <x:c r="O151" s="2" t="str">
        <x:v>Not verified, absence not inferred</x:v>
      </x:c>
      <x:c r="P151" s="2" t="str">
        <x:v>Staple trade, product selection pending</x:v>
      </x:c>
      <x:c r="Q151" s="2" t="str">
        <x:v>Confirm product demand, accessible HS line, counterparties, delivered spread, cash conversion and legal clearance.</x:v>
      </x:c>
    </x:row>
    <x:row r="152" ht="60" customHeight="1">
      <x:c r="A152" s="2" t="str">
        <x:v>WSM</x:v>
      </x:c>
      <x:c r="B152" s="2" t="str">
        <x:v>Samoa</x:v>
      </x:c>
      <x:c r="C152" s="2" t="str">
        <x:v>Oceania</x:v>
      </x:c>
      <x:c r="D152" s="2" t="str">
        <x:v>882</x:v>
      </x:c>
      <x:c r="E152" s="2" t="str">
        <x:v>Member state</x:v>
      </x:c>
      <x:c r="F152" s="2" t="n">
        <x:v>220528</x:v>
      </x:c>
      <x:c r="G152" s="2" t="n">
        <x:v>225971</x:v>
      </x:c>
      <x:c r="H152" s="2" t="n">
        <x:v>235179</x:v>
      </x:c>
      <x:c r="I152" s="2" t="n">
        <x:v>247196</x:v>
      </x:c>
      <x:c r="J152" s="2" t="n">
        <x:v>260262</x:v>
      </x:c>
      <x:c r="K152" s="2" t="n">
        <x:v>272726</x:v>
      </x:c>
      <x:c r="L152" s="2" t="n">
        <x:v>275124</x:v>
      </x:c>
      <x:c r="M152" s="2" t="str">
        <x:v>trade</x:v>
      </x:c>
      <x:c r="N152" s="2" t="str">
        <x:v>Watch regional trade</x:v>
      </x:c>
      <x:c r="O152" s="2" t="str">
        <x:v>Not verified, absence not inferred</x:v>
      </x:c>
      <x:c r="P152" s="2" t="str">
        <x:v>Staple trade, product selection pending</x:v>
      </x:c>
      <x:c r="Q152" s="2" t="str">
        <x:v>Confirm product demand, accessible HS line, counterparties, delivered spread, cash conversion and legal clearance.</x:v>
      </x:c>
    </x:row>
    <x:row r="153" ht="60" customHeight="1">
      <x:c r="A153" s="2" t="str">
        <x:v>SMR</x:v>
      </x:c>
      <x:c r="B153" s="2" t="str">
        <x:v>San Marino</x:v>
      </x:c>
      <x:c r="C153" s="2" t="str">
        <x:v>Europe</x:v>
      </x:c>
      <x:c r="D153" s="2" t="str">
        <x:v>674</x:v>
      </x:c>
      <x:c r="E153" s="2" t="str">
        <x:v>Member state</x:v>
      </x:c>
      <x:c r="F153" s="2" t="n">
        <x:v>33605</x:v>
      </x:c>
      <x:c r="G153" s="2" t="n">
        <x:v>33742</x:v>
      </x:c>
      <x:c r="H153" s="2" t="n">
        <x:v>33828</x:v>
      </x:c>
      <x:c r="I153" s="2" t="n">
        <x:v>33969</x:v>
      </x:c>
      <x:c r="J153" s="2" t="n">
        <x:v>33920</x:v>
      </x:c>
      <x:c r="K153" s="2" t="n">
        <x:v>33696</x:v>
      </x:c>
      <x:c r="L153" s="2" t="n">
        <x:v>33643</x:v>
      </x:c>
      <x:c r="M153" s="2" t="str">
        <x:v>trade</x:v>
      </x:c>
      <x:c r="N153" s="2" t="str">
        <x:v>Watch regional trade</x:v>
      </x:c>
      <x:c r="O153" s="2" t="str">
        <x:v>Not verified, absence not inferred</x:v>
      </x:c>
      <x:c r="P153" s="2" t="str">
        <x:v>Staple trade, product selection pending</x:v>
      </x:c>
      <x:c r="Q153" s="2" t="str">
        <x:v>Confirm product demand, accessible HS line, counterparties, delivered spread, cash conversion and legal clearance.</x:v>
      </x:c>
    </x:row>
    <x:row r="154" ht="60" customHeight="1">
      <x:c r="A154" s="2" t="str">
        <x:v>STP</x:v>
      </x:c>
      <x:c r="B154" s="2" t="str">
        <x:v>Sao Tome and Principe</x:v>
      </x:c>
      <x:c r="C154" s="2" t="str">
        <x:v>Africa</x:v>
      </x:c>
      <x:c r="D154" s="2" t="str">
        <x:v>678</x:v>
      </x:c>
      <x:c r="E154" s="2" t="str">
        <x:v>Member state</x:v>
      </x:c>
      <x:c r="F154" s="2" t="n">
        <x:v>244994</x:v>
      </x:c>
      <x:c r="G154" s="2" t="n">
        <x:v>264565</x:v>
      </x:c>
      <x:c r="H154" s="2" t="n">
        <x:v>290088</x:v>
      </x:c>
      <x:c r="I154" s="2" t="n">
        <x:v>315842</x:v>
      </x:c>
      <x:c r="J154" s="2" t="n">
        <x:v>340926</x:v>
      </x:c>
      <x:c r="K154" s="2" t="n">
        <x:v>365115</x:v>
      </x:c>
      <x:c r="L154" s="2" t="n">
        <x:v>369875</x:v>
      </x:c>
      <x:c r="M154" s="2" t="str">
        <x:v>trade</x:v>
      </x:c>
      <x:c r="N154" s="2" t="str">
        <x:v>Watch regional trade</x:v>
      </x:c>
      <x:c r="O154" s="2" t="str">
        <x:v>Not verified, absence not inferred</x:v>
      </x:c>
      <x:c r="P154" s="2" t="str">
        <x:v>Staple trade, product selection pending</x:v>
      </x:c>
      <x:c r="Q154" s="2" t="str">
        <x:v>Confirm product demand, accessible HS line, counterparties, delivered spread, cash conversion and legal clearance.</x:v>
      </x:c>
    </x:row>
    <x:row r="155" ht="60" customHeight="1">
      <x:c r="A155" s="2" t="str">
        <x:v>SAU</x:v>
      </x:c>
      <x:c r="B155" s="2" t="str">
        <x:v>Saudi Arabia</x:v>
      </x:c>
      <x:c r="C155" s="2" t="str">
        <x:v>Asia</x:v>
      </x:c>
      <x:c r="D155" s="2" t="str">
        <x:v>682</x:v>
      </x:c>
      <x:c r="E155" s="2" t="str">
        <x:v>Member state</x:v>
      </x:c>
      <x:c r="F155" s="2" t="n">
        <x:v>35165787</x:v>
      </x:c>
      <x:c r="G155" s="2" t="n">
        <x:v>37443751</x:v>
      </x:c>
      <x:c r="H155" s="2" t="n">
        <x:v>40012640</x:v>
      </x:c>
      <x:c r="I155" s="2" t="n">
        <x:v>42592205</x:v>
      </x:c>
      <x:c r="J155" s="2" t="n">
        <x:v>45156465</x:v>
      </x:c>
      <x:c r="K155" s="2" t="n">
        <x:v>47693910</x:v>
      </x:c>
      <x:c r="L155" s="2" t="n">
        <x:v>48198043</x:v>
      </x:c>
      <x:c r="M155" s="2" t="str">
        <x:v>trade</x:v>
      </x:c>
      <x:c r="N155" s="2" t="str">
        <x:v>Diligence priority</x:v>
      </x:c>
      <x:c r="O155" s="2" t="str">
        <x:v>Disclosed location in June-2026 factsheet</x:v>
      </x:c>
      <x:c r="P155" s="2" t="str">
        <x:v>Grain supply and food-security contracts</x:v>
      </x:c>
      <x:c r="Q155" s="2" t="str">
        <x:v>Secure independently bankable offtake. Ownership creates no guaranteed government order or funding.</x:v>
      </x:c>
    </x:row>
    <x:row r="156" ht="60" customHeight="1">
      <x:c r="A156" s="2" t="str">
        <x:v>SEN</x:v>
      </x:c>
      <x:c r="B156" s="2" t="str">
        <x:v>Senegal</x:v>
      </x:c>
      <x:c r="C156" s="2" t="str">
        <x:v>Africa</x:v>
      </x:c>
      <x:c r="D156" s="2" t="str">
        <x:v>686</x:v>
      </x:c>
      <x:c r="E156" s="2" t="str">
        <x:v>Member state</x:v>
      </x:c>
      <x:c r="F156" s="2" t="n">
        <x:v>19366548</x:v>
      </x:c>
      <x:c r="G156" s="2" t="n">
        <x:v>21163192</x:v>
      </x:c>
      <x:c r="H156" s="2" t="n">
        <x:v>23476596</x:v>
      </x:c>
      <x:c r="I156" s="2" t="n">
        <x:v>25797510</x:v>
      </x:c>
      <x:c r="J156" s="2" t="n">
        <x:v>28089699</x:v>
      </x:c>
      <x:c r="K156" s="2" t="n">
        <x:v>30364954</x:v>
      </x:c>
      <x:c r="L156" s="2" t="n">
        <x:v>30817068</x:v>
      </x:c>
      <x:c r="M156" s="2" t="str">
        <x:v>partner</x:v>
      </x:c>
      <x:c r="N156" s="2" t="str">
        <x:v>Diligence priority</x:v>
      </x:c>
      <x:c r="O156" s="2" t="str">
        <x:v>Disclosed location in June-2026 factsheet</x:v>
      </x:c>
      <x:c r="P156" s="2" t="str">
        <x:v>Flour and feed</x:v>
      </x:c>
      <x:c r="Q156" s="2" t="str">
        <x:v>Validate capacity bottleneck, payment terms and customer-level contribution.</x:v>
      </x:c>
    </x:row>
    <x:row r="157" ht="60" customHeight="1">
      <x:c r="A157" s="2" t="str">
        <x:v>SRB</x:v>
      </x:c>
      <x:c r="B157" s="2" t="str">
        <x:v>Serbia</x:v>
      </x:c>
      <x:c r="C157" s="2" t="str">
        <x:v>Europe</x:v>
      </x:c>
      <x:c r="D157" s="2" t="str">
        <x:v>688</x:v>
      </x:c>
      <x:c r="E157" s="2" t="str">
        <x:v>Member state</x:v>
      </x:c>
      <x:c r="F157" s="2" t="n">
        <x:v>6641964</x:v>
      </x:c>
      <x:c r="G157" s="2" t="n">
        <x:v>6461212</x:v>
      </x:c>
      <x:c r="H157" s="2" t="n">
        <x:v>6226578</x:v>
      </x:c>
      <x:c r="I157" s="2" t="n">
        <x:v>5987456</x:v>
      </x:c>
      <x:c r="J157" s="2" t="n">
        <x:v>5753266</x:v>
      </x:c>
      <x:c r="K157" s="2" t="n">
        <x:v>5532870</x:v>
      </x:c>
      <x:c r="L157" s="2" t="n">
        <x:v>5489989</x:v>
      </x:c>
      <x:c r="M157" s="2" t="str">
        <x:v>trade</x:v>
      </x:c>
      <x:c r="N157" s="2" t="str">
        <x:v>Watch customer specialization</x:v>
      </x:c>
      <x:c r="O157" s="2" t="str">
        <x:v>Not verified, absence not inferred</x:v>
      </x:c>
      <x:c r="P157" s="2" t="str">
        <x:v>Staple trade, product selection pending</x:v>
      </x:c>
      <x:c r="Q157" s="2" t="str">
        <x:v>Confirm product demand, accessible HS line, counterparties, delivered spread, cash conversion and legal clearance.</x:v>
      </x:c>
    </x:row>
    <x:row r="158" ht="60" customHeight="1">
      <x:c r="A158" s="2" t="str">
        <x:v>SYC</x:v>
      </x:c>
      <x:c r="B158" s="2" t="str">
        <x:v>Seychelles</x:v>
      </x:c>
      <x:c r="C158" s="2" t="str">
        <x:v>Africa</x:v>
      </x:c>
      <x:c r="D158" s="2" t="str">
        <x:v>690</x:v>
      </x:c>
      <x:c r="E158" s="2" t="str">
        <x:v>Member state</x:v>
      </x:c>
      <x:c r="F158" s="2" t="n">
        <x:v>134959</x:v>
      </x:c>
      <x:c r="G158" s="2" t="n">
        <x:v>140399</x:v>
      </x:c>
      <x:c r="H158" s="2" t="n">
        <x:v>141891</x:v>
      </x:c>
      <x:c r="I158" s="2" t="n">
        <x:v>142544</x:v>
      </x:c>
      <x:c r="J158" s="2" t="n">
        <x:v>142524</x:v>
      </x:c>
      <x:c r="K158" s="2" t="n">
        <x:v>141746</x:v>
      </x:c>
      <x:c r="L158" s="2" t="n">
        <x:v>141518</x:v>
      </x:c>
      <x:c r="M158" s="2" t="str">
        <x:v>trade</x:v>
      </x:c>
      <x:c r="N158" s="2" t="str">
        <x:v>Watch regional trade</x:v>
      </x:c>
      <x:c r="O158" s="2" t="str">
        <x:v>Not verified, absence not inferred</x:v>
      </x:c>
      <x:c r="P158" s="2" t="str">
        <x:v>Staple trade, product selection pending</x:v>
      </x:c>
      <x:c r="Q158" s="2" t="str">
        <x:v>Confirm product demand, accessible HS line, counterparties, delivered spread, cash conversion and legal clearance.</x:v>
      </x:c>
    </x:row>
    <x:row r="159" ht="60" customHeight="1">
      <x:c r="A159" s="2" t="str">
        <x:v>SLE</x:v>
      </x:c>
      <x:c r="B159" s="2" t="str">
        <x:v>Sierra Leone</x:v>
      </x:c>
      <x:c r="C159" s="2" t="str">
        <x:v>Africa</x:v>
      </x:c>
      <x:c r="D159" s="2" t="str">
        <x:v>694</x:v>
      </x:c>
      <x:c r="E159" s="2" t="str">
        <x:v>Member state</x:v>
      </x:c>
      <x:c r="F159" s="2" t="n">
        <x:v>8996745</x:v>
      </x:c>
      <x:c r="G159" s="2" t="n">
        <x:v>9694858</x:v>
      </x:c>
      <x:c r="H159" s="2" t="n">
        <x:v>10563167</x:v>
      </x:c>
      <x:c r="I159" s="2" t="n">
        <x:v>11398400</x:v>
      </x:c>
      <x:c r="J159" s="2" t="n">
        <x:v>12208880</x:v>
      </x:c>
      <x:c r="K159" s="2" t="n">
        <x:v>12948325</x:v>
      </x:c>
      <x:c r="L159" s="2" t="n">
        <x:v>13093462</x:v>
      </x:c>
      <x:c r="M159" s="2" t="str">
        <x:v>trade</x:v>
      </x:c>
      <x:c r="N159" s="2" t="str">
        <x:v>Watch product/corridor opportunity</x:v>
      </x:c>
      <x:c r="O159" s="2" t="str">
        <x:v>Not verified, absence not inferred</x:v>
      </x:c>
      <x:c r="P159" s="2" t="str">
        <x:v>Staple trade, product selection pending</x:v>
      </x:c>
      <x:c r="Q159" s="2" t="str">
        <x:v>Confirm product demand, accessible HS line, counterparties, delivered spread, cash conversion and legal clearance.</x:v>
      </x:c>
    </x:row>
    <x:row r="160" ht="60" customHeight="1">
      <x:c r="A160" s="2" t="str">
        <x:v>SGP</x:v>
      </x:c>
      <x:c r="B160" s="2" t="str">
        <x:v>Singapore</x:v>
      </x:c>
      <x:c r="C160" s="2" t="str">
        <x:v>Asia</x:v>
      </x:c>
      <x:c r="D160" s="2" t="str">
        <x:v>702</x:v>
      </x:c>
      <x:c r="E160" s="2" t="str">
        <x:v>Member state</x:v>
      </x:c>
      <x:c r="F160" s="2" t="n">
        <x:v>5905748</x:v>
      </x:c>
      <x:c r="G160" s="2" t="n">
        <x:v>6031377</x:v>
      </x:c>
      <x:c r="H160" s="2" t="n">
        <x:v>6153233</x:v>
      </x:c>
      <x:c r="I160" s="2" t="n">
        <x:v>6194782</x:v>
      </x:c>
      <x:c r="J160" s="2" t="n">
        <x:v>6156188</x:v>
      </x:c>
      <x:c r="K160" s="2" t="n">
        <x:v>6081691</x:v>
      </x:c>
      <x:c r="L160" s="2" t="n">
        <x:v>6064528</x:v>
      </x:c>
      <x:c r="M160" s="2" t="str">
        <x:v>trade</x:v>
      </x:c>
      <x:c r="N160" s="2" t="str">
        <x:v>Review existing operation</x:v>
      </x:c>
      <x:c r="O160" s="2" t="str">
        <x:v>Disclosed location in June-2026 factsheet</x:v>
      </x:c>
      <x:c r="P160" s="2" t="str">
        <x:v>Staple trade, product selection pending</x:v>
      </x:c>
      <x:c r="Q160" s="2" t="str">
        <x:v>Confirm product demand, accessible HS line, counterparties, delivered spread, cash conversion and legal clearance.</x:v>
      </x:c>
    </x:row>
    <x:row r="161" ht="60" customHeight="1">
      <x:c r="A161" s="2" t="str">
        <x:v>SVK</x:v>
      </x:c>
      <x:c r="B161" s="2" t="str">
        <x:v>Slovakia</x:v>
      </x:c>
      <x:c r="C161" s="2" t="str">
        <x:v>Europe</x:v>
      </x:c>
      <x:c r="D161" s="2" t="str">
        <x:v>703</x:v>
      </x:c>
      <x:c r="E161" s="2" t="str">
        <x:v>Member state</x:v>
      </x:c>
      <x:c r="F161" s="2" t="n">
        <x:v>5451342</x:v>
      </x:c>
      <x:c r="G161" s="2" t="n">
        <x:v>5401392</x:v>
      </x:c>
      <x:c r="H161" s="2" t="n">
        <x:v>5307343</x:v>
      </x:c>
      <x:c r="I161" s="2" t="n">
        <x:v>5192010</x:v>
      </x:c>
      <x:c r="J161" s="2" t="n">
        <x:v>5066919</x:v>
      </x:c>
      <x:c r="K161" s="2" t="n">
        <x:v>4936488</x:v>
      </x:c>
      <x:c r="L161" s="2" t="n">
        <x:v>4909328</x:v>
      </x:c>
      <x:c r="M161" s="2" t="str">
        <x:v>trade</x:v>
      </x:c>
      <x:c r="N161" s="2" t="str">
        <x:v>Watch customer specialization</x:v>
      </x:c>
      <x:c r="O161" s="2" t="str">
        <x:v>Not verified, absence not inferred</x:v>
      </x:c>
      <x:c r="P161" s="2" t="str">
        <x:v>Staple trade, product selection pending</x:v>
      </x:c>
      <x:c r="Q161" s="2" t="str">
        <x:v>Confirm product demand, accessible HS line, counterparties, delivered spread, cash conversion and legal clearance.</x:v>
      </x:c>
    </x:row>
    <x:row r="162" ht="60" customHeight="1">
      <x:c r="A162" s="2" t="str">
        <x:v>SVN</x:v>
      </x:c>
      <x:c r="B162" s="2" t="str">
        <x:v>Slovenia</x:v>
      </x:c>
      <x:c r="C162" s="2" t="str">
        <x:v>Europe</x:v>
      </x:c>
      <x:c r="D162" s="2" t="str">
        <x:v>705</x:v>
      </x:c>
      <x:c r="E162" s="2" t="str">
        <x:v>Member state</x:v>
      </x:c>
      <x:c r="F162" s="2" t="n">
        <x:v>2114573</x:v>
      </x:c>
      <x:c r="G162" s="2" t="n">
        <x:v>2098956</x:v>
      </x:c>
      <x:c r="H162" s="2" t="n">
        <x:v>2073835.9999999998</x:v>
      </x:c>
      <x:c r="I162" s="2" t="n">
        <x:v>2046764</x:v>
      </x:c>
      <x:c r="J162" s="2" t="n">
        <x:v>2016283</x:v>
      </x:c>
      <x:c r="K162" s="2" t="n">
        <x:v>1981553</x:v>
      </x:c>
      <x:c r="L162" s="2" t="n">
        <x:v>1973639</x:v>
      </x:c>
      <x:c r="M162" s="2" t="str">
        <x:v>trade</x:v>
      </x:c>
      <x:c r="N162" s="2" t="str">
        <x:v>Watch customer specialization</x:v>
      </x:c>
      <x:c r="O162" s="2" t="str">
        <x:v>Not verified, absence not inferred</x:v>
      </x:c>
      <x:c r="P162" s="2" t="str">
        <x:v>Staple trade, product selection pending</x:v>
      </x:c>
      <x:c r="Q162" s="2" t="str">
        <x:v>Confirm product demand, accessible HS line, counterparties, delivered spread, cash conversion and legal clearance.</x:v>
      </x:c>
    </x:row>
    <x:row r="163" ht="60" customHeight="1">
      <x:c r="A163" s="2" t="str">
        <x:v>SLB</x:v>
      </x:c>
      <x:c r="B163" s="2" t="str">
        <x:v>Solomon Islands</x:v>
      </x:c>
      <x:c r="C163" s="2" t="str">
        <x:v>Oceania</x:v>
      </x:c>
      <x:c r="D163" s="2" t="str">
        <x:v>090</x:v>
      </x:c>
      <x:c r="E163" s="2" t="str">
        <x:v>Member state</x:v>
      </x:c>
      <x:c r="F163" s="2" t="n">
        <x:v>858288</x:v>
      </x:c>
      <x:c r="G163" s="2" t="n">
        <x:v>938348</x:v>
      </x:c>
      <x:c r="H163" s="2" t="n">
        <x:v>1039656.9999999999</x:v>
      </x:c>
      <x:c r="I163" s="2" t="n">
        <x:v>1135455</x:v>
      </x:c>
      <x:c r="J163" s="2" t="n">
        <x:v>1224199</x:v>
      </x:c>
      <x:c r="K163" s="2" t="n">
        <x:v>1309110</x:v>
      </x:c>
      <x:c r="L163" s="2" t="n">
        <x:v>1325603</x:v>
      </x:c>
      <x:c r="M163" s="2" t="str">
        <x:v>trade</x:v>
      </x:c>
      <x:c r="N163" s="2" t="str">
        <x:v>Watch regional trade</x:v>
      </x:c>
      <x:c r="O163" s="2" t="str">
        <x:v>Not verified, absence not inferred</x:v>
      </x:c>
      <x:c r="P163" s="2" t="str">
        <x:v>Staple trade, product selection pending</x:v>
      </x:c>
      <x:c r="Q163" s="2" t="str">
        <x:v>Confirm product demand, accessible HS line, counterparties, delivered spread, cash conversion and legal clearance.</x:v>
      </x:c>
    </x:row>
    <x:row r="164" ht="60" customHeight="1">
      <x:c r="A164" s="2" t="str">
        <x:v>SOM</x:v>
      </x:c>
      <x:c r="B164" s="2" t="str">
        <x:v>Somalia</x:v>
      </x:c>
      <x:c r="C164" s="2" t="str">
        <x:v>Africa</x:v>
      </x:c>
      <x:c r="D164" s="2" t="str">
        <x:v>706</x:v>
      </x:c>
      <x:c r="E164" s="2" t="str">
        <x:v>Member state</x:v>
      </x:c>
      <x:c r="F164" s="2" t="n">
        <x:v>20305907</x:v>
      </x:c>
      <x:c r="G164" s="2" t="n">
        <x:v>22915044</x:v>
      </x:c>
      <x:c r="H164" s="2" t="n">
        <x:v>26294950</x:v>
      </x:c>
      <x:c r="I164" s="2" t="n">
        <x:v>29896287</x:v>
      </x:c>
      <x:c r="J164" s="2" t="n">
        <x:v>33510165.999999996</x:v>
      </x:c>
      <x:c r="K164" s="2" t="n">
        <x:v>37206512</x:v>
      </x:c>
      <x:c r="L164" s="2" t="n">
        <x:v>37953802</x:v>
      </x:c>
      <x:c r="M164" s="2" t="str">
        <x:v>trade</x:v>
      </x:c>
      <x:c r="N164" s="2" t="str">
        <x:v>Watch product/corridor opportunity</x:v>
      </x:c>
      <x:c r="O164" s="2" t="str">
        <x:v>Not verified, absence not inferred</x:v>
      </x:c>
      <x:c r="P164" s="2" t="str">
        <x:v>Staple trade, product selection pending</x:v>
      </x:c>
      <x:c r="Q164" s="2" t="str">
        <x:v>Confirm product demand, accessible HS line, counterparties, delivered spread, cash conversion and legal clearance.</x:v>
      </x:c>
    </x:row>
    <x:row r="165" ht="60" customHeight="1">
      <x:c r="A165" s="2" t="str">
        <x:v>ZAF</x:v>
      </x:c>
      <x:c r="B165" s="2" t="str">
        <x:v>South Africa</x:v>
      </x:c>
      <x:c r="C165" s="2" t="str">
        <x:v>Africa</x:v>
      </x:c>
      <x:c r="D165" s="2" t="str">
        <x:v>710</x:v>
      </x:c>
      <x:c r="E165" s="2" t="str">
        <x:v>Member state</x:v>
      </x:c>
      <x:c r="F165" s="2" t="n">
        <x:v>65453084</x:v>
      </x:c>
      <x:c r="G165" s="2" t="n">
        <x:v>68161359</x:v>
      </x:c>
      <x:c r="H165" s="2" t="n">
        <x:v>71234752</x:v>
      </x:c>
      <x:c r="I165" s="2" t="n">
        <x:v>74035624</x:v>
      </x:c>
      <x:c r="J165" s="2" t="n">
        <x:v>76681450</x:v>
      </x:c>
      <x:c r="K165" s="2" t="n">
        <x:v>79177328</x:v>
      </x:c>
      <x:c r="L165" s="2" t="n">
        <x:v>79652213</x:v>
      </x:c>
      <x:c r="M165" s="2" t="str">
        <x:v>trade</x:v>
      </x:c>
      <x:c r="N165" s="2" t="str">
        <x:v>Diligence priority</x:v>
      </x:c>
      <x:c r="O165" s="2" t="str">
        <x:v>Disclosed location in June-2026 factsheet</x:v>
      </x:c>
      <x:c r="P165" s="2" t="str">
        <x:v>Grains and edible oils</x:v>
      </x:c>
      <x:c r="Q165" s="2" t="str">
        <x:v>Require quality-adjusted spread, counterparty limits and inventory stress.</x:v>
      </x:c>
    </x:row>
    <x:row r="166" ht="60" customHeight="1">
      <x:c r="A166" s="2" t="str">
        <x:v>SSD</x:v>
      </x:c>
      <x:c r="B166" s="2" t="str">
        <x:v>South Sudan</x:v>
      </x:c>
      <x:c r="C166" s="2" t="str">
        <x:v>Africa</x:v>
      </x:c>
      <x:c r="D166" s="2" t="str">
        <x:v>728</x:v>
      </x:c>
      <x:c r="E166" s="2" t="str">
        <x:v>Member state</x:v>
      </x:c>
      <x:c r="F166" s="2" t="n">
        <x:v>12436037</x:v>
      </x:c>
      <x:c r="G166" s="2" t="n">
        <x:v>13457453</x:v>
      </x:c>
      <x:c r="H166" s="2" t="n">
        <x:v>14798600</x:v>
      </x:c>
      <x:c r="I166" s="2" t="n">
        <x:v>16101480</x:v>
      </x:c>
      <x:c r="J166" s="2" t="n">
        <x:v>17286410</x:v>
      </x:c>
      <x:c r="K166" s="2" t="n">
        <x:v>18341974</x:v>
      </x:c>
      <x:c r="L166" s="2" t="n">
        <x:v>18542997</x:v>
      </x:c>
      <x:c r="M166" s="2" t="str">
        <x:v>trade</x:v>
      </x:c>
      <x:c r="N166" s="2" t="str">
        <x:v>Watch product/corridor opportunity</x:v>
      </x:c>
      <x:c r="O166" s="2" t="str">
        <x:v>Not verified, absence not inferred</x:v>
      </x:c>
      <x:c r="P166" s="2" t="str">
        <x:v>Staple trade, product selection pending</x:v>
      </x:c>
      <x:c r="Q166" s="2" t="str">
        <x:v>Confirm product demand, accessible HS line, counterparties, delivered spread, cash conversion and legal clearance.</x:v>
      </x:c>
    </x:row>
    <x:row r="167" ht="60" customHeight="1">
      <x:c r="A167" s="2" t="str">
        <x:v>ESP</x:v>
      </x:c>
      <x:c r="B167" s="2" t="str">
        <x:v>Spain</x:v>
      </x:c>
      <x:c r="C167" s="2" t="str">
        <x:v>Europe</x:v>
      </x:c>
      <x:c r="D167" s="2" t="str">
        <x:v>724</x:v>
      </x:c>
      <x:c r="E167" s="2" t="str">
        <x:v>Member state</x:v>
      </x:c>
      <x:c r="F167" s="2" t="n">
        <x:v>47850793</x:v>
      </x:c>
      <x:c r="G167" s="2" t="n">
        <x:v>47610520</x:v>
      </x:c>
      <x:c r="H167" s="2" t="n">
        <x:v>47154196</x:v>
      </x:c>
      <x:c r="I167" s="2" t="n">
        <x:v>46591674</x:v>
      </x:c>
      <x:c r="J167" s="2" t="n">
        <x:v>45879964</x:v>
      </x:c>
      <x:c r="K167" s="2" t="n">
        <x:v>44928558</x:v>
      </x:c>
      <x:c r="L167" s="2" t="n">
        <x:v>44712279</x:v>
      </x:c>
      <x:c r="M167" s="2" t="str">
        <x:v>trade</x:v>
      </x:c>
      <x:c r="N167" s="2" t="str">
        <x:v>Review existing operation</x:v>
      </x:c>
      <x:c r="O167" s="2" t="str">
        <x:v>Disclosed location in June-2026 factsheet</x:v>
      </x:c>
      <x:c r="P167" s="2" t="str">
        <x:v>Staple trade, product selection pending</x:v>
      </x:c>
      <x:c r="Q167" s="2" t="str">
        <x:v>Confirm product demand, accessible HS line, counterparties, delivered spread, cash conversion and legal clearance.</x:v>
      </x:c>
    </x:row>
    <x:row r="168" ht="60" customHeight="1">
      <x:c r="A168" s="2" t="str">
        <x:v>LKA</x:v>
      </x:c>
      <x:c r="B168" s="2" t="str">
        <x:v>Sri Lanka</x:v>
      </x:c>
      <x:c r="C168" s="2" t="str">
        <x:v>Asia</x:v>
      </x:c>
      <x:c r="D168" s="2" t="str">
        <x:v>144</x:v>
      </x:c>
      <x:c r="E168" s="2" t="str">
        <x:v>Member state</x:v>
      </x:c>
      <x:c r="F168" s="2" t="n">
        <x:v>23348315</x:v>
      </x:c>
      <x:c r="G168" s="2" t="n">
        <x:v>23767952</x:v>
      </x:c>
      <x:c r="H168" s="2" t="n">
        <x:v>24196475</x:v>
      </x:c>
      <x:c r="I168" s="2" t="n">
        <x:v>24526699</x:v>
      </x:c>
      <x:c r="J168" s="2" t="n">
        <x:v>24736435</x:v>
      </x:c>
      <x:c r="K168" s="2" t="n">
        <x:v>24813690</x:v>
      </x:c>
      <x:c r="L168" s="2" t="n">
        <x:v>24814757</x:v>
      </x:c>
      <x:c r="M168" s="2" t="str">
        <x:v>trade</x:v>
      </x:c>
      <x:c r="N168" s="2" t="str">
        <x:v>Review existing operation</x:v>
      </x:c>
      <x:c r="O168" s="2" t="str">
        <x:v>Disclosed location in June-2026 factsheet</x:v>
      </x:c>
      <x:c r="P168" s="2" t="str">
        <x:v>Staple trade, product selection pending</x:v>
      </x:c>
      <x:c r="Q168" s="2" t="str">
        <x:v>Confirm product demand, accessible HS line, counterparties, delivered spread, cash conversion and legal clearance.</x:v>
      </x:c>
    </x:row>
    <x:row r="169" ht="60" customHeight="1">
      <x:c r="A169" s="2" t="str">
        <x:v>PSE</x:v>
      </x:c>
      <x:c r="B169" s="2" t="str">
        <x:v>State of Palestine</x:v>
      </x:c>
      <x:c r="C169" s="2" t="str">
        <x:v>Asia</x:v>
      </x:c>
      <x:c r="D169" s="2" t="str">
        <x:v>275</x:v>
      </x:c>
      <x:c r="E169" s="2" t="str">
        <x:v>Observer state</x:v>
      </x:c>
      <x:c r="F169" s="2" t="n">
        <x:v>5692790</x:v>
      </x:c>
      <x:c r="G169" s="2" t="n">
        <x:v>6122314</x:v>
      </x:c>
      <x:c r="H169" s="2" t="n">
        <x:v>6692735</x:v>
      </x:c>
      <x:c r="I169" s="2" t="n">
        <x:v>7291826</x:v>
      </x:c>
      <x:c r="J169" s="2" t="n">
        <x:v>7895095</x:v>
      </x:c>
      <x:c r="K169" s="2" t="n">
        <x:v>8451891</x:v>
      </x:c>
      <x:c r="L169" s="2" t="n">
        <x:v>8559237</x:v>
      </x:c>
      <x:c r="M169" s="2" t="str">
        <x:v>trade</x:v>
      </x:c>
      <x:c r="N169" s="2" t="str">
        <x:v>Watch product/corridor opportunity</x:v>
      </x:c>
      <x:c r="O169" s="2" t="str">
        <x:v>Not verified, absence not inferred</x:v>
      </x:c>
      <x:c r="P169" s="2" t="str">
        <x:v>Staple trade, product selection pending</x:v>
      </x:c>
      <x:c r="Q169" s="2" t="str">
        <x:v>Confirm product demand, accessible HS line, counterparties, delivered spread, cash conversion and legal clearance.</x:v>
      </x:c>
    </x:row>
    <x:row r="170" ht="60" customHeight="1">
      <x:c r="A170" s="2" t="str">
        <x:v>SDN</x:v>
      </x:c>
      <x:c r="B170" s="2" t="str">
        <x:v>Sudan</x:v>
      </x:c>
      <x:c r="C170" s="2" t="str">
        <x:v>Africa</x:v>
      </x:c>
      <x:c r="D170" s="2" t="str">
        <x:v>729</x:v>
      </x:c>
      <x:c r="E170" s="2" t="str">
        <x:v>Member state</x:v>
      </x:c>
      <x:c r="F170" s="2" t="n">
        <x:v>53282719</x:v>
      </x:c>
      <x:c r="G170" s="2" t="n">
        <x:v>58571616</x:v>
      </x:c>
      <x:c r="H170" s="2" t="n">
        <x:v>65148317</x:v>
      </x:c>
      <x:c r="I170" s="2" t="n">
        <x:v>71730599</x:v>
      </x:c>
      <x:c r="J170" s="2" t="n">
        <x:v>78415203</x:v>
      </x:c>
      <x:c r="K170" s="2" t="n">
        <x:v>85206383</x:v>
      </x:c>
      <x:c r="L170" s="2" t="n">
        <x:v>86579067</x:v>
      </x:c>
      <x:c r="M170" s="2" t="str">
        <x:v>trade</x:v>
      </x:c>
      <x:c r="N170" s="2" t="str">
        <x:v>Watch product/corridor opportunity</x:v>
      </x:c>
      <x:c r="O170" s="2" t="str">
        <x:v>Not verified, absence not inferred</x:v>
      </x:c>
      <x:c r="P170" s="2" t="str">
        <x:v>Staple trade, product selection pending</x:v>
      </x:c>
      <x:c r="Q170" s="2" t="str">
        <x:v>Confirm product demand, accessible HS line, counterparties, delivered spread, cash conversion and legal clearance.</x:v>
      </x:c>
    </x:row>
    <x:row r="171" ht="60" customHeight="1">
      <x:c r="A171" s="2" t="str">
        <x:v>SUR</x:v>
      </x:c>
      <x:c r="B171" s="2" t="str">
        <x:v>Suriname</x:v>
      </x:c>
      <x:c r="C171" s="2" t="str">
        <x:v>Americas</x:v>
      </x:c>
      <x:c r="D171" s="2" t="str">
        <x:v>740</x:v>
      </x:c>
      <x:c r="E171" s="2" t="str">
        <x:v>Member state</x:v>
      </x:c>
      <x:c r="F171" s="2" t="n">
        <x:v>645256</x:v>
      </x:c>
      <x:c r="G171" s="2" t="n">
        <x:v>665652</x:v>
      </x:c>
      <x:c r="H171" s="2" t="n">
        <x:v>688191</x:v>
      </x:c>
      <x:c r="I171" s="2" t="n">
        <x:v>707160</x:v>
      </x:c>
      <x:c r="J171" s="2" t="n">
        <x:v>722756</x:v>
      </x:c>
      <x:c r="K171" s="2" t="n">
        <x:v>733904</x:v>
      </x:c>
      <x:c r="L171" s="2" t="n">
        <x:v>735702</x:v>
      </x:c>
      <x:c r="M171" s="2" t="str">
        <x:v>trade</x:v>
      </x:c>
      <x:c r="N171" s="2" t="str">
        <x:v>Watch regional trade</x:v>
      </x:c>
      <x:c r="O171" s="2" t="str">
        <x:v>Not verified, absence not inferred</x:v>
      </x:c>
      <x:c r="P171" s="2" t="str">
        <x:v>Staple trade, product selection pending</x:v>
      </x:c>
      <x:c r="Q171" s="2" t="str">
        <x:v>Confirm product demand, accessible HS line, counterparties, delivered spread, cash conversion and legal clearance.</x:v>
      </x:c>
    </x:row>
    <x:row r="172" ht="60" customHeight="1">
      <x:c r="A172" s="2" t="str">
        <x:v>SWE</x:v>
      </x:c>
      <x:c r="B172" s="2" t="str">
        <x:v>Sweden</x:v>
      </x:c>
      <x:c r="C172" s="2" t="str">
        <x:v>Europe</x:v>
      </x:c>
      <x:c r="D172" s="2" t="str">
        <x:v>752</x:v>
      </x:c>
      <x:c r="E172" s="2" t="str">
        <x:v>Member state</x:v>
      </x:c>
      <x:c r="F172" s="2" t="n">
        <x:v>10701047</x:v>
      </x:c>
      <x:c r="G172" s="2" t="n">
        <x:v>10841810</x:v>
      </x:c>
      <x:c r="H172" s="2" t="n">
        <x:v>10964978</x:v>
      </x:c>
      <x:c r="I172" s="2" t="n">
        <x:v>11078602</x:v>
      </x:c>
      <x:c r="J172" s="2" t="n">
        <x:v>11202872</x:v>
      </x:c>
      <x:c r="K172" s="2" t="n">
        <x:v>11309630</x:v>
      </x:c>
      <x:c r="L172" s="2" t="n">
        <x:v>11327101</x:v>
      </x:c>
      <x:c r="M172" s="2" t="str">
        <x:v>trade</x:v>
      </x:c>
      <x:c r="N172" s="2" t="str">
        <x:v>Watch product/corridor opportunity</x:v>
      </x:c>
      <x:c r="O172" s="2" t="str">
        <x:v>Not verified, absence not inferred</x:v>
      </x:c>
      <x:c r="P172" s="2" t="str">
        <x:v>Staple trade, product selection pending</x:v>
      </x:c>
      <x:c r="Q172" s="2" t="str">
        <x:v>Confirm product demand, accessible HS line, counterparties, delivered spread, cash conversion and legal clearance.</x:v>
      </x:c>
    </x:row>
    <x:row r="173" ht="60" customHeight="1">
      <x:c r="A173" s="2" t="str">
        <x:v>CHE</x:v>
      </x:c>
      <x:c r="B173" s="2" t="str">
        <x:v>Switzerland</x:v>
      </x:c>
      <x:c r="C173" s="2" t="str">
        <x:v>Europe</x:v>
      </x:c>
      <x:c r="D173" s="2" t="str">
        <x:v>756</x:v>
      </x:c>
      <x:c r="E173" s="2" t="str">
        <x:v>Member state</x:v>
      </x:c>
      <x:c r="F173" s="2" t="n">
        <x:v>9007798</x:v>
      </x:c>
      <x:c r="G173" s="2" t="n">
        <x:v>9130292</x:v>
      </x:c>
      <x:c r="H173" s="2" t="n">
        <x:v>9224225</x:v>
      </x:c>
      <x:c r="I173" s="2" t="n">
        <x:v>9276178</x:v>
      </x:c>
      <x:c r="J173" s="2" t="n">
        <x:v>9315498</x:v>
      </x:c>
      <x:c r="K173" s="2" t="n">
        <x:v>9342586</x:v>
      </x:c>
      <x:c r="L173" s="2" t="n">
        <x:v>9343512</x:v>
      </x:c>
      <x:c r="M173" s="2" t="str">
        <x:v>trade</x:v>
      </x:c>
      <x:c r="N173" s="2" t="str">
        <x:v>Review existing operation</x:v>
      </x:c>
      <x:c r="O173" s="2" t="str">
        <x:v>Disclosed location in June-2026 factsheet</x:v>
      </x:c>
      <x:c r="P173" s="2" t="str">
        <x:v>Staple trade, product selection pending</x:v>
      </x:c>
      <x:c r="Q173" s="2" t="str">
        <x:v>Confirm product demand, accessible HS line, counterparties, delivered spread, cash conversion and legal clearance.</x:v>
      </x:c>
    </x:row>
    <x:row r="174" ht="60" customHeight="1">
      <x:c r="A174" s="2" t="str">
        <x:v>SYR</x:v>
      </x:c>
      <x:c r="B174" s="2" t="str">
        <x:v>Syrian Arab Republic</x:v>
      </x:c>
      <x:c r="C174" s="2" t="str">
        <x:v>Asia</x:v>
      </x:c>
      <x:c r="D174" s="2" t="str">
        <x:v>760</x:v>
      </x:c>
      <x:c r="E174" s="2" t="str">
        <x:v>Member state</x:v>
      </x:c>
      <x:c r="F174" s="2" t="n">
        <x:v>26472497</x:v>
      </x:c>
      <x:c r="G174" s="2" t="n">
        <x:v>29395540</x:v>
      </x:c>
      <x:c r="H174" s="2" t="n">
        <x:v>32294793</x:v>
      </x:c>
      <x:c r="I174" s="2" t="n">
        <x:v>34533185</x:v>
      </x:c>
      <x:c r="J174" s="2" t="n">
        <x:v>36265286</x:v>
      </x:c>
      <x:c r="K174" s="2" t="n">
        <x:v>37793372</x:v>
      </x:c>
      <x:c r="L174" s="2" t="n">
        <x:v>38104385</x:v>
      </x:c>
      <x:c r="M174" s="2" t="str">
        <x:v>trade</x:v>
      </x:c>
      <x:c r="N174" s="2" t="str">
        <x:v>Watch product/corridor opportunity</x:v>
      </x:c>
      <x:c r="O174" s="2" t="str">
        <x:v>Not verified, absence not inferred</x:v>
      </x:c>
      <x:c r="P174" s="2" t="str">
        <x:v>Staple trade, product selection pending</x:v>
      </x:c>
      <x:c r="Q174" s="2" t="str">
        <x:v>Confirm product demand, accessible HS line, counterparties, delivered spread, cash conversion and legal clearance.</x:v>
      </x:c>
    </x:row>
    <x:row r="175" ht="60" customHeight="1">
      <x:c r="A175" s="2" t="str">
        <x:v>TJK</x:v>
      </x:c>
      <x:c r="B175" s="2" t="str">
        <x:v>Tajikistan</x:v>
      </x:c>
      <x:c r="C175" s="2" t="str">
        <x:v>Asia</x:v>
      </x:c>
      <x:c r="D175" s="2" t="str">
        <x:v>762</x:v>
      </x:c>
      <x:c r="E175" s="2" t="str">
        <x:v>Member state</x:v>
      </x:c>
      <x:c r="F175" s="2" t="n">
        <x:v>10978599</x:v>
      </x:c>
      <x:c r="G175" s="2" t="n">
        <x:v>11733068</x:v>
      </x:c>
      <x:c r="H175" s="2" t="n">
        <x:v>12695585</x:v>
      </x:c>
      <x:c r="I175" s="2" t="n">
        <x:v>13713947</x:v>
      </x:c>
      <x:c r="J175" s="2" t="n">
        <x:v>14694862</x:v>
      </x:c>
      <x:c r="K175" s="2" t="n">
        <x:v>15574642</x:v>
      </x:c>
      <x:c r="L175" s="2" t="n">
        <x:v>15737680</x:v>
      </x:c>
      <x:c r="M175" s="2" t="str">
        <x:v>trade</x:v>
      </x:c>
      <x:c r="N175" s="2" t="str">
        <x:v>Watch product/corridor opportunity</x:v>
      </x:c>
      <x:c r="O175" s="2" t="str">
        <x:v>Not verified, absence not inferred</x:v>
      </x:c>
      <x:c r="P175" s="2" t="str">
        <x:v>Staple trade, product selection pending</x:v>
      </x:c>
      <x:c r="Q175" s="2" t="str">
        <x:v>Confirm product demand, accessible HS line, counterparties, delivered spread, cash conversion and legal clearance.</x:v>
      </x:c>
    </x:row>
    <x:row r="176" ht="60" customHeight="1">
      <x:c r="A176" s="2" t="str">
        <x:v>THA</x:v>
      </x:c>
      <x:c r="B176" s="2" t="str">
        <x:v>Thailand</x:v>
      </x:c>
      <x:c r="C176" s="2" t="str">
        <x:v>Asia</x:v>
      </x:c>
      <x:c r="D176" s="2" t="str">
        <x:v>764</x:v>
      </x:c>
      <x:c r="E176" s="2" t="str">
        <x:v>Member state</x:v>
      </x:c>
      <x:c r="F176" s="2" t="n">
        <x:v>71559614</x:v>
      </x:c>
      <x:c r="G176" s="2" t="n">
        <x:v>71215022</x:v>
      </x:c>
      <x:c r="H176" s="2" t="n">
        <x:v>70540885</x:v>
      </x:c>
      <x:c r="I176" s="2" t="n">
        <x:v>69535002</x:v>
      </x:c>
      <x:c r="J176" s="2" t="n">
        <x:v>68150152</x:v>
      </x:c>
      <x:c r="K176" s="2" t="n">
        <x:v>66382735</x:v>
      </x:c>
      <x:c r="L176" s="2" t="n">
        <x:v>65985159</x:v>
      </x:c>
      <x:c r="M176" s="2" t="str">
        <x:v>trade</x:v>
      </x:c>
      <x:c r="N176" s="2" t="str">
        <x:v>Review existing operation</x:v>
      </x:c>
      <x:c r="O176" s="2" t="str">
        <x:v>Disclosed location in June-2026 factsheet</x:v>
      </x:c>
      <x:c r="P176" s="2" t="str">
        <x:v>Staple trade, product selection pending</x:v>
      </x:c>
      <x:c r="Q176" s="2" t="str">
        <x:v>Confirm product demand, accessible HS line, counterparties, delivered spread, cash conversion and legal clearance.</x:v>
      </x:c>
    </x:row>
    <x:row r="177" ht="60" customHeight="1">
      <x:c r="A177" s="2" t="str">
        <x:v>TLS</x:v>
      </x:c>
      <x:c r="B177" s="2" t="str">
        <x:v>Timor-Leste</x:v>
      </x:c>
      <x:c r="C177" s="2" t="str">
        <x:v>Asia</x:v>
      </x:c>
      <x:c r="D177" s="2" t="str">
        <x:v>626</x:v>
      </x:c>
      <x:c r="E177" s="2" t="str">
        <x:v>Member state</x:v>
      </x:c>
      <x:c r="F177" s="2" t="n">
        <x:v>1436923</x:v>
      </x:c>
      <x:c r="G177" s="2" t="n">
        <x:v>1519804</x:v>
      </x:c>
      <x:c r="H177" s="2" t="n">
        <x:v>1618798</x:v>
      </x:c>
      <x:c r="I177" s="2" t="n">
        <x:v>1718249</x:v>
      </x:c>
      <x:c r="J177" s="2" t="n">
        <x:v>1809633</x:v>
      </x:c>
      <x:c r="K177" s="2" t="n">
        <x:v>1889249</x:v>
      </x:c>
      <x:c r="L177" s="2" t="n">
        <x:v>1902810</x:v>
      </x:c>
      <x:c r="M177" s="2" t="str">
        <x:v>trade</x:v>
      </x:c>
      <x:c r="N177" s="2" t="str">
        <x:v>Watch product/corridor opportunity</x:v>
      </x:c>
      <x:c r="O177" s="2" t="str">
        <x:v>Not verified, absence not inferred</x:v>
      </x:c>
      <x:c r="P177" s="2" t="str">
        <x:v>Staple trade, product selection pending</x:v>
      </x:c>
      <x:c r="Q177" s="2" t="str">
        <x:v>Confirm product demand, accessible HS line, counterparties, delivered spread, cash conversion and legal clearance.</x:v>
      </x:c>
    </x:row>
    <x:row r="178" ht="60" customHeight="1">
      <x:c r="A178" s="2" t="str">
        <x:v>TGO</x:v>
      </x:c>
      <x:c r="B178" s="2" t="str">
        <x:v>Togo</x:v>
      </x:c>
      <x:c r="C178" s="2" t="str">
        <x:v>Africa</x:v>
      </x:c>
      <x:c r="D178" s="2" t="str">
        <x:v>768</x:v>
      </x:c>
      <x:c r="E178" s="2" t="str">
        <x:v>Member state</x:v>
      </x:c>
      <x:c r="F178" s="2" t="n">
        <x:v>9930918</x:v>
      </x:c>
      <x:c r="G178" s="2" t="n">
        <x:v>10792997</x:v>
      </x:c>
      <x:c r="H178" s="2" t="n">
        <x:v>11937684</x:v>
      </x:c>
      <x:c r="I178" s="2" t="n">
        <x:v>13121352</x:v>
      </x:c>
      <x:c r="J178" s="2" t="n">
        <x:v>14347512</x:v>
      </x:c>
      <x:c r="K178" s="2" t="n">
        <x:v>15584778</x:v>
      </x:c>
      <x:c r="L178" s="2" t="n">
        <x:v>15831367</x:v>
      </x:c>
      <x:c r="M178" s="2" t="str">
        <x:v>trade</x:v>
      </x:c>
      <x:c r="N178" s="2" t="str">
        <x:v>Review existing operation</x:v>
      </x:c>
      <x:c r="O178" s="2" t="str">
        <x:v>Disclosed location in June-2026 factsheet</x:v>
      </x:c>
      <x:c r="P178" s="2" t="str">
        <x:v>Staple trade, product selection pending</x:v>
      </x:c>
      <x:c r="Q178" s="2" t="str">
        <x:v>Confirm product demand, accessible HS line, counterparties, delivered spread, cash conversion and legal clearance.</x:v>
      </x:c>
    </x:row>
    <x:row r="179" ht="60" customHeight="1">
      <x:c r="A179" s="2" t="str">
        <x:v>TON</x:v>
      </x:c>
      <x:c r="B179" s="2" t="str">
        <x:v>Tonga</x:v>
      </x:c>
      <x:c r="C179" s="2" t="str">
        <x:v>Oceania</x:v>
      </x:c>
      <x:c r="D179" s="2" t="str">
        <x:v>776</x:v>
      </x:c>
      <x:c r="E179" s="2" t="str">
        <x:v>Member state</x:v>
      </x:c>
      <x:c r="F179" s="2" t="n">
        <x:v>103291</x:v>
      </x:c>
      <x:c r="G179" s="2" t="n">
        <x:v>102072</x:v>
      </x:c>
      <x:c r="H179" s="2" t="n">
        <x:v>101829</x:v>
      </x:c>
      <x:c r="I179" s="2" t="n">
        <x:v>102565</x:v>
      </x:c>
      <x:c r="J179" s="2" t="n">
        <x:v>103930</x:v>
      </x:c>
      <x:c r="K179" s="2" t="n">
        <x:v>105195</x:v>
      </x:c>
      <x:c r="L179" s="2" t="n">
        <x:v>105416</x:v>
      </x:c>
      <x:c r="M179" s="2" t="str">
        <x:v>trade</x:v>
      </x:c>
      <x:c r="N179" s="2" t="str">
        <x:v>Watch regional trade</x:v>
      </x:c>
      <x:c r="O179" s="2" t="str">
        <x:v>Not verified, absence not inferred</x:v>
      </x:c>
      <x:c r="P179" s="2" t="str">
        <x:v>Staple trade, product selection pending</x:v>
      </x:c>
      <x:c r="Q179" s="2" t="str">
        <x:v>Confirm product demand, accessible HS line, counterparties, delivered spread, cash conversion and legal clearance.</x:v>
      </x:c>
    </x:row>
    <x:row r="180" ht="60" customHeight="1">
      <x:c r="A180" s="2" t="str">
        <x:v>TTO</x:v>
      </x:c>
      <x:c r="B180" s="2" t="str">
        <x:v>Trinidad and Tobago</x:v>
      </x:c>
      <x:c r="C180" s="2" t="str">
        <x:v>Americas</x:v>
      </x:c>
      <x:c r="D180" s="2" t="str">
        <x:v>780</x:v>
      </x:c>
      <x:c r="E180" s="2" t="str">
        <x:v>Member state</x:v>
      </x:c>
      <x:c r="F180" s="2" t="n">
        <x:v>1513268</x:v>
      </x:c>
      <x:c r="G180" s="2" t="n">
        <x:v>1512322</x:v>
      </x:c>
      <x:c r="H180" s="2" t="n">
        <x:v>1497855</x:v>
      </x:c>
      <x:c r="I180" s="2" t="n">
        <x:v>1472944</x:v>
      </x:c>
      <x:c r="J180" s="2" t="n">
        <x:v>1439585</x:v>
      </x:c>
      <x:c r="K180" s="2" t="n">
        <x:v>1399800</x:v>
      </x:c>
      <x:c r="L180" s="2" t="n">
        <x:v>1391195</x:v>
      </x:c>
      <x:c r="M180" s="2" t="str">
        <x:v>trade</x:v>
      </x:c>
      <x:c r="N180" s="2" t="str">
        <x:v>Watch customer specialization</x:v>
      </x:c>
      <x:c r="O180" s="2" t="str">
        <x:v>Not verified, absence not inferred</x:v>
      </x:c>
      <x:c r="P180" s="2" t="str">
        <x:v>Staple trade, product selection pending</x:v>
      </x:c>
      <x:c r="Q180" s="2" t="str">
        <x:v>Confirm product demand, accessible HS line, counterparties, delivered spread, cash conversion and legal clearance.</x:v>
      </x:c>
    </x:row>
    <x:row r="181" ht="60" customHeight="1">
      <x:c r="A181" s="2" t="str">
        <x:v>TUN</x:v>
      </x:c>
      <x:c r="B181" s="2" t="str">
        <x:v>Tunisia</x:v>
      </x:c>
      <x:c r="C181" s="2" t="str">
        <x:v>Africa</x:v>
      </x:c>
      <x:c r="D181" s="2" t="str">
        <x:v>788</x:v>
      </x:c>
      <x:c r="E181" s="2" t="str">
        <x:v>Member state</x:v>
      </x:c>
      <x:c r="F181" s="2" t="n">
        <x:v>12415138</x:v>
      </x:c>
      <x:c r="G181" s="2" t="n">
        <x:v>12628142</x:v>
      </x:c>
      <x:c r="H181" s="2" t="n">
        <x:v>12812269</x:v>
      </x:c>
      <x:c r="I181" s="2" t="n">
        <x:v>12953864</x:v>
      </x:c>
      <x:c r="J181" s="2" t="n">
        <x:v>13076089</x:v>
      </x:c>
      <x:c r="K181" s="2" t="n">
        <x:v>13145141</x:v>
      </x:c>
      <x:c r="L181" s="2" t="n">
        <x:v>13148162</x:v>
      </x:c>
      <x:c r="M181" s="2" t="str">
        <x:v>trade</x:v>
      </x:c>
      <x:c r="N181" s="2" t="str">
        <x:v>Watch product/corridor opportunity</x:v>
      </x:c>
      <x:c r="O181" s="2" t="str">
        <x:v>Not verified, absence not inferred</x:v>
      </x:c>
      <x:c r="P181" s="2" t="str">
        <x:v>Staple trade, product selection pending</x:v>
      </x:c>
      <x:c r="Q181" s="2" t="str">
        <x:v>Confirm product demand, accessible HS line, counterparties, delivered spread, cash conversion and legal clearance.</x:v>
      </x:c>
    </x:row>
    <x:row r="182" ht="60" customHeight="1">
      <x:c r="A182" s="2" t="str">
        <x:v>TKM</x:v>
      </x:c>
      <x:c r="B182" s="2" t="str">
        <x:v>Turkmenistan</x:v>
      </x:c>
      <x:c r="C182" s="2" t="str">
        <x:v>Asia</x:v>
      </x:c>
      <x:c r="D182" s="2" t="str">
        <x:v>795</x:v>
      </x:c>
      <x:c r="E182" s="2" t="str">
        <x:v>Member state</x:v>
      </x:c>
      <x:c r="F182" s="2" t="n">
        <x:v>7736632</x:v>
      </x:c>
      <x:c r="G182" s="2" t="n">
        <x:v>8135729</x:v>
      </x:c>
      <x:c r="H182" s="2" t="n">
        <x:v>8538668</x:v>
      </x:c>
      <x:c r="I182" s="2" t="n">
        <x:v>8932231</x:v>
      </x:c>
      <x:c r="J182" s="2" t="n">
        <x:v>9312822</x:v>
      </x:c>
      <x:c r="K182" s="2" t="n">
        <x:v>9639708</x:v>
      </x:c>
      <x:c r="L182" s="2" t="n">
        <x:v>9694833</x:v>
      </x:c>
      <x:c r="M182" s="2" t="str">
        <x:v>trade</x:v>
      </x:c>
      <x:c r="N182" s="2" t="str">
        <x:v>Watch product/corridor opportunity</x:v>
      </x:c>
      <x:c r="O182" s="2" t="str">
        <x:v>Not verified, absence not inferred</x:v>
      </x:c>
      <x:c r="P182" s="2" t="str">
        <x:v>Staple trade, product selection pending</x:v>
      </x:c>
      <x:c r="Q182" s="2" t="str">
        <x:v>Confirm product demand, accessible HS line, counterparties, delivered spread, cash conversion and legal clearance.</x:v>
      </x:c>
    </x:row>
    <x:row r="183" ht="60" customHeight="1">
      <x:c r="A183" s="2" t="str">
        <x:v>TUV</x:v>
      </x:c>
      <x:c r="B183" s="2" t="str">
        <x:v>Tuvalu</x:v>
      </x:c>
      <x:c r="C183" s="2" t="str">
        <x:v>Oceania</x:v>
      </x:c>
      <x:c r="D183" s="2" t="str">
        <x:v>798</x:v>
      </x:c>
      <x:c r="E183" s="2" t="str">
        <x:v>Member state</x:v>
      </x:c>
      <x:c r="F183" s="2" t="n">
        <x:v>9362</x:v>
      </x:c>
      <x:c r="G183" s="2" t="n">
        <x:v>9047</x:v>
      </x:c>
      <x:c r="H183" s="2" t="n">
        <x:v>8980</x:v>
      </x:c>
      <x:c r="I183" s="2" t="n">
        <x:v>9140</x:v>
      </x:c>
      <x:c r="J183" s="2" t="n">
        <x:v>9438</x:v>
      </x:c>
      <x:c r="K183" s="2" t="n">
        <x:v>9781</x:v>
      </x:c>
      <x:c r="L183" s="2" t="n">
        <x:v>9849</x:v>
      </x:c>
      <x:c r="M183" s="2" t="str">
        <x:v>trade</x:v>
      </x:c>
      <x:c r="N183" s="2" t="str">
        <x:v>Watch regional trade</x:v>
      </x:c>
      <x:c r="O183" s="2" t="str">
        <x:v>Not verified, absence not inferred</x:v>
      </x:c>
      <x:c r="P183" s="2" t="str">
        <x:v>Staple trade, product selection pending</x:v>
      </x:c>
      <x:c r="Q183" s="2" t="str">
        <x:v>Confirm product demand, accessible HS line, counterparties, delivered spread, cash conversion and legal clearance.</x:v>
      </x:c>
    </x:row>
    <x:row r="184" ht="60" customHeight="1">
      <x:c r="A184" s="2" t="str">
        <x:v>TUR</x:v>
      </x:c>
      <x:c r="B184" s="2" t="str">
        <x:v>Türkiye</x:v>
      </x:c>
      <x:c r="C184" s="2" t="str">
        <x:v>Asia</x:v>
      </x:c>
      <x:c r="D184" s="2" t="str">
        <x:v>792</x:v>
      </x:c>
      <x:c r="E184" s="2" t="str">
        <x:v>Member state</x:v>
      </x:c>
      <x:c r="F184" s="2" t="n">
        <x:v>87926082</x:v>
      </x:c>
      <x:c r="G184" s="2" t="n">
        <x:v>89027542</x:v>
      </x:c>
      <x:c r="H184" s="2" t="n">
        <x:v>90188557</x:v>
      </x:c>
      <x:c r="I184" s="2" t="n">
        <x:v>91009681</x:v>
      </x:c>
      <x:c r="J184" s="2" t="n">
        <x:v>91392535</x:v>
      </x:c>
      <x:c r="K184" s="2" t="n">
        <x:v>91258061</x:v>
      </x:c>
      <x:c r="L184" s="2" t="n">
        <x:v>91140413</x:v>
      </x:c>
      <x:c r="M184" s="2" t="str">
        <x:v>trade</x:v>
      </x:c>
      <x:c r="N184" s="2" t="str">
        <x:v>Watch product/corridor opportunity</x:v>
      </x:c>
      <x:c r="O184" s="2" t="str">
        <x:v>Not verified, absence not inferred</x:v>
      </x:c>
      <x:c r="P184" s="2" t="str">
        <x:v>Staple trade, product selection pending</x:v>
      </x:c>
      <x:c r="Q184" s="2" t="str">
        <x:v>Confirm product demand, accessible HS line, counterparties, delivered spread, cash conversion and legal clearance.</x:v>
      </x:c>
    </x:row>
    <x:row r="185" ht="60" customHeight="1">
      <x:c r="A185" s="2" t="str">
        <x:v>UGA</x:v>
      </x:c>
      <x:c r="B185" s="2" t="str">
        <x:v>Uganda</x:v>
      </x:c>
      <x:c r="C185" s="2" t="str">
        <x:v>Africa</x:v>
      </x:c>
      <x:c r="D185" s="2" t="str">
        <x:v>800</x:v>
      </x:c>
      <x:c r="E185" s="2" t="str">
        <x:v>Member state</x:v>
      </x:c>
      <x:c r="F185" s="2" t="n">
        <x:v>52761469</x:v>
      </x:c>
      <x:c r="G185" s="2" t="n">
        <x:v>58312940</x:v>
      </x:c>
      <x:c r="H185" s="2" t="n">
        <x:v>65205574</x:v>
      </x:c>
      <x:c r="I185" s="2" t="n">
        <x:v>72020418</x:v>
      </x:c>
      <x:c r="J185" s="2" t="n">
        <x:v>78797992</x:v>
      </x:c>
      <x:c r="K185" s="2" t="n">
        <x:v>85431202</x:v>
      </x:c>
      <x:c r="L185" s="2" t="n">
        <x:v>86718842</x:v>
      </x:c>
      <x:c r="M185" s="2" t="str">
        <x:v>trade</x:v>
      </x:c>
      <x:c r="N185" s="2" t="str">
        <x:v>Watch product/corridor opportunity</x:v>
      </x:c>
      <x:c r="O185" s="2" t="str">
        <x:v>Not verified, absence not inferred</x:v>
      </x:c>
      <x:c r="P185" s="2" t="str">
        <x:v>Staple trade, product selection pending</x:v>
      </x:c>
      <x:c r="Q185" s="2" t="str">
        <x:v>Confirm product demand, accessible HS line, counterparties, delivered spread, cash conversion and legal clearance.</x:v>
      </x:c>
    </x:row>
    <x:row r="186" ht="60" customHeight="1">
      <x:c r="A186" s="2" t="str">
        <x:v>UKR</x:v>
      </x:c>
      <x:c r="B186" s="2" t="str">
        <x:v>Ukraine</x:v>
      </x:c>
      <x:c r="C186" s="2" t="str">
        <x:v>Europe</x:v>
      </x:c>
      <x:c r="D186" s="2" t="str">
        <x:v>804</x:v>
      </x:c>
      <x:c r="E186" s="2" t="str">
        <x:v>Member state</x:v>
      </x:c>
      <x:c r="F186" s="2" t="n">
        <x:v>39535849</x:v>
      </x:c>
      <x:c r="G186" s="2" t="n">
        <x:v>38353853</x:v>
      </x:c>
      <x:c r="H186" s="2" t="n">
        <x:v>36828147</x:v>
      </x:c>
      <x:c r="I186" s="2" t="n">
        <x:v>35270911</x:v>
      </x:c>
      <x:c r="J186" s="2" t="n">
        <x:v>33680445</x:v>
      </x:c>
      <x:c r="K186" s="2" t="n">
        <x:v>31990132</x:v>
      </x:c>
      <x:c r="L186" s="2" t="n">
        <x:v>31637037</x:v>
      </x:c>
      <x:c r="M186" s="2" t="str">
        <x:v>trade</x:v>
      </x:c>
      <x:c r="N186" s="2" t="str">
        <x:v>Review existing operation</x:v>
      </x:c>
      <x:c r="O186" s="2" t="str">
        <x:v>Disclosed location in June-2026 factsheet</x:v>
      </x:c>
      <x:c r="P186" s="2" t="str">
        <x:v>Staple trade, product selection pending</x:v>
      </x:c>
      <x:c r="Q186" s="2" t="str">
        <x:v>Confirm product demand, accessible HS line, counterparties, delivered spread, cash conversion and legal clearance.</x:v>
      </x:c>
    </x:row>
    <x:row r="187" ht="60" customHeight="1">
      <x:c r="A187" s="2" t="str">
        <x:v>ARE</x:v>
      </x:c>
      <x:c r="B187" s="2" t="str">
        <x:v>United Arab Emirates</x:v>
      </x:c>
      <x:c r="C187" s="2" t="str">
        <x:v>Asia</x:v>
      </x:c>
      <x:c r="D187" s="2" t="str">
        <x:v>784</x:v>
      </x:c>
      <x:c r="E187" s="2" t="str">
        <x:v>Member state</x:v>
      </x:c>
      <x:c r="F187" s="2" t="n">
        <x:v>11574682</x:v>
      </x:c>
      <x:c r="G187" s="2" t="n">
        <x:v>12190605</x:v>
      </x:c>
      <x:c r="H187" s="2" t="n">
        <x:v>12910702</x:v>
      </x:c>
      <x:c r="I187" s="2" t="n">
        <x:v>13693776</x:v>
      </x:c>
      <x:c r="J187" s="2" t="n">
        <x:v>14507366</x:v>
      </x:c>
      <x:c r="K187" s="2" t="n">
        <x:v>15367392</x:v>
      </x:c>
      <x:c r="L187" s="2" t="n">
        <x:v>15543672</x:v>
      </x:c>
      <x:c r="M187" s="2" t="str">
        <x:v>trade</x:v>
      </x:c>
      <x:c r="N187" s="2" t="str">
        <x:v>Review existing operation</x:v>
      </x:c>
      <x:c r="O187" s="2" t="str">
        <x:v>Disclosed location in June-2026 factsheet</x:v>
      </x:c>
      <x:c r="P187" s="2" t="str">
        <x:v>Staple trade, product selection pending</x:v>
      </x:c>
      <x:c r="Q187" s="2" t="str">
        <x:v>Confirm product demand, accessible HS line, counterparties, delivered spread, cash conversion and legal clearance.</x:v>
      </x:c>
    </x:row>
    <x:row r="188" ht="60" customHeight="1">
      <x:c r="A188" s="2" t="str">
        <x:v>GBR</x:v>
      </x:c>
      <x:c r="B188" s="2" t="str">
        <x:v>United Kingdom of Great Britain and Northern Ireland</x:v>
      </x:c>
      <x:c r="C188" s="2" t="str">
        <x:v>Europe</x:v>
      </x:c>
      <x:c r="D188" s="2" t="str">
        <x:v>826</x:v>
      </x:c>
      <x:c r="E188" s="2" t="str">
        <x:v>Member state</x:v>
      </x:c>
      <x:c r="F188" s="2" t="n">
        <x:v>69931528</x:v>
      </x:c>
      <x:c r="G188" s="2" t="n">
        <x:v>71286992</x:v>
      </x:c>
      <x:c r="H188" s="2" t="n">
        <x:v>72656815</x:v>
      </x:c>
      <x:c r="I188" s="2" t="n">
        <x:v>73774626</x:v>
      </x:c>
      <x:c r="J188" s="2" t="n">
        <x:v>74753658</x:v>
      </x:c>
      <x:c r="K188" s="2" t="n">
        <x:v>75504681</x:v>
      </x:c>
      <x:c r="L188" s="2" t="n">
        <x:v>75616457</x:v>
      </x:c>
      <x:c r="M188" s="2" t="str">
        <x:v>trade</x:v>
      </x:c>
      <x:c r="N188" s="2" t="str">
        <x:v>Review existing operation</x:v>
      </x:c>
      <x:c r="O188" s="2" t="str">
        <x:v>Disclosed location in June-2026 factsheet</x:v>
      </x:c>
      <x:c r="P188" s="2" t="str">
        <x:v>Staple trade, product selection pending</x:v>
      </x:c>
      <x:c r="Q188" s="2" t="str">
        <x:v>Confirm product demand, accessible HS line, counterparties, delivered spread, cash conversion and legal clearance.</x:v>
      </x:c>
    </x:row>
    <x:row r="189" ht="60" customHeight="1">
      <x:c r="A189" s="2" t="str">
        <x:v>TZA</x:v>
      </x:c>
      <x:c r="B189" s="2" t="str">
        <x:v>United Republic of Tanzania</x:v>
      </x:c>
      <x:c r="C189" s="2" t="str">
        <x:v>Africa</x:v>
      </x:c>
      <x:c r="D189" s="2" t="str">
        <x:v>834</x:v>
      </x:c>
      <x:c r="E189" s="2" t="str">
        <x:v>Member state</x:v>
      </x:c>
      <x:c r="F189" s="2" t="n">
        <x:v>72563780</x:v>
      </x:c>
      <x:c r="G189" s="2" t="n">
        <x:v>80913124</x:v>
      </x:c>
      <x:c r="H189" s="2" t="n">
        <x:v>92091429</x:v>
      </x:c>
      <x:c r="I189" s="2" t="n">
        <x:v>103999359</x:v>
      </x:c>
      <x:c r="J189" s="2" t="n">
        <x:v>116525473</x:v>
      </x:c>
      <x:c r="K189" s="2" t="n">
        <x:v>129621102</x:v>
      </x:c>
      <x:c r="L189" s="2" t="n">
        <x:v>132280446.99999999</x:v>
      </x:c>
      <x:c r="M189" s="2" t="str">
        <x:v>trade</x:v>
      </x:c>
      <x:c r="N189" s="2" t="str">
        <x:v>Watch product/corridor opportunity</x:v>
      </x:c>
      <x:c r="O189" s="2" t="str">
        <x:v>Not verified, absence not inferred</x:v>
      </x:c>
      <x:c r="P189" s="2" t="str">
        <x:v>Staple trade, product selection pending</x:v>
      </x:c>
      <x:c r="Q189" s="2" t="str">
        <x:v>Confirm product demand, accessible HS line, counterparties, delivered spread, cash conversion and legal clearance.</x:v>
      </x:c>
    </x:row>
    <x:row r="190" ht="60" customHeight="1">
      <x:c r="A190" s="2" t="str">
        <x:v>USA</x:v>
      </x:c>
      <x:c r="B190" s="2" t="str">
        <x:v>United States of America</x:v>
      </x:c>
      <x:c r="C190" s="2" t="str">
        <x:v>Americas</x:v>
      </x:c>
      <x:c r="D190" s="2" t="str">
        <x:v>840</x:v>
      </x:c>
      <x:c r="E190" s="2" t="str">
        <x:v>Member state</x:v>
      </x:c>
      <x:c r="F190" s="2" t="n">
        <x:v>349035494</x:v>
      </x:c>
      <x:c r="G190" s="2" t="n">
        <x:v>355649881</x:v>
      </x:c>
      <x:c r="H190" s="2" t="n">
        <x:v>363284716</x:v>
      </x:c>
      <x:c r="I190" s="2" t="n">
        <x:v>370209316</x:v>
      </x:c>
      <x:c r="J190" s="2" t="n">
        <x:v>376106472</x:v>
      </x:c>
      <x:c r="K190" s="2" t="n">
        <x:v>380846910</x:v>
      </x:c>
      <x:c r="L190" s="2" t="n">
        <x:v>381708396</x:v>
      </x:c>
      <x:c r="M190" s="2" t="str">
        <x:v>trade</x:v>
      </x:c>
      <x:c r="N190" s="2" t="str">
        <x:v>Review existing operation</x:v>
      </x:c>
      <x:c r="O190" s="2" t="str">
        <x:v>Disclosed location in June-2026 factsheet</x:v>
      </x:c>
      <x:c r="P190" s="2" t="str">
        <x:v>Staple trade, product selection pending</x:v>
      </x:c>
      <x:c r="Q190" s="2" t="str">
        <x:v>Confirm product demand, accessible HS line, counterparties, delivered spread, cash conversion and legal clearance.</x:v>
      </x:c>
    </x:row>
    <x:row r="191" ht="60" customHeight="1">
      <x:c r="A191" s="2" t="str">
        <x:v>URY</x:v>
      </x:c>
      <x:c r="B191" s="2" t="str">
        <x:v>Uruguay</x:v>
      </x:c>
      <x:c r="C191" s="2" t="str">
        <x:v>Americas</x:v>
      </x:c>
      <x:c r="D191" s="2" t="str">
        <x:v>858</x:v>
      </x:c>
      <x:c r="E191" s="2" t="str">
        <x:v>Member state</x:v>
      </x:c>
      <x:c r="F191" s="2" t="n">
        <x:v>3382537</x:v>
      </x:c>
      <x:c r="G191" s="2" t="n">
        <x:v>3372887</x:v>
      </x:c>
      <x:c r="H191" s="2" t="n">
        <x:v>3358282</x:v>
      </x:c>
      <x:c r="I191" s="2" t="n">
        <x:v>3336459</x:v>
      </x:c>
      <x:c r="J191" s="2" t="n">
        <x:v>3302675</x:v>
      </x:c>
      <x:c r="K191" s="2" t="n">
        <x:v>3254354</x:v>
      </x:c>
      <x:c r="L191" s="2" t="n">
        <x:v>3242784</x:v>
      </x:c>
      <x:c r="M191" s="2" t="str">
        <x:v>trade</x:v>
      </x:c>
      <x:c r="N191" s="2" t="str">
        <x:v>Watch product/corridor opportunity</x:v>
      </x:c>
      <x:c r="O191" s="2" t="str">
        <x:v>Not verified, absence not inferred</x:v>
      </x:c>
      <x:c r="P191" s="2" t="str">
        <x:v>Staple trade, product selection pending</x:v>
      </x:c>
      <x:c r="Q191" s="2" t="str">
        <x:v>Confirm product demand, accessible HS line, counterparties, delivered spread, cash conversion and legal clearance.</x:v>
      </x:c>
    </x:row>
    <x:row r="192" ht="60" customHeight="1">
      <x:c r="A192" s="2" t="str">
        <x:v>UZB</x:v>
      </x:c>
      <x:c r="B192" s="2" t="str">
        <x:v>Uzbekistan</x:v>
      </x:c>
      <x:c r="C192" s="2" t="str">
        <x:v>Asia</x:v>
      </x:c>
      <x:c r="D192" s="2" t="str">
        <x:v>860</x:v>
      </x:c>
      <x:c r="E192" s="2" t="str">
        <x:v>Member state</x:v>
      </x:c>
      <x:c r="F192" s="2" t="n">
        <x:v>37724223</x:v>
      </x:c>
      <x:c r="G192" s="2" t="n">
        <x:v>40248241</x:v>
      </x:c>
      <x:c r="H192" s="2" t="n">
        <x:v>43175102</x:v>
      </x:c>
      <x:c r="I192" s="2" t="n">
        <x:v>46044152</x:v>
      </x:c>
      <x:c r="J192" s="2" t="n">
        <x:v>49096063</x:v>
      </x:c>
      <x:c r="K192" s="2" t="n">
        <x:v>52210755</x:v>
      </x:c>
      <x:c r="L192" s="2" t="n">
        <x:v>52819885</x:v>
      </x:c>
      <x:c r="M192" s="2" t="str">
        <x:v>trade</x:v>
      </x:c>
      <x:c r="N192" s="2" t="str">
        <x:v>Watch product/corridor opportunity</x:v>
      </x:c>
      <x:c r="O192" s="2" t="str">
        <x:v>Not verified, absence not inferred</x:v>
      </x:c>
      <x:c r="P192" s="2" t="str">
        <x:v>Staple trade, product selection pending</x:v>
      </x:c>
      <x:c r="Q192" s="2" t="str">
        <x:v>Confirm product demand, accessible HS line, counterparties, delivered spread, cash conversion and legal clearance.</x:v>
      </x:c>
    </x:row>
    <x:row r="193" ht="60" customHeight="1">
      <x:c r="A193" s="2" t="str">
        <x:v>VUT</x:v>
      </x:c>
      <x:c r="B193" s="2" t="str">
        <x:v>Vanuatu</x:v>
      </x:c>
      <x:c r="C193" s="2" t="str">
        <x:v>Oceania</x:v>
      </x:c>
      <x:c r="D193" s="2" t="str">
        <x:v>548</x:v>
      </x:c>
      <x:c r="E193" s="2" t="str">
        <x:v>Member state</x:v>
      </x:c>
      <x:c r="F193" s="2" t="n">
        <x:v>342564</x:v>
      </x:c>
      <x:c r="G193" s="2" t="n">
        <x:v>372428</x:v>
      </x:c>
      <x:c r="H193" s="2" t="n">
        <x:v>411063</x:v>
      </x:c>
      <x:c r="I193" s="2" t="n">
        <x:v>451512</x:v>
      </x:c>
      <x:c r="J193" s="2" t="n">
        <x:v>492990</x:v>
      </x:c>
      <x:c r="K193" s="2" t="n">
        <x:v>534388</x:v>
      </x:c>
      <x:c r="L193" s="2" t="n">
        <x:v>542587</x:v>
      </x:c>
      <x:c r="M193" s="2" t="str">
        <x:v>trade</x:v>
      </x:c>
      <x:c r="N193" s="2" t="str">
        <x:v>Watch regional trade</x:v>
      </x:c>
      <x:c r="O193" s="2" t="str">
        <x:v>Not verified, absence not inferred</x:v>
      </x:c>
      <x:c r="P193" s="2" t="str">
        <x:v>Staple trade, product selection pending</x:v>
      </x:c>
      <x:c r="Q193" s="2" t="str">
        <x:v>Confirm product demand, accessible HS line, counterparties, delivered spread, cash conversion and legal clearance.</x:v>
      </x:c>
    </x:row>
    <x:row r="194" ht="60" customHeight="1">
      <x:c r="A194" s="2" t="str">
        <x:v>VEN</x:v>
      </x:c>
      <x:c r="B194" s="2" t="str">
        <x:v>Venezuela (Bolivarian Republic of)</x:v>
      </x:c>
      <x:c r="C194" s="2" t="str">
        <x:v>Americas</x:v>
      </x:c>
      <x:c r="D194" s="2" t="str">
        <x:v>862</x:v>
      </x:c>
      <x:c r="E194" s="2" t="str">
        <x:v>Member state</x:v>
      </x:c>
      <x:c r="F194" s="2" t="n">
        <x:v>28633711</x:v>
      </x:c>
      <x:c r="G194" s="2" t="n">
        <x:v>29151810</x:v>
      </x:c>
      <x:c r="H194" s="2" t="n">
        <x:v>29883329</x:v>
      </x:c>
      <x:c r="I194" s="2" t="n">
        <x:v>30495443</x:v>
      </x:c>
      <x:c r="J194" s="2" t="n">
        <x:v>30871487</x:v>
      </x:c>
      <x:c r="K194" s="2" t="n">
        <x:v>31094883</x:v>
      </x:c>
      <x:c r="L194" s="2" t="n">
        <x:v>31122396</x:v>
      </x:c>
      <x:c r="M194" s="2" t="str">
        <x:v>trade</x:v>
      </x:c>
      <x:c r="N194" s="2" t="str">
        <x:v>Watch product/corridor opportunity</x:v>
      </x:c>
      <x:c r="O194" s="2" t="str">
        <x:v>Not verified, absence not inferred</x:v>
      </x:c>
      <x:c r="P194" s="2" t="str">
        <x:v>Staple trade, product selection pending</x:v>
      </x:c>
      <x:c r="Q194" s="2" t="str">
        <x:v>Confirm product demand, accessible HS line, counterparties, delivered spread, cash conversion and legal clearance.</x:v>
      </x:c>
    </x:row>
    <x:row r="195" ht="60" customHeight="1">
      <x:c r="A195" s="2" t="str">
        <x:v>VNM</x:v>
      </x:c>
      <x:c r="B195" s="2" t="str">
        <x:v>Viet Nam</x:v>
      </x:c>
      <x:c r="C195" s="2" t="str">
        <x:v>Asia</x:v>
      </x:c>
      <x:c r="D195" s="2" t="str">
        <x:v>704</x:v>
      </x:c>
      <x:c r="E195" s="2" t="str">
        <x:v>Member state</x:v>
      </x:c>
      <x:c r="F195" s="2" t="n">
        <x:v>102177431</x:v>
      </x:c>
      <x:c r="G195" s="2" t="n">
        <x:v>104254902</x:v>
      </x:c>
      <x:c r="H195" s="2" t="n">
        <x:v>106530676</x:v>
      </x:c>
      <x:c r="I195" s="2" t="n">
        <x:v>108437635</x:v>
      </x:c>
      <x:c r="J195" s="2" t="n">
        <x:v>109685398</x:v>
      </x:c>
      <x:c r="K195" s="2" t="n">
        <x:v>110008908</x:v>
      </x:c>
      <x:c r="L195" s="2" t="n">
        <x:v>109963189</x:v>
      </x:c>
      <x:c r="M195" s="2" t="str">
        <x:v>trade</x:v>
      </x:c>
      <x:c r="N195" s="2" t="str">
        <x:v>Diligence priority</x:v>
      </x:c>
      <x:c r="O195" s="2" t="str">
        <x:v>Disclosed location in June-2026 factsheet</x:v>
      </x:c>
      <x:c r="P195" s="2" t="str">
        <x:v>Rice sourcing</x:v>
      </x:c>
      <x:c r="Q195" s="2" t="str">
        <x:v>Obtain basin, supplier, freight and verified destination purchase evidence.</x:v>
      </x:c>
    </x:row>
    <x:row r="196" ht="60" customHeight="1">
      <x:c r="A196" s="2" t="str">
        <x:v>YEM</x:v>
      </x:c>
      <x:c r="B196" s="2" t="str">
        <x:v>Yemen</x:v>
      </x:c>
      <x:c r="C196" s="2" t="str">
        <x:v>Asia</x:v>
      </x:c>
      <x:c r="D196" s="2" t="str">
        <x:v>887</x:v>
      </x:c>
      <x:c r="E196" s="2" t="str">
        <x:v>Member state</x:v>
      </x:c>
      <x:c r="F196" s="2" t="n">
        <x:v>42961653</x:v>
      </x:c>
      <x:c r="G196" s="2" t="n">
        <x:v>47667662</x:v>
      </x:c>
      <x:c r="H196" s="2" t="n">
        <x:v>53429325</x:v>
      </x:c>
      <x:c r="I196" s="2" t="n">
        <x:v>59181526</x:v>
      </x:c>
      <x:c r="J196" s="2" t="n">
        <x:v>65066356</x:v>
      </x:c>
      <x:c r="K196" s="2" t="n">
        <x:v>70976403</x:v>
      </x:c>
      <x:c r="L196" s="2" t="n">
        <x:v>72147203</x:v>
      </x:c>
      <x:c r="M196" s="2" t="str">
        <x:v>trade</x:v>
      </x:c>
      <x:c r="N196" s="2" t="str">
        <x:v>Watch product/corridor opportunity</x:v>
      </x:c>
      <x:c r="O196" s="2" t="str">
        <x:v>Not verified, absence not inferred</x:v>
      </x:c>
      <x:c r="P196" s="2" t="str">
        <x:v>Staple trade, product selection pending</x:v>
      </x:c>
      <x:c r="Q196" s="2" t="str">
        <x:v>Confirm product demand, accessible HS line, counterparties, delivered spread, cash conversion and legal clearance.</x:v>
      </x:c>
    </x:row>
    <x:row r="197" ht="60" customHeight="1">
      <x:c r="A197" s="2" t="str">
        <x:v>ZMB</x:v>
      </x:c>
      <x:c r="B197" s="2" t="str">
        <x:v>Zambia</x:v>
      </x:c>
      <x:c r="C197" s="2" t="str">
        <x:v>Africa</x:v>
      </x:c>
      <x:c r="D197" s="2" t="str">
        <x:v>894</x:v>
      </x:c>
      <x:c r="E197" s="2" t="str">
        <x:v>Member state</x:v>
      </x:c>
      <x:c r="F197" s="2" t="n">
        <x:v>22521915</x:v>
      </x:c>
      <x:c r="G197" s="2" t="n">
        <x:v>25024901</x:v>
      </x:c>
      <x:c r="H197" s="2" t="n">
        <x:v>28266892</x:v>
      </x:c>
      <x:c r="I197" s="2" t="n">
        <x:v>31550402</x:v>
      </x:c>
      <x:c r="J197" s="2" t="n">
        <x:v>34821106</x:v>
      </x:c>
      <x:c r="K197" s="2" t="n">
        <x:v>38083385</x:v>
      </x:c>
      <x:c r="L197" s="2" t="n">
        <x:v>38728892</x:v>
      </x:c>
      <x:c r="M197" s="2" t="str">
        <x:v>trade</x:v>
      </x:c>
      <x:c r="N197" s="2" t="str">
        <x:v>Watch product/corridor opportunity</x:v>
      </x:c>
      <x:c r="O197" s="2" t="str">
        <x:v>Not verified, absence not inferred</x:v>
      </x:c>
      <x:c r="P197" s="2" t="str">
        <x:v>Staple trade, product selection pending</x:v>
      </x:c>
      <x:c r="Q197" s="2" t="str">
        <x:v>Confirm product demand, accessible HS line, counterparties, delivered spread, cash conversion and legal clearance.</x:v>
      </x:c>
    </x:row>
    <x:row r="198" ht="60" customHeight="1">
      <x:c r="A198" s="2" t="str">
        <x:v>ZWE</x:v>
      </x:c>
      <x:c r="B198" s="2" t="str">
        <x:v>Zimbabwe</x:v>
      </x:c>
      <x:c r="C198" s="2" t="str">
        <x:v>Africa</x:v>
      </x:c>
      <x:c r="D198" s="2" t="str">
        <x:v>716</x:v>
      </x:c>
      <x:c r="E198" s="2" t="str">
        <x:v>Member state</x:v>
      </x:c>
      <x:c r="F198" s="2" t="n">
        <x:v>17273580</x:v>
      </x:c>
      <x:c r="G198" s="2" t="n">
        <x:v>18610349</x:v>
      </x:c>
      <x:c r="H198" s="2" t="n">
        <x:v>20409146</x:v>
      </x:c>
      <x:c r="I198" s="2" t="n">
        <x:v>22250109</x:v>
      </x:c>
      <x:c r="J198" s="2" t="n">
        <x:v>24102380</x:v>
      </x:c>
      <x:c r="K198" s="2" t="n">
        <x:v>25866385</x:v>
      </x:c>
      <x:c r="L198" s="2" t="n">
        <x:v>26217392</x:v>
      </x:c>
      <x:c r="M198" s="2" t="str">
        <x:v>trade</x:v>
      </x:c>
      <x:c r="N198" s="2" t="str">
        <x:v>Watch product/corridor opportunity</x:v>
      </x:c>
      <x:c r="O198" s="2" t="str">
        <x:v>Not verified, absence not inferred</x:v>
      </x:c>
      <x:c r="P198" s="2" t="str">
        <x:v>Staple trade, product selection pending</x:v>
      </x:c>
      <x:c r="Q198" s="2" t="str">
        <x:v>Confirm product demand, accessible HS line, counterparties, delivered spread, cash conversion and legal clearance.</x:v>
      </x:c>
    </x:row>
  </x:sheetData>
  <x:mergeCells>
    <x:mergeCell ref="A1:Q1"/>
    <x:mergeCell ref="A2:Q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3" hidden="0" customWidth="1"/>
    <x:col min="2" max="2" width="65" hidden="0" customWidth="1"/>
  </x:cols>
  <x:sheetData>
    <x:row r="1" ht="42" customHeight="1">
      <x:c r="A1" s="5" t="str">
        <x:v>Country Selector / v1.1.0</x:v>
      </x:c>
      <x:c r="B1" s="2"/>
    </x:row>
    <x:row r="2" ht="42" customHeight="1">
      <x:c r="A2" s="2" t="str">
        <x:v>Public evidence + chosen examples; no Olam internal investment valuation</x:v>
      </x:c>
      <x:c r="B2" s="2"/>
    </x:row>
    <x:row r="3" ht="32" customHeight="1">
      <x:c r="A3" s="4" t="str">
        <x:v>Field</x:v>
      </x:c>
      <x:c r="B3" s="4" t="str">
        <x:v>Value</x:v>
      </x:c>
    </x:row>
    <x:row r="4" ht="44" customHeight="1">
      <x:c r="A4" s="2" t="str">
        <x:v>Country row (1–195)</x:v>
      </x:c>
      <x:c r="B4" s="6" t="n">
        <x:v>127</x:v>
      </x:c>
    </x:row>
    <x:row r="5" ht="44" customHeight="1">
      <x:c r="A5" s="2" t="str">
        <x:v>Country name</x:v>
      </x:c>
      <x:c r="B5" s="7" t="str">
        <x:f>INDEX(Countries!B4:B198,$B$4)</x:f>
        <x:v>Nigeria</x:v>
      </x:c>
    </x:row>
    <x:row r="6" ht="44" customHeight="1">
      <x:c r="A6" s="2" t="str">
        <x:v>ISO3</x:v>
      </x:c>
      <x:c r="B6" s="7" t="str">
        <x:f>INDEX(Countries!A4:A198,$B$4)</x:f>
        <x:v>NGA</x:v>
      </x:c>
    </x:row>
    <x:row r="7" ht="44" customHeight="1">
      <x:c r="A7" s="2" t="str">
        <x:v>2026 population</x:v>
      </x:c>
      <x:c r="B7" s="7" t="n">
        <x:f>INDEX(Countries!F4:F198,$B$4)</x:f>
        <x:v>242431832</x:v>
      </x:c>
    </x:row>
    <x:row r="8" ht="44" customHeight="1">
      <x:c r="A8" s="2" t="str">
        <x:v>2051 population</x:v>
      </x:c>
      <x:c r="B8" s="7" t="n">
        <x:f>INDEX(Countries!L4:L198,$B$4)</x:f>
        <x:v>363523611</x:v>
      </x:c>
    </x:row>
    <x:row r="9" ht="44" customHeight="1">
      <x:c r="A9" s="2" t="str">
        <x:v>Disposition</x:v>
      </x:c>
      <x:c r="B9" s="7" t="str">
        <x:f>INDEX(Countries!N4:N198,$B$4)</x:f>
        <x:v>Diligence priority</x:v>
      </x:c>
    </x:row>
    <x:row r="10" ht="44" customHeight="1">
      <x:c r="A10" s="2" t="str">
        <x:v>Country NPV</x:v>
      </x:c>
      <x:c r="B10" s="7" t="str">
        <x:v>Unknown: business data missing</x:v>
      </x:c>
    </x:row>
    <x:row r="11" ht="44" customHeight="1">
      <x:c r="A11" s="2" t="str">
        <x:v>Next gate</x:v>
      </x:c>
      <x:c r="B11" s="7" t="str">
        <x:f>INDEX(Countries!Q4:Q198,$B$4)</x:f>
        <x:v>Finance-approved eligible sell-through and route P&amp;L. Legal rechecks crude/refined HS access.</x:v>
      </x:c>
    </x:row>
  </x:sheetData>
  <x:mergeCells>
    <x:mergeCell ref="A1:B1"/>
    <x:mergeCell ref="A2:B2"/>
  </x:mergeCells>
  <x:dataValidations count="1">
    <x:dataValidation type="whole" operator="between" sqref="B4">
      <x:formula1>1</x:formula1>
      <x:formula2>195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</x:cols>
  <x:sheetData>
    <x:row r="1" ht="42" customHeight="1">
      <x:c r="A1" s="5" t="str">
        <x:v>Products HS / v1.1.0</x:v>
      </x:c>
      <x:c r="B1" s="2"/>
      <x:c r="C1" s="2"/>
    </x:row>
    <x:row r="2" ht="42" customHeight="1">
      <x:c r="A2" s="2" t="str">
        <x:v>Public evidence + chosen examples; no Olam internal investment valuation</x:v>
      </x:c>
      <x:c r="B2" s="2"/>
      <x:c r="C2" s="2"/>
    </x:row>
    <x:row r="3" ht="32" customHeight="1">
      <x:c r="A3" s="4" t="str">
        <x:v>Product</x:v>
      </x:c>
      <x:c r="B3" s="4" t="str">
        <x:v>Illustrative HS heading</x:v>
      </x:c>
      <x:c r="C3" s="4" t="str">
        <x:v>Status</x:v>
      </x:c>
    </x:row>
    <x:row r="4" ht="44" customHeight="1">
      <x:c r="A4" s="2" t="str">
        <x:v>Wheat</x:v>
      </x:c>
      <x:c r="B4" s="2" t="str">
        <x:v>1001</x:v>
      </x:c>
      <x:c r="C4" s="2" t="str">
        <x:v>HS 2022 broad heading; local subline and conversion needed</x:v>
      </x:c>
    </x:row>
    <x:row r="5" ht="44" customHeight="1">
      <x:c r="A5" s="2" t="str">
        <x:v>Rice</x:v>
      </x:c>
      <x:c r="B5" s="2" t="str">
        <x:v>1006</x:v>
      </x:c>
      <x:c r="C5" s="2" t="str">
        <x:v>Milled/paddy units must be reconciled</x:v>
      </x:c>
    </x:row>
    <x:row r="6" ht="44" customHeight="1">
      <x:c r="A6" s="2" t="str">
        <x:v>Palm oil</x:v>
      </x:c>
      <x:c r="B6" s="2" t="str">
        <x:v>1511</x:v>
      </x:c>
      <x:c r="C6" s="2" t="str">
        <x:v>Crude/refined access, duties and specific line check</x:v>
      </x:c>
    </x:row>
    <x:row r="7" ht="44" customHeight="1">
      <x:c r="A7" s="2" t="str">
        <x:v>Soybeans</x:v>
      </x:c>
      <x:c r="B7" s="2" t="str">
        <x:v>1201</x:v>
      </x:c>
      <x:c r="C7" s="2" t="str">
        <x:v>Product quality and origin required</x:v>
      </x:c>
    </x:row>
    <x:row r="8" ht="44" customHeight="1">
      <x:c r="A8" s="2" t="str">
        <x:v>Maize</x:v>
      </x:c>
      <x:c r="B8" s="2" t="str">
        <x:v>1005</x:v>
      </x:c>
      <x:c r="C8" s="2" t="str">
        <x:v>Food/feed grade and conversion required</x:v>
      </x:c>
    </x:row>
    <x:row r="9" ht="44" customHeight="1">
      <x:c r="A9" s="2" t="str">
        <x:v>Wheat flour</x:v>
      </x:c>
      <x:c r="B9" s="2" t="str">
        <x:v>1101</x:v>
      </x:c>
      <x:c r="C9" s="2" t="str">
        <x:v>Flour yield / input equivalent distinct</x:v>
      </x:c>
    </x:row>
    <x:row r="10" ht="44" customHeight="1">
      <x:c r="A10" s="2" t="str">
        <x:v>Feed/cotton/wood/rubber/sugar/biofuel</x:v>
      </x:c>
      <x:c r="B10" s="2" t="str">
        <x:v>Unselected</x:v>
      </x:c>
      <x:c r="C10" s="2" t="str">
        <x:v>Disclosed scope; country product concordance pending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</x:cols>
  <x:sheetData>
    <x:row r="1" ht="42" customHeight="1">
      <x:c r="A1" s="5" t="str">
        <x:v>Raw Data Index / v1.1.0</x:v>
      </x:c>
      <x:c r="B1" s="2"/>
      <x:c r="C1" s="2"/>
      <x:c r="D1" s="2"/>
      <x:c r="E1" s="2"/>
    </x:row>
    <x:row r="2" ht="42" customHeight="1">
      <x:c r="A2" s="2" t="str">
        <x:v>Public evidence + chosen examples; no Olam internal investment valuation</x:v>
      </x:c>
      <x:c r="B2" s="2"/>
      <x:c r="C2" s="2"/>
      <x:c r="D2" s="2"/>
      <x:c r="E2" s="2"/>
    </x:row>
    <x:row r="3" ht="32" customHeight="1">
      <x:c r="A3" s="4" t="str">
        <x:v>Variable</x:v>
      </x:c>
      <x:c r="B3" s="4" t="str">
        <x:v>Series</x:v>
      </x:c>
      <x:c r="C3" s="4" t="str">
        <x:v>Years</x:v>
      </x:c>
      <x:c r="D3" s="4" t="str">
        <x:v>Vintage</x:v>
      </x:c>
      <x:c r="E3" s="4" t="str">
        <x:v>Clean file</x:v>
      </x:c>
    </x:row>
    <x:row r="4" ht="44" customHeight="1">
      <x:c r="A4" s="2" t="str">
        <x:v>population</x:v>
      </x:c>
      <x:c r="B4" s="2" t="str">
        <x:v>See source ID WB_population</x:v>
      </x:c>
      <x:c r="C4" s="2" t="str">
        <x:v>2000–2025, latest observations vary</x:v>
      </x:c>
      <x:c r="D4" s="2" t="str">
        <x:v>2026-07-13</x:v>
      </x:c>
      <x:c r="E4" s="2" t="str">
        <x:v>country-panel.csv</x:v>
      </x:c>
    </x:row>
    <x:row r="5" ht="44" customHeight="1">
      <x:c r="A5" s="2" t="str">
        <x:v>income_ppp</x:v>
      </x:c>
      <x:c r="B5" s="2" t="str">
        <x:v>See source ID WB_income_ppp</x:v>
      </x:c>
      <x:c r="C5" s="2" t="str">
        <x:v>2000–2025, latest observations vary</x:v>
      </x:c>
      <x:c r="D5" s="2" t="str">
        <x:v>2026-07-13</x:v>
      </x:c>
      <x:c r="E5" s="2" t="str">
        <x:v>country-panel.csv</x:v>
      </x:c>
    </x:row>
    <x:row r="6" ht="44" customHeight="1">
      <x:c r="A6" s="2" t="str">
        <x:v>urban</x:v>
      </x:c>
      <x:c r="B6" s="2" t="str">
        <x:v>See source ID WB_urban</x:v>
      </x:c>
      <x:c r="C6" s="2" t="str">
        <x:v>2000–2025, latest observations vary</x:v>
      </x:c>
      <x:c r="D6" s="2" t="str">
        <x:v>2026-07-13</x:v>
      </x:c>
      <x:c r="E6" s="2" t="str">
        <x:v>country-panel.csv</x:v>
      </x:c>
    </x:row>
    <x:row r="7" ht="44" customHeight="1">
      <x:c r="A7" s="2" t="str">
        <x:v>inflation</x:v>
      </x:c>
      <x:c r="B7" s="2" t="str">
        <x:v>See source ID WB_inflation</x:v>
      </x:c>
      <x:c r="C7" s="2" t="str">
        <x:v>2000–2025, latest observations vary</x:v>
      </x:c>
      <x:c r="D7" s="2" t="str">
        <x:v>2026-07-13</x:v>
      </x:c>
      <x:c r="E7" s="2" t="str">
        <x:v>country-panel.csv</x:v>
      </x:c>
    </x:row>
    <x:row r="8" ht="44" customHeight="1">
      <x:c r="A8" s="2" t="str">
        <x:v>food_index</x:v>
      </x:c>
      <x:c r="B8" s="2" t="str">
        <x:v>See source ID WB_food_index</x:v>
      </x:c>
      <x:c r="C8" s="2" t="str">
        <x:v>2000–2025, latest observations vary</x:v>
      </x:c>
      <x:c r="D8" s="2" t="str">
        <x:v>2026-07-13</x:v>
      </x:c>
      <x:c r="E8" s="2" t="str">
        <x:v>country-panel.csv</x:v>
      </x:c>
    </x:row>
    <x:row r="9" ht="44" customHeight="1">
      <x:c r="A9" s="2" t="str">
        <x:v>food_import_share</x:v>
      </x:c>
      <x:c r="B9" s="2" t="str">
        <x:v>See source ID WB_food_import_share</x:v>
      </x:c>
      <x:c r="C9" s="2" t="str">
        <x:v>2000–2025, latest observations vary</x:v>
      </x:c>
      <x:c r="D9" s="2" t="str">
        <x:v>2026-07-13</x:v>
      </x:c>
      <x:c r="E9" s="2" t="str">
        <x:v>country-panel.csv</x:v>
      </x:c>
    </x:row>
    <x:row r="10" ht="44" customHeight="1">
      <x:c r="A10" s="2" t="str">
        <x:v>food_export_share</x:v>
      </x:c>
      <x:c r="B10" s="2" t="str">
        <x:v>See source ID WB_food_export_share</x:v>
      </x:c>
      <x:c r="C10" s="2" t="str">
        <x:v>2000–2025, latest observations vary</x:v>
      </x:c>
      <x:c r="D10" s="2" t="str">
        <x:v>2026-07-13</x:v>
      </x:c>
      <x:c r="E10" s="2" t="str">
        <x:v>country-panel.csv</x:v>
      </x:c>
    </x:row>
    <x:row r="11" ht="44" customHeight="1">
      <x:c r="A11" s="2" t="str">
        <x:v>imports_usd</x:v>
      </x:c>
      <x:c r="B11" s="2" t="str">
        <x:v>See source ID WB_imports_usd</x:v>
      </x:c>
      <x:c r="C11" s="2" t="str">
        <x:v>2000–2025, latest observations vary</x:v>
      </x:c>
      <x:c r="D11" s="2" t="str">
        <x:v>2026-07-13</x:v>
      </x:c>
      <x:c r="E11" s="2" t="str">
        <x:v>country-panel.csv</x:v>
      </x:c>
    </x:row>
    <x:row r="12" ht="44" customHeight="1">
      <x:c r="A12" s="2" t="str">
        <x:v>exports_usd</x:v>
      </x:c>
      <x:c r="B12" s="2" t="str">
        <x:v>See source ID WB_exports_usd</x:v>
      </x:c>
      <x:c r="C12" s="2" t="str">
        <x:v>2000–2025, latest observations vary</x:v>
      </x:c>
      <x:c r="D12" s="2" t="str">
        <x:v>2026-07-13</x:v>
      </x:c>
      <x:c r="E12" s="2" t="str">
        <x:v>country-panel.csv</x:v>
      </x:c>
    </x:row>
    <x:row r="13" ht="44" customHeight="1">
      <x:c r="A13" s="2" t="str">
        <x:v>cereal_yield</x:v>
      </x:c>
      <x:c r="B13" s="2" t="str">
        <x:v>See source ID WB_cereal_yield</x:v>
      </x:c>
      <x:c r="C13" s="2" t="str">
        <x:v>2000–2025, latest observations vary</x:v>
      </x:c>
      <x:c r="D13" s="2" t="str">
        <x:v>2026-07-13</x:v>
      </x:c>
      <x:c r="E13" s="2" t="str">
        <x:v>country-panel.csv</x:v>
      </x:c>
    </x:row>
    <x:row r="14" ht="44" customHeight="1">
      <x:c r="A14" s="2" t="str">
        <x:v>water_stress</x:v>
      </x:c>
      <x:c r="B14" s="2" t="str">
        <x:v>See source ID WB_water_stress</x:v>
      </x:c>
      <x:c r="C14" s="2" t="str">
        <x:v>2000–2025, latest observations vary</x:v>
      </x:c>
      <x:c r="D14" s="2" t="str">
        <x:v>2026-07-13</x:v>
      </x:c>
      <x:c r="E14" s="2" t="str">
        <x:v>country-panel.csv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</x:cols>
  <x:sheetData>
    <x:row r="1" ht="42" customHeight="1">
      <x:c r="A1" s="5" t="str">
        <x:v>Transformations / v1.1.0</x:v>
      </x:c>
      <x:c r="B1" s="2"/>
      <x:c r="C1" s="2"/>
    </x:row>
    <x:row r="2" ht="42" customHeight="1">
      <x:c r="A2" s="2" t="str">
        <x:v>Public evidence + chosen examples; no Olam internal investment valuation</x:v>
      </x:c>
      <x:c r="B2" s="2"/>
      <x:c r="C2" s="2"/>
    </x:row>
    <x:row r="3" ht="32" customHeight="1">
      <x:c r="A3" s="4" t="str">
        <x:v>Operation</x:v>
      </x:c>
      <x:c r="B3" s="4" t="str">
        <x:v>Rule</x:v>
      </x:c>
      <x:c r="C3" s="4" t="str">
        <x:v>Failure condition</x:v>
      </x:c>
    </x:row>
    <x:row r="4" ht="44" customHeight="1">
      <x:c r="A4" s="2" t="str">
        <x:v>Population</x:v>
      </x:c>
      <x:c r="B4" s="2" t="str">
        <x:v>WPP thousands × 1,000</x:v>
      </x:c>
      <x:c r="C4" s="2" t="str">
        <x:v>Do not treat projection as realised</x:v>
      </x:c>
    </x:row>
    <x:row r="5" ht="44" customHeight="1">
      <x:c r="A5" s="2" t="str">
        <x:v>Trade proxy</x:v>
      </x:c>
      <x:c r="B5" s="2" t="str">
        <x:v>Same-year food share × merchandise imports</x:v>
      </x:c>
      <x:c r="C5" s="2" t="str">
        <x:v>Broad SITC food, not category demand</x:v>
      </x:c>
    </x:row>
    <x:row r="6" ht="44" customHeight="1">
      <x:c r="A6" s="2" t="str">
        <x:v>Regression</x:v>
      </x:c>
      <x:c r="B6" s="2" t="str">
        <x:v>Log differences then one-year lags</x:v>
      </x:c>
      <x:c r="C6" s="2" t="str">
        <x:v>Complete case, no missing imputation</x:v>
      </x:c>
    </x:row>
    <x:row r="7" ht="44" customHeight="1">
      <x:c r="A7" s="2" t="str">
        <x:v>Time basis</x:v>
      </x:c>
      <x:c r="B7" s="2" t="str">
        <x:v>365 days, annual constant USD</x:v>
      </x:c>
      <x:c r="C7" s="2" t="str">
        <x:v>Monthly seasonality remains missing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60" hidden="0" customWidth="1"/>
  </x:cols>
  <x:sheetData>
    <x:row r="1" ht="42" customHeight="1">
      <x:c r="A1" s="5" t="str">
        <x:v>Coverage / v1.1.0</x:v>
      </x:c>
      <x:c r="B1" s="2"/>
      <x:c r="C1" s="2"/>
      <x:c r="D1" s="2"/>
      <x:c r="E1" s="2"/>
    </x:row>
    <x:row r="2" ht="42" customHeight="1">
      <x:c r="A2" s="2" t="str">
        <x:v>Public evidence + chosen examples; no Olam internal investment valuation</x:v>
      </x:c>
      <x:c r="B2" s="2"/>
      <x:c r="C2" s="2"/>
      <x:c r="D2" s="2"/>
      <x:c r="E2" s="2"/>
    </x:row>
    <x:row r="3" ht="32" customHeight="1">
      <x:c r="A3" s="4" t="str">
        <x:v>Country</x:v>
      </x:c>
      <x:c r="B3" s="4" t="str">
        <x:v>Macro fields available</x:v>
      </x:c>
      <x:c r="C3" s="4" t="str">
        <x:v>Financial grade</x:v>
      </x:c>
      <x:c r="D3" s="4" t="str">
        <x:v>Country NPV</x:v>
      </x:c>
      <x:c r="E3" s="4" t="str">
        <x:v>Next evidence</x:v>
      </x:c>
    </x:row>
    <x:row r="4" ht="44" customHeight="1">
      <x:c r="A4" s="2" t="str">
        <x:v>Afghanistan</x:v>
      </x:c>
      <x:c r="B4" s="2" t="n">
        <x:v>11</x:v>
      </x:c>
      <x:c r="C4" s="2" t="str">
        <x:v>Threshold-only case</x:v>
      </x:c>
      <x:c r="D4" s="2"/>
      <x:c r="E4" s="2" t="str">
        <x:v>Reconciled customer orders and delivered unit economics, seasonal NWC, plant/route constraints, basin hazards and applicable taxes</x:v>
      </x:c>
    </x:row>
    <x:row r="5" ht="44" customHeight="1">
      <x:c r="A5" s="2" t="str">
        <x:v>Albania</x:v>
      </x:c>
      <x:c r="B5" s="2" t="n">
        <x:v>11</x:v>
      </x:c>
      <x:c r="C5" s="2" t="str">
        <x:v>Threshold-only case</x:v>
      </x:c>
      <x:c r="D5" s="2"/>
      <x:c r="E5" s="2" t="str">
        <x:v>Reconciled customer orders and delivered unit economics, seasonal NWC, plant/route constraints, basin hazards and applicable taxes</x:v>
      </x:c>
    </x:row>
    <x:row r="6" ht="44" customHeight="1">
      <x:c r="A6" s="2" t="str">
        <x:v>Algeria</x:v>
      </x:c>
      <x:c r="B6" s="2" t="n">
        <x:v>11</x:v>
      </x:c>
      <x:c r="C6" s="2" t="str">
        <x:v>Threshold-only case</x:v>
      </x:c>
      <x:c r="D6" s="2"/>
      <x:c r="E6" s="2" t="str">
        <x:v>Reconciled customer orders and delivered unit economics, seasonal NWC, plant/route constraints, basin hazards and applicable taxes</x:v>
      </x:c>
    </x:row>
    <x:row r="7" ht="44" customHeight="1">
      <x:c r="A7" s="2" t="str">
        <x:v>Andorra</x:v>
      </x:c>
      <x:c r="B7" s="2" t="n">
        <x:v>7</x:v>
      </x:c>
      <x:c r="C7" s="2" t="str">
        <x:v>Threshold-only case</x:v>
      </x:c>
      <x:c r="D7" s="2"/>
      <x:c r="E7" s="2" t="str">
        <x:v>Reconciled customer orders and delivered unit economics, seasonal NWC, plant/route constraints, basin hazards and applicable taxes</x:v>
      </x:c>
    </x:row>
    <x:row r="8" ht="44" customHeight="1">
      <x:c r="A8" s="2" t="str">
        <x:v>Angola</x:v>
      </x:c>
      <x:c r="B8" s="2" t="n">
        <x:v>11</x:v>
      </x:c>
      <x:c r="C8" s="2" t="str">
        <x:v>Threshold-only case</x:v>
      </x:c>
      <x:c r="D8" s="2"/>
      <x:c r="E8" s="2" t="str">
        <x:v>Reconciled customer orders and delivered unit economics, seasonal NWC, plant/route constraints, basin hazards and applicable taxes</x:v>
      </x:c>
    </x:row>
    <x:row r="9" ht="44" customHeight="1">
      <x:c r="A9" s="2" t="str">
        <x:v>Antigua and Barbuda</x:v>
      </x:c>
      <x:c r="B9" s="2" t="n">
        <x:v>11</x:v>
      </x:c>
      <x:c r="C9" s="2" t="str">
        <x:v>Threshold-only case</x:v>
      </x:c>
      <x:c r="D9" s="2"/>
      <x:c r="E9" s="2" t="str">
        <x:v>Reconciled customer orders and delivered unit economics, seasonal NWC, plant/route constraints, basin hazards and applicable taxes</x:v>
      </x:c>
    </x:row>
    <x:row r="10" ht="44" customHeight="1">
      <x:c r="A10" s="2" t="str">
        <x:v>Argentina</x:v>
      </x:c>
      <x:c r="B10" s="2" t="n">
        <x:v>11</x:v>
      </x:c>
      <x:c r="C10" s="2" t="str">
        <x:v>Threshold-only case</x:v>
      </x:c>
      <x:c r="D10" s="2"/>
      <x:c r="E10" s="2" t="str">
        <x:v>Reconciled customer orders and delivered unit economics, seasonal NWC, plant/route constraints, basin hazards and applicable taxes</x:v>
      </x:c>
    </x:row>
    <x:row r="11" ht="44" customHeight="1">
      <x:c r="A11" s="2" t="str">
        <x:v>Armenia</x:v>
      </x:c>
      <x:c r="B11" s="2" t="n">
        <x:v>11</x:v>
      </x:c>
      <x:c r="C11" s="2" t="str">
        <x:v>Threshold-only case</x:v>
      </x:c>
      <x:c r="D11" s="2"/>
      <x:c r="E11" s="2" t="str">
        <x:v>Reconciled customer orders and delivered unit economics, seasonal NWC, plant/route constraints, basin hazards and applicable taxes</x:v>
      </x:c>
    </x:row>
    <x:row r="12" ht="44" customHeight="1">
      <x:c r="A12" s="2" t="str">
        <x:v>Australia</x:v>
      </x:c>
      <x:c r="B12" s="2" t="n">
        <x:v>11</x:v>
      </x:c>
      <x:c r="C12" s="2" t="str">
        <x:v>Threshold-only case</x:v>
      </x:c>
      <x:c r="D12" s="2"/>
      <x:c r="E12" s="2" t="str">
        <x:v>Reconciled customer orders and delivered unit economics, seasonal NWC, plant/route constraints, basin hazards and applicable taxes</x:v>
      </x:c>
    </x:row>
    <x:row r="13" ht="44" customHeight="1">
      <x:c r="A13" s="2" t="str">
        <x:v>Austria</x:v>
      </x:c>
      <x:c r="B13" s="2" t="n">
        <x:v>11</x:v>
      </x:c>
      <x:c r="C13" s="2" t="str">
        <x:v>Threshold-only case</x:v>
      </x:c>
      <x:c r="D13" s="2"/>
      <x:c r="E13" s="2" t="str">
        <x:v>Reconciled customer orders and delivered unit economics, seasonal NWC, plant/route constraints, basin hazards and applicable taxes</x:v>
      </x:c>
    </x:row>
    <x:row r="14" ht="44" customHeight="1">
      <x:c r="A14" s="2" t="str">
        <x:v>Azerbaijan</x:v>
      </x:c>
      <x:c r="B14" s="2" t="n">
        <x:v>11</x:v>
      </x:c>
      <x:c r="C14" s="2" t="str">
        <x:v>Threshold-only case</x:v>
      </x:c>
      <x:c r="D14" s="2"/>
      <x:c r="E14" s="2" t="str">
        <x:v>Reconciled customer orders and delivered unit economics, seasonal NWC, plant/route constraints, basin hazards and applicable taxes</x:v>
      </x:c>
    </x:row>
    <x:row r="15" ht="44" customHeight="1">
      <x:c r="A15" s="2" t="str">
        <x:v>Bahamas</x:v>
      </x:c>
      <x:c r="B15" s="2" t="n">
        <x:v>10</x:v>
      </x:c>
      <x:c r="C15" s="2" t="str">
        <x:v>Threshold-only case</x:v>
      </x:c>
      <x:c r="D15" s="2"/>
      <x:c r="E15" s="2" t="str">
        <x:v>Reconciled customer orders and delivered unit economics, seasonal NWC, plant/route constraints, basin hazards and applicable taxes</x:v>
      </x:c>
    </x:row>
    <x:row r="16" ht="44" customHeight="1">
      <x:c r="A16" s="2" t="str">
        <x:v>Bahrain</x:v>
      </x:c>
      <x:c r="B16" s="2" t="n">
        <x:v>10</x:v>
      </x:c>
      <x:c r="C16" s="2" t="str">
        <x:v>Threshold-only case</x:v>
      </x:c>
      <x:c r="D16" s="2"/>
      <x:c r="E16" s="2" t="str">
        <x:v>Reconciled customer orders and delivered unit economics, seasonal NWC, plant/route constraints, basin hazards and applicable taxes</x:v>
      </x:c>
    </x:row>
    <x:row r="17" ht="44" customHeight="1">
      <x:c r="A17" s="2" t="str">
        <x:v>Bangladesh</x:v>
      </x:c>
      <x:c r="B17" s="2" t="n">
        <x:v>11</x:v>
      </x:c>
      <x:c r="C17" s="2" t="str">
        <x:v>Threshold-only case</x:v>
      </x:c>
      <x:c r="D17" s="2"/>
      <x:c r="E17" s="2" t="str">
        <x:v>Reconciled customer orders and delivered unit economics, seasonal NWC, plant/route constraints, basin hazards and applicable taxes</x:v>
      </x:c>
    </x:row>
    <x:row r="18" ht="44" customHeight="1">
      <x:c r="A18" s="2" t="str">
        <x:v>Barbados</x:v>
      </x:c>
      <x:c r="B18" s="2" t="n">
        <x:v>11</x:v>
      </x:c>
      <x:c r="C18" s="2" t="str">
        <x:v>Threshold-only case</x:v>
      </x:c>
      <x:c r="D18" s="2"/>
      <x:c r="E18" s="2" t="str">
        <x:v>Reconciled customer orders and delivered unit economics, seasonal NWC, plant/route constraints, basin hazards and applicable taxes</x:v>
      </x:c>
    </x:row>
    <x:row r="19" ht="44" customHeight="1">
      <x:c r="A19" s="2" t="str">
        <x:v>Belarus</x:v>
      </x:c>
      <x:c r="B19" s="2" t="n">
        <x:v>11</x:v>
      </x:c>
      <x:c r="C19" s="2" t="str">
        <x:v>Threshold-only case</x:v>
      </x:c>
      <x:c r="D19" s="2"/>
      <x:c r="E19" s="2" t="str">
        <x:v>Reconciled customer orders and delivered unit economics, seasonal NWC, plant/route constraints, basin hazards and applicable taxes</x:v>
      </x:c>
    </x:row>
    <x:row r="20" ht="44" customHeight="1">
      <x:c r="A20" s="2" t="str">
        <x:v>Belgium</x:v>
      </x:c>
      <x:c r="B20" s="2" t="n">
        <x:v>11</x:v>
      </x:c>
      <x:c r="C20" s="2" t="str">
        <x:v>Threshold-only case</x:v>
      </x:c>
      <x:c r="D20" s="2"/>
      <x:c r="E20" s="2" t="str">
        <x:v>Reconciled customer orders and delivered unit economics, seasonal NWC, plant/route constraints, basin hazards and applicable taxes</x:v>
      </x:c>
    </x:row>
    <x:row r="21" ht="44" customHeight="1">
      <x:c r="A21" s="2" t="str">
        <x:v>Belize</x:v>
      </x:c>
      <x:c r="B21" s="2" t="n">
        <x:v>11</x:v>
      </x:c>
      <x:c r="C21" s="2" t="str">
        <x:v>Threshold-only case</x:v>
      </x:c>
      <x:c r="D21" s="2"/>
      <x:c r="E21" s="2" t="str">
        <x:v>Reconciled customer orders and delivered unit economics, seasonal NWC, plant/route constraints, basin hazards and applicable taxes</x:v>
      </x:c>
    </x:row>
    <x:row r="22" ht="44" customHeight="1">
      <x:c r="A22" s="2" t="str">
        <x:v>Benin</x:v>
      </x:c>
      <x:c r="B22" s="2" t="n">
        <x:v>11</x:v>
      </x:c>
      <x:c r="C22" s="2" t="str">
        <x:v>Threshold-only case</x:v>
      </x:c>
      <x:c r="D22" s="2"/>
      <x:c r="E22" s="2" t="str">
        <x:v>Reconciled customer orders and delivered unit economics, seasonal NWC, plant/route constraints, basin hazards and applicable taxes</x:v>
      </x:c>
    </x:row>
    <x:row r="23" ht="44" customHeight="1">
      <x:c r="A23" s="2" t="str">
        <x:v>Bhutan</x:v>
      </x:c>
      <x:c r="B23" s="2" t="n">
        <x:v>11</x:v>
      </x:c>
      <x:c r="C23" s="2" t="str">
        <x:v>Threshold-only case</x:v>
      </x:c>
      <x:c r="D23" s="2"/>
      <x:c r="E23" s="2" t="str">
        <x:v>Reconciled customer orders and delivered unit economics, seasonal NWC, plant/route constraints, basin hazards and applicable taxes</x:v>
      </x:c>
    </x:row>
    <x:row r="24" ht="44" customHeight="1">
      <x:c r="A24" s="2" t="str">
        <x:v>Bolivia (Plurinational State of)</x:v>
      </x:c>
      <x:c r="B24" s="2" t="n">
        <x:v>11</x:v>
      </x:c>
      <x:c r="C24" s="2" t="str">
        <x:v>Threshold-only case</x:v>
      </x:c>
      <x:c r="D24" s="2"/>
      <x:c r="E24" s="2" t="str">
        <x:v>Reconciled customer orders and delivered unit economics, seasonal NWC, plant/route constraints, basin hazards and applicable taxes</x:v>
      </x:c>
    </x:row>
    <x:row r="25" ht="44" customHeight="1">
      <x:c r="A25" s="2" t="str">
        <x:v>Bosnia and Herzegovina</x:v>
      </x:c>
      <x:c r="B25" s="2" t="n">
        <x:v>11</x:v>
      </x:c>
      <x:c r="C25" s="2" t="str">
        <x:v>Threshold-only case</x:v>
      </x:c>
      <x:c r="D25" s="2"/>
      <x:c r="E25" s="2" t="str">
        <x:v>Reconciled customer orders and delivered unit economics, seasonal NWC, plant/route constraints, basin hazards and applicable taxes</x:v>
      </x:c>
    </x:row>
    <x:row r="26" ht="44" customHeight="1">
      <x:c r="A26" s="2" t="str">
        <x:v>Botswana</x:v>
      </x:c>
      <x:c r="B26" s="2" t="n">
        <x:v>11</x:v>
      </x:c>
      <x:c r="C26" s="2" t="str">
        <x:v>Threshold-only case</x:v>
      </x:c>
      <x:c r="D26" s="2"/>
      <x:c r="E26" s="2" t="str">
        <x:v>Reconciled customer orders and delivered unit economics, seasonal NWC, plant/route constraints, basin hazards and applicable taxes</x:v>
      </x:c>
    </x:row>
    <x:row r="27" ht="44" customHeight="1">
      <x:c r="A27" s="2" t="str">
        <x:v>Brazil</x:v>
      </x:c>
      <x:c r="B27" s="2" t="n">
        <x:v>11</x:v>
      </x:c>
      <x:c r="C27" s="2" t="str">
        <x:v>Threshold-only case</x:v>
      </x:c>
      <x:c r="D27" s="2"/>
      <x:c r="E27" s="2" t="str">
        <x:v>Reconciled customer orders and delivered unit economics, seasonal NWC, plant/route constraints, basin hazards and applicable taxes</x:v>
      </x:c>
    </x:row>
    <x:row r="28" ht="44" customHeight="1">
      <x:c r="A28" s="2" t="str">
        <x:v>Brunei Darussalam</x:v>
      </x:c>
      <x:c r="B28" s="2" t="n">
        <x:v>11</x:v>
      </x:c>
      <x:c r="C28" s="2" t="str">
        <x:v>Threshold-only case</x:v>
      </x:c>
      <x:c r="D28" s="2"/>
      <x:c r="E28" s="2" t="str">
        <x:v>Reconciled customer orders and delivered unit economics, seasonal NWC, plant/route constraints, basin hazards and applicable taxes</x:v>
      </x:c>
    </x:row>
    <x:row r="29" ht="44" customHeight="1">
      <x:c r="A29" s="2" t="str">
        <x:v>Bulgaria</x:v>
      </x:c>
      <x:c r="B29" s="2" t="n">
        <x:v>11</x:v>
      </x:c>
      <x:c r="C29" s="2" t="str">
        <x:v>Threshold-only case</x:v>
      </x:c>
      <x:c r="D29" s="2"/>
      <x:c r="E29" s="2" t="str">
        <x:v>Reconciled customer orders and delivered unit economics, seasonal NWC, plant/route constraints, basin hazards and applicable taxes</x:v>
      </x:c>
    </x:row>
    <x:row r="30" ht="44" customHeight="1">
      <x:c r="A30" s="2" t="str">
        <x:v>Burkina Faso</x:v>
      </x:c>
      <x:c r="B30" s="2" t="n">
        <x:v>11</x:v>
      </x:c>
      <x:c r="C30" s="2" t="str">
        <x:v>Threshold-only case</x:v>
      </x:c>
      <x:c r="D30" s="2"/>
      <x:c r="E30" s="2" t="str">
        <x:v>Reconciled customer orders and delivered unit economics, seasonal NWC, plant/route constraints, basin hazards and applicable taxes</x:v>
      </x:c>
    </x:row>
    <x:row r="31" ht="44" customHeight="1">
      <x:c r="A31" s="2" t="str">
        <x:v>Burundi</x:v>
      </x:c>
      <x:c r="B31" s="2" t="n">
        <x:v>11</x:v>
      </x:c>
      <x:c r="C31" s="2" t="str">
        <x:v>Threshold-only case</x:v>
      </x:c>
      <x:c r="D31" s="2"/>
      <x:c r="E31" s="2" t="str">
        <x:v>Reconciled customer orders and delivered unit economics, seasonal NWC, plant/route constraints, basin hazards and applicable taxes</x:v>
      </x:c>
    </x:row>
    <x:row r="32" ht="44" customHeight="1">
      <x:c r="A32" s="2" t="str">
        <x:v>Cabo Verde</x:v>
      </x:c>
      <x:c r="B32" s="2" t="n">
        <x:v>11</x:v>
      </x:c>
      <x:c r="C32" s="2" t="str">
        <x:v>Threshold-only case</x:v>
      </x:c>
      <x:c r="D32" s="2"/>
      <x:c r="E32" s="2" t="str">
        <x:v>Reconciled customer orders and delivered unit economics, seasonal NWC, plant/route constraints, basin hazards and applicable taxes</x:v>
      </x:c>
    </x:row>
    <x:row r="33" ht="44" customHeight="1">
      <x:c r="A33" s="2" t="str">
        <x:v>Cambodia</x:v>
      </x:c>
      <x:c r="B33" s="2" t="n">
        <x:v>11</x:v>
      </x:c>
      <x:c r="C33" s="2" t="str">
        <x:v>Threshold-only case</x:v>
      </x:c>
      <x:c r="D33" s="2"/>
      <x:c r="E33" s="2" t="str">
        <x:v>Reconciled customer orders and delivered unit economics, seasonal NWC, plant/route constraints, basin hazards and applicable taxes</x:v>
      </x:c>
    </x:row>
    <x:row r="34" ht="44" customHeight="1">
      <x:c r="A34" s="2" t="str">
        <x:v>Cameroon</x:v>
      </x:c>
      <x:c r="B34" s="2" t="n">
        <x:v>11</x:v>
      </x:c>
      <x:c r="C34" s="2" t="str">
        <x:v>Threshold-only case</x:v>
      </x:c>
      <x:c r="D34" s="2"/>
      <x:c r="E34" s="2" t="str">
        <x:v>Reconciled customer orders and delivered unit economics, seasonal NWC, plant/route constraints, basin hazards and applicable taxes</x:v>
      </x:c>
    </x:row>
    <x:row r="35" ht="44" customHeight="1">
      <x:c r="A35" s="2" t="str">
        <x:v>Canada</x:v>
      </x:c>
      <x:c r="B35" s="2" t="n">
        <x:v>11</x:v>
      </x:c>
      <x:c r="C35" s="2" t="str">
        <x:v>Threshold-only case</x:v>
      </x:c>
      <x:c r="D35" s="2"/>
      <x:c r="E35" s="2" t="str">
        <x:v>Reconciled customer orders and delivered unit economics, seasonal NWC, plant/route constraints, basin hazards and applicable taxes</x:v>
      </x:c>
    </x:row>
    <x:row r="36" ht="44" customHeight="1">
      <x:c r="A36" s="2" t="str">
        <x:v>Central African Republic</x:v>
      </x:c>
      <x:c r="B36" s="2" t="n">
        <x:v>11</x:v>
      </x:c>
      <x:c r="C36" s="2" t="str">
        <x:v>Threshold-only case</x:v>
      </x:c>
      <x:c r="D36" s="2"/>
      <x:c r="E36" s="2" t="str">
        <x:v>Reconciled customer orders and delivered unit economics, seasonal NWC, plant/route constraints, basin hazards and applicable taxes</x:v>
      </x:c>
    </x:row>
    <x:row r="37" ht="44" customHeight="1">
      <x:c r="A37" s="2" t="str">
        <x:v>Chad</x:v>
      </x:c>
      <x:c r="B37" s="2" t="n">
        <x:v>9</x:v>
      </x:c>
      <x:c r="C37" s="2" t="str">
        <x:v>Threshold-only case</x:v>
      </x:c>
      <x:c r="D37" s="2"/>
      <x:c r="E37" s="2" t="str">
        <x:v>Reconciled customer orders and delivered unit economics, seasonal NWC, plant/route constraints, basin hazards and applicable taxes</x:v>
      </x:c>
    </x:row>
    <x:row r="38" ht="44" customHeight="1">
      <x:c r="A38" s="2" t="str">
        <x:v>Chile</x:v>
      </x:c>
      <x:c r="B38" s="2" t="n">
        <x:v>11</x:v>
      </x:c>
      <x:c r="C38" s="2" t="str">
        <x:v>Threshold-only case</x:v>
      </x:c>
      <x:c r="D38" s="2"/>
      <x:c r="E38" s="2" t="str">
        <x:v>Reconciled customer orders and delivered unit economics, seasonal NWC, plant/route constraints, basin hazards and applicable taxes</x:v>
      </x:c>
    </x:row>
    <x:row r="39" ht="44" customHeight="1">
      <x:c r="A39" s="2" t="str">
        <x:v>China</x:v>
      </x:c>
      <x:c r="B39" s="2" t="n">
        <x:v>11</x:v>
      </x:c>
      <x:c r="C39" s="2" t="str">
        <x:v>Threshold-only case</x:v>
      </x:c>
      <x:c r="D39" s="2"/>
      <x:c r="E39" s="2" t="str">
        <x:v>Reconciled customer orders and delivered unit economics, seasonal NWC, plant/route constraints, basin hazards and applicable taxes</x:v>
      </x:c>
    </x:row>
    <x:row r="40" ht="44" customHeight="1">
      <x:c r="A40" s="2" t="str">
        <x:v>Colombia</x:v>
      </x:c>
      <x:c r="B40" s="2" t="n">
        <x:v>11</x:v>
      </x:c>
      <x:c r="C40" s="2" t="str">
        <x:v>Threshold-only case</x:v>
      </x:c>
      <x:c r="D40" s="2"/>
      <x:c r="E40" s="2" t="str">
        <x:v>Reconciled customer orders and delivered unit economics, seasonal NWC, plant/route constraints, basin hazards and applicable taxes</x:v>
      </x:c>
    </x:row>
    <x:row r="41" ht="44" customHeight="1">
      <x:c r="A41" s="2" t="str">
        <x:v>Comoros</x:v>
      </x:c>
      <x:c r="B41" s="2" t="n">
        <x:v>11</x:v>
      </x:c>
      <x:c r="C41" s="2" t="str">
        <x:v>Threshold-only case</x:v>
      </x:c>
      <x:c r="D41" s="2"/>
      <x:c r="E41" s="2" t="str">
        <x:v>Reconciled customer orders and delivered unit economics, seasonal NWC, plant/route constraints, basin hazards and applicable taxes</x:v>
      </x:c>
    </x:row>
    <x:row r="42" ht="44" customHeight="1">
      <x:c r="A42" s="2" t="str">
        <x:v>Congo</x:v>
      </x:c>
      <x:c r="B42" s="2" t="n">
        <x:v>11</x:v>
      </x:c>
      <x:c r="C42" s="2" t="str">
        <x:v>Threshold-only case</x:v>
      </x:c>
      <x:c r="D42" s="2"/>
      <x:c r="E42" s="2" t="str">
        <x:v>Reconciled customer orders and delivered unit economics, seasonal NWC, plant/route constraints, basin hazards and applicable taxes</x:v>
      </x:c>
    </x:row>
    <x:row r="43" ht="44" customHeight="1">
      <x:c r="A43" s="2" t="str">
        <x:v>Costa Rica</x:v>
      </x:c>
      <x:c r="B43" s="2" t="n">
        <x:v>11</x:v>
      </x:c>
      <x:c r="C43" s="2" t="str">
        <x:v>Threshold-only case</x:v>
      </x:c>
      <x:c r="D43" s="2"/>
      <x:c r="E43" s="2" t="str">
        <x:v>Reconciled customer orders and delivered unit economics, seasonal NWC, plant/route constraints, basin hazards and applicable taxes</x:v>
      </x:c>
    </x:row>
    <x:row r="44" ht="44" customHeight="1">
      <x:c r="A44" s="2" t="str">
        <x:v>Croatia</x:v>
      </x:c>
      <x:c r="B44" s="2" t="n">
        <x:v>11</x:v>
      </x:c>
      <x:c r="C44" s="2" t="str">
        <x:v>Threshold-only case</x:v>
      </x:c>
      <x:c r="D44" s="2"/>
      <x:c r="E44" s="2" t="str">
        <x:v>Reconciled customer orders and delivered unit economics, seasonal NWC, plant/route constraints, basin hazards and applicable taxes</x:v>
      </x:c>
    </x:row>
    <x:row r="45" ht="44" customHeight="1">
      <x:c r="A45" s="2" t="str">
        <x:v>Cuba</x:v>
      </x:c>
      <x:c r="B45" s="2" t="n">
        <x:v>9</x:v>
      </x:c>
      <x:c r="C45" s="2" t="str">
        <x:v>Threshold-only case</x:v>
      </x:c>
      <x:c r="D45" s="2"/>
      <x:c r="E45" s="2" t="str">
        <x:v>Reconciled customer orders and delivered unit economics, seasonal NWC, plant/route constraints, basin hazards and applicable taxes</x:v>
      </x:c>
    </x:row>
    <x:row r="46" ht="44" customHeight="1">
      <x:c r="A46" s="2" t="str">
        <x:v>Cyprus</x:v>
      </x:c>
      <x:c r="B46" s="2" t="n">
        <x:v>11</x:v>
      </x:c>
      <x:c r="C46" s="2" t="str">
        <x:v>Threshold-only case</x:v>
      </x:c>
      <x:c r="D46" s="2"/>
      <x:c r="E46" s="2" t="str">
        <x:v>Reconciled customer orders and delivered unit economics, seasonal NWC, plant/route constraints, basin hazards and applicable taxes</x:v>
      </x:c>
    </x:row>
    <x:row r="47" ht="44" customHeight="1">
      <x:c r="A47" s="2" t="str">
        <x:v>Czechia</x:v>
      </x:c>
      <x:c r="B47" s="2" t="n">
        <x:v>11</x:v>
      </x:c>
      <x:c r="C47" s="2" t="str">
        <x:v>Threshold-only case</x:v>
      </x:c>
      <x:c r="D47" s="2"/>
      <x:c r="E47" s="2" t="str">
        <x:v>Reconciled customer orders and delivered unit economics, seasonal NWC, plant/route constraints, basin hazards and applicable taxes</x:v>
      </x:c>
    </x:row>
    <x:row r="48" ht="44" customHeight="1">
      <x:c r="A48" s="2" t="str">
        <x:v>Côte d’Ivoire</x:v>
      </x:c>
      <x:c r="B48" s="2" t="n">
        <x:v>11</x:v>
      </x:c>
      <x:c r="C48" s="2" t="str">
        <x:v>Threshold-only case</x:v>
      </x:c>
      <x:c r="D48" s="2"/>
      <x:c r="E48" s="2" t="str">
        <x:v>Reconciled customer orders and delivered unit economics, seasonal NWC, plant/route constraints, basin hazards and applicable taxes</x:v>
      </x:c>
    </x:row>
    <x:row r="49" ht="44" customHeight="1">
      <x:c r="A49" s="2" t="str">
        <x:v>Democratic People's Republic of Korea</x:v>
      </x:c>
      <x:c r="B49" s="2" t="n">
        <x:v>7</x:v>
      </x:c>
      <x:c r="C49" s="2" t="str">
        <x:v>Threshold-only case</x:v>
      </x:c>
      <x:c r="D49" s="2"/>
      <x:c r="E49" s="2" t="str">
        <x:v>Reconciled customer orders and delivered unit economics, seasonal NWC, plant/route constraints, basin hazards and applicable taxes</x:v>
      </x:c>
    </x:row>
    <x:row r="50" ht="44" customHeight="1">
      <x:c r="A50" s="2" t="str">
        <x:v>Democratic Republic of the Congo</x:v>
      </x:c>
      <x:c r="B50" s="2" t="n">
        <x:v>11</x:v>
      </x:c>
      <x:c r="C50" s="2" t="str">
        <x:v>Threshold-only case</x:v>
      </x:c>
      <x:c r="D50" s="2"/>
      <x:c r="E50" s="2" t="str">
        <x:v>Reconciled customer orders and delivered unit economics, seasonal NWC, plant/route constraints, basin hazards and applicable taxes</x:v>
      </x:c>
    </x:row>
    <x:row r="51" ht="44" customHeight="1">
      <x:c r="A51" s="2" t="str">
        <x:v>Denmark</x:v>
      </x:c>
      <x:c r="B51" s="2" t="n">
        <x:v>11</x:v>
      </x:c>
      <x:c r="C51" s="2" t="str">
        <x:v>Threshold-only case</x:v>
      </x:c>
      <x:c r="D51" s="2"/>
      <x:c r="E51" s="2" t="str">
        <x:v>Reconciled customer orders and delivered unit economics, seasonal NWC, plant/route constraints, basin hazards and applicable taxes</x:v>
      </x:c>
    </x:row>
    <x:row r="52" ht="44" customHeight="1">
      <x:c r="A52" s="2" t="str">
        <x:v>Djibouti</x:v>
      </x:c>
      <x:c r="B52" s="2" t="n">
        <x:v>11</x:v>
      </x:c>
      <x:c r="C52" s="2" t="str">
        <x:v>Threshold-only case</x:v>
      </x:c>
      <x:c r="D52" s="2"/>
      <x:c r="E52" s="2" t="str">
        <x:v>Reconciled customer orders and delivered unit economics, seasonal NWC, plant/route constraints, basin hazards and applicable taxes</x:v>
      </x:c>
    </x:row>
    <x:row r="53" ht="44" customHeight="1">
      <x:c r="A53" s="2" t="str">
        <x:v>Dominica</x:v>
      </x:c>
      <x:c r="B53" s="2" t="n">
        <x:v>11</x:v>
      </x:c>
      <x:c r="C53" s="2" t="str">
        <x:v>Threshold-only case</x:v>
      </x:c>
      <x:c r="D53" s="2"/>
      <x:c r="E53" s="2" t="str">
        <x:v>Reconciled customer orders and delivered unit economics, seasonal NWC, plant/route constraints, basin hazards and applicable taxes</x:v>
      </x:c>
    </x:row>
    <x:row r="54" ht="44" customHeight="1">
      <x:c r="A54" s="2" t="str">
        <x:v>Dominican Republic</x:v>
      </x:c>
      <x:c r="B54" s="2" t="n">
        <x:v>11</x:v>
      </x:c>
      <x:c r="C54" s="2" t="str">
        <x:v>Threshold-only case</x:v>
      </x:c>
      <x:c r="D54" s="2"/>
      <x:c r="E54" s="2" t="str">
        <x:v>Reconciled customer orders and delivered unit economics, seasonal NWC, plant/route constraints, basin hazards and applicable taxes</x:v>
      </x:c>
    </x:row>
    <x:row r="55" ht="44" customHeight="1">
      <x:c r="A55" s="2" t="str">
        <x:v>Ecuador</x:v>
      </x:c>
      <x:c r="B55" s="2" t="n">
        <x:v>11</x:v>
      </x:c>
      <x:c r="C55" s="2" t="str">
        <x:v>Threshold-only case</x:v>
      </x:c>
      <x:c r="D55" s="2"/>
      <x:c r="E55" s="2" t="str">
        <x:v>Reconciled customer orders and delivered unit economics, seasonal NWC, plant/route constraints, basin hazards and applicable taxes</x:v>
      </x:c>
    </x:row>
    <x:row r="56" ht="44" customHeight="1">
      <x:c r="A56" s="2" t="str">
        <x:v>Egypt</x:v>
      </x:c>
      <x:c r="B56" s="2" t="n">
        <x:v>11</x:v>
      </x:c>
      <x:c r="C56" s="2" t="str">
        <x:v>Threshold-only case</x:v>
      </x:c>
      <x:c r="D56" s="2"/>
      <x:c r="E56" s="2" t="str">
        <x:v>Reconciled customer orders and delivered unit economics, seasonal NWC, plant/route constraints, basin hazards and applicable taxes</x:v>
      </x:c>
    </x:row>
    <x:row r="57" ht="44" customHeight="1">
      <x:c r="A57" s="2" t="str">
        <x:v>El Salvador</x:v>
      </x:c>
      <x:c r="B57" s="2" t="n">
        <x:v>11</x:v>
      </x:c>
      <x:c r="C57" s="2" t="str">
        <x:v>Threshold-only case</x:v>
      </x:c>
      <x:c r="D57" s="2"/>
      <x:c r="E57" s="2" t="str">
        <x:v>Reconciled customer orders and delivered unit economics, seasonal NWC, plant/route constraints, basin hazards and applicable taxes</x:v>
      </x:c>
    </x:row>
    <x:row r="58" ht="44" customHeight="1">
      <x:c r="A58" s="2" t="str">
        <x:v>Equatorial Guinea</x:v>
      </x:c>
      <x:c r="B58" s="2" t="n">
        <x:v>8</x:v>
      </x:c>
      <x:c r="C58" s="2" t="str">
        <x:v>Threshold-only case</x:v>
      </x:c>
      <x:c r="D58" s="2"/>
      <x:c r="E58" s="2" t="str">
        <x:v>Reconciled customer orders and delivered unit economics, seasonal NWC, plant/route constraints, basin hazards and applicable taxes</x:v>
      </x:c>
    </x:row>
    <x:row r="59" ht="44" customHeight="1">
      <x:c r="A59" s="2" t="str">
        <x:v>Eritrea</x:v>
      </x:c>
      <x:c r="B59" s="2" t="n">
        <x:v>9</x:v>
      </x:c>
      <x:c r="C59" s="2" t="str">
        <x:v>Threshold-only case</x:v>
      </x:c>
      <x:c r="D59" s="2"/>
      <x:c r="E59" s="2" t="str">
        <x:v>Reconciled customer orders and delivered unit economics, seasonal NWC, plant/route constraints, basin hazards and applicable taxes</x:v>
      </x:c>
    </x:row>
    <x:row r="60" ht="44" customHeight="1">
      <x:c r="A60" s="2" t="str">
        <x:v>Estonia</x:v>
      </x:c>
      <x:c r="B60" s="2" t="n">
        <x:v>11</x:v>
      </x:c>
      <x:c r="C60" s="2" t="str">
        <x:v>Threshold-only case</x:v>
      </x:c>
      <x:c r="D60" s="2"/>
      <x:c r="E60" s="2" t="str">
        <x:v>Reconciled customer orders and delivered unit economics, seasonal NWC, plant/route constraints, basin hazards and applicable taxes</x:v>
      </x:c>
    </x:row>
    <x:row r="61" ht="44" customHeight="1">
      <x:c r="A61" s="2" t="str">
        <x:v>Eswatini</x:v>
      </x:c>
      <x:c r="B61" s="2" t="n">
        <x:v>11</x:v>
      </x:c>
      <x:c r="C61" s="2" t="str">
        <x:v>Threshold-only case</x:v>
      </x:c>
      <x:c r="D61" s="2"/>
      <x:c r="E61" s="2" t="str">
        <x:v>Reconciled customer orders and delivered unit economics, seasonal NWC, plant/route constraints, basin hazards and applicable taxes</x:v>
      </x:c>
    </x:row>
    <x:row r="62" ht="44" customHeight="1">
      <x:c r="A62" s="2" t="str">
        <x:v>Ethiopia</x:v>
      </x:c>
      <x:c r="B62" s="2" t="n">
        <x:v>11</x:v>
      </x:c>
      <x:c r="C62" s="2" t="str">
        <x:v>Threshold-only case</x:v>
      </x:c>
      <x:c r="D62" s="2"/>
      <x:c r="E62" s="2" t="str">
        <x:v>Reconciled customer orders and delivered unit economics, seasonal NWC, plant/route constraints, basin hazards and applicable taxes</x:v>
      </x:c>
    </x:row>
    <x:row r="63" ht="44" customHeight="1">
      <x:c r="A63" s="2" t="str">
        <x:v>Fiji</x:v>
      </x:c>
      <x:c r="B63" s="2" t="n">
        <x:v>11</x:v>
      </x:c>
      <x:c r="C63" s="2" t="str">
        <x:v>Threshold-only case</x:v>
      </x:c>
      <x:c r="D63" s="2"/>
      <x:c r="E63" s="2" t="str">
        <x:v>Reconciled customer orders and delivered unit economics, seasonal NWC, plant/route constraints, basin hazards and applicable taxes</x:v>
      </x:c>
    </x:row>
    <x:row r="64" ht="44" customHeight="1">
      <x:c r="A64" s="2" t="str">
        <x:v>Finland</x:v>
      </x:c>
      <x:c r="B64" s="2" t="n">
        <x:v>11</x:v>
      </x:c>
      <x:c r="C64" s="2" t="str">
        <x:v>Threshold-only case</x:v>
      </x:c>
      <x:c r="D64" s="2"/>
      <x:c r="E64" s="2" t="str">
        <x:v>Reconciled customer orders and delivered unit economics, seasonal NWC, plant/route constraints, basin hazards and applicable taxes</x:v>
      </x:c>
    </x:row>
    <x:row r="65" ht="44" customHeight="1">
      <x:c r="A65" s="2" t="str">
        <x:v>France</x:v>
      </x:c>
      <x:c r="B65" s="2" t="n">
        <x:v>11</x:v>
      </x:c>
      <x:c r="C65" s="2" t="str">
        <x:v>Threshold-only case</x:v>
      </x:c>
      <x:c r="D65" s="2"/>
      <x:c r="E65" s="2" t="str">
        <x:v>Reconciled customer orders and delivered unit economics, seasonal NWC, plant/route constraints, basin hazards and applicable taxes</x:v>
      </x:c>
    </x:row>
    <x:row r="66" ht="44" customHeight="1">
      <x:c r="A66" s="2" t="str">
        <x:v>Gabon</x:v>
      </x:c>
      <x:c r="B66" s="2" t="n">
        <x:v>11</x:v>
      </x:c>
      <x:c r="C66" s="2" t="str">
        <x:v>Threshold-only case</x:v>
      </x:c>
      <x:c r="D66" s="2"/>
      <x:c r="E66" s="2" t="str">
        <x:v>Reconciled customer orders and delivered unit economics, seasonal NWC, plant/route constraints, basin hazards and applicable taxes</x:v>
      </x:c>
    </x:row>
    <x:row r="67" ht="44" customHeight="1">
      <x:c r="A67" s="2" t="str">
        <x:v>Gambia</x:v>
      </x:c>
      <x:c r="B67" s="2" t="n">
        <x:v>11</x:v>
      </x:c>
      <x:c r="C67" s="2" t="str">
        <x:v>Threshold-only case</x:v>
      </x:c>
      <x:c r="D67" s="2"/>
      <x:c r="E67" s="2" t="str">
        <x:v>Reconciled customer orders and delivered unit economics, seasonal NWC, plant/route constraints, basin hazards and applicable taxes</x:v>
      </x:c>
    </x:row>
    <x:row r="68" ht="44" customHeight="1">
      <x:c r="A68" s="2" t="str">
        <x:v>Georgia</x:v>
      </x:c>
      <x:c r="B68" s="2" t="n">
        <x:v>11</x:v>
      </x:c>
      <x:c r="C68" s="2" t="str">
        <x:v>Threshold-only case</x:v>
      </x:c>
      <x:c r="D68" s="2"/>
      <x:c r="E68" s="2" t="str">
        <x:v>Reconciled customer orders and delivered unit economics, seasonal NWC, plant/route constraints, basin hazards and applicable taxes</x:v>
      </x:c>
    </x:row>
    <x:row r="69" ht="44" customHeight="1">
      <x:c r="A69" s="2" t="str">
        <x:v>Germany</x:v>
      </x:c>
      <x:c r="B69" s="2" t="n">
        <x:v>11</x:v>
      </x:c>
      <x:c r="C69" s="2" t="str">
        <x:v>Threshold-only case</x:v>
      </x:c>
      <x:c r="D69" s="2"/>
      <x:c r="E69" s="2" t="str">
        <x:v>Reconciled customer orders and delivered unit economics, seasonal NWC, plant/route constraints, basin hazards and applicable taxes</x:v>
      </x:c>
    </x:row>
    <x:row r="70" ht="44" customHeight="1">
      <x:c r="A70" s="2" t="str">
        <x:v>Ghana</x:v>
      </x:c>
      <x:c r="B70" s="2" t="n">
        <x:v>11</x:v>
      </x:c>
      <x:c r="C70" s="2" t="str">
        <x:v>Threshold-only case</x:v>
      </x:c>
      <x:c r="D70" s="2"/>
      <x:c r="E70" s="2" t="str">
        <x:v>Reconciled customer orders and delivered unit economics, seasonal NWC, plant/route constraints, basin hazards and applicable taxes</x:v>
      </x:c>
    </x:row>
    <x:row r="71" ht="44" customHeight="1">
      <x:c r="A71" s="2" t="str">
        <x:v>Greece</x:v>
      </x:c>
      <x:c r="B71" s="2" t="n">
        <x:v>11</x:v>
      </x:c>
      <x:c r="C71" s="2" t="str">
        <x:v>Threshold-only case</x:v>
      </x:c>
      <x:c r="D71" s="2"/>
      <x:c r="E71" s="2" t="str">
        <x:v>Reconciled customer orders and delivered unit economics, seasonal NWC, plant/route constraints, basin hazards and applicable taxes</x:v>
      </x:c>
    </x:row>
    <x:row r="72" ht="44" customHeight="1">
      <x:c r="A72" s="2" t="str">
        <x:v>Grenada</x:v>
      </x:c>
      <x:c r="B72" s="2" t="n">
        <x:v>11</x:v>
      </x:c>
      <x:c r="C72" s="2" t="str">
        <x:v>Threshold-only case</x:v>
      </x:c>
      <x:c r="D72" s="2"/>
      <x:c r="E72" s="2" t="str">
        <x:v>Reconciled customer orders and delivered unit economics, seasonal NWC, plant/route constraints, basin hazards and applicable taxes</x:v>
      </x:c>
    </x:row>
    <x:row r="73" ht="44" customHeight="1">
      <x:c r="A73" s="2" t="str">
        <x:v>Guatemala</x:v>
      </x:c>
      <x:c r="B73" s="2" t="n">
        <x:v>11</x:v>
      </x:c>
      <x:c r="C73" s="2" t="str">
        <x:v>Threshold-only case</x:v>
      </x:c>
      <x:c r="D73" s="2"/>
      <x:c r="E73" s="2" t="str">
        <x:v>Reconciled customer orders and delivered unit economics, seasonal NWC, plant/route constraints, basin hazards and applicable taxes</x:v>
      </x:c>
    </x:row>
    <x:row r="74" ht="44" customHeight="1">
      <x:c r="A74" s="2" t="str">
        <x:v>Guinea</x:v>
      </x:c>
      <x:c r="B74" s="2" t="n">
        <x:v>11</x:v>
      </x:c>
      <x:c r="C74" s="2" t="str">
        <x:v>Threshold-only case</x:v>
      </x:c>
      <x:c r="D74" s="2"/>
      <x:c r="E74" s="2" t="str">
        <x:v>Reconciled customer orders and delivered unit economics, seasonal NWC, plant/route constraints, basin hazards and applicable taxes</x:v>
      </x:c>
    </x:row>
    <x:row r="75" ht="44" customHeight="1">
      <x:c r="A75" s="2" t="str">
        <x:v>Guinea-Bissau</x:v>
      </x:c>
      <x:c r="B75" s="2" t="n">
        <x:v>11</x:v>
      </x:c>
      <x:c r="C75" s="2" t="str">
        <x:v>Threshold-only case</x:v>
      </x:c>
      <x:c r="D75" s="2"/>
      <x:c r="E75" s="2" t="str">
        <x:v>Reconciled customer orders and delivered unit economics, seasonal NWC, plant/route constraints, basin hazards and applicable taxes</x:v>
      </x:c>
    </x:row>
    <x:row r="76" ht="44" customHeight="1">
      <x:c r="A76" s="2" t="str">
        <x:v>Guyana</x:v>
      </x:c>
      <x:c r="B76" s="2" t="n">
        <x:v>11</x:v>
      </x:c>
      <x:c r="C76" s="2" t="str">
        <x:v>Threshold-only case</x:v>
      </x:c>
      <x:c r="D76" s="2"/>
      <x:c r="E76" s="2" t="str">
        <x:v>Reconciled customer orders and delivered unit economics, seasonal NWC, plant/route constraints, basin hazards and applicable taxes</x:v>
      </x:c>
    </x:row>
    <x:row r="77" ht="44" customHeight="1">
      <x:c r="A77" s="2" t="str">
        <x:v>Haiti</x:v>
      </x:c>
      <x:c r="B77" s="2" t="n">
        <x:v>11</x:v>
      </x:c>
      <x:c r="C77" s="2" t="str">
        <x:v>Threshold-only case</x:v>
      </x:c>
      <x:c r="D77" s="2"/>
      <x:c r="E77" s="2" t="str">
        <x:v>Reconciled customer orders and delivered unit economics, seasonal NWC, plant/route constraints, basin hazards and applicable taxes</x:v>
      </x:c>
    </x:row>
    <x:row r="78" ht="44" customHeight="1">
      <x:c r="A78" s="2" t="str">
        <x:v>Holy See</x:v>
      </x:c>
      <x:c r="B78" s="2" t="n">
        <x:v>0</x:v>
      </x:c>
      <x:c r="C78" s="2" t="str">
        <x:v>Threshold-only case</x:v>
      </x:c>
      <x:c r="D78" s="2"/>
      <x:c r="E78" s="2" t="str">
        <x:v>Reconciled customer orders and delivered unit economics, seasonal NWC, plant/route constraints, basin hazards and applicable taxes</x:v>
      </x:c>
    </x:row>
    <x:row r="79" ht="44" customHeight="1">
      <x:c r="A79" s="2" t="str">
        <x:v>Honduras</x:v>
      </x:c>
      <x:c r="B79" s="2" t="n">
        <x:v>11</x:v>
      </x:c>
      <x:c r="C79" s="2" t="str">
        <x:v>Threshold-only case</x:v>
      </x:c>
      <x:c r="D79" s="2"/>
      <x:c r="E79" s="2" t="str">
        <x:v>Reconciled customer orders and delivered unit economics, seasonal NWC, plant/route constraints, basin hazards and applicable taxes</x:v>
      </x:c>
    </x:row>
    <x:row r="80" ht="44" customHeight="1">
      <x:c r="A80" s="2" t="str">
        <x:v>Hungary</x:v>
      </x:c>
      <x:c r="B80" s="2" t="n">
        <x:v>11</x:v>
      </x:c>
      <x:c r="C80" s="2" t="str">
        <x:v>Threshold-only case</x:v>
      </x:c>
      <x:c r="D80" s="2"/>
      <x:c r="E80" s="2" t="str">
        <x:v>Reconciled customer orders and delivered unit economics, seasonal NWC, plant/route constraints, basin hazards and applicable taxes</x:v>
      </x:c>
    </x:row>
    <x:row r="81" ht="44" customHeight="1">
      <x:c r="A81" s="2" t="str">
        <x:v>Iceland</x:v>
      </x:c>
      <x:c r="B81" s="2" t="n">
        <x:v>11</x:v>
      </x:c>
      <x:c r="C81" s="2" t="str">
        <x:v>Threshold-only case</x:v>
      </x:c>
      <x:c r="D81" s="2"/>
      <x:c r="E81" s="2" t="str">
        <x:v>Reconciled customer orders and delivered unit economics, seasonal NWC, plant/route constraints, basin hazards and applicable taxes</x:v>
      </x:c>
    </x:row>
    <x:row r="82" ht="44" customHeight="1">
      <x:c r="A82" s="2" t="str">
        <x:v>India</x:v>
      </x:c>
      <x:c r="B82" s="2" t="n">
        <x:v>11</x:v>
      </x:c>
      <x:c r="C82" s="2" t="str">
        <x:v>Threshold-only case</x:v>
      </x:c>
      <x:c r="D82" s="2"/>
      <x:c r="E82" s="2" t="str">
        <x:v>Reconciled customer orders and delivered unit economics, seasonal NWC, plant/route constraints, basin hazards and applicable taxes</x:v>
      </x:c>
    </x:row>
    <x:row r="83" ht="44" customHeight="1">
      <x:c r="A83" s="2" t="str">
        <x:v>Indonesia</x:v>
      </x:c>
      <x:c r="B83" s="2" t="n">
        <x:v>11</x:v>
      </x:c>
      <x:c r="C83" s="2" t="str">
        <x:v>Threshold-only case</x:v>
      </x:c>
      <x:c r="D83" s="2"/>
      <x:c r="E83" s="2" t="str">
        <x:v>Reconciled customer orders and delivered unit economics, seasonal NWC, plant/route constraints, basin hazards and applicable taxes</x:v>
      </x:c>
    </x:row>
    <x:row r="84" ht="44" customHeight="1">
      <x:c r="A84" s="2" t="str">
        <x:v>Iran (Islamic Republic of)</x:v>
      </x:c>
      <x:c r="B84" s="2" t="n">
        <x:v>11</x:v>
      </x:c>
      <x:c r="C84" s="2" t="str">
        <x:v>Threshold-only case</x:v>
      </x:c>
      <x:c r="D84" s="2"/>
      <x:c r="E84" s="2" t="str">
        <x:v>Reconciled customer orders and delivered unit economics, seasonal NWC, plant/route constraints, basin hazards and applicable taxes</x:v>
      </x:c>
    </x:row>
    <x:row r="85" ht="44" customHeight="1">
      <x:c r="A85" s="2" t="str">
        <x:v>Iraq</x:v>
      </x:c>
      <x:c r="B85" s="2" t="n">
        <x:v>11</x:v>
      </x:c>
      <x:c r="C85" s="2" t="str">
        <x:v>Threshold-only case</x:v>
      </x:c>
      <x:c r="D85" s="2"/>
      <x:c r="E85" s="2" t="str">
        <x:v>Reconciled customer orders and delivered unit economics, seasonal NWC, plant/route constraints, basin hazards and applicable taxes</x:v>
      </x:c>
    </x:row>
    <x:row r="86" ht="44" customHeight="1">
      <x:c r="A86" s="2" t="str">
        <x:v>Ireland</x:v>
      </x:c>
      <x:c r="B86" s="2" t="n">
        <x:v>11</x:v>
      </x:c>
      <x:c r="C86" s="2" t="str">
        <x:v>Threshold-only case</x:v>
      </x:c>
      <x:c r="D86" s="2"/>
      <x:c r="E86" s="2" t="str">
        <x:v>Reconciled customer orders and delivered unit economics, seasonal NWC, plant/route constraints, basin hazards and applicable taxes</x:v>
      </x:c>
    </x:row>
    <x:row r="87" ht="44" customHeight="1">
      <x:c r="A87" s="2" t="str">
        <x:v>Israel</x:v>
      </x:c>
      <x:c r="B87" s="2" t="n">
        <x:v>11</x:v>
      </x:c>
      <x:c r="C87" s="2" t="str">
        <x:v>Threshold-only case</x:v>
      </x:c>
      <x:c r="D87" s="2"/>
      <x:c r="E87" s="2" t="str">
        <x:v>Reconciled customer orders and delivered unit economics, seasonal NWC, plant/route constraints, basin hazards and applicable taxes</x:v>
      </x:c>
    </x:row>
    <x:row r="88" ht="44" customHeight="1">
      <x:c r="A88" s="2" t="str">
        <x:v>Italy</x:v>
      </x:c>
      <x:c r="B88" s="2" t="n">
        <x:v>11</x:v>
      </x:c>
      <x:c r="C88" s="2" t="str">
        <x:v>Threshold-only case</x:v>
      </x:c>
      <x:c r="D88" s="2"/>
      <x:c r="E88" s="2" t="str">
        <x:v>Reconciled customer orders and delivered unit economics, seasonal NWC, plant/route constraints, basin hazards and applicable taxes</x:v>
      </x:c>
    </x:row>
    <x:row r="89" ht="44" customHeight="1">
      <x:c r="A89" s="2" t="str">
        <x:v>Jamaica</x:v>
      </x:c>
      <x:c r="B89" s="2" t="n">
        <x:v>11</x:v>
      </x:c>
      <x:c r="C89" s="2" t="str">
        <x:v>Threshold-only case</x:v>
      </x:c>
      <x:c r="D89" s="2"/>
      <x:c r="E89" s="2" t="str">
        <x:v>Reconciled customer orders and delivered unit economics, seasonal NWC, plant/route constraints, basin hazards and applicable taxes</x:v>
      </x:c>
    </x:row>
    <x:row r="90" ht="44" customHeight="1">
      <x:c r="A90" s="2" t="str">
        <x:v>Japan</x:v>
      </x:c>
      <x:c r="B90" s="2" t="n">
        <x:v>11</x:v>
      </x:c>
      <x:c r="C90" s="2" t="str">
        <x:v>Threshold-only case</x:v>
      </x:c>
      <x:c r="D90" s="2"/>
      <x:c r="E90" s="2" t="str">
        <x:v>Reconciled customer orders and delivered unit economics, seasonal NWC, plant/route constraints, basin hazards and applicable taxes</x:v>
      </x:c>
    </x:row>
    <x:row r="91" ht="44" customHeight="1">
      <x:c r="A91" s="2" t="str">
        <x:v>Jordan</x:v>
      </x:c>
      <x:c r="B91" s="2" t="n">
        <x:v>11</x:v>
      </x:c>
      <x:c r="C91" s="2" t="str">
        <x:v>Threshold-only case</x:v>
      </x:c>
      <x:c r="D91" s="2"/>
      <x:c r="E91" s="2" t="str">
        <x:v>Reconciled customer orders and delivered unit economics, seasonal NWC, plant/route constraints, basin hazards and applicable taxes</x:v>
      </x:c>
    </x:row>
    <x:row r="92" ht="44" customHeight="1">
      <x:c r="A92" s="2" t="str">
        <x:v>Kazakhstan</x:v>
      </x:c>
      <x:c r="B92" s="2" t="n">
        <x:v>11</x:v>
      </x:c>
      <x:c r="C92" s="2" t="str">
        <x:v>Threshold-only case</x:v>
      </x:c>
      <x:c r="D92" s="2"/>
      <x:c r="E92" s="2" t="str">
        <x:v>Reconciled customer orders and delivered unit economics, seasonal NWC, plant/route constraints, basin hazards and applicable taxes</x:v>
      </x:c>
    </x:row>
    <x:row r="93" ht="44" customHeight="1">
      <x:c r="A93" s="2" t="str">
        <x:v>Kenya</x:v>
      </x:c>
      <x:c r="B93" s="2" t="n">
        <x:v>11</x:v>
      </x:c>
      <x:c r="C93" s="2" t="str">
        <x:v>Threshold-only case</x:v>
      </x:c>
      <x:c r="D93" s="2"/>
      <x:c r="E93" s="2" t="str">
        <x:v>Reconciled customer orders and delivered unit economics, seasonal NWC, plant/route constraints, basin hazards and applicable taxes</x:v>
      </x:c>
    </x:row>
    <x:row r="94" ht="44" customHeight="1">
      <x:c r="A94" s="2" t="str">
        <x:v>Kiribati</x:v>
      </x:c>
      <x:c r="B94" s="2" t="n">
        <x:v>9</x:v>
      </x:c>
      <x:c r="C94" s="2" t="str">
        <x:v>Threshold-only case</x:v>
      </x:c>
      <x:c r="D94" s="2"/>
      <x:c r="E94" s="2" t="str">
        <x:v>Reconciled customer orders and delivered unit economics, seasonal NWC, plant/route constraints, basin hazards and applicable taxes</x:v>
      </x:c>
    </x:row>
    <x:row r="95" ht="44" customHeight="1">
      <x:c r="A95" s="2" t="str">
        <x:v>Kuwait</x:v>
      </x:c>
      <x:c r="B95" s="2" t="n">
        <x:v>11</x:v>
      </x:c>
      <x:c r="C95" s="2" t="str">
        <x:v>Threshold-only case</x:v>
      </x:c>
      <x:c r="D95" s="2"/>
      <x:c r="E95" s="2" t="str">
        <x:v>Reconciled customer orders and delivered unit economics, seasonal NWC, plant/route constraints, basin hazards and applicable taxes</x:v>
      </x:c>
    </x:row>
    <x:row r="96" ht="44" customHeight="1">
      <x:c r="A96" s="2" t="str">
        <x:v>Kyrgyzstan</x:v>
      </x:c>
      <x:c r="B96" s="2" t="n">
        <x:v>11</x:v>
      </x:c>
      <x:c r="C96" s="2" t="str">
        <x:v>Threshold-only case</x:v>
      </x:c>
      <x:c r="D96" s="2"/>
      <x:c r="E96" s="2" t="str">
        <x:v>Reconciled customer orders and delivered unit economics, seasonal NWC, plant/route constraints, basin hazards and applicable taxes</x:v>
      </x:c>
    </x:row>
    <x:row r="97" ht="44" customHeight="1">
      <x:c r="A97" s="2" t="str">
        <x:v>Lao People's Democratic Republic</x:v>
      </x:c>
      <x:c r="B97" s="2" t="n">
        <x:v>11</x:v>
      </x:c>
      <x:c r="C97" s="2" t="str">
        <x:v>Threshold-only case</x:v>
      </x:c>
      <x:c r="D97" s="2"/>
      <x:c r="E97" s="2" t="str">
        <x:v>Reconciled customer orders and delivered unit economics, seasonal NWC, plant/route constraints, basin hazards and applicable taxes</x:v>
      </x:c>
    </x:row>
    <x:row r="98" ht="44" customHeight="1">
      <x:c r="A98" s="2" t="str">
        <x:v>Latvia</x:v>
      </x:c>
      <x:c r="B98" s="2" t="n">
        <x:v>11</x:v>
      </x:c>
      <x:c r="C98" s="2" t="str">
        <x:v>Threshold-only case</x:v>
      </x:c>
      <x:c r="D98" s="2"/>
      <x:c r="E98" s="2" t="str">
        <x:v>Reconciled customer orders and delivered unit economics, seasonal NWC, plant/route constraints, basin hazards and applicable taxes</x:v>
      </x:c>
    </x:row>
    <x:row r="99" ht="44" customHeight="1">
      <x:c r="A99" s="2" t="str">
        <x:v>Lebanon</x:v>
      </x:c>
      <x:c r="B99" s="2" t="n">
        <x:v>11</x:v>
      </x:c>
      <x:c r="C99" s="2" t="str">
        <x:v>Threshold-only case</x:v>
      </x:c>
      <x:c r="D99" s="2"/>
      <x:c r="E99" s="2" t="str">
        <x:v>Reconciled customer orders and delivered unit economics, seasonal NWC, plant/route constraints, basin hazards and applicable taxes</x:v>
      </x:c>
    </x:row>
    <x:row r="100" ht="44" customHeight="1">
      <x:c r="A100" s="2" t="str">
        <x:v>Lesotho</x:v>
      </x:c>
      <x:c r="B100" s="2" t="n">
        <x:v>11</x:v>
      </x:c>
      <x:c r="C100" s="2" t="str">
        <x:v>Threshold-only case</x:v>
      </x:c>
      <x:c r="D100" s="2"/>
      <x:c r="E100" s="2" t="str">
        <x:v>Reconciled customer orders and delivered unit economics, seasonal NWC, plant/route constraints, basin hazards and applicable taxes</x:v>
      </x:c>
    </x:row>
    <x:row r="101" ht="44" customHeight="1">
      <x:c r="A101" s="2" t="str">
        <x:v>Liberia</x:v>
      </x:c>
      <x:c r="B101" s="2" t="n">
        <x:v>11</x:v>
      </x:c>
      <x:c r="C101" s="2" t="str">
        <x:v>Threshold-only case</x:v>
      </x:c>
      <x:c r="D101" s="2"/>
      <x:c r="E101" s="2" t="str">
        <x:v>Reconciled customer orders and delivered unit economics, seasonal NWC, plant/route constraints, basin hazards and applicable taxes</x:v>
      </x:c>
    </x:row>
    <x:row r="102" ht="44" customHeight="1">
      <x:c r="A102" s="2" t="str">
        <x:v>Libya</x:v>
      </x:c>
      <x:c r="B102" s="2" t="n">
        <x:v>11</x:v>
      </x:c>
      <x:c r="C102" s="2" t="str">
        <x:v>Threshold-only case</x:v>
      </x:c>
      <x:c r="D102" s="2"/>
      <x:c r="E102" s="2" t="str">
        <x:v>Reconciled customer orders and delivered unit economics, seasonal NWC, plant/route constraints, basin hazards and applicable taxes</x:v>
      </x:c>
    </x:row>
    <x:row r="103" ht="44" customHeight="1">
      <x:c r="A103" s="2" t="str">
        <x:v>Liechtenstein</x:v>
      </x:c>
      <x:c r="B103" s="2" t="n">
        <x:v>2</x:v>
      </x:c>
      <x:c r="C103" s="2" t="str">
        <x:v>Threshold-only case</x:v>
      </x:c>
      <x:c r="D103" s="2"/>
      <x:c r="E103" s="2" t="str">
        <x:v>Reconciled customer orders and delivered unit economics, seasonal NWC, plant/route constraints, basin hazards and applicable taxes</x:v>
      </x:c>
    </x:row>
    <x:row r="104" ht="44" customHeight="1">
      <x:c r="A104" s="2" t="str">
        <x:v>Lithuania</x:v>
      </x:c>
      <x:c r="B104" s="2" t="n">
        <x:v>11</x:v>
      </x:c>
      <x:c r="C104" s="2" t="str">
        <x:v>Threshold-only case</x:v>
      </x:c>
      <x:c r="D104" s="2"/>
      <x:c r="E104" s="2" t="str">
        <x:v>Reconciled customer orders and delivered unit economics, seasonal NWC, plant/route constraints, basin hazards and applicable taxes</x:v>
      </x:c>
    </x:row>
    <x:row r="105" ht="44" customHeight="1">
      <x:c r="A105" s="2" t="str">
        <x:v>Luxembourg</x:v>
      </x:c>
      <x:c r="B105" s="2" t="n">
        <x:v>11</x:v>
      </x:c>
      <x:c r="C105" s="2" t="str">
        <x:v>Threshold-only case</x:v>
      </x:c>
      <x:c r="D105" s="2"/>
      <x:c r="E105" s="2" t="str">
        <x:v>Reconciled customer orders and delivered unit economics, seasonal NWC, plant/route constraints, basin hazards and applicable taxes</x:v>
      </x:c>
    </x:row>
    <x:row r="106" ht="44" customHeight="1">
      <x:c r="A106" s="2" t="str">
        <x:v>Madagascar</x:v>
      </x:c>
      <x:c r="B106" s="2" t="n">
        <x:v>11</x:v>
      </x:c>
      <x:c r="C106" s="2" t="str">
        <x:v>Threshold-only case</x:v>
      </x:c>
      <x:c r="D106" s="2"/>
      <x:c r="E106" s="2" t="str">
        <x:v>Reconciled customer orders and delivered unit economics, seasonal NWC, plant/route constraints, basin hazards and applicable taxes</x:v>
      </x:c>
    </x:row>
    <x:row r="107" ht="44" customHeight="1">
      <x:c r="A107" s="2" t="str">
        <x:v>Malawi</x:v>
      </x:c>
      <x:c r="B107" s="2" t="n">
        <x:v>11</x:v>
      </x:c>
      <x:c r="C107" s="2" t="str">
        <x:v>Threshold-only case</x:v>
      </x:c>
      <x:c r="D107" s="2"/>
      <x:c r="E107" s="2" t="str">
        <x:v>Reconciled customer orders and delivered unit economics, seasonal NWC, plant/route constraints, basin hazards and applicable taxes</x:v>
      </x:c>
    </x:row>
    <x:row r="108" ht="44" customHeight="1">
      <x:c r="A108" s="2" t="str">
        <x:v>Malaysia</x:v>
      </x:c>
      <x:c r="B108" s="2" t="n">
        <x:v>11</x:v>
      </x:c>
      <x:c r="C108" s="2" t="str">
        <x:v>Threshold-only case</x:v>
      </x:c>
      <x:c r="D108" s="2"/>
      <x:c r="E108" s="2" t="str">
        <x:v>Reconciled customer orders and delivered unit economics, seasonal NWC, plant/route constraints, basin hazards and applicable taxes</x:v>
      </x:c>
    </x:row>
    <x:row r="109" ht="44" customHeight="1">
      <x:c r="A109" s="2" t="str">
        <x:v>Maldives</x:v>
      </x:c>
      <x:c r="B109" s="2" t="n">
        <x:v>11</x:v>
      </x:c>
      <x:c r="C109" s="2" t="str">
        <x:v>Threshold-only case</x:v>
      </x:c>
      <x:c r="D109" s="2"/>
      <x:c r="E109" s="2" t="str">
        <x:v>Reconciled customer orders and delivered unit economics, seasonal NWC, plant/route constraints, basin hazards and applicable taxes</x:v>
      </x:c>
    </x:row>
    <x:row r="110" ht="44" customHeight="1">
      <x:c r="A110" s="2" t="str">
        <x:v>Mali</x:v>
      </x:c>
      <x:c r="B110" s="2" t="n">
        <x:v>11</x:v>
      </x:c>
      <x:c r="C110" s="2" t="str">
        <x:v>Threshold-only case</x:v>
      </x:c>
      <x:c r="D110" s="2"/>
      <x:c r="E110" s="2" t="str">
        <x:v>Reconciled customer orders and delivered unit economics, seasonal NWC, plant/route constraints, basin hazards and applicable taxes</x:v>
      </x:c>
    </x:row>
    <x:row r="111" ht="44" customHeight="1">
      <x:c r="A111" s="2" t="str">
        <x:v>Malta</x:v>
      </x:c>
      <x:c r="B111" s="2" t="n">
        <x:v>11</x:v>
      </x:c>
      <x:c r="C111" s="2" t="str">
        <x:v>Threshold-only case</x:v>
      </x:c>
      <x:c r="D111" s="2"/>
      <x:c r="E111" s="2" t="str">
        <x:v>Reconciled customer orders and delivered unit economics, seasonal NWC, plant/route constraints, basin hazards and applicable taxes</x:v>
      </x:c>
    </x:row>
    <x:row r="112" ht="44" customHeight="1">
      <x:c r="A112" s="2" t="str">
        <x:v>Marshall Islands</x:v>
      </x:c>
      <x:c r="B112" s="2" t="n">
        <x:v>6</x:v>
      </x:c>
      <x:c r="C112" s="2" t="str">
        <x:v>Threshold-only case</x:v>
      </x:c>
      <x:c r="D112" s="2"/>
      <x:c r="E112" s="2" t="str">
        <x:v>Reconciled customer orders and delivered unit economics, seasonal NWC, plant/route constraints, basin hazards and applicable taxes</x:v>
      </x:c>
    </x:row>
    <x:row r="113" ht="44" customHeight="1">
      <x:c r="A113" s="2" t="str">
        <x:v>Mauritania</x:v>
      </x:c>
      <x:c r="B113" s="2" t="n">
        <x:v>11</x:v>
      </x:c>
      <x:c r="C113" s="2" t="str">
        <x:v>Threshold-only case</x:v>
      </x:c>
      <x:c r="D113" s="2"/>
      <x:c r="E113" s="2" t="str">
        <x:v>Reconciled customer orders and delivered unit economics, seasonal NWC, plant/route constraints, basin hazards and applicable taxes</x:v>
      </x:c>
    </x:row>
    <x:row r="114" ht="44" customHeight="1">
      <x:c r="A114" s="2" t="str">
        <x:v>Mauritius</x:v>
      </x:c>
      <x:c r="B114" s="2" t="n">
        <x:v>11</x:v>
      </x:c>
      <x:c r="C114" s="2" t="str">
        <x:v>Threshold-only case</x:v>
      </x:c>
      <x:c r="D114" s="2"/>
      <x:c r="E114" s="2" t="str">
        <x:v>Reconciled customer orders and delivered unit economics, seasonal NWC, plant/route constraints, basin hazards and applicable taxes</x:v>
      </x:c>
    </x:row>
    <x:row r="115" ht="44" customHeight="1">
      <x:c r="A115" s="2" t="str">
        <x:v>Mexico</x:v>
      </x:c>
      <x:c r="B115" s="2" t="n">
        <x:v>11</x:v>
      </x:c>
      <x:c r="C115" s="2" t="str">
        <x:v>Threshold-only case</x:v>
      </x:c>
      <x:c r="D115" s="2"/>
      <x:c r="E115" s="2" t="str">
        <x:v>Reconciled customer orders and delivered unit economics, seasonal NWC, plant/route constraints, basin hazards and applicable taxes</x:v>
      </x:c>
    </x:row>
    <x:row r="116" ht="44" customHeight="1">
      <x:c r="A116" s="2" t="str">
        <x:v>Micronesia (Federated States of)</x:v>
      </x:c>
      <x:c r="B116" s="2" t="n">
        <x:v>10</x:v>
      </x:c>
      <x:c r="C116" s="2" t="str">
        <x:v>Threshold-only case</x:v>
      </x:c>
      <x:c r="D116" s="2"/>
      <x:c r="E116" s="2" t="str">
        <x:v>Reconciled customer orders and delivered unit economics, seasonal NWC, plant/route constraints, basin hazards and applicable taxes</x:v>
      </x:c>
    </x:row>
    <x:row r="117" ht="44" customHeight="1">
      <x:c r="A117" s="2" t="str">
        <x:v>Monaco</x:v>
      </x:c>
      <x:c r="B117" s="2" t="n">
        <x:v>2</x:v>
      </x:c>
      <x:c r="C117" s="2" t="str">
        <x:v>Threshold-only case</x:v>
      </x:c>
      <x:c r="D117" s="2"/>
      <x:c r="E117" s="2" t="str">
        <x:v>Reconciled customer orders and delivered unit economics, seasonal NWC, plant/route constraints, basin hazards and applicable taxes</x:v>
      </x:c>
    </x:row>
    <x:row r="118" ht="44" customHeight="1">
      <x:c r="A118" s="2" t="str">
        <x:v>Mongolia</x:v>
      </x:c>
      <x:c r="B118" s="2" t="n">
        <x:v>11</x:v>
      </x:c>
      <x:c r="C118" s="2" t="str">
        <x:v>Threshold-only case</x:v>
      </x:c>
      <x:c r="D118" s="2"/>
      <x:c r="E118" s="2" t="str">
        <x:v>Reconciled customer orders and delivered unit economics, seasonal NWC, plant/route constraints, basin hazards and applicable taxes</x:v>
      </x:c>
    </x:row>
    <x:row r="119" ht="44" customHeight="1">
      <x:c r="A119" s="2" t="str">
        <x:v>Montenegro</x:v>
      </x:c>
      <x:c r="B119" s="2" t="n">
        <x:v>10</x:v>
      </x:c>
      <x:c r="C119" s="2" t="str">
        <x:v>Threshold-only case</x:v>
      </x:c>
      <x:c r="D119" s="2"/>
      <x:c r="E119" s="2" t="str">
        <x:v>Reconciled customer orders and delivered unit economics, seasonal NWC, plant/route constraints, basin hazards and applicable taxes</x:v>
      </x:c>
    </x:row>
    <x:row r="120" ht="44" customHeight="1">
      <x:c r="A120" s="2" t="str">
        <x:v>Morocco</x:v>
      </x:c>
      <x:c r="B120" s="2" t="n">
        <x:v>11</x:v>
      </x:c>
      <x:c r="C120" s="2" t="str">
        <x:v>Threshold-only case</x:v>
      </x:c>
      <x:c r="D120" s="2"/>
      <x:c r="E120" s="2" t="str">
        <x:v>Reconciled customer orders and delivered unit economics, seasonal NWC, plant/route constraints, basin hazards and applicable taxes</x:v>
      </x:c>
    </x:row>
    <x:row r="121" ht="44" customHeight="1">
      <x:c r="A121" s="2" t="str">
        <x:v>Mozambique</x:v>
      </x:c>
      <x:c r="B121" s="2" t="n">
        <x:v>11</x:v>
      </x:c>
      <x:c r="C121" s="2" t="str">
        <x:v>Threshold-only case</x:v>
      </x:c>
      <x:c r="D121" s="2"/>
      <x:c r="E121" s="2" t="str">
        <x:v>Reconciled customer orders and delivered unit economics, seasonal NWC, plant/route constraints, basin hazards and applicable taxes</x:v>
      </x:c>
    </x:row>
    <x:row r="122" ht="44" customHeight="1">
      <x:c r="A122" s="2" t="str">
        <x:v>Myanmar</x:v>
      </x:c>
      <x:c r="B122" s="2" t="n">
        <x:v>11</x:v>
      </x:c>
      <x:c r="C122" s="2" t="str">
        <x:v>Threshold-only case</x:v>
      </x:c>
      <x:c r="D122" s="2"/>
      <x:c r="E122" s="2" t="str">
        <x:v>Reconciled customer orders and delivered unit economics, seasonal NWC, plant/route constraints, basin hazards and applicable taxes</x:v>
      </x:c>
    </x:row>
    <x:row r="123" ht="44" customHeight="1">
      <x:c r="A123" s="2" t="str">
        <x:v>Namibia</x:v>
      </x:c>
      <x:c r="B123" s="2" t="n">
        <x:v>11</x:v>
      </x:c>
      <x:c r="C123" s="2" t="str">
        <x:v>Threshold-only case</x:v>
      </x:c>
      <x:c r="D123" s="2"/>
      <x:c r="E123" s="2" t="str">
        <x:v>Reconciled customer orders and delivered unit economics, seasonal NWC, plant/route constraints, basin hazards and applicable taxes</x:v>
      </x:c>
    </x:row>
    <x:row r="124" ht="44" customHeight="1">
      <x:c r="A124" s="2" t="str">
        <x:v>Naoero</x:v>
      </x:c>
      <x:c r="B124" s="2" t="n">
        <x:v>7</x:v>
      </x:c>
      <x:c r="C124" s="2" t="str">
        <x:v>Threshold-only case</x:v>
      </x:c>
      <x:c r="D124" s="2"/>
      <x:c r="E124" s="2" t="str">
        <x:v>Reconciled customer orders and delivered unit economics, seasonal NWC, plant/route constraints, basin hazards and applicable taxes</x:v>
      </x:c>
    </x:row>
    <x:row r="125" ht="44" customHeight="1">
      <x:c r="A125" s="2" t="str">
        <x:v>Nepal</x:v>
      </x:c>
      <x:c r="B125" s="2" t="n">
        <x:v>11</x:v>
      </x:c>
      <x:c r="C125" s="2" t="str">
        <x:v>Threshold-only case</x:v>
      </x:c>
      <x:c r="D125" s="2"/>
      <x:c r="E125" s="2" t="str">
        <x:v>Reconciled customer orders and delivered unit economics, seasonal NWC, plant/route constraints, basin hazards and applicable taxes</x:v>
      </x:c>
    </x:row>
    <x:row r="126" ht="44" customHeight="1">
      <x:c r="A126" s="2" t="str">
        <x:v>Netherlands (Kingdom of the)</x:v>
      </x:c>
      <x:c r="B126" s="2" t="n">
        <x:v>11</x:v>
      </x:c>
      <x:c r="C126" s="2" t="str">
        <x:v>Threshold-only case</x:v>
      </x:c>
      <x:c r="D126" s="2"/>
      <x:c r="E126" s="2" t="str">
        <x:v>Reconciled customer orders and delivered unit economics, seasonal NWC, plant/route constraints, basin hazards and applicable taxes</x:v>
      </x:c>
    </x:row>
    <x:row r="127" ht="44" customHeight="1">
      <x:c r="A127" s="2" t="str">
        <x:v>New Zealand</x:v>
      </x:c>
      <x:c r="B127" s="2" t="n">
        <x:v>11</x:v>
      </x:c>
      <x:c r="C127" s="2" t="str">
        <x:v>Threshold-only case</x:v>
      </x:c>
      <x:c r="D127" s="2"/>
      <x:c r="E127" s="2" t="str">
        <x:v>Reconciled customer orders and delivered unit economics, seasonal NWC, plant/route constraints, basin hazards and applicable taxes</x:v>
      </x:c>
    </x:row>
    <x:row r="128" ht="44" customHeight="1">
      <x:c r="A128" s="2" t="str">
        <x:v>Nicaragua</x:v>
      </x:c>
      <x:c r="B128" s="2" t="n">
        <x:v>11</x:v>
      </x:c>
      <x:c r="C128" s="2" t="str">
        <x:v>Threshold-only case</x:v>
      </x:c>
      <x:c r="D128" s="2"/>
      <x:c r="E128" s="2" t="str">
        <x:v>Reconciled customer orders and delivered unit economics, seasonal NWC, plant/route constraints, basin hazards and applicable taxes</x:v>
      </x:c>
    </x:row>
    <x:row r="129" ht="44" customHeight="1">
      <x:c r="A129" s="2" t="str">
        <x:v>Niger</x:v>
      </x:c>
      <x:c r="B129" s="2" t="n">
        <x:v>11</x:v>
      </x:c>
      <x:c r="C129" s="2" t="str">
        <x:v>Threshold-only case</x:v>
      </x:c>
      <x:c r="D129" s="2"/>
      <x:c r="E129" s="2" t="str">
        <x:v>Reconciled customer orders and delivered unit economics, seasonal NWC, plant/route constraints, basin hazards and applicable taxes</x:v>
      </x:c>
    </x:row>
    <x:row r="130" ht="44" customHeight="1">
      <x:c r="A130" s="2" t="str">
        <x:v>Nigeria</x:v>
      </x:c>
      <x:c r="B130" s="2" t="n">
        <x:v>11</x:v>
      </x:c>
      <x:c r="C130" s="2" t="str">
        <x:v>Threshold-only case</x:v>
      </x:c>
      <x:c r="D130" s="2"/>
      <x:c r="E130" s="2" t="str">
        <x:v>Reconciled customer orders and delivered unit economics, seasonal NWC, plant/route constraints, basin hazards and applicable taxes</x:v>
      </x:c>
    </x:row>
    <x:row r="131" ht="44" customHeight="1">
      <x:c r="A131" s="2" t="str">
        <x:v>North Macedonia</x:v>
      </x:c>
      <x:c r="B131" s="2" t="n">
        <x:v>11</x:v>
      </x:c>
      <x:c r="C131" s="2" t="str">
        <x:v>Threshold-only case</x:v>
      </x:c>
      <x:c r="D131" s="2"/>
      <x:c r="E131" s="2" t="str">
        <x:v>Reconciled customer orders and delivered unit economics, seasonal NWC, plant/route constraints, basin hazards and applicable taxes</x:v>
      </x:c>
    </x:row>
    <x:row r="132" ht="44" customHeight="1">
      <x:c r="A132" s="2" t="str">
        <x:v>Norway</x:v>
      </x:c>
      <x:c r="B132" s="2" t="n">
        <x:v>11</x:v>
      </x:c>
      <x:c r="C132" s="2" t="str">
        <x:v>Threshold-only case</x:v>
      </x:c>
      <x:c r="D132" s="2"/>
      <x:c r="E132" s="2" t="str">
        <x:v>Reconciled customer orders and delivered unit economics, seasonal NWC, plant/route constraints, basin hazards and applicable taxes</x:v>
      </x:c>
    </x:row>
    <x:row r="133" ht="44" customHeight="1">
      <x:c r="A133" s="2" t="str">
        <x:v>Oman</x:v>
      </x:c>
      <x:c r="B133" s="2" t="n">
        <x:v>11</x:v>
      </x:c>
      <x:c r="C133" s="2" t="str">
        <x:v>Threshold-only case</x:v>
      </x:c>
      <x:c r="D133" s="2"/>
      <x:c r="E133" s="2" t="str">
        <x:v>Reconciled customer orders and delivered unit economics, seasonal NWC, plant/route constraints, basin hazards and applicable taxes</x:v>
      </x:c>
    </x:row>
    <x:row r="134" ht="44" customHeight="1">
      <x:c r="A134" s="2" t="str">
        <x:v>Pakistan</x:v>
      </x:c>
      <x:c r="B134" s="2" t="n">
        <x:v>11</x:v>
      </x:c>
      <x:c r="C134" s="2" t="str">
        <x:v>Threshold-only case</x:v>
      </x:c>
      <x:c r="D134" s="2"/>
      <x:c r="E134" s="2" t="str">
        <x:v>Reconciled customer orders and delivered unit economics, seasonal NWC, plant/route constraints, basin hazards and applicable taxes</x:v>
      </x:c>
    </x:row>
    <x:row r="135" ht="44" customHeight="1">
      <x:c r="A135" s="2" t="str">
        <x:v>Palau</x:v>
      </x:c>
      <x:c r="B135" s="2" t="n">
        <x:v>8</x:v>
      </x:c>
      <x:c r="C135" s="2" t="str">
        <x:v>Threshold-only case</x:v>
      </x:c>
      <x:c r="D135" s="2"/>
      <x:c r="E135" s="2" t="str">
        <x:v>Reconciled customer orders and delivered unit economics, seasonal NWC, plant/route constraints, basin hazards and applicable taxes</x:v>
      </x:c>
    </x:row>
    <x:row r="136" ht="44" customHeight="1">
      <x:c r="A136" s="2" t="str">
        <x:v>Panama</x:v>
      </x:c>
      <x:c r="B136" s="2" t="n">
        <x:v>11</x:v>
      </x:c>
      <x:c r="C136" s="2" t="str">
        <x:v>Threshold-only case</x:v>
      </x:c>
      <x:c r="D136" s="2"/>
      <x:c r="E136" s="2" t="str">
        <x:v>Reconciled customer orders and delivered unit economics, seasonal NWC, plant/route constraints, basin hazards and applicable taxes</x:v>
      </x:c>
    </x:row>
    <x:row r="137" ht="44" customHeight="1">
      <x:c r="A137" s="2" t="str">
        <x:v>Papua New Guinea</x:v>
      </x:c>
      <x:c r="B137" s="2" t="n">
        <x:v>11</x:v>
      </x:c>
      <x:c r="C137" s="2" t="str">
        <x:v>Threshold-only case</x:v>
      </x:c>
      <x:c r="D137" s="2"/>
      <x:c r="E137" s="2" t="str">
        <x:v>Reconciled customer orders and delivered unit economics, seasonal NWC, plant/route constraints, basin hazards and applicable taxes</x:v>
      </x:c>
    </x:row>
    <x:row r="138" ht="44" customHeight="1">
      <x:c r="A138" s="2" t="str">
        <x:v>Paraguay</x:v>
      </x:c>
      <x:c r="B138" s="2" t="n">
        <x:v>11</x:v>
      </x:c>
      <x:c r="C138" s="2" t="str">
        <x:v>Threshold-only case</x:v>
      </x:c>
      <x:c r="D138" s="2"/>
      <x:c r="E138" s="2" t="str">
        <x:v>Reconciled customer orders and delivered unit economics, seasonal NWC, plant/route constraints, basin hazards and applicable taxes</x:v>
      </x:c>
    </x:row>
    <x:row r="139" ht="44" customHeight="1">
      <x:c r="A139" s="2" t="str">
        <x:v>Peru</x:v>
      </x:c>
      <x:c r="B139" s="2" t="n">
        <x:v>11</x:v>
      </x:c>
      <x:c r="C139" s="2" t="str">
        <x:v>Threshold-only case</x:v>
      </x:c>
      <x:c r="D139" s="2"/>
      <x:c r="E139" s="2" t="str">
        <x:v>Reconciled customer orders and delivered unit economics, seasonal NWC, plant/route constraints, basin hazards and applicable taxes</x:v>
      </x:c>
    </x:row>
    <x:row r="140" ht="44" customHeight="1">
      <x:c r="A140" s="2" t="str">
        <x:v>Philippines</x:v>
      </x:c>
      <x:c r="B140" s="2" t="n">
        <x:v>11</x:v>
      </x:c>
      <x:c r="C140" s="2" t="str">
        <x:v>Threshold-only case</x:v>
      </x:c>
      <x:c r="D140" s="2"/>
      <x:c r="E140" s="2" t="str">
        <x:v>Reconciled customer orders and delivered unit economics, seasonal NWC, plant/route constraints, basin hazards and applicable taxes</x:v>
      </x:c>
    </x:row>
    <x:row r="141" ht="44" customHeight="1">
      <x:c r="A141" s="2" t="str">
        <x:v>Poland</x:v>
      </x:c>
      <x:c r="B141" s="2" t="n">
        <x:v>11</x:v>
      </x:c>
      <x:c r="C141" s="2" t="str">
        <x:v>Threshold-only case</x:v>
      </x:c>
      <x:c r="D141" s="2"/>
      <x:c r="E141" s="2" t="str">
        <x:v>Reconciled customer orders and delivered unit economics, seasonal NWC, plant/route constraints, basin hazards and applicable taxes</x:v>
      </x:c>
    </x:row>
    <x:row r="142" ht="44" customHeight="1">
      <x:c r="A142" s="2" t="str">
        <x:v>Portugal</x:v>
      </x:c>
      <x:c r="B142" s="2" t="n">
        <x:v>11</x:v>
      </x:c>
      <x:c r="C142" s="2" t="str">
        <x:v>Threshold-only case</x:v>
      </x:c>
      <x:c r="D142" s="2"/>
      <x:c r="E142" s="2" t="str">
        <x:v>Reconciled customer orders and delivered unit economics, seasonal NWC, plant/route constraints, basin hazards and applicable taxes</x:v>
      </x:c>
    </x:row>
    <x:row r="143" ht="44" customHeight="1">
      <x:c r="A143" s="2" t="str">
        <x:v>Qatar</x:v>
      </x:c>
      <x:c r="B143" s="2" t="n">
        <x:v>11</x:v>
      </x:c>
      <x:c r="C143" s="2" t="str">
        <x:v>Threshold-only case</x:v>
      </x:c>
      <x:c r="D143" s="2"/>
      <x:c r="E143" s="2" t="str">
        <x:v>Reconciled customer orders and delivered unit economics, seasonal NWC, plant/route constraints, basin hazards and applicable taxes</x:v>
      </x:c>
    </x:row>
    <x:row r="144" ht="44" customHeight="1">
      <x:c r="A144" s="2" t="str">
        <x:v>Republic of Korea</x:v>
      </x:c>
      <x:c r="B144" s="2" t="n">
        <x:v>11</x:v>
      </x:c>
      <x:c r="C144" s="2" t="str">
        <x:v>Threshold-only case</x:v>
      </x:c>
      <x:c r="D144" s="2"/>
      <x:c r="E144" s="2" t="str">
        <x:v>Reconciled customer orders and delivered unit economics, seasonal NWC, plant/route constraints, basin hazards and applicable taxes</x:v>
      </x:c>
    </x:row>
    <x:row r="145" ht="44" customHeight="1">
      <x:c r="A145" s="2" t="str">
        <x:v>Republic of Moldova</x:v>
      </x:c>
      <x:c r="B145" s="2" t="n">
        <x:v>11</x:v>
      </x:c>
      <x:c r="C145" s="2" t="str">
        <x:v>Threshold-only case</x:v>
      </x:c>
      <x:c r="D145" s="2"/>
      <x:c r="E145" s="2" t="str">
        <x:v>Reconciled customer orders and delivered unit economics, seasonal NWC, plant/route constraints, basin hazards and applicable taxes</x:v>
      </x:c>
    </x:row>
    <x:row r="146" ht="44" customHeight="1">
      <x:c r="A146" s="2" t="str">
        <x:v>Romania</x:v>
      </x:c>
      <x:c r="B146" s="2" t="n">
        <x:v>11</x:v>
      </x:c>
      <x:c r="C146" s="2" t="str">
        <x:v>Threshold-only case</x:v>
      </x:c>
      <x:c r="D146" s="2"/>
      <x:c r="E146" s="2" t="str">
        <x:v>Reconciled customer orders and delivered unit economics, seasonal NWC, plant/route constraints, basin hazards and applicable taxes</x:v>
      </x:c>
    </x:row>
    <x:row r="147" ht="44" customHeight="1">
      <x:c r="A147" s="2" t="str">
        <x:v>Russian Federation</x:v>
      </x:c>
      <x:c r="B147" s="2" t="n">
        <x:v>11</x:v>
      </x:c>
      <x:c r="C147" s="2" t="str">
        <x:v>Threshold-only case</x:v>
      </x:c>
      <x:c r="D147" s="2"/>
      <x:c r="E147" s="2" t="str">
        <x:v>Reconciled customer orders and delivered unit economics, seasonal NWC, plant/route constraints, basin hazards and applicable taxes</x:v>
      </x:c>
    </x:row>
    <x:row r="148" ht="44" customHeight="1">
      <x:c r="A148" s="2" t="str">
        <x:v>Rwanda</x:v>
      </x:c>
      <x:c r="B148" s="2" t="n">
        <x:v>11</x:v>
      </x:c>
      <x:c r="C148" s="2" t="str">
        <x:v>Threshold-only case</x:v>
      </x:c>
      <x:c r="D148" s="2"/>
      <x:c r="E148" s="2" t="str">
        <x:v>Reconciled customer orders and delivered unit economics, seasonal NWC, plant/route constraints, basin hazards and applicable taxes</x:v>
      </x:c>
    </x:row>
    <x:row r="149" ht="44" customHeight="1">
      <x:c r="A149" s="2" t="str">
        <x:v>Saint Kitts and Nevis</x:v>
      </x:c>
      <x:c r="B149" s="2" t="n">
        <x:v>10</x:v>
      </x:c>
      <x:c r="C149" s="2" t="str">
        <x:v>Threshold-only case</x:v>
      </x:c>
      <x:c r="D149" s="2"/>
      <x:c r="E149" s="2" t="str">
        <x:v>Reconciled customer orders and delivered unit economics, seasonal NWC, plant/route constraints, basin hazards and applicable taxes</x:v>
      </x:c>
    </x:row>
    <x:row r="150" ht="44" customHeight="1">
      <x:c r="A150" s="2" t="str">
        <x:v>Saint Lucia</x:v>
      </x:c>
      <x:c r="B150" s="2" t="n">
        <x:v>10</x:v>
      </x:c>
      <x:c r="C150" s="2" t="str">
        <x:v>Threshold-only case</x:v>
      </x:c>
      <x:c r="D150" s="2"/>
      <x:c r="E150" s="2" t="str">
        <x:v>Reconciled customer orders and delivered unit economics, seasonal NWC, plant/route constraints, basin hazards and applicable taxes</x:v>
      </x:c>
    </x:row>
    <x:row r="151" ht="44" customHeight="1">
      <x:c r="A151" s="2" t="str">
        <x:v>Saint Vincent and the Grenadines</x:v>
      </x:c>
      <x:c r="B151" s="2" t="n">
        <x:v>11</x:v>
      </x:c>
      <x:c r="C151" s="2" t="str">
        <x:v>Threshold-only case</x:v>
      </x:c>
      <x:c r="D151" s="2"/>
      <x:c r="E151" s="2" t="str">
        <x:v>Reconciled customer orders and delivered unit economics, seasonal NWC, plant/route constraints, basin hazards and applicable taxes</x:v>
      </x:c>
    </x:row>
    <x:row r="152" ht="44" customHeight="1">
      <x:c r="A152" s="2" t="str">
        <x:v>Samoa</x:v>
      </x:c>
      <x:c r="B152" s="2" t="n">
        <x:v>9</x:v>
      </x:c>
      <x:c r="C152" s="2" t="str">
        <x:v>Threshold-only case</x:v>
      </x:c>
      <x:c r="D152" s="2"/>
      <x:c r="E152" s="2" t="str">
        <x:v>Reconciled customer orders and delivered unit economics, seasonal NWC, plant/route constraints, basin hazards and applicable taxes</x:v>
      </x:c>
    </x:row>
    <x:row r="153" ht="44" customHeight="1">
      <x:c r="A153" s="2" t="str">
        <x:v>San Marino</x:v>
      </x:c>
      <x:c r="B153" s="2" t="n">
        <x:v>4</x:v>
      </x:c>
      <x:c r="C153" s="2" t="str">
        <x:v>Threshold-only case</x:v>
      </x:c>
      <x:c r="D153" s="2"/>
      <x:c r="E153" s="2" t="str">
        <x:v>Reconciled customer orders and delivered unit economics, seasonal NWC, plant/route constraints, basin hazards and applicable taxes</x:v>
      </x:c>
    </x:row>
    <x:row r="154" ht="44" customHeight="1">
      <x:c r="A154" s="2" t="str">
        <x:v>Sao Tome and Principe</x:v>
      </x:c>
      <x:c r="B154" s="2" t="n">
        <x:v>11</x:v>
      </x:c>
      <x:c r="C154" s="2" t="str">
        <x:v>Threshold-only case</x:v>
      </x:c>
      <x:c r="D154" s="2"/>
      <x:c r="E154" s="2" t="str">
        <x:v>Reconciled customer orders and delivered unit economics, seasonal NWC, plant/route constraints, basin hazards and applicable taxes</x:v>
      </x:c>
    </x:row>
    <x:row r="155" ht="44" customHeight="1">
      <x:c r="A155" s="2" t="str">
        <x:v>Saudi Arabia</x:v>
      </x:c>
      <x:c r="B155" s="2" t="n">
        <x:v>11</x:v>
      </x:c>
      <x:c r="C155" s="2" t="str">
        <x:v>Threshold-only case</x:v>
      </x:c>
      <x:c r="D155" s="2"/>
      <x:c r="E155" s="2" t="str">
        <x:v>Reconciled customer orders and delivered unit economics, seasonal NWC, plant/route constraints, basin hazards and applicable taxes</x:v>
      </x:c>
    </x:row>
    <x:row r="156" ht="44" customHeight="1">
      <x:c r="A156" s="2" t="str">
        <x:v>Senegal</x:v>
      </x:c>
      <x:c r="B156" s="2" t="n">
        <x:v>11</x:v>
      </x:c>
      <x:c r="C156" s="2" t="str">
        <x:v>Threshold-only case</x:v>
      </x:c>
      <x:c r="D156" s="2"/>
      <x:c r="E156" s="2" t="str">
        <x:v>Reconciled customer orders and delivered unit economics, seasonal NWC, plant/route constraints, basin hazards and applicable taxes</x:v>
      </x:c>
    </x:row>
    <x:row r="157" ht="44" customHeight="1">
      <x:c r="A157" s="2" t="str">
        <x:v>Serbia</x:v>
      </x:c>
      <x:c r="B157" s="2" t="n">
        <x:v>11</x:v>
      </x:c>
      <x:c r="C157" s="2" t="str">
        <x:v>Threshold-only case</x:v>
      </x:c>
      <x:c r="D157" s="2"/>
      <x:c r="E157" s="2" t="str">
        <x:v>Reconciled customer orders and delivered unit economics, seasonal NWC, plant/route constraints, basin hazards and applicable taxes</x:v>
      </x:c>
    </x:row>
    <x:row r="158" ht="44" customHeight="1">
      <x:c r="A158" s="2" t="str">
        <x:v>Seychelles</x:v>
      </x:c>
      <x:c r="B158" s="2" t="n">
        <x:v>9</x:v>
      </x:c>
      <x:c r="C158" s="2" t="str">
        <x:v>Threshold-only case</x:v>
      </x:c>
      <x:c r="D158" s="2"/>
      <x:c r="E158" s="2" t="str">
        <x:v>Reconciled customer orders and delivered unit economics, seasonal NWC, plant/route constraints, basin hazards and applicable taxes</x:v>
      </x:c>
    </x:row>
    <x:row r="159" ht="44" customHeight="1">
      <x:c r="A159" s="2" t="str">
        <x:v>Sierra Leone</x:v>
      </x:c>
      <x:c r="B159" s="2" t="n">
        <x:v>11</x:v>
      </x:c>
      <x:c r="C159" s="2" t="str">
        <x:v>Threshold-only case</x:v>
      </x:c>
      <x:c r="D159" s="2"/>
      <x:c r="E159" s="2" t="str">
        <x:v>Reconciled customer orders and delivered unit economics, seasonal NWC, plant/route constraints, basin hazards and applicable taxes</x:v>
      </x:c>
    </x:row>
    <x:row r="160" ht="44" customHeight="1">
      <x:c r="A160" s="2" t="str">
        <x:v>Singapore</x:v>
      </x:c>
      <x:c r="B160" s="2" t="n">
        <x:v>10</x:v>
      </x:c>
      <x:c r="C160" s="2" t="str">
        <x:v>Threshold-only case</x:v>
      </x:c>
      <x:c r="D160" s="2"/>
      <x:c r="E160" s="2" t="str">
        <x:v>Reconciled customer orders and delivered unit economics, seasonal NWC, plant/route constraints, basin hazards and applicable taxes</x:v>
      </x:c>
    </x:row>
    <x:row r="161" ht="44" customHeight="1">
      <x:c r="A161" s="2" t="str">
        <x:v>Slovakia</x:v>
      </x:c>
      <x:c r="B161" s="2" t="n">
        <x:v>11</x:v>
      </x:c>
      <x:c r="C161" s="2" t="str">
        <x:v>Threshold-only case</x:v>
      </x:c>
      <x:c r="D161" s="2"/>
      <x:c r="E161" s="2" t="str">
        <x:v>Reconciled customer orders and delivered unit economics, seasonal NWC, plant/route constraints, basin hazards and applicable taxes</x:v>
      </x:c>
    </x:row>
    <x:row r="162" ht="44" customHeight="1">
      <x:c r="A162" s="2" t="str">
        <x:v>Slovenia</x:v>
      </x:c>
      <x:c r="B162" s="2" t="n">
        <x:v>11</x:v>
      </x:c>
      <x:c r="C162" s="2" t="str">
        <x:v>Threshold-only case</x:v>
      </x:c>
      <x:c r="D162" s="2"/>
      <x:c r="E162" s="2" t="str">
        <x:v>Reconciled customer orders and delivered unit economics, seasonal NWC, plant/route constraints, basin hazards and applicable taxes</x:v>
      </x:c>
    </x:row>
    <x:row r="163" ht="44" customHeight="1">
      <x:c r="A163" s="2" t="str">
        <x:v>Solomon Islands</x:v>
      </x:c>
      <x:c r="B163" s="2" t="n">
        <x:v>10</x:v>
      </x:c>
      <x:c r="C163" s="2" t="str">
        <x:v>Threshold-only case</x:v>
      </x:c>
      <x:c r="D163" s="2"/>
      <x:c r="E163" s="2" t="str">
        <x:v>Reconciled customer orders and delivered unit economics, seasonal NWC, plant/route constraints, basin hazards and applicable taxes</x:v>
      </x:c>
    </x:row>
    <x:row r="164" ht="44" customHeight="1">
      <x:c r="A164" s="2" t="str">
        <x:v>Somalia</x:v>
      </x:c>
      <x:c r="B164" s="2" t="n">
        <x:v>8</x:v>
      </x:c>
      <x:c r="C164" s="2" t="str">
        <x:v>Threshold-only case</x:v>
      </x:c>
      <x:c r="D164" s="2"/>
      <x:c r="E164" s="2" t="str">
        <x:v>Reconciled customer orders and delivered unit economics, seasonal NWC, plant/route constraints, basin hazards and applicable taxes</x:v>
      </x:c>
    </x:row>
    <x:row r="165" ht="44" customHeight="1">
      <x:c r="A165" s="2" t="str">
        <x:v>South Africa</x:v>
      </x:c>
      <x:c r="B165" s="2" t="n">
        <x:v>11</x:v>
      </x:c>
      <x:c r="C165" s="2" t="str">
        <x:v>Threshold-only case</x:v>
      </x:c>
      <x:c r="D165" s="2"/>
      <x:c r="E165" s="2" t="str">
        <x:v>Reconciled customer orders and delivered unit economics, seasonal NWC, plant/route constraints, basin hazards and applicable taxes</x:v>
      </x:c>
    </x:row>
    <x:row r="166" ht="44" customHeight="1">
      <x:c r="A166" s="2" t="str">
        <x:v>South Sudan</x:v>
      </x:c>
      <x:c r="B166" s="2" t="n">
        <x:v>8</x:v>
      </x:c>
      <x:c r="C166" s="2" t="str">
        <x:v>Threshold-only case</x:v>
      </x:c>
      <x:c r="D166" s="2"/>
      <x:c r="E166" s="2" t="str">
        <x:v>Reconciled customer orders and delivered unit economics, seasonal NWC, plant/route constraints, basin hazards and applicable taxes</x:v>
      </x:c>
    </x:row>
    <x:row r="167" ht="44" customHeight="1">
      <x:c r="A167" s="2" t="str">
        <x:v>Spain</x:v>
      </x:c>
      <x:c r="B167" s="2" t="n">
        <x:v>11</x:v>
      </x:c>
      <x:c r="C167" s="2" t="str">
        <x:v>Threshold-only case</x:v>
      </x:c>
      <x:c r="D167" s="2"/>
      <x:c r="E167" s="2" t="str">
        <x:v>Reconciled customer orders and delivered unit economics, seasonal NWC, plant/route constraints, basin hazards and applicable taxes</x:v>
      </x:c>
    </x:row>
    <x:row r="168" ht="44" customHeight="1">
      <x:c r="A168" s="2" t="str">
        <x:v>Sri Lanka</x:v>
      </x:c>
      <x:c r="B168" s="2" t="n">
        <x:v>11</x:v>
      </x:c>
      <x:c r="C168" s="2" t="str">
        <x:v>Threshold-only case</x:v>
      </x:c>
      <x:c r="D168" s="2"/>
      <x:c r="E168" s="2" t="str">
        <x:v>Reconciled customer orders and delivered unit economics, seasonal NWC, plant/route constraints, basin hazards and applicable taxes</x:v>
      </x:c>
    </x:row>
    <x:row r="169" ht="44" customHeight="1">
      <x:c r="A169" s="2" t="str">
        <x:v>State of Palestine</x:v>
      </x:c>
      <x:c r="B169" s="2" t="n">
        <x:v>9</x:v>
      </x:c>
      <x:c r="C169" s="2" t="str">
        <x:v>Threshold-only case</x:v>
      </x:c>
      <x:c r="D169" s="2"/>
      <x:c r="E169" s="2" t="str">
        <x:v>Reconciled customer orders and delivered unit economics, seasonal NWC, plant/route constraints, basin hazards and applicable taxes</x:v>
      </x:c>
    </x:row>
    <x:row r="170" ht="44" customHeight="1">
      <x:c r="A170" s="2" t="str">
        <x:v>Sudan</x:v>
      </x:c>
      <x:c r="B170" s="2" t="n">
        <x:v>11</x:v>
      </x:c>
      <x:c r="C170" s="2" t="str">
        <x:v>Threshold-only case</x:v>
      </x:c>
      <x:c r="D170" s="2"/>
      <x:c r="E170" s="2" t="str">
        <x:v>Reconciled customer orders and delivered unit economics, seasonal NWC, plant/route constraints, basin hazards and applicable taxes</x:v>
      </x:c>
    </x:row>
    <x:row r="171" ht="44" customHeight="1">
      <x:c r="A171" s="2" t="str">
        <x:v>Suriname</x:v>
      </x:c>
      <x:c r="B171" s="2" t="n">
        <x:v>11</x:v>
      </x:c>
      <x:c r="C171" s="2" t="str">
        <x:v>Threshold-only case</x:v>
      </x:c>
      <x:c r="D171" s="2"/>
      <x:c r="E171" s="2" t="str">
        <x:v>Reconciled customer orders and delivered unit economics, seasonal NWC, plant/route constraints, basin hazards and applicable taxes</x:v>
      </x:c>
    </x:row>
    <x:row r="172" ht="44" customHeight="1">
      <x:c r="A172" s="2" t="str">
        <x:v>Sweden</x:v>
      </x:c>
      <x:c r="B172" s="2" t="n">
        <x:v>11</x:v>
      </x:c>
      <x:c r="C172" s="2" t="str">
        <x:v>Threshold-only case</x:v>
      </x:c>
      <x:c r="D172" s="2"/>
      <x:c r="E172" s="2" t="str">
        <x:v>Reconciled customer orders and delivered unit economics, seasonal NWC, plant/route constraints, basin hazards and applicable taxes</x:v>
      </x:c>
    </x:row>
    <x:row r="173" ht="44" customHeight="1">
      <x:c r="A173" s="2" t="str">
        <x:v>Switzerland</x:v>
      </x:c>
      <x:c r="B173" s="2" t="n">
        <x:v>11</x:v>
      </x:c>
      <x:c r="C173" s="2" t="str">
        <x:v>Threshold-only case</x:v>
      </x:c>
      <x:c r="D173" s="2"/>
      <x:c r="E173" s="2" t="str">
        <x:v>Reconciled customer orders and delivered unit economics, seasonal NWC, plant/route constraints, basin hazards and applicable taxes</x:v>
      </x:c>
    </x:row>
    <x:row r="174" ht="44" customHeight="1">
      <x:c r="A174" s="2" t="str">
        <x:v>Syrian Arab Republic</x:v>
      </x:c>
      <x:c r="B174" s="2" t="n">
        <x:v>11</x:v>
      </x:c>
      <x:c r="C174" s="2" t="str">
        <x:v>Threshold-only case</x:v>
      </x:c>
      <x:c r="D174" s="2"/>
      <x:c r="E174" s="2" t="str">
        <x:v>Reconciled customer orders and delivered unit economics, seasonal NWC, plant/route constraints, basin hazards and applicable taxes</x:v>
      </x:c>
    </x:row>
    <x:row r="175" ht="44" customHeight="1">
      <x:c r="A175" s="2" t="str">
        <x:v>Tajikistan</x:v>
      </x:c>
      <x:c r="B175" s="2" t="n">
        <x:v>11</x:v>
      </x:c>
      <x:c r="C175" s="2" t="str">
        <x:v>Threshold-only case</x:v>
      </x:c>
      <x:c r="D175" s="2"/>
      <x:c r="E175" s="2" t="str">
        <x:v>Reconciled customer orders and delivered unit economics, seasonal NWC, plant/route constraints, basin hazards and applicable taxes</x:v>
      </x:c>
    </x:row>
    <x:row r="176" ht="44" customHeight="1">
      <x:c r="A176" s="2" t="str">
        <x:v>Thailand</x:v>
      </x:c>
      <x:c r="B176" s="2" t="n">
        <x:v>11</x:v>
      </x:c>
      <x:c r="C176" s="2" t="str">
        <x:v>Threshold-only case</x:v>
      </x:c>
      <x:c r="D176" s="2"/>
      <x:c r="E176" s="2" t="str">
        <x:v>Reconciled customer orders and delivered unit economics, seasonal NWC, plant/route constraints, basin hazards and applicable taxes</x:v>
      </x:c>
    </x:row>
    <x:row r="177" ht="44" customHeight="1">
      <x:c r="A177" s="2" t="str">
        <x:v>Timor-Leste</x:v>
      </x:c>
      <x:c r="B177" s="2" t="n">
        <x:v>11</x:v>
      </x:c>
      <x:c r="C177" s="2" t="str">
        <x:v>Threshold-only case</x:v>
      </x:c>
      <x:c r="D177" s="2"/>
      <x:c r="E177" s="2" t="str">
        <x:v>Reconciled customer orders and delivered unit economics, seasonal NWC, plant/route constraints, basin hazards and applicable taxes</x:v>
      </x:c>
    </x:row>
    <x:row r="178" ht="44" customHeight="1">
      <x:c r="A178" s="2" t="str">
        <x:v>Togo</x:v>
      </x:c>
      <x:c r="B178" s="2" t="n">
        <x:v>11</x:v>
      </x:c>
      <x:c r="C178" s="2" t="str">
        <x:v>Threshold-only case</x:v>
      </x:c>
      <x:c r="D178" s="2"/>
      <x:c r="E178" s="2" t="str">
        <x:v>Reconciled customer orders and delivered unit economics, seasonal NWC, plant/route constraints, basin hazards and applicable taxes</x:v>
      </x:c>
    </x:row>
    <x:row r="179" ht="44" customHeight="1">
      <x:c r="A179" s="2" t="str">
        <x:v>Tonga</x:v>
      </x:c>
      <x:c r="B179" s="2" t="n">
        <x:v>9</x:v>
      </x:c>
      <x:c r="C179" s="2" t="str">
        <x:v>Threshold-only case</x:v>
      </x:c>
      <x:c r="D179" s="2"/>
      <x:c r="E179" s="2" t="str">
        <x:v>Reconciled customer orders and delivered unit economics, seasonal NWC, plant/route constraints, basin hazards and applicable taxes</x:v>
      </x:c>
    </x:row>
    <x:row r="180" ht="44" customHeight="1">
      <x:c r="A180" s="2" t="str">
        <x:v>Trinidad and Tobago</x:v>
      </x:c>
      <x:c r="B180" s="2" t="n">
        <x:v>11</x:v>
      </x:c>
      <x:c r="C180" s="2" t="str">
        <x:v>Threshold-only case</x:v>
      </x:c>
      <x:c r="D180" s="2"/>
      <x:c r="E180" s="2" t="str">
        <x:v>Reconciled customer orders and delivered unit economics, seasonal NWC, plant/route constraints, basin hazards and applicable taxes</x:v>
      </x:c>
    </x:row>
    <x:row r="181" ht="44" customHeight="1">
      <x:c r="A181" s="2" t="str">
        <x:v>Tunisia</x:v>
      </x:c>
      <x:c r="B181" s="2" t="n">
        <x:v>11</x:v>
      </x:c>
      <x:c r="C181" s="2" t="str">
        <x:v>Threshold-only case</x:v>
      </x:c>
      <x:c r="D181" s="2"/>
      <x:c r="E181" s="2" t="str">
        <x:v>Reconciled customer orders and delivered unit economics, seasonal NWC, plant/route constraints, basin hazards and applicable taxes</x:v>
      </x:c>
    </x:row>
    <x:row r="182" ht="44" customHeight="1">
      <x:c r="A182" s="2" t="str">
        <x:v>Turkmenistan</x:v>
      </x:c>
      <x:c r="B182" s="2" t="n">
        <x:v>10</x:v>
      </x:c>
      <x:c r="C182" s="2" t="str">
        <x:v>Threshold-only case</x:v>
      </x:c>
      <x:c r="D182" s="2"/>
      <x:c r="E182" s="2" t="str">
        <x:v>Reconciled customer orders and delivered unit economics, seasonal NWC, plant/route constraints, basin hazards and applicable taxes</x:v>
      </x:c>
    </x:row>
    <x:row r="183" ht="44" customHeight="1">
      <x:c r="A183" s="2" t="str">
        <x:v>Tuvalu</x:v>
      </x:c>
      <x:c r="B183" s="2" t="n">
        <x:v>9</x:v>
      </x:c>
      <x:c r="C183" s="2" t="str">
        <x:v>Threshold-only case</x:v>
      </x:c>
      <x:c r="D183" s="2"/>
      <x:c r="E183" s="2" t="str">
        <x:v>Reconciled customer orders and delivered unit economics, seasonal NWC, plant/route constraints, basin hazards and applicable taxes</x:v>
      </x:c>
    </x:row>
    <x:row r="184" ht="44" customHeight="1">
      <x:c r="A184" s="2" t="str">
        <x:v>Türkiye</x:v>
      </x:c>
      <x:c r="B184" s="2" t="n">
        <x:v>11</x:v>
      </x:c>
      <x:c r="C184" s="2" t="str">
        <x:v>Threshold-only case</x:v>
      </x:c>
      <x:c r="D184" s="2"/>
      <x:c r="E184" s="2" t="str">
        <x:v>Reconciled customer orders and delivered unit economics, seasonal NWC, plant/route constraints, basin hazards and applicable taxes</x:v>
      </x:c>
    </x:row>
    <x:row r="185" ht="44" customHeight="1">
      <x:c r="A185" s="2" t="str">
        <x:v>Uganda</x:v>
      </x:c>
      <x:c r="B185" s="2" t="n">
        <x:v>11</x:v>
      </x:c>
      <x:c r="C185" s="2" t="str">
        <x:v>Threshold-only case</x:v>
      </x:c>
      <x:c r="D185" s="2"/>
      <x:c r="E185" s="2" t="str">
        <x:v>Reconciled customer orders and delivered unit economics, seasonal NWC, plant/route constraints, basin hazards and applicable taxes</x:v>
      </x:c>
    </x:row>
    <x:row r="186" ht="44" customHeight="1">
      <x:c r="A186" s="2" t="str">
        <x:v>Ukraine</x:v>
      </x:c>
      <x:c r="B186" s="2" t="n">
        <x:v>11</x:v>
      </x:c>
      <x:c r="C186" s="2" t="str">
        <x:v>Threshold-only case</x:v>
      </x:c>
      <x:c r="D186" s="2"/>
      <x:c r="E186" s="2" t="str">
        <x:v>Reconciled customer orders and delivered unit economics, seasonal NWC, plant/route constraints, basin hazards and applicable taxes</x:v>
      </x:c>
    </x:row>
    <x:row r="187" ht="44" customHeight="1">
      <x:c r="A187" s="2" t="str">
        <x:v>United Arab Emirates</x:v>
      </x:c>
      <x:c r="B187" s="2" t="n">
        <x:v>11</x:v>
      </x:c>
      <x:c r="C187" s="2" t="str">
        <x:v>Threshold-only case</x:v>
      </x:c>
      <x:c r="D187" s="2"/>
      <x:c r="E187" s="2" t="str">
        <x:v>Reconciled customer orders and delivered unit economics, seasonal NWC, plant/route constraints, basin hazards and applicable taxes</x:v>
      </x:c>
    </x:row>
    <x:row r="188" ht="44" customHeight="1">
      <x:c r="A188" s="2" t="str">
        <x:v>United Kingdom of Great Britain and Northern Ireland</x:v>
      </x:c>
      <x:c r="B188" s="2" t="n">
        <x:v>11</x:v>
      </x:c>
      <x:c r="C188" s="2" t="str">
        <x:v>Threshold-only case</x:v>
      </x:c>
      <x:c r="D188" s="2"/>
      <x:c r="E188" s="2" t="str">
        <x:v>Reconciled customer orders and delivered unit economics, seasonal NWC, plant/route constraints, basin hazards and applicable taxes</x:v>
      </x:c>
    </x:row>
    <x:row r="189" ht="44" customHeight="1">
      <x:c r="A189" s="2" t="str">
        <x:v>United Republic of Tanzania</x:v>
      </x:c>
      <x:c r="B189" s="2" t="n">
        <x:v>11</x:v>
      </x:c>
      <x:c r="C189" s="2" t="str">
        <x:v>Threshold-only case</x:v>
      </x:c>
      <x:c r="D189" s="2"/>
      <x:c r="E189" s="2" t="str">
        <x:v>Reconciled customer orders and delivered unit economics, seasonal NWC, plant/route constraints, basin hazards and applicable taxes</x:v>
      </x:c>
    </x:row>
    <x:row r="190" ht="44" customHeight="1">
      <x:c r="A190" s="2" t="str">
        <x:v>United States of America</x:v>
      </x:c>
      <x:c r="B190" s="2" t="n">
        <x:v>11</x:v>
      </x:c>
      <x:c r="C190" s="2" t="str">
        <x:v>Threshold-only case</x:v>
      </x:c>
      <x:c r="D190" s="2"/>
      <x:c r="E190" s="2" t="str">
        <x:v>Reconciled customer orders and delivered unit economics, seasonal NWC, plant/route constraints, basin hazards and applicable taxes</x:v>
      </x:c>
    </x:row>
    <x:row r="191" ht="44" customHeight="1">
      <x:c r="A191" s="2" t="str">
        <x:v>Uruguay</x:v>
      </x:c>
      <x:c r="B191" s="2" t="n">
        <x:v>11</x:v>
      </x:c>
      <x:c r="C191" s="2" t="str">
        <x:v>Threshold-only case</x:v>
      </x:c>
      <x:c r="D191" s="2"/>
      <x:c r="E191" s="2" t="str">
        <x:v>Reconciled customer orders and delivered unit economics, seasonal NWC, plant/route constraints, basin hazards and applicable taxes</x:v>
      </x:c>
    </x:row>
    <x:row r="192" ht="44" customHeight="1">
      <x:c r="A192" s="2" t="str">
        <x:v>Uzbekistan</x:v>
      </x:c>
      <x:c r="B192" s="2" t="n">
        <x:v>11</x:v>
      </x:c>
      <x:c r="C192" s="2" t="str">
        <x:v>Threshold-only case</x:v>
      </x:c>
      <x:c r="D192" s="2"/>
      <x:c r="E192" s="2" t="str">
        <x:v>Reconciled customer orders and delivered unit economics, seasonal NWC, plant/route constraints, basin hazards and applicable taxes</x:v>
      </x:c>
    </x:row>
    <x:row r="193" ht="44" customHeight="1">
      <x:c r="A193" s="2" t="str">
        <x:v>Vanuatu</x:v>
      </x:c>
      <x:c r="B193" s="2" t="n">
        <x:v>10</x:v>
      </x:c>
      <x:c r="C193" s="2" t="str">
        <x:v>Threshold-only case</x:v>
      </x:c>
      <x:c r="D193" s="2"/>
      <x:c r="E193" s="2" t="str">
        <x:v>Reconciled customer orders and delivered unit economics, seasonal NWC, plant/route constraints, basin hazards and applicable taxes</x:v>
      </x:c>
    </x:row>
    <x:row r="194" ht="44" customHeight="1">
      <x:c r="A194" s="2" t="str">
        <x:v>Venezuela (Bolivarian Republic of)</x:v>
      </x:c>
      <x:c r="B194" s="2" t="n">
        <x:v>10</x:v>
      </x:c>
      <x:c r="C194" s="2" t="str">
        <x:v>Threshold-only case</x:v>
      </x:c>
      <x:c r="D194" s="2"/>
      <x:c r="E194" s="2" t="str">
        <x:v>Reconciled customer orders and delivered unit economics, seasonal NWC, plant/route constraints, basin hazards and applicable taxes</x:v>
      </x:c>
    </x:row>
    <x:row r="195" ht="44" customHeight="1">
      <x:c r="A195" s="2" t="str">
        <x:v>Viet Nam</x:v>
      </x:c>
      <x:c r="B195" s="2" t="n">
        <x:v>11</x:v>
      </x:c>
      <x:c r="C195" s="2" t="str">
        <x:v>Threshold-only case</x:v>
      </x:c>
      <x:c r="D195" s="2"/>
      <x:c r="E195" s="2" t="str">
        <x:v>Reconciled customer orders and delivered unit economics, seasonal NWC, plant/route constraints, basin hazards and applicable taxes</x:v>
      </x:c>
    </x:row>
    <x:row r="196" ht="44" customHeight="1">
      <x:c r="A196" s="2" t="str">
        <x:v>Yemen</x:v>
      </x:c>
      <x:c r="B196" s="2" t="n">
        <x:v>10</x:v>
      </x:c>
      <x:c r="C196" s="2" t="str">
        <x:v>Threshold-only case</x:v>
      </x:c>
      <x:c r="D196" s="2"/>
      <x:c r="E196" s="2" t="str">
        <x:v>Reconciled customer orders and delivered unit economics, seasonal NWC, plant/route constraints, basin hazards and applicable taxes</x:v>
      </x:c>
    </x:row>
    <x:row r="197" ht="44" customHeight="1">
      <x:c r="A197" s="2" t="str">
        <x:v>Zambia</x:v>
      </x:c>
      <x:c r="B197" s="2" t="n">
        <x:v>11</x:v>
      </x:c>
      <x:c r="C197" s="2" t="str">
        <x:v>Threshold-only case</x:v>
      </x:c>
      <x:c r="D197" s="2"/>
      <x:c r="E197" s="2" t="str">
        <x:v>Reconciled customer orders and delivered unit economics, seasonal NWC, plant/route constraints, basin hazards and applicable taxes</x:v>
      </x:c>
    </x:row>
    <x:row r="198" ht="44" customHeight="1">
      <x:c r="A198" s="2" t="str">
        <x:v>Zimbabwe</x:v>
      </x:c>
      <x:c r="B198" s="2" t="n">
        <x:v>11</x:v>
      </x:c>
      <x:c r="C198" s="2" t="str">
        <x:v>Threshold-only case</x:v>
      </x:c>
      <x:c r="D198" s="2"/>
      <x:c r="E198" s="2" t="str">
        <x:v>Reconciled customer orders and delivered unit economics, seasonal NWC, plant/route constraints, basin hazards and applicable taxes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</x:cols>
  <x:sheetData>
    <x:row r="1" ht="42" customHeight="1">
      <x:c r="A1" s="5" t="str">
        <x:v>Company Baseline / v1.1.0</x:v>
      </x:c>
      <x:c r="B1" s="2"/>
      <x:c r="C1" s="2"/>
      <x:c r="D1" s="2"/>
    </x:row>
    <x:row r="2" ht="42" customHeight="1">
      <x:c r="A2" s="2" t="str">
        <x:v>Public evidence + chosen examples; no Olam internal investment valuation</x:v>
      </x:c>
      <x:c r="B2" s="2"/>
      <x:c r="C2" s="2"/>
      <x:c r="D2" s="2"/>
    </x:row>
    <x:row r="3" ht="32" customHeight="1">
      <x:c r="A3" s="4" t="str">
        <x:v>Metric</x:v>
      </x:c>
      <x:c r="B3" s="4" t="str">
        <x:v>2024</x:v>
      </x:c>
      <x:c r="C3" s="4" t="str">
        <x:v>2025</x:v>
      </x:c>
      <x:c r="D3" s="4" t="str">
        <x:v>Unit /source</x:v>
      </x:c>
    </x:row>
    <x:row r="4" ht="44" customHeight="1">
      <x:c r="A4" s="2" t="str">
        <x:v>Agri revenue</x:v>
      </x:c>
      <x:c r="B4" s="2" t="n">
        <x:v>24848</x:v>
      </x:c>
      <x:c r="C4" s="2" t="n">
        <x:v>28666</x:v>
      </x:c>
      <x:c r="D4" s="2" t="str">
        <x:v>USD million; CO_AR printed pp. 10–11</x:v>
      </x:c>
    </x:row>
    <x:row r="5" ht="44" customHeight="1">
      <x:c r="A5" s="2" t="str">
        <x:v>Agri EBIT</x:v>
      </x:c>
      <x:c r="B5" s="2" t="n">
        <x:v>765.2</x:v>
      </x:c>
      <x:c r="C5" s="2" t="n">
        <x:v>703.7</x:v>
      </x:c>
      <x:c r="D5" s="2" t="str">
        <x:v>USD million; CO_AR</x:v>
      </x:c>
    </x:row>
    <x:row r="6" ht="44" customHeight="1">
      <x:c r="A6" s="2" t="str">
        <x:v>Sales volume</x:v>
      </x:c>
      <x:c r="B6" s="2" t="n">
        <x:v>45130</x:v>
      </x:c>
      <x:c r="C6" s="2" t="n">
        <x:v>53740</x:v>
      </x:c>
      <x:c r="D6" s="2" t="str">
        <x:v>Thousand tonnes; CO_AR</x:v>
      </x:c>
    </x:row>
    <x:row r="7" ht="44" customHeight="1">
      <x:c r="A7" s="2" t="str">
        <x:v>Derived EBIT margin</x:v>
      </x:c>
      <x:c r="B7" s="8" t="n">
        <x:f>B5/B4</x:f>
        <x:v>0.030795235028976176</x:v>
      </x:c>
      <x:c r="C7" s="8" t="n">
        <x:f>C5/C4</x:f>
        <x:v>0.02454824530803042</x:v>
      </x:c>
      <x:c r="D7" s="2" t="str">
        <x:v>Formula; same entity / period / currency</x:v>
      </x:c>
    </x:row>
    <x:row r="8" ht="44" customHeight="1">
      <x:c r="A8" s="2" t="str">
        <x:v>Handled volume</x:v>
      </x:c>
      <x:c r="B8" s="2"/>
      <x:c r="C8" s="2" t="n">
        <x:v>49474</x:v>
      </x:c>
      <x:c r="D8" s="2" t="str">
        <x:v>Thousand tonnes; different definition</x:v>
      </x:c>
    </x:row>
    <x:row r="9" ht="44" customHeight="1">
      <x:c r="A9" s="2" t="str">
        <x:v>SALIC stake after CFG</x:v>
      </x:c>
      <x:c r="B9" s="2"/>
      <x:c r="C9" s="2" t="n">
        <x:v>0.8181</x:v>
      </x:c>
      <x:c r="D9" s="2" t="str">
        <x:v>30 June 2026;CO_OWN</x:v>
      </x:c>
    </x:row>
    <x:row r="10" ht="44" customHeight="1">
      <x:c r="A10" s="2" t="str">
        <x:v>Olam Group stake</x:v>
      </x:c>
      <x:c r="B10" s="2"/>
      <x:c r="C10" s="2" t="n">
        <x:v>0.1819</x:v>
      </x:c>
      <x:c r="D10" s="2" t="str">
        <x:v>CO_OWN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</x:cols>
  <x:sheetData>
    <x:row r="1" ht="42" customHeight="1">
      <x:c r="A1" s="5" t="str">
        <x:v>Demand Model / v1.1.0</x:v>
      </x:c>
      <x:c r="B1" s="2"/>
      <x:c r="C1" s="2"/>
      <x:c r="D1" s="2"/>
      <x:c r="E1" s="2"/>
    </x:row>
    <x:row r="2" ht="42" customHeight="1">
      <x:c r="A2" s="2" t="str">
        <x:v>Public evidence + chosen examples; no Olam internal investment valuation</x:v>
      </x:c>
      <x:c r="B2" s="2"/>
      <x:c r="C2" s="2"/>
      <x:c r="D2" s="2"/>
      <x:c r="E2" s="2"/>
    </x:row>
    <x:row r="3" ht="32" customHeight="1">
      <x:c r="A3" s="4" t="str">
        <x:v>Term /metric</x:v>
      </x:c>
      <x:c r="B3" s="4" t="str">
        <x:v>Estimate</x:v>
      </x:c>
      <x:c r="C3" s="4" t="str">
        <x:v>SE /benchmark</x:v>
      </x:c>
      <x:c r="D3" s="4" t="str">
        <x:v>95%lower</x:v>
      </x:c>
      <x:c r="E3" s="4" t="str">
        <x:v>95%upper</x:v>
      </x:c>
    </x:row>
    <x:row r="4" ht="44" customHeight="1">
      <x:c r="A4" s="2" t="str">
        <x:v>Intercept</x:v>
      </x:c>
      <x:c r="B4" s="2" t="n">
        <x:v>0.018516000640606406</x:v>
      </x:c>
      <x:c r="C4" s="2" t="n">
        <x:v>0.0023122301680442115</x:v>
      </x:c>
      <x:c r="D4" s="2" t="n">
        <x:v>0.01398402951123975</x:v>
      </x:c>
      <x:c r="E4" s="2" t="n">
        <x:v>0.02304797176997306</x:v>
      </x:c>
    </x:row>
    <x:row r="5" ht="44" customHeight="1">
      <x:c r="A5" s="2" t="str">
        <x:v>g_income_ppp</x:v>
      </x:c>
      <x:c r="B5" s="2" t="n">
        <x:v>0.061968956351625956</x:v>
      </x:c>
      <x:c r="C5" s="2" t="n">
        <x:v>0.03749755221516524</x:v>
      </x:c>
      <x:c r="D5" s="2" t="n">
        <x:v>-0.011526245990097925</x:v>
      </x:c>
      <x:c r="E5" s="2" t="n">
        <x:v>0.13546415869334982</x:v>
      </x:c>
    </x:row>
    <x:row r="6" ht="44" customHeight="1">
      <x:c r="A6" s="2" t="str">
        <x:v>du</x:v>
      </x:c>
      <x:c r="B6" s="2" t="n">
        <x:v>0.19449941892062977</x:v>
      </x:c>
      <x:c r="C6" s="2" t="n">
        <x:v>0.40928619971930974</x:v>
      </x:c>
      <x:c r="D6" s="2" t="n">
        <x:v>-0.6077015325292172</x:v>
      </x:c>
      <x:c r="E6" s="2" t="n">
        <x:v>0.9967003703704769</x:v>
      </x:c>
    </x:row>
    <x:row r="7" ht="44" customHeight="1">
      <x:c r="A7" s="2" t="str">
        <x:v>g_cereal_yield</x:v>
      </x:c>
      <x:c r="B7" s="2" t="n">
        <x:v>-0.023314869419778072</x:v>
      </x:c>
      <x:c r="C7" s="2" t="n">
        <x:v>0.019872264291127578</x:v>
      </x:c>
      <x:c r="D7" s="2" t="n">
        <x:v>-0.062264507430388125</x:v>
      </x:c>
      <x:c r="E7" s="2" t="n">
        <x:v>0.015634768590831977</x:v>
      </x:c>
    </x:row>
    <x:row r="8" ht="44" customHeight="1">
      <x:c r="A8" s="2" t="str">
        <x:v>Holdout MAE</x:v>
      </x:c>
      <x:c r="B8" s="2" t="n">
        <x:v>0.048298679438260106</x:v>
      </x:c>
      <x:c r="C8" s="2" t="n">
        <x:v>0.04979376463602411</x:v>
      </x:c>
      <x:c r="D8" s="2"/>
      <x:c r="E8" s="2"/>
    </x:row>
    <x:row r="9" ht="44" customHeight="1">
      <x:c r="A9" s="2" t="str">
        <x:v>In-sample R2</x:v>
      </x:c>
      <x:c r="B9" s="2" t="n">
        <x:v>0.006179198245556017</x:v>
      </x:c>
      <x:c r="C9" s="2"/>
      <x:c r="D9" s="2"/>
      <x:c r="E9" s="2"/>
    </x:row>
    <x:row r="10" ht="44" customHeight="1">
      <x:c r="A10" s="2" t="str">
        <x:v>Selection</x:v>
      </x:c>
      <x:c r="B10" s="2" t="str">
        <x:v>Reject for country investment forecasting. Keep simple benchmarks until product and operating data exist.</x:v>
      </x:c>
      <x:c r="C10" s="2"/>
      <x:c r="D10" s="2"/>
      <x:c r="E10" s="2"/>
    </x:row>
    <x:row r="11" ht="44" customHeight="1">
      <x:c r="A11" s="2" t="str">
        <x:v>Vintage</x:v>
      </x:c>
      <x:c r="B11" s="2" t="str">
        <x:v>Retrospective latest WDI; 2019–2022 holdout; supply, not demand</x:v>
      </x:c>
      <x:c r="C11" s="2"/>
      <x:c r="D11" s="2"/>
      <x:c r="E11" s="2"/>
    </x:row>
  </x:sheetData>
  <x:mergeCells>
    <x:mergeCell ref="A1:E1"/>
    <x:mergeCell ref="A2:E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</x:cols>
  <x:sheetData>
    <x:row r="1" ht="42" customHeight="1">
      <x:c r="A1" s="5" t="str">
        <x:v>Trade Model / v1.1.0</x:v>
      </x:c>
      <x:c r="B1" s="2"/>
      <x:c r="C1" s="2"/>
    </x:row>
    <x:row r="2" ht="42" customHeight="1">
      <x:c r="A2" s="2" t="str">
        <x:v>Public evidence + chosen examples; no Olam internal investment valuation</x:v>
      </x:c>
      <x:c r="B2" s="2"/>
      <x:c r="C2" s="2"/>
    </x:row>
    <x:row r="3" ht="32" customHeight="1">
      <x:c r="A3" s="4" t="str">
        <x:v>Evidence</x:v>
      </x:c>
      <x:c r="B3" s="4" t="str">
        <x:v>Value</x:v>
      </x:c>
      <x:c r="C3" s="4" t="str">
        <x:v>Limitation</x:v>
      </x:c>
    </x:row>
    <x:row r="4" ht="44" customHeight="1">
      <x:c r="A4" s="2" t="str">
        <x:v>Nigeria 2024 HS1001 CIF</x:v>
      </x:c>
      <x:c r="B4" s="2" t="n">
        <x:v>1047531844.083</x:v>
      </x:c>
      <x:c r="C4" s="2" t="str">
        <x:v>COMTRADE; USD; weight null; reported flag false</x:v>
      </x:c>
    </x:row>
    <x:row r="5" ht="44" customHeight="1">
      <x:c r="A5" s="2" t="str">
        <x:v>PPML gravity</x:v>
      </x:c>
      <x:c r="B5" s="2" t="str">
        <x:v>Not estimated</x:v>
      </x:c>
      <x:c r="C5" s="2" t="str">
        <x:v>Bilateral product / access inputs unavailable</x:v>
      </x:c>
    </x:row>
    <x:row r="6" ht="44" customHeight="1">
      <x:c r="A6" s="2" t="str">
        <x:v>Olam capture</x:v>
      </x:c>
      <x:c r="B6" s="2" t="str">
        <x:v>Unknown</x:v>
      </x:c>
      <x:c r="C6" s="2" t="str">
        <x:v>Contracted orders required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</x:cols>
  <x:sheetData>
    <x:row r="1" ht="42" customHeight="1">
      <x:c r="A1" s="5" t="str">
        <x:v>Climate Exposure / v1.1.0</x:v>
      </x:c>
      <x:c r="B1" s="2"/>
      <x:c r="C1" s="2"/>
    </x:row>
    <x:row r="2" ht="42" customHeight="1">
      <x:c r="A2" s="2" t="str">
        <x:v>Public evidence + chosen examples; no Olam internal investment valuation</x:v>
      </x:c>
      <x:c r="B2" s="2"/>
      <x:c r="C2" s="2"/>
    </x:row>
    <x:row r="3" ht="32" customHeight="1">
      <x:c r="A3" s="4" t="str">
        <x:v>Layer</x:v>
      </x:c>
      <x:c r="B3" s="4" t="str">
        <x:v>Current evidence</x:v>
      </x:c>
      <x:c r="C3" s="4" t="str">
        <x:v>Missing decision input</x:v>
      </x:c>
    </x:row>
    <x:row r="4" ht="44" customHeight="1">
      <x:c r="A4" s="2" t="str">
        <x:v>Country</x:v>
      </x:c>
      <x:c r="B4" s="2" t="str">
        <x:v>WDI water stress + IPCC mechanisms</x:v>
      </x:c>
      <x:c r="C4" s="2" t="str">
        <x:v>Crop basin / asset coordinates and hazard</x:v>
      </x:c>
    </x:row>
    <x:row r="5" ht="44" customHeight="1">
      <x:c r="A5" s="2" t="str">
        <x:v>Adaptation</x:v>
      </x:c>
      <x:c r="B5" s="2" t="str">
        <x:v>No company effect estimated</x:v>
      </x:c>
      <x:c r="C5" s="2" t="str">
        <x:v>Cost, delivery saved, water and carbon</x:v>
      </x:c>
    </x:row>
    <x:row r="6" ht="44" customHeight="1">
      <x:c r="A6" s="2" t="str">
        <x:v>Transition</x:v>
      </x:c>
      <x:c r="B6" s="2" t="str">
        <x:v>EUDR source / commodity scope</x:v>
      </x:c>
      <x:c r="C6" s="2" t="str">
        <x:v>Current counsel access review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</x:cols>
  <x:sheetData>
    <x:row r="1" ht="42" customHeight="1">
      <x:c r="A1" s="5" t="str">
        <x:v>Scenario Inputs / v1.1.0</x:v>
      </x:c>
      <x:c r="B1" s="2"/>
      <x:c r="C1" s="2"/>
      <x:c r="D1" s="2"/>
      <x:c r="E1" s="2"/>
      <x:c r="F1" s="2"/>
      <x:c r="G1" s="2"/>
      <x:c r="H1" s="2"/>
      <x:c r="I1" s="2"/>
      <x:c r="J1" s="2"/>
    </x:row>
    <x:row r="2" ht="42" customHeight="1">
      <x:c r="A2" s="2" t="str">
        <x:v>Public evidence + chosen examples; no Olam internal investment valuation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 ht="32" customHeight="1">
      <x:c r="A3" s="4" t="str">
        <x:v>ID</x:v>
      </x:c>
      <x:c r="B3" s="4" t="str">
        <x:v>Name</x:v>
      </x:c>
      <x:c r="C3" s="4" t="str">
        <x:v>Volume</x:v>
      </x:c>
      <x:c r="D3" s="4" t="str">
        <x:v>Growth</x:v>
      </x:c>
      <x:c r="E3" s="4" t="str">
        <x:v>Cost</x:v>
      </x:c>
      <x:c r="F3" s="4" t="str">
        <x:v>Price</x:v>
      </x:c>
      <x:c r="G3" s="4" t="str">
        <x:v>Fixed</x:v>
      </x:c>
      <x:c r="H3" s="4" t="str">
        <x:v>Days</x:v>
      </x:c>
      <x:c r="I3" s="4" t="str">
        <x:v>Rate</x:v>
      </x:c>
      <x:c r="J3" s="4" t="str">
        <x:v>Capacity</x:v>
      </x:c>
    </x:row>
    <x:row r="4" ht="44" customHeight="1">
      <x:c r="A4" s="2" t="str">
        <x:v>managed</x:v>
      </x:c>
      <x:c r="B4" s="2" t="str">
        <x:v>Managed transition</x:v>
      </x:c>
      <x:c r="C4" s="6" t="n">
        <x:v>1</x:v>
      </x:c>
      <x:c r="D4" s="6" t="n">
        <x:v>0.015</x:v>
      </x:c>
      <x:c r="E4" s="6" t="n">
        <x:v>1</x:v>
      </x:c>
      <x:c r="F4" s="6" t="n">
        <x:v>1</x:v>
      </x:c>
      <x:c r="G4" s="6" t="n">
        <x:v>1</x:v>
      </x:c>
      <x:c r="H4" s="6" t="n">
        <x:v>0</x:v>
      </x:c>
      <x:c r="I4" s="6" t="n">
        <x:v>0.1</x:v>
      </x:c>
      <x:c r="J4" s="6" t="n">
        <x:v>1</x:v>
      </x:c>
    </x:row>
    <x:row r="5" ht="44" customHeight="1">
      <x:c r="A5" s="2" t="str">
        <x:v>integration</x:v>
      </x:c>
      <x:c r="B5" s="2" t="str">
        <x:v>Productive integration</x:v>
      </x:c>
      <x:c r="C5" s="6" t="n">
        <x:v>1.12</x:v>
      </x:c>
      <x:c r="D5" s="6" t="n">
        <x:v>0.025</x:v>
      </x:c>
      <x:c r="E5" s="6" t="n">
        <x:v>0.985</x:v>
      </x:c>
      <x:c r="F5" s="6" t="n">
        <x:v>1</x:v>
      </x:c>
      <x:c r="G5" s="6" t="n">
        <x:v>0.98</x:v>
      </x:c>
      <x:c r="H5" s="6" t="n">
        <x:v>-5</x:v>
      </x:c>
      <x:c r="I5" s="6" t="n">
        <x:v>0.09</x:v>
      </x:c>
      <x:c r="J5" s="6" t="n">
        <x:v>1</x:v>
      </x:c>
    </x:row>
    <x:row r="6" ht="44" customHeight="1">
      <x:c r="A6" s="2" t="str">
        <x:v>fragmented</x:v>
      </x:c>
      <x:c r="B6" s="2" t="str">
        <x:v>Fragmented trade</x:v>
      </x:c>
      <x:c r="C6" s="6" t="n">
        <x:v>0.9</x:v>
      </x:c>
      <x:c r="D6" s="6" t="n">
        <x:v>0.005</x:v>
      </x:c>
      <x:c r="E6" s="6" t="n">
        <x:v>1.07</x:v>
      </x:c>
      <x:c r="F6" s="6" t="n">
        <x:v>1.04</x:v>
      </x:c>
      <x:c r="G6" s="6" t="n">
        <x:v>1.1</x:v>
      </x:c>
      <x:c r="H6" s="6" t="n">
        <x:v>15</x:v>
      </x:c>
      <x:c r="I6" s="6" t="n">
        <x:v>0.12</x:v>
      </x:c>
      <x:c r="J6" s="6" t="n">
        <x:v>0.95</x:v>
      </x:c>
    </x:row>
    <x:row r="7" ht="44" customHeight="1">
      <x:c r="A7" s="2" t="str">
        <x:v>physical</x:v>
      </x:c>
      <x:c r="B7" s="2" t="str">
        <x:v>Compound physical stress</x:v>
      </x:c>
      <x:c r="C7" s="6" t="n">
        <x:v>0.82</x:v>
      </x:c>
      <x:c r="D7" s="6" t="n">
        <x:v>0.005</x:v>
      </x:c>
      <x:c r="E7" s="6" t="n">
        <x:v>1.15</x:v>
      </x:c>
      <x:c r="F7" s="6" t="n">
        <x:v>1.06</x:v>
      </x:c>
      <x:c r="G7" s="6" t="n">
        <x:v>1.15</x:v>
      </x:c>
      <x:c r="H7" s="6" t="n">
        <x:v>25</x:v>
      </x:c>
      <x:c r="I7" s="6" t="n">
        <x:v>0.12</x:v>
      </x:c>
      <x:c r="J7" s="6" t="n">
        <x:v>0.8</x:v>
      </x:c>
    </x:row>
    <x:row r="8" ht="44" customHeight="1">
      <x:c r="A8" s="2" t="str">
        <x:v>squeeze</x:v>
      </x:c>
      <x:c r="B8" s="2" t="str">
        <x:v>Affordability and debt squeeze</x:v>
      </x:c>
      <x:c r="C8" s="6" t="n">
        <x:v>0.82</x:v>
      </x:c>
      <x:c r="D8" s="6" t="n">
        <x:v>0</x:v>
      </x:c>
      <x:c r="E8" s="6" t="n">
        <x:v>1.04</x:v>
      </x:c>
      <x:c r="F8" s="6" t="n">
        <x:v>0.99</x:v>
      </x:c>
      <x:c r="G8" s="6" t="n">
        <x:v>1.05</x:v>
      </x:c>
      <x:c r="H8" s="6" t="n">
        <x:v>20</x:v>
      </x:c>
      <x:c r="I8" s="6" t="n">
        <x:v>0.14</x:v>
      </x:c>
      <x:c r="J8" s="6" t="n">
        <x:v>1</x:v>
      </x:c>
    </x:row>
    <x:row r="9" ht="44" customHeight="1">
      <x:c r="A9" s="2" t="str">
        <x:v>nutrition</x:v>
      </x:c>
      <x:c r="B9" s="2" t="str">
        <x:v>Nutrition and resource transition</x:v>
      </x:c>
      <x:c r="C9" s="6" t="n">
        <x:v>1.03</x:v>
      </x:c>
      <x:c r="D9" s="6" t="n">
        <x:v>0.01</x:v>
      </x:c>
      <x:c r="E9" s="6" t="n">
        <x:v>1.02</x:v>
      </x:c>
      <x:c r="F9" s="6" t="n">
        <x:v>1.02</x:v>
      </x:c>
      <x:c r="G9" s="6" t="n">
        <x:v>1.06</x:v>
      </x:c>
      <x:c r="H9" s="6" t="n">
        <x:v>5</x:v>
      </x:c>
      <x:c r="I9" s="6" t="n">
        <x:v>0.1</x:v>
      </x:c>
      <x:c r="J9" s="6" t="n">
        <x:v>1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7" hidden="0" customWidth="1"/>
    <x:col min="2" max="2" width="23" hidden="0" customWidth="1"/>
    <x:col min="3" max="3" width="55" hidden="0" customWidth="1"/>
  </x:cols>
  <x:sheetData>
    <x:row r="1" ht="42" customHeight="1">
      <x:c r="A1" s="5" t="str">
        <x:v>Assumptions / v1.1.0</x:v>
      </x:c>
      <x:c r="B1" s="2"/>
      <x:c r="C1" s="2"/>
    </x:row>
    <x:row r="2" ht="42" customHeight="1">
      <x:c r="A2" s="2" t="str">
        <x:v>Public evidence + chosen examples; no Olam internal investment valuation</x:v>
      </x:c>
      <x:c r="B2" s="2"/>
      <x:c r="C2" s="2"/>
    </x:row>
    <x:row r="3" ht="32" customHeight="1">
      <x:c r="A3" s="4" t="str">
        <x:v>Input</x:v>
      </x:c>
      <x:c r="B3" s="4" t="str">
        <x:v>Active value</x:v>
      </x:c>
      <x:c r="C3" s="4" t="str">
        <x:v>Status</x:v>
      </x:c>
    </x:row>
    <x:row r="4" ht="44" customHeight="1">
      <x:c r="A4" s="2" t="str">
        <x:v>Mode index</x:v>
      </x:c>
      <x:c r="B4" s="6" t="n">
        <x:v>3</x:v>
      </x:c>
      <x:c r="C4" s="2" t="str">
        <x:v>Chosen index1–3</x:v>
      </x:c>
    </x:row>
    <x:row r="5" ht="44" customHeight="1">
      <x:c r="A5" s="2" t="str">
        <x:v>Scenario index</x:v>
      </x:c>
      <x:c r="B5" s="6" t="n">
        <x:v>1</x:v>
      </x:c>
      <x:c r="C5" s="2" t="str">
        <x:v>Chosen index1–6</x:v>
      </x:c>
    </x:row>
    <x:row r="6" ht="44" customHeight="1">
      <x:c r="A6" s="2" t="str">
        <x:v>Capex $m</x:v>
      </x:c>
      <x:c r="B6" s="7" t="n">
        <x:f>INDEX(Unit_Economics!C4:C6,$B$4)</x:f>
        <x:v>20</x:v>
      </x:c>
      <x:c r="C6" s="2" t="str">
        <x:v>Active selected template</x:v>
      </x:c>
    </x:row>
    <x:row r="7" ht="44" customHeight="1">
      <x:c r="A7" s="2" t="str">
        <x:v>Fixed cash $m</x:v>
      </x:c>
      <x:c r="B7" s="7" t="n">
        <x:f>INDEX(Unit_Economics!D4:D6,$B$4)</x:f>
        <x:v>2</x:v>
      </x:c>
      <x:c r="C7" s="2" t="str">
        <x:v>Chosen</x:v>
      </x:c>
    </x:row>
    <x:row r="8" ht="44" customHeight="1">
      <x:c r="A8" s="2" t="str">
        <x:v>Capacity tonnes</x:v>
      </x:c>
      <x:c r="B8" s="7" t="n">
        <x:f>INDEX(Unit_Economics!E4:E6,$B$4)</x:f>
        <x:v>150000</x:v>
      </x:c>
      <x:c r="C8" s="2" t="str">
        <x:v>Chosen</x:v>
      </x:c>
    </x:row>
    <x:row r="9" ht="44" customHeight="1">
      <x:c r="A9" s="2" t="str">
        <x:v>Unit cost $/t</x:v>
      </x:c>
      <x:c r="B9" s="7" t="n">
        <x:f>INDEX(Unit_Economics!F4:F6,$B$4)</x:f>
        <x:v>340</x:v>
      </x:c>
      <x:c r="C9" s="2" t="str">
        <x:v>Chosen</x:v>
      </x:c>
    </x:row>
    <x:row r="10" ht="44" customHeight="1">
      <x:c r="A10" s="2" t="str">
        <x:v>Price $/t</x:v>
      </x:c>
      <x:c r="B10" s="7" t="n">
        <x:f>INDEX(Unit_Economics!G4:G6,$B$4)</x:f>
        <x:v>400</x:v>
      </x:c>
      <x:c r="C10" s="2" t="str">
        <x:v>Chosen</x:v>
      </x:c>
    </x:row>
    <x:row r="11" ht="44" customHeight="1">
      <x:c r="A11" s="2" t="str">
        <x:v>Initial orders t</x:v>
      </x:c>
      <x:c r="B11" s="7" t="n">
        <x:f>INDEX(Unit_Economics!H4:H6,$B$4)</x:f>
        <x:v>100000</x:v>
      </x:c>
      <x:c r="C11" s="2" t="str">
        <x:v>Chosen</x:v>
      </x:c>
    </x:row>
    <x:row r="12" ht="44" customHeight="1">
      <x:c r="A12" s="2" t="str">
        <x:v>DSO</x:v>
      </x:c>
      <x:c r="B12" s="7" t="n">
        <x:f>INDEX(Unit_Economics!I4:I6,$B$4)</x:f>
        <x:v>35</x:v>
      </x:c>
      <x:c r="C12" s="2" t="str">
        <x:v>Chosen</x:v>
      </x:c>
    </x:row>
    <x:row r="13" ht="44" customHeight="1">
      <x:c r="A13" s="2" t="str">
        <x:v>DIO</x:v>
      </x:c>
      <x:c r="B13" s="7" t="n">
        <x:f>INDEX(Unit_Economics!J4:J6,$B$4)</x:f>
        <x:v>55</x:v>
      </x:c>
      <x:c r="C13" s="2" t="str">
        <x:v>Chosen</x:v>
      </x:c>
    </x:row>
    <x:row r="14" ht="44" customHeight="1">
      <x:c r="A14" s="2" t="str">
        <x:v>DPO</x:v>
      </x:c>
      <x:c r="B14" s="7" t="n">
        <x:f>INDEX(Unit_Economics!K4:K6,$B$4)</x:f>
        <x:v>25</x:v>
      </x:c>
      <x:c r="C14" s="2" t="str">
        <x:v>Chosen</x:v>
      </x:c>
    </x:row>
    <x:row r="15" ht="44" customHeight="1">
      <x:c r="A15" s="2" t="str">
        <x:v>Order factor</x:v>
      </x:c>
      <x:c r="B15" s="7" t="n">
        <x:f>INDEX(Scenario_Inputs!C4:C9,$B$5)</x:f>
        <x:v>1</x:v>
      </x:c>
      <x:c r="C15" s="2" t="str">
        <x:v>Selected world</x:v>
      </x:c>
    </x:row>
    <x:row r="16" ht="44" customHeight="1">
      <x:c r="A16" s="2" t="str">
        <x:v>Order growth</x:v>
      </x:c>
      <x:c r="B16" s="7" t="n">
        <x:f>INDEX(Scenario_Inputs!D4:D9,$B$5)</x:f>
        <x:v>0.015</x:v>
      </x:c>
      <x:c r="C16" s="2" t="str">
        <x:v>Chosen; halved beyond year 10</x:v>
      </x:c>
    </x:row>
    <x:row r="17" ht="44" customHeight="1">
      <x:c r="A17" s="2" t="str">
        <x:v>Cost factor</x:v>
      </x:c>
      <x:c r="B17" s="7" t="n">
        <x:f>INDEX(Scenario_Inputs!E4:E9,$B$5)</x:f>
        <x:v>1</x:v>
      </x:c>
      <x:c r="C17" s="2" t="str">
        <x:v>Selected world</x:v>
      </x:c>
    </x:row>
    <x:row r="18" ht="44" customHeight="1">
      <x:c r="A18" s="2" t="str">
        <x:v>Price factor</x:v>
      </x:c>
      <x:c r="B18" s="7" t="n">
        <x:f>INDEX(Scenario_Inputs!F4:F9,$B$5)</x:f>
        <x:v>1</x:v>
      </x:c>
      <x:c r="C18" s="2" t="str">
        <x:v>Selected world</x:v>
      </x:c>
    </x:row>
    <x:row r="19" ht="44" customHeight="1">
      <x:c r="A19" s="2" t="str">
        <x:v>Fixed factor</x:v>
      </x:c>
      <x:c r="B19" s="7" t="n">
        <x:f>INDEX(Scenario_Inputs!G4:G9,$B$5)</x:f>
        <x:v>1</x:v>
      </x:c>
      <x:c r="C19" s="2" t="str">
        <x:v>Selected world</x:v>
      </x:c>
    </x:row>
    <x:row r="20" ht="44" customHeight="1">
      <x:c r="A20" s="2" t="str">
        <x:v>Cash days addition</x:v>
      </x:c>
      <x:c r="B20" s="7" t="n">
        <x:f>INDEX(Scenario_Inputs!H4:H9,$B$5)</x:f>
        <x:v>0</x:v>
      </x:c>
      <x:c r="C20" s="2" t="str">
        <x:v>Selected world</x:v>
      </x:c>
    </x:row>
    <x:row r="21" ht="44" customHeight="1">
      <x:c r="A21" s="2" t="str">
        <x:v>Real USD hurdle</x:v>
      </x:c>
      <x:c r="B21" s="7" t="n">
        <x:f>INDEX(Scenario_Inputs!I4:I9,$B$5)</x:f>
        <x:v>0.1</x:v>
      </x:c>
      <x:c r="C21" s="2" t="str">
        <x:v>Not WACC</x:v>
      </x:c>
    </x:row>
    <x:row r="22" ht="44" customHeight="1">
      <x:c r="A22" s="2" t="str">
        <x:v>Capacity factor</x:v>
      </x:c>
      <x:c r="B22" s="7" t="n">
        <x:f>INDEX(Scenario_Inputs!J4:J9,$B$5)</x:f>
        <x:v>1</x:v>
      </x:c>
      <x:c r="C22" s="2" t="str">
        <x:v>Selected world</x:v>
      </x:c>
    </x:row>
    <x:row r="23" ht="44" customHeight="1">
      <x:c r="A23" s="2" t="str">
        <x:v>Tax rate</x:v>
      </x:c>
      <x:c r="B23" s="6" t="n">
        <x:v>0.25</x:v>
      </x:c>
      <x:c r="C23" s="2" t="str">
        <x:v>Simplified loss carryforward, not actual country tax</x:v>
      </x:c>
    </x:row>
    <x:row r="24" ht="44" customHeight="1">
      <x:c r="A24" s="2" t="str">
        <x:v>Credit sales fraction</x:v>
      </x:c>
      <x:c r="B24" s="6" t="n">
        <x:v>0.8</x:v>
      </x:c>
      <x:c r="C24" s="2" t="str">
        <x:v>Chosen</x:v>
      </x:c>
    </x:row>
    <x:row r="25" ht="44" customHeight="1">
      <x:c r="A25" s="2" t="str">
        <x:v>Eligible purchases fraction</x:v>
      </x:c>
      <x:c r="B25" s="6" t="n">
        <x:v>0.8</x:v>
      </x:c>
      <x:c r="C25" s="2" t="str">
        <x:v>Chosen</x:v>
      </x:c>
    </x:row>
    <x:row r="26" ht="44" customHeight="1">
      <x:c r="A26" s="2" t="str">
        <x:v>Maintenance fraction</x:v>
      </x:c>
      <x:c r="B26" s="6" t="n">
        <x:v>0.02</x:v>
      </x:c>
      <x:c r="C26" s="2" t="str">
        <x:v>Capitalized annually</x:v>
      </x:c>
    </x:row>
    <x:row r="27" ht="44" customHeight="1">
      <x:c r="A27" s="2" t="str">
        <x:v>Replacement fraction</x:v>
      </x:c>
      <x:c r="B27" s="6" t="n">
        <x:v>0.7</x:v>
      </x:c>
      <x:c r="C27" s="2" t="str">
        <x:v>Years 11 and 21</x:v>
      </x:c>
    </x:row>
    <x:row r="28" ht="44" customHeight="1">
      <x:c r="A28" s="2" t="str">
        <x:v>Final NWC recovery</x:v>
      </x:c>
      <x:c r="B28" s="6" t="n">
        <x:v>0.9</x:v>
      </x:c>
      <x:c r="C28" s="2" t="str">
        <x:v>Year 25 only</x:v>
      </x:c>
    </x:row>
    <x:row r="29" ht="44" customHeight="1">
      <x:c r="A29" s="2" t="str">
        <x:v>Original capex now</x:v>
      </x:c>
      <x:c r="B29" s="6" t="n">
        <x:v>0.6</x:v>
      </x:c>
      <x:c r="C29" s="2" t="str">
        <x:v>Balance year 1</x:v>
      </x:c>
    </x:row>
    <x:row r="30" ht="44" customHeight="1">
      <x:c r="A30" s="2" t="str">
        <x:v>D&amp;A years</x:v>
      </x:c>
      <x:c r="B30" s="6" t="n">
        <x:v>10</x:v>
      </x:c>
      <x:c r="C30" s="2" t="str">
        <x:v>Straight-line capital cohorts</x:v>
      </x:c>
    </x:row>
  </x:sheetData>
  <x:mergeCells>
    <x:mergeCell ref="A1:C1"/>
    <x:mergeCell ref="A2:C2"/>
  </x:mergeCells>
  <x:dataValidations count="2">
    <x:dataValidation type="whole" operator="between" sqref="B4">
      <x:formula1>1</x:formula1>
      <x:formula2>3</x:formula2>
    </x:dataValidation>
    <x:dataValidation type="whole" operator="between" sqref="B5">
      <x:formula1>1</x:formula1>
      <x:formula2>6</x:formula2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</x:cols>
  <x:sheetData>
    <x:row r="1" ht="42" customHeight="1">
      <x:c r="A1" s="5" t="str">
        <x:v>Unit Economics / v1.1.0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42" customHeight="1">
      <x:c r="A2" s="2" t="str">
        <x:v>Public evidence + chosen examples; no Olam internal investment valuation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32" customHeight="1">
      <x:c r="A3" s="4" t="str">
        <x:v>ID</x:v>
      </x:c>
      <x:c r="B3" s="4" t="str">
        <x:v>Name</x:v>
      </x:c>
      <x:c r="C3" s="4" t="str">
        <x:v>Capex $m</x:v>
      </x:c>
      <x:c r="D3" s="4" t="str">
        <x:v>Fixed $m</x:v>
      </x:c>
      <x:c r="E3" s="4" t="str">
        <x:v>Capacity t</x:v>
      </x:c>
      <x:c r="F3" s="4" t="str">
        <x:v>Cost $/t</x:v>
      </x:c>
      <x:c r="G3" s="4" t="str">
        <x:v>Price $/t</x:v>
      </x:c>
      <x:c r="H3" s="4" t="str">
        <x:v>Orders t</x:v>
      </x:c>
      <x:c r="I3" s="4" t="str">
        <x:v>DSO</x:v>
      </x:c>
      <x:c r="J3" s="4" t="str">
        <x:v>DIO</x:v>
      </x:c>
      <x:c r="K3" s="4" t="str">
        <x:v>DPO</x:v>
      </x:c>
    </x:row>
    <x:row r="4" ht="44" customHeight="1">
      <x:c r="A4" s="2" t="str">
        <x:v>trade</x:v>
      </x:c>
      <x:c r="B4" s="2" t="str">
        <x:v>Contracted trade</x:v>
      </x:c>
      <x:c r="C4" s="6" t="n">
        <x:v>1</x:v>
      </x:c>
      <x:c r="D4" s="6" t="n">
        <x:v>0.25</x:v>
      </x:c>
      <x:c r="E4" s="6" t="n">
        <x:v>150000</x:v>
      </x:c>
      <x:c r="F4" s="6" t="n">
        <x:v>392</x:v>
      </x:c>
      <x:c r="G4" s="6" t="n">
        <x:v>400</x:v>
      </x:c>
      <x:c r="H4" s="6" t="n">
        <x:v>100000</x:v>
      </x:c>
      <x:c r="I4" s="6" t="n">
        <x:v>20</x:v>
      </x:c>
      <x:c r="J4" s="6" t="n">
        <x:v>25</x:v>
      </x:c>
      <x:c r="K4" s="6" t="n">
        <x:v>20</x:v>
      </x:c>
    </x:row>
    <x:row r="5" ht="44" customHeight="1">
      <x:c r="A5" s="2" t="str">
        <x:v>partner</x:v>
      </x:c>
      <x:c r="B5" s="2" t="str">
        <x:v>Partner processing</x:v>
      </x:c>
      <x:c r="C5" s="6" t="n">
        <x:v>8</x:v>
      </x:c>
      <x:c r="D5" s="6" t="n">
        <x:v>1.2</x:v>
      </x:c>
      <x:c r="E5" s="6" t="n">
        <x:v>120000</x:v>
      </x:c>
      <x:c r="F5" s="6" t="n">
        <x:v>352</x:v>
      </x:c>
      <x:c r="G5" s="6" t="n">
        <x:v>400</x:v>
      </x:c>
      <x:c r="H5" s="6" t="n">
        <x:v>100000</x:v>
      </x:c>
      <x:c r="I5" s="6" t="n">
        <x:v>35</x:v>
      </x:c>
      <x:c r="J5" s="6" t="n">
        <x:v>45</x:v>
      </x:c>
      <x:c r="K5" s="6" t="n">
        <x:v>25</x:v>
      </x:c>
    </x:row>
    <x:row r="6" ht="44" customHeight="1">
      <x:c r="A6" s="2" t="str">
        <x:v>plant</x:v>
      </x:c>
      <x:c r="B6" s="2" t="str">
        <x:v>Owned processing</x:v>
      </x:c>
      <x:c r="C6" s="6" t="n">
        <x:v>20</x:v>
      </x:c>
      <x:c r="D6" s="6" t="n">
        <x:v>2</x:v>
      </x:c>
      <x:c r="E6" s="6" t="n">
        <x:v>150000</x:v>
      </x:c>
      <x:c r="F6" s="6" t="n">
        <x:v>340</x:v>
      </x:c>
      <x:c r="G6" s="6" t="n">
        <x:v>400</x:v>
      </x:c>
      <x:c r="H6" s="6" t="n">
        <x:v>100000</x:v>
      </x:c>
      <x:c r="I6" s="6" t="n">
        <x:v>35</x:v>
      </x:c>
      <x:c r="J6" s="6" t="n">
        <x:v>55</x:v>
      </x:c>
      <x:c r="K6" s="6" t="n">
        <x:v>25</x:v>
      </x:c>
    </x:row>
  </x:sheetData>
  <x:mergeCells>
    <x:mergeCell ref="A1:K1"/>
    <x:mergeCell ref="A2:K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</x:cols>
  <x:sheetData>
    <x:row r="1" ht="42" customHeight="1">
      <x:c r="A1" s="5" t="str">
        <x:v>Working Capital / v1.1.0</x:v>
      </x:c>
      <x:c r="B1" s="2"/>
      <x:c r="C1" s="2"/>
    </x:row>
    <x:row r="2" ht="42" customHeight="1">
      <x:c r="A2" s="2" t="str">
        <x:v>Public evidence + chosen examples; no Olam internal investment valuation</x:v>
      </x:c>
      <x:c r="B2" s="2"/>
      <x:c r="C2" s="2"/>
    </x:row>
    <x:row r="3" ht="32" customHeight="1">
      <x:c r="A3" s="4" t="str">
        <x:v>Field</x:v>
      </x:c>
      <x:c r="B3" s="4" t="str">
        <x:v>Formula /source</x:v>
      </x:c>
      <x:c r="C3" s="4" t="str">
        <x:v>Convention</x:v>
      </x:c>
    </x:row>
    <x:row r="4" ht="44" customHeight="1">
      <x:c r="A4" s="2" t="str">
        <x:v>AR</x:v>
      </x:c>
      <x:c r="B4" s="2" t="str">
        <x:v>Credit revenue × DSO / 365</x:v>
      </x:c>
      <x:c r="C4" s="2" t="str">
        <x:v>80% credit sales</x:v>
      </x:c>
    </x:row>
    <x:row r="5" ht="44" customHeight="1">
      <x:c r="A5" s="2" t="str">
        <x:v>Inventory</x:v>
      </x:c>
      <x:c r="B5" s="2" t="str">
        <x:v>Variable cost × DIO / 365</x:v>
      </x:c>
      <x:c r="C5" s="2" t="str">
        <x:v>Costs; seasonal monthly need missing</x:v>
      </x:c>
    </x:row>
    <x:row r="6" ht="44" customHeight="1">
      <x:c r="A6" s="2" t="str">
        <x:v>AP</x:v>
      </x:c>
      <x:c r="B6" s="2" t="str">
        <x:v>Eligible purchase cost × DPO / 365</x:v>
      </x:c>
      <x:c r="C6" s="2" t="str">
        <x:v>80% eligible purchase base</x:v>
      </x:c>
    </x:row>
    <x:row r="7" ht="44" customHeight="1">
      <x:c r="A7" s="2" t="str">
        <x:v>NWC</x:v>
      </x:c>
      <x:c r="B7" s="2" t="str">
        <x:v>AR+inventory−AP</x:v>
      </x:c>
      <x:c r="C7" s="2" t="str">
        <x:v>Delta once per period</x:v>
      </x:c>
    </x:row>
    <x:row r="8" ht="44" customHeight="1">
      <x:c r="A8" s="2" t="str">
        <x:v>Closeout</x:v>
      </x:c>
      <x:c r="B8" s="2" t="str">
        <x:v>90% NWC in year 25</x:v>
      </x:c>
      <x:c r="C8" s="2" t="str">
        <x:v>No perpetual value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</x:cols>
  <x:sheetData>
    <x:row r="1" ht="42" customHeight="1">
      <x:c r="A1" s="5" t="str">
        <x:v>Financing FX / v1.1.0</x:v>
      </x:c>
      <x:c r="B1" s="2"/>
      <x:c r="C1" s="2"/>
    </x:row>
    <x:row r="2" ht="42" customHeight="1">
      <x:c r="A2" s="2" t="str">
        <x:v>Public evidence + chosen examples; no Olam internal investment valuation</x:v>
      </x:c>
      <x:c r="B2" s="2"/>
      <x:c r="C2" s="2"/>
    </x:row>
    <x:row r="3" ht="32" customHeight="1">
      <x:c r="A3" s="4" t="str">
        <x:v>Convention</x:v>
      </x:c>
      <x:c r="B3" s="4" t="str">
        <x:v>Value</x:v>
      </x:c>
      <x:c r="C3" s="4" t="str">
        <x:v>Boundary</x:v>
      </x:c>
    </x:row>
    <x:row r="4" ht="44" customHeight="1">
      <x:c r="A4" s="2" t="str">
        <x:v>Currency</x:v>
      </x:c>
      <x:c r="B4" s="2" t="str">
        <x:v>Constant2026USD</x:v>
      </x:c>
      <x:c r="C4" s="2" t="str">
        <x:v>No local FX translation or hedged cash modeled</x:v>
      </x:c>
    </x:row>
    <x:row r="5" ht="44" customHeight="1">
      <x:c r="A5" s="2" t="str">
        <x:v>Hurdle</x:v>
      </x:c>
      <x:c r="B5" s="2" t="str">
        <x:v>Selected scenario 9–14%</x:v>
      </x:c>
      <x:c r="C5" s="2" t="str">
        <x:v>Chosen real USD, not Olam WACC</x:v>
      </x:c>
    </x:row>
    <x:row r="6" ht="44" customHeight="1">
      <x:c r="A6" s="2" t="str">
        <x:v>FX cost</x:v>
      </x:c>
      <x:c r="B6" s="2" t="str">
        <x:v>USD input price × local / USD</x:v>
      </x:c>
      <x:c r="C6" s="2" t="str">
        <x:v>10% + 10% = 21%, not 20%</x:v>
      </x:c>
    </x:row>
    <x:row r="7" ht="44" customHeight="1">
      <x:c r="A7" s="2" t="str">
        <x:v>Funding</x:v>
      </x:c>
      <x:c r="B7" s="2" t="str">
        <x:v>Peak negative cumulative annual cash</x:v>
      </x:c>
      <x:c r="C7" s="2" t="str">
        <x:v>Monthly seasonal headroom needed</x:v>
      </x:c>
    </x:row>
    <x:row r="8" ht="44" customHeight="1">
      <x:c r="A8" s="2" t="str">
        <x:v>Fisher</x:v>
      </x:c>
      <x:c r="B8" s="2" t="str">
        <x:v>(1+real)(1+inflation)−1</x:v>
      </x:c>
      <x:c r="C8" s="2" t="str">
        <x:v>Consistent nominal cash required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3" hidden="0" customWidth="1"/>
    <x:col min="14" max="14" width="23" hidden="0" customWidth="1"/>
    <x:col min="15" max="15" width="23" hidden="0" customWidth="1"/>
    <x:col min="16" max="16" width="23" hidden="0" customWidth="1"/>
    <x:col min="17" max="17" width="23" hidden="0" customWidth="1"/>
    <x:col min="18" max="18" width="23" hidden="0" customWidth="1"/>
    <x:col min="19" max="19" width="23" hidden="0" customWidth="1"/>
    <x:col min="20" max="20" width="23" hidden="0" customWidth="1"/>
    <x:col min="21" max="21" width="23" hidden="0" customWidth="1"/>
    <x:col min="22" max="22" width="23" hidden="0" customWidth="1"/>
    <x:col min="23" max="23" width="23" hidden="0" customWidth="1"/>
    <x:col min="24" max="24" width="23" hidden="0" customWidth="1"/>
    <x:col min="25" max="25" width="23" hidden="0" customWidth="1"/>
    <x:col min="26" max="26" width="23" hidden="0" customWidth="1"/>
    <x:col min="27" max="27" width="23" hidden="0" customWidth="1"/>
  </x:cols>
  <x:sheetData>
    <x:row r="1" ht="42" customHeight="1">
      <x:c r="A1" s="5" t="str">
        <x:v>Country Financials / v1.1.0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</x:row>
    <x:row r="2" ht="42" customHeight="1">
      <x:c r="A2" s="2" t="str">
        <x:v>Public evidence + chosen examples; no Olam internal investment valuation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</x:row>
    <x:row r="3" ht="32" customHeight="1">
      <x:c r="A3" s="4" t="str">
        <x:v>t</x:v>
      </x:c>
      <x:c r="B3" s="4" t="str">
        <x:v>Year</x:v>
      </x:c>
      <x:c r="C3" s="4" t="str">
        <x:v>Order growth</x:v>
      </x:c>
      <x:c r="D3" s="4" t="str">
        <x:v>Ramp</x:v>
      </x:c>
      <x:c r="E3" s="4" t="str">
        <x:v>Delivered t</x:v>
      </x:c>
      <x:c r="F3" s="4" t="str">
        <x:v>Revenue</x:v>
      </x:c>
      <x:c r="G3" s="4" t="str">
        <x:v>Variable cost</x:v>
      </x:c>
      <x:c r="H3" s="4" t="str">
        <x:v>Fixed cash</x:v>
      </x:c>
      <x:c r="I3" s="4" t="str">
        <x:v>EBITDA</x:v>
      </x:c>
      <x:c r="J3" s="4" t="str">
        <x:v>Original/replacement</x:v>
      </x:c>
      <x:c r="K3" s="4" t="str">
        <x:v>Maintenance</x:v>
      </x:c>
      <x:c r="L3" s="4" t="str">
        <x:v>Capex</x:v>
      </x:c>
      <x:c r="M3" s="4" t="str">
        <x:v>Depreciation</x:v>
      </x:c>
      <x:c r="N3" s="4" t="str">
        <x:v>EBIT</x:v>
      </x:c>
      <x:c r="O3" s="4" t="str">
        <x:v>Prior taxloss</x:v>
      </x:c>
      <x:c r="P3" s="4" t="str">
        <x:v>Cash tax</x:v>
      </x:c>
      <x:c r="Q3" s="4" t="str">
        <x:v>Taxloss balance</x:v>
      </x:c>
      <x:c r="R3" s="4" t="str">
        <x:v>AR</x:v>
      </x:c>
      <x:c r="S3" s="4" t="str">
        <x:v>Inventory</x:v>
      </x:c>
      <x:c r="T3" s="4" t="str">
        <x:v>AP</x:v>
      </x:c>
      <x:c r="U3" s="4" t="str">
        <x:v>NWC</x:v>
      </x:c>
      <x:c r="V3" s="4" t="str">
        <x:v>DeltaNWC</x:v>
      </x:c>
      <x:c r="W3" s="4" t="str">
        <x:v>Closeout</x:v>
      </x:c>
      <x:c r="X3" s="4" t="str">
        <x:v>FCFF</x:v>
      </x:c>
      <x:c r="Y3" s="4" t="str">
        <x:v>Discount factor</x:v>
      </x:c>
      <x:c r="Z3" s="4" t="str">
        <x:v>PV cash</x:v>
      </x:c>
      <x:c r="AA3" s="4" t="str">
        <x:v>Cumulative cash</x:v>
      </x:c>
    </x:row>
    <x:row r="4" ht="44" customHeight="1">
      <x:c r="A4" s="2" t="n">
        <x:f>1</x:f>
        <x:v>1</x:v>
      </x:c>
      <x:c r="B4" s="2" t="n">
        <x:f>2026+A4</x:f>
        <x:v>2027</x:v>
      </x:c>
      <x:c r="C4" s="2" t="n">
        <x:f>(1+Assumptions!$B$16)^MIN(A4-1,9)*(1+Assumptions!$B$16/2)^MAX(0,A4-10)</x:f>
        <x:v>1</x:v>
      </x:c>
      <x:c r="D4" s="2" t="n">
        <x:f>IF(A4=1,0.5,IF(A4=2,0.8,1))</x:f>
        <x:v>0.5</x:v>
      </x:c>
      <x:c r="E4" s="9" t="n">
        <x:f>MIN(Assumptions!$B$11*Assumptions!$B$15*C4*D4,Assumptions!$B$8*Assumptions!$B$22)</x:f>
        <x:v>50000</x:v>
      </x:c>
      <x:c r="F4" s="9" t="n">
        <x:f>E4*Assumptions!$B$10*Assumptions!$B$18/1000000</x:f>
        <x:v>20</x:v>
      </x:c>
      <x:c r="G4" s="9" t="n">
        <x:f>E4*Assumptions!$B$9*Assumptions!$B$17/1000000</x:f>
        <x:v>17</x:v>
      </x:c>
      <x:c r="H4" s="9" t="n">
        <x:f>Assumptions!$B$7*Assumptions!$B$19</x:f>
        <x:v>2</x:v>
      </x:c>
      <x:c r="I4" s="9" t="n">
        <x:f>F4-G4-H4</x:f>
        <x:v>1</x:v>
      </x:c>
      <x:c r="J4" s="9" t="n">
        <x:f>IF(A4=1,Assumptions!$B$6,IF(OR(A4=11,A4=21),Assumptions!$B$6*Assumptions!$B$27,0))</x:f>
        <x:v>20</x:v>
      </x:c>
      <x:c r="K4" s="9" t="n">
        <x:f>Assumptions!$B$6*Assumptions!$B$26</x:f>
        <x:v>0.4</x:v>
      </x:c>
      <x:c r="L4" s="9" t="n">
        <x:f>IF(A4=1,Assumptions!$B$6*(1-Assumptions!$B$29),IF(OR(A4=11,A4=21),J4,0))+K4</x:f>
        <x:v>8.4</x:v>
      </x:c>
      <x:c r="M4" s="9" t="n">
        <x:f>(SUM(J4:J4)+SUM(K4:K4))/Assumptions!$B$30</x:f>
        <x:v>2.04</x:v>
      </x:c>
      <x:c r="N4" s="9" t="n">
        <x:f>I4-M4</x:f>
        <x:v>-1.04</x:v>
      </x:c>
      <x:c r="O4" s="9" t="n">
        <x:f>0</x:f>
        <x:v>0</x:v>
      </x:c>
      <x:c r="P4" s="9" t="n">
        <x:f>MAX(0,N4-O4)*Assumptions!$B$23</x:f>
        <x:v>0</x:v>
      </x:c>
      <x:c r="Q4" s="9" t="n">
        <x:f>MAX(0,O4-N4)</x:f>
        <x:v>1.04</x:v>
      </x:c>
      <x:c r="R4" s="9" t="n">
        <x:f>F4*Assumptions!$B$24*(Assumptions!$B$12+Assumptions!$B$20)/365</x:f>
        <x:v>1.5342465753424657</x:v>
      </x:c>
      <x:c r="S4" s="9" t="n">
        <x:f>G4*(Assumptions!$B$13+Assumptions!$B$20)/365</x:f>
        <x:v>2.5616438356164384</x:v>
      </x:c>
      <x:c r="T4" s="9" t="n">
        <x:f>G4*Assumptions!$B$25*Assumptions!$B$14/365</x:f>
        <x:v>0.9315068493150687</x:v>
      </x:c>
      <x:c r="U4" s="9" t="n">
        <x:f>R4+S4-T4</x:f>
        <x:v>3.1643835616438354</x:v>
      </x:c>
      <x:c r="V4" s="9" t="n">
        <x:f>U4</x:f>
        <x:v>3.1643835616438354</x:v>
      </x:c>
      <x:c r="W4" s="9" t="n">
        <x:f>IF(A4=25,U4*Assumptions!$B$28,0)</x:f>
        <x:v>0</x:v>
      </x:c>
      <x:c r="X4" s="9" t="n">
        <x:f>N4-P4+M4-L4-V4+W4</x:f>
        <x:v>-10.564383561643837</x:v>
      </x:c>
      <x:c r="Y4" s="9" t="n">
        <x:f>(1+Assumptions!$B$21)^A4</x:f>
        <x:v>1.1</x:v>
      </x:c>
      <x:c r="Z4" s="9" t="n">
        <x:f>X4/Y4</x:f>
        <x:v>-9.60398505603985</x:v>
      </x:c>
      <x:c r="AA4" s="9" t="n">
        <x:f>-Assumptions!$B$6*Assumptions!$B$29+X4</x:f>
        <x:v>-22.564383561643837</x:v>
      </x:c>
    </x:row>
    <x:row r="5" ht="44" customHeight="1">
      <x:c r="A5" s="2" t="n">
        <x:f>2</x:f>
        <x:v>2</x:v>
      </x:c>
      <x:c r="B5" s="2" t="n">
        <x:f>2026+A5</x:f>
        <x:v>2028</x:v>
      </x:c>
      <x:c r="C5" s="2" t="n">
        <x:f>(1+Assumptions!$B$16)^MIN(A5-1,9)*(1+Assumptions!$B$16/2)^MAX(0,A5-10)</x:f>
        <x:v>1.015</x:v>
      </x:c>
      <x:c r="D5" s="2" t="n">
        <x:f>IF(A5=1,0.5,IF(A5=2,0.8,1))</x:f>
        <x:v>0.8</x:v>
      </x:c>
      <x:c r="E5" s="9" t="n">
        <x:f>MIN(Assumptions!$B$11*Assumptions!$B$15*C5*D5,Assumptions!$B$8*Assumptions!$B$22)</x:f>
        <x:v>81200</x:v>
      </x:c>
      <x:c r="F5" s="9" t="n">
        <x:f>E5*Assumptions!$B$10*Assumptions!$B$18/1000000</x:f>
        <x:v>32.48</x:v>
      </x:c>
      <x:c r="G5" s="9" t="n">
        <x:f>E5*Assumptions!$B$9*Assumptions!$B$17/1000000</x:f>
        <x:v>27.608</x:v>
      </x:c>
      <x:c r="H5" s="9" t="n">
        <x:f>Assumptions!$B$7*Assumptions!$B$19</x:f>
        <x:v>2</x:v>
      </x:c>
      <x:c r="I5" s="9" t="n">
        <x:f>F5-G5-H5</x:f>
        <x:v>2.8719999999999963</x:v>
      </x:c>
      <x:c r="J5" s="9" t="n">
        <x:f>IF(A5=1,Assumptions!$B$6,IF(OR(A5=11,A5=21),Assumptions!$B$6*Assumptions!$B$27,0))</x:f>
        <x:v>0</x:v>
      </x:c>
      <x:c r="K5" s="9" t="n">
        <x:f>Assumptions!$B$6*Assumptions!$B$26</x:f>
        <x:v>0.4</x:v>
      </x:c>
      <x:c r="L5" s="9" t="n">
        <x:f>IF(A5=1,Assumptions!$B$6*(1-Assumptions!$B$29),IF(OR(A5=11,A5=21),J5,0))+K5</x:f>
        <x:v>0.4</x:v>
      </x:c>
      <x:c r="M5" s="9" t="n">
        <x:f>(SUM(J4:J5)+SUM(K4:K5))/Assumptions!$B$30</x:f>
        <x:v>2.08</x:v>
      </x:c>
      <x:c r="N5" s="9" t="n">
        <x:f>I5-M5</x:f>
        <x:v>0.7919999999999963</x:v>
      </x:c>
      <x:c r="O5" s="9" t="n">
        <x:f>Q4</x:f>
        <x:v>1.04</x:v>
      </x:c>
      <x:c r="P5" s="9" t="n">
        <x:f>MAX(0,N5-O5)*Assumptions!$B$23</x:f>
        <x:v>0</x:v>
      </x:c>
      <x:c r="Q5" s="9" t="n">
        <x:f>MAX(0,O5-N5)</x:f>
        <x:v>0.24800000000000377</x:v>
      </x:c>
      <x:c r="R5" s="9" t="n">
        <x:f>F5*Assumptions!$B$24*(Assumptions!$B$12+Assumptions!$B$20)/365</x:f>
        <x:v>2.4916164383561643</x:v>
      </x:c>
      <x:c r="S5" s="9" t="n">
        <x:f>G5*(Assumptions!$B$13+Assumptions!$B$20)/365</x:f>
        <x:v>4.160109589041096</x:v>
      </x:c>
      <x:c r="T5" s="9" t="n">
        <x:f>G5*Assumptions!$B$25*Assumptions!$B$14/365</x:f>
        <x:v>1.5127671232876714</x:v>
      </x:c>
      <x:c r="U5" s="9" t="n">
        <x:f>R5+S5-T5</x:f>
        <x:v>5.1389589041095896</x:v>
      </x:c>
      <x:c r="V5" s="9" t="n">
        <x:f>U5-U4</x:f>
        <x:v>1.9745753424657542</x:v>
      </x:c>
      <x:c r="W5" s="9" t="n">
        <x:f>IF(A5=25,U5*Assumptions!$B$28,0)</x:f>
        <x:v>0</x:v>
      </x:c>
      <x:c r="X5" s="9" t="n">
        <x:f>N5-P5+M5-L5-V5+W5</x:f>
        <x:v>0.49742465753424225</x:v>
      </x:c>
      <x:c r="Y5" s="9" t="n">
        <x:f>(1+Assumptions!$B$21)^A5</x:f>
        <x:v>1.2100000000000002</x:v>
      </x:c>
      <x:c r="Z5" s="9" t="n">
        <x:f>X5/Y5</x:f>
        <x:v>0.41109475829276215</x:v>
      </x:c>
      <x:c r="AA5" s="9" t="n">
        <x:f>AA4+X5</x:f>
        <x:v>-22.066958904109594</x:v>
      </x:c>
    </x:row>
    <x:row r="6" ht="44" customHeight="1">
      <x:c r="A6" s="2" t="n">
        <x:f>3</x:f>
        <x:v>3</x:v>
      </x:c>
      <x:c r="B6" s="2" t="n">
        <x:f>2026+A6</x:f>
        <x:v>2029</x:v>
      </x:c>
      <x:c r="C6" s="2" t="n">
        <x:f>(1+Assumptions!$B$16)^MIN(A6-1,9)*(1+Assumptions!$B$16/2)^MAX(0,A6-10)</x:f>
        <x:v>1.0302249999999997</x:v>
      </x:c>
      <x:c r="D6" s="2" t="n">
        <x:f>IF(A6=1,0.5,IF(A6=2,0.8,1))</x:f>
        <x:v>1</x:v>
      </x:c>
      <x:c r="E6" s="9" t="n">
        <x:f>MIN(Assumptions!$B$11*Assumptions!$B$15*C6*D6,Assumptions!$B$8*Assumptions!$B$22)</x:f>
        <x:v>103022.49999999997</x:v>
      </x:c>
      <x:c r="F6" s="9" t="n">
        <x:f>E6*Assumptions!$B$10*Assumptions!$B$18/1000000</x:f>
        <x:v>41.20899999999998</x:v>
      </x:c>
      <x:c r="G6" s="9" t="n">
        <x:f>E6*Assumptions!$B$9*Assumptions!$B$17/1000000</x:f>
        <x:v>35.027649999999994</x:v>
      </x:c>
      <x:c r="H6" s="9" t="n">
        <x:f>Assumptions!$B$7*Assumptions!$B$19</x:f>
        <x:v>2</x:v>
      </x:c>
      <x:c r="I6" s="9" t="n">
        <x:f>F6-G6-H6</x:f>
        <x:v>4.181349999999988</x:v>
      </x:c>
      <x:c r="J6" s="9" t="n">
        <x:f>IF(A6=1,Assumptions!$B$6,IF(OR(A6=11,A6=21),Assumptions!$B$6*Assumptions!$B$27,0))</x:f>
        <x:v>0</x:v>
      </x:c>
      <x:c r="K6" s="9" t="n">
        <x:f>Assumptions!$B$6*Assumptions!$B$26</x:f>
        <x:v>0.4</x:v>
      </x:c>
      <x:c r="L6" s="9" t="n">
        <x:f>IF(A6=1,Assumptions!$B$6*(1-Assumptions!$B$29),IF(OR(A6=11,A6=21),J6,0))+K6</x:f>
        <x:v>0.4</x:v>
      </x:c>
      <x:c r="M6" s="9" t="n">
        <x:f>(SUM(J4:J6)+SUM(K4:K6))/Assumptions!$B$30</x:f>
        <x:v>2.12</x:v>
      </x:c>
      <x:c r="N6" s="9" t="n">
        <x:f>I6-M6</x:f>
        <x:v>2.0613499999999876</x:v>
      </x:c>
      <x:c r="O6" s="9" t="n">
        <x:f>Q5</x:f>
        <x:v>0.24800000000000377</x:v>
      </x:c>
      <x:c r="P6" s="9" t="n">
        <x:f>MAX(0,N6-O6)*Assumptions!$B$23</x:f>
        <x:v>0.45333749999999595</x:v>
      </x:c>
      <x:c r="Q6" s="9" t="n">
        <x:f>MAX(0,O6-N6)</x:f>
        <x:v>0</x:v>
      </x:c>
      <x:c r="R6" s="9" t="n">
        <x:f>F6*Assumptions!$B$24*(Assumptions!$B$12+Assumptions!$B$20)/365</x:f>
        <x:v>3.161238356164382</x:v>
      </x:c>
      <x:c r="S6" s="9" t="n">
        <x:f>G6*(Assumptions!$B$13+Assumptions!$B$20)/365</x:f>
        <x:v>5.27813904109589</x:v>
      </x:c>
      <x:c r="T6" s="9" t="n">
        <x:f>G6*Assumptions!$B$25*Assumptions!$B$14/365</x:f>
        <x:v>1.9193232876712325</x:v>
      </x:c>
      <x:c r="U6" s="9" t="n">
        <x:f>R6+S6-T6</x:f>
        <x:v>6.520054109589038</x:v>
      </x:c>
      <x:c r="V6" s="9" t="n">
        <x:f>U6-U5</x:f>
        <x:v>1.3810952054794488</x:v>
      </x:c>
      <x:c r="W6" s="9" t="n">
        <x:f>IF(A6=25,U6*Assumptions!$B$28,0)</x:f>
        <x:v>0</x:v>
      </x:c>
      <x:c r="X6" s="9" t="n">
        <x:f>N6-P6+M6-L6-V6+W6</x:f>
        <x:v>1.946917294520543</x:v>
      </x:c>
      <x:c r="Y6" s="9" t="n">
        <x:f>(1+Assumptions!$B$21)^A6</x:f>
        <x:v>1.3310000000000004</x:v>
      </x:c>
      <x:c r="Z6" s="9" t="n">
        <x:f>X6/Y6</x:f>
        <x:v>1.4627477795045398</x:v>
      </x:c>
      <x:c r="AA6" s="9" t="n">
        <x:f>AA5+X6</x:f>
        <x:v>-20.12004160958905</x:v>
      </x:c>
    </x:row>
    <x:row r="7" ht="44" customHeight="1">
      <x:c r="A7" s="2" t="n">
        <x:f>4</x:f>
        <x:v>4</x:v>
      </x:c>
      <x:c r="B7" s="2" t="n">
        <x:f>2026+A7</x:f>
        <x:v>2030</x:v>
      </x:c>
      <x:c r="C7" s="2" t="n">
        <x:f>(1+Assumptions!$B$16)^MIN(A7-1,9)*(1+Assumptions!$B$16/2)^MAX(0,A7-10)</x:f>
        <x:v>1.0456783749999996</x:v>
      </x:c>
      <x:c r="D7" s="2" t="n">
        <x:f>IF(A7=1,0.5,IF(A7=2,0.8,1))</x:f>
        <x:v>1</x:v>
      </x:c>
      <x:c r="E7" s="9" t="n">
        <x:f>MIN(Assumptions!$B$11*Assumptions!$B$15*C7*D7,Assumptions!$B$8*Assumptions!$B$22)</x:f>
        <x:v>104567.83749999997</x:v>
      </x:c>
      <x:c r="F7" s="9" t="n">
        <x:f>E7*Assumptions!$B$10*Assumptions!$B$18/1000000</x:f>
        <x:v>41.827134999999984</x:v>
      </x:c>
      <x:c r="G7" s="9" t="n">
        <x:f>E7*Assumptions!$B$9*Assumptions!$B$17/1000000</x:f>
        <x:v>35.55306474999998</x:v>
      </x:c>
      <x:c r="H7" s="9" t="n">
        <x:f>Assumptions!$B$7*Assumptions!$B$19</x:f>
        <x:v>2</x:v>
      </x:c>
      <x:c r="I7" s="9" t="n">
        <x:f>F7-G7-H7</x:f>
        <x:v>4.274070250000001</x:v>
      </x:c>
      <x:c r="J7" s="9" t="n">
        <x:f>IF(A7=1,Assumptions!$B$6,IF(OR(A7=11,A7=21),Assumptions!$B$6*Assumptions!$B$27,0))</x:f>
        <x:v>0</x:v>
      </x:c>
      <x:c r="K7" s="9" t="n">
        <x:f>Assumptions!$B$6*Assumptions!$B$26</x:f>
        <x:v>0.4</x:v>
      </x:c>
      <x:c r="L7" s="9" t="n">
        <x:f>IF(A7=1,Assumptions!$B$6*(1-Assumptions!$B$29),IF(OR(A7=11,A7=21),J7,0))+K7</x:f>
        <x:v>0.4</x:v>
      </x:c>
      <x:c r="M7" s="9" t="n">
        <x:f>(SUM(J4:J7)+SUM(K4:K7))/Assumptions!$B$30</x:f>
        <x:v>2.16</x:v>
      </x:c>
      <x:c r="N7" s="9" t="n">
        <x:f>I7-M7</x:f>
        <x:v>2.114070250000001</x:v>
      </x:c>
      <x:c r="O7" s="9" t="n">
        <x:f>Q6</x:f>
        <x:v>0</x:v>
      </x:c>
      <x:c r="P7" s="9" t="n">
        <x:f>MAX(0,N7-O7)*Assumptions!$B$23</x:f>
        <x:v>0.5285175625000003</x:v>
      </x:c>
      <x:c r="Q7" s="9" t="n">
        <x:f>MAX(0,O7-N7)</x:f>
        <x:v>0</x:v>
      </x:c>
      <x:c r="R7" s="9" t="n">
        <x:f>F7*Assumptions!$B$24*(Assumptions!$B$12+Assumptions!$B$20)/365</x:f>
        <x:v>3.208656931506848</x:v>
      </x:c>
      <x:c r="S7" s="9" t="n">
        <x:f>G7*(Assumptions!$B$13+Assumptions!$B$20)/365</x:f>
        <x:v>5.357311126712326</x:v>
      </x:c>
      <x:c r="T7" s="9" t="n">
        <x:f>G7*Assumptions!$B$25*Assumptions!$B$14/365</x:f>
        <x:v>1.9481131369863003</x:v>
      </x:c>
      <x:c r="U7" s="9" t="n">
        <x:f>R7+S7-T7</x:f>
        <x:v>6.617854921232873</x:v>
      </x:c>
      <x:c r="V7" s="9" t="n">
        <x:f>U7-U6</x:f>
        <x:v>0.09780081164383425</x:v>
      </x:c>
      <x:c r="W7" s="9" t="n">
        <x:f>IF(A7=25,U7*Assumptions!$B$28,0)</x:f>
        <x:v>0</x:v>
      </x:c>
      <x:c r="X7" s="9" t="n">
        <x:f>N7-P7+M7-L7-V7+W7</x:f>
        <x:v>3.2477518758561668</x:v>
      </x:c>
      <x:c r="Y7" s="9" t="n">
        <x:f>(1+Assumptions!$B$21)^A7</x:f>
        <x:v>1.4641000000000004</x:v>
      </x:c>
      <x:c r="Z7" s="9" t="n">
        <x:f>X7/Y7</x:f>
        <x:v>2.21825823089691</x:v>
      </x:c>
      <x:c r="AA7" s="9" t="n">
        <x:f>AA6+X7</x:f>
        <x:v>-16.872289733732885</x:v>
      </x:c>
    </x:row>
    <x:row r="8" ht="44" customHeight="1">
      <x:c r="A8" s="2" t="n">
        <x:f>5</x:f>
        <x:v>5</x:v>
      </x:c>
      <x:c r="B8" s="2" t="n">
        <x:f>2026+A8</x:f>
        <x:v>2031</x:v>
      </x:c>
      <x:c r="C8" s="2" t="n">
        <x:f>(1+Assumptions!$B$16)^MIN(A8-1,9)*(1+Assumptions!$B$16/2)^MAX(0,A8-10)</x:f>
        <x:v>1.0613635506249997</x:v>
      </x:c>
      <x:c r="D8" s="2" t="n">
        <x:f>IF(A8=1,0.5,IF(A8=2,0.8,1))</x:f>
        <x:v>1</x:v>
      </x:c>
      <x:c r="E8" s="9" t="n">
        <x:f>MIN(Assumptions!$B$11*Assumptions!$B$15*C8*D8,Assumptions!$B$8*Assumptions!$B$22)</x:f>
        <x:v>106136.35506249996</x:v>
      </x:c>
      <x:c r="F8" s="9" t="n">
        <x:f>E8*Assumptions!$B$10*Assumptions!$B$18/1000000</x:f>
        <x:v>42.45454202499998</x:v>
      </x:c>
      <x:c r="G8" s="9" t="n">
        <x:f>E8*Assumptions!$B$9*Assumptions!$B$17/1000000</x:f>
        <x:v>36.08636072124999</x:v>
      </x:c>
      <x:c r="H8" s="9" t="n">
        <x:f>Assumptions!$B$7*Assumptions!$B$19</x:f>
        <x:v>2</x:v>
      </x:c>
      <x:c r="I8" s="9" t="n">
        <x:f>F8-G8-H8</x:f>
        <x:v>4.368181303749992</x:v>
      </x:c>
      <x:c r="J8" s="9" t="n">
        <x:f>IF(A8=1,Assumptions!$B$6,IF(OR(A8=11,A8=21),Assumptions!$B$6*Assumptions!$B$27,0))</x:f>
        <x:v>0</x:v>
      </x:c>
      <x:c r="K8" s="9" t="n">
        <x:f>Assumptions!$B$6*Assumptions!$B$26</x:f>
        <x:v>0.4</x:v>
      </x:c>
      <x:c r="L8" s="9" t="n">
        <x:f>IF(A8=1,Assumptions!$B$6*(1-Assumptions!$B$29),IF(OR(A8=11,A8=21),J8,0))+K8</x:f>
        <x:v>0.4</x:v>
      </x:c>
      <x:c r="M8" s="9" t="n">
        <x:f>(SUM(J4:J8)+SUM(K4:K8))/Assumptions!$B$30</x:f>
        <x:v>2.2</x:v>
      </x:c>
      <x:c r="N8" s="9" t="n">
        <x:f>I8-M8</x:f>
        <x:v>2.168181303749992</x:v>
      </x:c>
      <x:c r="O8" s="9" t="n">
        <x:f>Q7</x:f>
        <x:v>0</x:v>
      </x:c>
      <x:c r="P8" s="9" t="n">
        <x:f>MAX(0,N8-O8)*Assumptions!$B$23</x:f>
        <x:v>0.542045325937498</x:v>
      </x:c>
      <x:c r="Q8" s="9" t="n">
        <x:f>MAX(0,O8-N8)</x:f>
        <x:v>0</x:v>
      </x:c>
      <x:c r="R8" s="9" t="n">
        <x:f>F8*Assumptions!$B$24*(Assumptions!$B$12+Assumptions!$B$20)/365</x:f>
        <x:v>3.2567867854794508</x:v>
      </x:c>
      <x:c r="S8" s="9" t="n">
        <x:f>G8*(Assumptions!$B$13+Assumptions!$B$20)/365</x:f>
        <x:v>5.437670793613012</x:v>
      </x:c>
      <x:c r="T8" s="9" t="n">
        <x:f>G8*Assumptions!$B$25*Assumptions!$B$14/365</x:f>
        <x:v>1.9773348340410954</x:v>
      </x:c>
      <x:c r="U8" s="9" t="n">
        <x:f>R8+S8-T8</x:f>
        <x:v>6.717122745051367</x:v>
      </x:c>
      <x:c r="V8" s="9" t="n">
        <x:f>U8-U7</x:f>
        <x:v>0.09926782381849453</x:v>
      </x:c>
      <x:c r="W8" s="9" t="n">
        <x:f>IF(A8=25,U8*Assumptions!$B$28,0)</x:f>
        <x:v>0</x:v>
      </x:c>
      <x:c r="X8" s="9" t="n">
        <x:f>N8-P8+M8-L8-V8+W8</x:f>
        <x:v>3.3268681539939995</x:v>
      </x:c>
      <x:c r="Y8" s="9" t="n">
        <x:f>(1+Assumptions!$B$21)^A8</x:f>
        <x:v>1.6105100000000006</x:v>
      </x:c>
      <x:c r="Z8" s="9" t="n">
        <x:f>X8/Y8</x:f>
        <x:v>2.0657233758213227</x:v>
      </x:c>
      <x:c r="AA8" s="9" t="n">
        <x:f>AA7+X8</x:f>
        <x:v>-13.545421579738885</x:v>
      </x:c>
    </x:row>
    <x:row r="9" ht="44" customHeight="1">
      <x:c r="A9" s="2" t="n">
        <x:f>6</x:f>
        <x:v>6</x:v>
      </x:c>
      <x:c r="B9" s="2" t="n">
        <x:f>2026+A9</x:f>
        <x:v>2032</x:v>
      </x:c>
      <x:c r="C9" s="2" t="n">
        <x:f>(1+Assumptions!$B$16)^MIN(A9-1,9)*(1+Assumptions!$B$16/2)^MAX(0,A9-10)</x:f>
        <x:v>1.0772840038843745</x:v>
      </x:c>
      <x:c r="D9" s="2" t="n">
        <x:f>IF(A9=1,0.5,IF(A9=2,0.8,1))</x:f>
        <x:v>1</x:v>
      </x:c>
      <x:c r="E9" s="9" t="n">
        <x:f>MIN(Assumptions!$B$11*Assumptions!$B$15*C9*D9,Assumptions!$B$8*Assumptions!$B$22)</x:f>
        <x:v>107728.40038843745</x:v>
      </x:c>
      <x:c r="F9" s="9" t="n">
        <x:f>E9*Assumptions!$B$10*Assumptions!$B$18/1000000</x:f>
        <x:v>43.09136015537498</x:v>
      </x:c>
      <x:c r="G9" s="9" t="n">
        <x:f>E9*Assumptions!$B$9*Assumptions!$B$17/1000000</x:f>
        <x:v>36.62765613206873</x:v>
      </x:c>
      <x:c r="H9" s="9" t="n">
        <x:f>Assumptions!$B$7*Assumptions!$B$19</x:f>
        <x:v>2</x:v>
      </x:c>
      <x:c r="I9" s="9" t="n">
        <x:f>F9-G9-H9</x:f>
        <x:v>4.463704023306249</x:v>
      </x:c>
      <x:c r="J9" s="9" t="n">
        <x:f>IF(A9=1,Assumptions!$B$6,IF(OR(A9=11,A9=21),Assumptions!$B$6*Assumptions!$B$27,0))</x:f>
        <x:v>0</x:v>
      </x:c>
      <x:c r="K9" s="9" t="n">
        <x:f>Assumptions!$B$6*Assumptions!$B$26</x:f>
        <x:v>0.4</x:v>
      </x:c>
      <x:c r="L9" s="9" t="n">
        <x:f>IF(A9=1,Assumptions!$B$6*(1-Assumptions!$B$29),IF(OR(A9=11,A9=21),J9,0))+K9</x:f>
        <x:v>0.4</x:v>
      </x:c>
      <x:c r="M9" s="9" t="n">
        <x:f>(SUM(J4:J9)+SUM(K4:K9))/Assumptions!$B$30</x:f>
        <x:v>2.2399999999999998</x:v>
      </x:c>
      <x:c r="N9" s="9" t="n">
        <x:f>I9-M9</x:f>
        <x:v>2.2237040233062495</x:v>
      </x:c>
      <x:c r="O9" s="9" t="n">
        <x:f>Q8</x:f>
        <x:v>0</x:v>
      </x:c>
      <x:c r="P9" s="9" t="n">
        <x:f>MAX(0,N9-O9)*Assumptions!$B$23</x:f>
        <x:v>0.5559260058265624</x:v>
      </x:c>
      <x:c r="Q9" s="9" t="n">
        <x:f>MAX(0,O9-N9)</x:f>
        <x:v>0</x:v>
      </x:c>
      <x:c r="R9" s="9" t="n">
        <x:f>F9*Assumptions!$B$24*(Assumptions!$B$12+Assumptions!$B$20)/365</x:f>
        <x:v>3.3056385872616425</x:v>
      </x:c>
      <x:c r="S9" s="9" t="n">
        <x:f>G9*(Assumptions!$B$13+Assumptions!$B$20)/365</x:f>
        <x:v>5.519235855517206</x:v>
      </x:c>
      <x:c r="T9" s="9" t="n">
        <x:f>G9*Assumptions!$B$25*Assumptions!$B$14/365</x:f>
        <x:v>2.0069948565517115</x:v>
      </x:c>
      <x:c r="U9" s="9" t="n">
        <x:f>R9+S9-T9</x:f>
        <x:v>6.817879586227136</x:v>
      </x:c>
      <x:c r="V9" s="9" t="n">
        <x:f>U9-U8</x:f>
        <x:v>0.10075684117576866</x:v>
      </x:c>
      <x:c r="W9" s="9" t="n">
        <x:f>IF(A9=25,U9*Assumptions!$B$28,0)</x:f>
        <x:v>0</x:v>
      </x:c>
      <x:c r="X9" s="9" t="n">
        <x:f>N9-P9+M9-L9-V9+W9</x:f>
        <x:v>3.4070211763039184</x:v>
      </x:c>
      <x:c r="Y9" s="9" t="n">
        <x:f>(1+Assumptions!$B$21)^A9</x:f>
        <x:v>1.7715610000000008</x:v>
      </x:c>
      <x:c r="Z9" s="9" t="n">
        <x:f>X9/Y9</x:f>
        <x:v>1.9231746331647157</x:v>
      </x:c>
      <x:c r="AA9" s="9" t="n">
        <x:f>AA8+X9</x:f>
        <x:v>-10.138400403434968</x:v>
      </x:c>
    </x:row>
    <x:row r="10" ht="44" customHeight="1">
      <x:c r="A10" s="2" t="n">
        <x:f>7</x:f>
        <x:v>7</x:v>
      </x:c>
      <x:c r="B10" s="2" t="n">
        <x:f>2026+A10</x:f>
        <x:v>2033</x:v>
      </x:c>
      <x:c r="C10" s="2" t="n">
        <x:f>(1+Assumptions!$B$16)^MIN(A10-1,9)*(1+Assumptions!$B$16/2)^MAX(0,A10-10)</x:f>
        <x:v>1.09344326394264</x:v>
      </x:c>
      <x:c r="D10" s="2" t="n">
        <x:f>IF(A10=1,0.5,IF(A10=2,0.8,1))</x:f>
        <x:v>1</x:v>
      </x:c>
      <x:c r="E10" s="9" t="n">
        <x:f>MIN(Assumptions!$B$11*Assumptions!$B$15*C10*D10,Assumptions!$B$8*Assumptions!$B$22)</x:f>
        <x:v>109344.32639426399</x:v>
      </x:c>
      <x:c r="F10" s="9" t="n">
        <x:f>E10*Assumptions!$B$10*Assumptions!$B$18/1000000</x:f>
        <x:v>43.737730557705596</x:v>
      </x:c>
      <x:c r="G10" s="9" t="n">
        <x:f>E10*Assumptions!$B$9*Assumptions!$B$17/1000000</x:f>
        <x:v>37.177070974049755</x:v>
      </x:c>
      <x:c r="H10" s="9" t="n">
        <x:f>Assumptions!$B$7*Assumptions!$B$19</x:f>
        <x:v>2</x:v>
      </x:c>
      <x:c r="I10" s="9" t="n">
        <x:f>F10-G10-H10</x:f>
        <x:v>4.560659583655841</x:v>
      </x:c>
      <x:c r="J10" s="9" t="n">
        <x:f>IF(A10=1,Assumptions!$B$6,IF(OR(A10=11,A10=21),Assumptions!$B$6*Assumptions!$B$27,0))</x:f>
        <x:v>0</x:v>
      </x:c>
      <x:c r="K10" s="9" t="n">
        <x:f>Assumptions!$B$6*Assumptions!$B$26</x:f>
        <x:v>0.4</x:v>
      </x:c>
      <x:c r="L10" s="9" t="n">
        <x:f>IF(A10=1,Assumptions!$B$6*(1-Assumptions!$B$29),IF(OR(A10=11,A10=21),J10,0))+K10</x:f>
        <x:v>0.4</x:v>
      </x:c>
      <x:c r="M10" s="9" t="n">
        <x:f>(SUM(J4:J10)+SUM(K4:K10))/Assumptions!$B$30</x:f>
        <x:v>2.2800000000000002</x:v>
      </x:c>
      <x:c r="N10" s="9" t="n">
        <x:f>I10-M10</x:f>
        <x:v>2.280659583655841</x:v>
      </x:c>
      <x:c r="O10" s="9" t="n">
        <x:f>Q9</x:f>
        <x:v>0</x:v>
      </x:c>
      <x:c r="P10" s="9" t="n">
        <x:f>MAX(0,N10-O10)*Assumptions!$B$23</x:f>
        <x:v>0.5701648959139602</x:v>
      </x:c>
      <x:c r="Q10" s="9" t="n">
        <x:f>MAX(0,O10-N10)</x:f>
        <x:v>0</x:v>
      </x:c>
      <x:c r="R10" s="9" t="n">
        <x:f>F10*Assumptions!$B$24*(Assumptions!$B$12+Assumptions!$B$20)/365</x:f>
        <x:v>3.3552231660705663</x:v>
      </x:c>
      <x:c r="S10" s="9" t="n">
        <x:f>G10*(Assumptions!$B$13+Assumptions!$B$20)/365</x:f>
        <x:v>5.602024393349963</x:v>
      </x:c>
      <x:c r="T10" s="9" t="n">
        <x:f>G10*Assumptions!$B$25*Assumptions!$B$14/365</x:f>
        <x:v>2.0370997793999863</x:v>
      </x:c>
      <x:c r="U10" s="9" t="n">
        <x:f>R10+S10-T10</x:f>
        <x:v>6.920147780020544</x:v>
      </x:c>
      <x:c r="V10" s="9" t="n">
        <x:f>U10-U9</x:f>
        <x:v>0.10226819379340846</x:v>
      </x:c>
      <x:c r="W10" s="9" t="n">
        <x:f>IF(A10=25,U10*Assumptions!$B$28,0)</x:f>
        <x:v>0</x:v>
      </x:c>
      <x:c r="X10" s="9" t="n">
        <x:f>N10-P10+M10-L10-V10+W10</x:f>
        <x:v>3.488226493948473</x:v>
      </x:c>
      <x:c r="Y10" s="9" t="n">
        <x:f>(1+Assumptions!$B$21)^A10</x:f>
        <x:v>1.9487171000000012</x:v>
      </x:c>
      <x:c r="Z10" s="9" t="n">
        <x:f>X10/Y10</x:f>
        <x:v>1.790011743597093</x:v>
      </x:c>
      <x:c r="AA10" s="9" t="n">
        <x:f>AA9+X10</x:f>
        <x:v>-6.650173909486496</x:v>
      </x:c>
    </x:row>
    <x:row r="11" ht="44" customHeight="1">
      <x:c r="A11" s="2" t="n">
        <x:f>8</x:f>
        <x:v>8</x:v>
      </x:c>
      <x:c r="B11" s="2" t="n">
        <x:f>2026+A11</x:f>
        <x:v>2034</x:v>
      </x:c>
      <x:c r="C11" s="2" t="n">
        <x:f>(1+Assumptions!$B$16)^MIN(A11-1,9)*(1+Assumptions!$B$16/2)^MAX(0,A11-10)</x:f>
        <x:v>1.1098449129017796</x:v>
      </x:c>
      <x:c r="D11" s="2" t="n">
        <x:f>IF(A11=1,0.5,IF(A11=2,0.8,1))</x:f>
        <x:v>1</x:v>
      </x:c>
      <x:c r="E11" s="9" t="n">
        <x:f>MIN(Assumptions!$B$11*Assumptions!$B$15*C11*D11,Assumptions!$B$8*Assumptions!$B$22)</x:f>
        <x:v>110984.49129017796</x:v>
      </x:c>
      <x:c r="F11" s="9" t="n">
        <x:f>E11*Assumptions!$B$10*Assumptions!$B$18/1000000</x:f>
        <x:v>44.393796516071184</x:v>
      </x:c>
      <x:c r="G11" s="9" t="n">
        <x:f>E11*Assumptions!$B$9*Assumptions!$B$17/1000000</x:f>
        <x:v>37.7347270386605</x:v>
      </x:c>
      <x:c r="H11" s="9" t="n">
        <x:f>Assumptions!$B$7*Assumptions!$B$19</x:f>
        <x:v>2</x:v>
      </x:c>
      <x:c r="I11" s="9" t="n">
        <x:f>F11-G11-H11</x:f>
        <x:v>4.659069477410682</x:v>
      </x:c>
      <x:c r="J11" s="9" t="n">
        <x:f>IF(A11=1,Assumptions!$B$6,IF(OR(A11=11,A11=21),Assumptions!$B$6*Assumptions!$B$27,0))</x:f>
        <x:v>0</x:v>
      </x:c>
      <x:c r="K11" s="9" t="n">
        <x:f>Assumptions!$B$6*Assumptions!$B$26</x:f>
        <x:v>0.4</x:v>
      </x:c>
      <x:c r="L11" s="9" t="n">
        <x:f>IF(A11=1,Assumptions!$B$6*(1-Assumptions!$B$29),IF(OR(A11=11,A11=21),J11,0))+K11</x:f>
        <x:v>0.4</x:v>
      </x:c>
      <x:c r="M11" s="9" t="n">
        <x:f>(SUM(J4:J11)+SUM(K4:K11))/Assumptions!$B$30</x:f>
        <x:v>2.32</x:v>
      </x:c>
      <x:c r="N11" s="9" t="n">
        <x:f>I11-M11</x:f>
        <x:v>2.3390694774106824</x:v>
      </x:c>
      <x:c r="O11" s="9" t="n">
        <x:f>Q10</x:f>
        <x:v>0</x:v>
      </x:c>
      <x:c r="P11" s="9" t="n">
        <x:f>MAX(0,N11-O11)*Assumptions!$B$23</x:f>
        <x:v>0.5847673693526706</x:v>
      </x:c>
      <x:c r="Q11" s="9" t="n">
        <x:f>MAX(0,O11-N11)</x:f>
        <x:v>0</x:v>
      </x:c>
      <x:c r="R11" s="9" t="n">
        <x:f>F11*Assumptions!$B$24*(Assumptions!$B$12+Assumptions!$B$20)/365</x:f>
        <x:v>3.405551513561625</x:v>
      </x:c>
      <x:c r="S11" s="9" t="n">
        <x:f>G11*(Assumptions!$B$13+Assumptions!$B$20)/365</x:f>
        <x:v>5.686054759250212</x:v>
      </x:c>
      <x:c r="T11" s="9" t="n">
        <x:f>G11*Assumptions!$B$25*Assumptions!$B$14/365</x:f>
        <x:v>2.0676562760909865</x:v>
      </x:c>
      <x:c r="U11" s="9" t="n">
        <x:f>R11+S11-T11</x:f>
        <x:v>7.023949996720852</x:v>
      </x:c>
      <x:c r="V11" s="9" t="n">
        <x:f>U11-U10</x:f>
        <x:v>0.10380221670030743</x:v>
      </x:c>
      <x:c r="W11" s="9" t="n">
        <x:f>IF(A11=25,U11*Assumptions!$B$28,0)</x:f>
        <x:v>0</x:v>
      </x:c>
      <x:c r="X11" s="9" t="n">
        <x:f>N11-P11+M11-L11-V11+W11</x:f>
        <x:v>3.5704998913577044</x:v>
      </x:c>
      <x:c r="Y11" s="9" t="n">
        <x:f>(1+Assumptions!$B$21)^A11</x:f>
        <x:v>2.1435888100000016</x:v>
      </x:c>
      <x:c r="Z11" s="9" t="n">
        <x:f>X11/Y11</x:f>
        <x:v>1.6656645503564191</x:v>
      </x:c>
      <x:c r="AA11" s="9" t="n">
        <x:f>AA10+X11</x:f>
        <x:v>-3.079674018128791</x:v>
      </x:c>
    </x:row>
    <x:row r="12" ht="44" customHeight="1">
      <x:c r="A12" s="2" t="n">
        <x:f>9</x:f>
        <x:v>9</x:v>
      </x:c>
      <x:c r="B12" s="2" t="n">
        <x:f>2026+A12</x:f>
        <x:v>2035</x:v>
      </x:c>
      <x:c r="C12" s="2" t="n">
        <x:f>(1+Assumptions!$B$16)^MIN(A12-1,9)*(1+Assumptions!$B$16/2)^MAX(0,A12-10)</x:f>
        <x:v>1.1264925865953062</x:v>
      </x:c>
      <x:c r="D12" s="2" t="n">
        <x:f>IF(A12=1,0.5,IF(A12=2,0.8,1))</x:f>
        <x:v>1</x:v>
      </x:c>
      <x:c r="E12" s="9" t="n">
        <x:f>MIN(Assumptions!$B$11*Assumptions!$B$15*C12*D12,Assumptions!$B$8*Assumptions!$B$22)</x:f>
        <x:v>112649.25865953062</x:v>
      </x:c>
      <x:c r="F12" s="9" t="n">
        <x:f>E12*Assumptions!$B$10*Assumptions!$B$18/1000000</x:f>
        <x:v>45.05970346381225</x:v>
      </x:c>
      <x:c r="G12" s="9" t="n">
        <x:f>E12*Assumptions!$B$9*Assumptions!$B$17/1000000</x:f>
        <x:v>38.30074794424041</x:v>
      </x:c>
      <x:c r="H12" s="9" t="n">
        <x:f>Assumptions!$B$7*Assumptions!$B$19</x:f>
        <x:v>2</x:v>
      </x:c>
      <x:c r="I12" s="9" t="n">
        <x:f>F12-G12-H12</x:f>
        <x:v>4.758955519571835</x:v>
      </x:c>
      <x:c r="J12" s="9" t="n">
        <x:f>IF(A12=1,Assumptions!$B$6,IF(OR(A12=11,A12=21),Assumptions!$B$6*Assumptions!$B$27,0))</x:f>
        <x:v>0</x:v>
      </x:c>
      <x:c r="K12" s="9" t="n">
        <x:f>Assumptions!$B$6*Assumptions!$B$26</x:f>
        <x:v>0.4</x:v>
      </x:c>
      <x:c r="L12" s="9" t="n">
        <x:f>IF(A12=1,Assumptions!$B$6*(1-Assumptions!$B$29),IF(OR(A12=11,A12=21),J12,0))+K12</x:f>
        <x:v>0.4</x:v>
      </x:c>
      <x:c r="M12" s="9" t="n">
        <x:f>(SUM(J4:J12)+SUM(K4:K12))/Assumptions!$B$30</x:f>
        <x:v>2.3600000000000003</x:v>
      </x:c>
      <x:c r="N12" s="9" t="n">
        <x:f>I12-M12</x:f>
        <x:v>2.3989555195718344</x:v>
      </x:c>
      <x:c r="O12" s="9" t="n">
        <x:f>Q11</x:f>
        <x:v>0</x:v>
      </x:c>
      <x:c r="P12" s="9" t="n">
        <x:f>MAX(0,N12-O12)*Assumptions!$B$23</x:f>
        <x:v>0.5997388798929586</x:v>
      </x:c>
      <x:c r="Q12" s="9" t="n">
        <x:f>MAX(0,O12-N12)</x:f>
        <x:v>0</x:v>
      </x:c>
      <x:c r="R12" s="9" t="n">
        <x:f>F12*Assumptions!$B$24*(Assumptions!$B$12+Assumptions!$B$20)/365</x:f>
        <x:v>3.4566347862650493</x:v>
      </x:c>
      <x:c r="S12" s="9" t="n">
        <x:f>G12*(Assumptions!$B$13+Assumptions!$B$20)/365</x:f>
        <x:v>5.771345580638966</x:v>
      </x:c>
      <x:c r="T12" s="9" t="n">
        <x:f>G12*Assumptions!$B$25*Assumptions!$B$14/365</x:f>
        <x:v>2.0986711202323516</x:v>
      </x:c>
      <x:c r="U12" s="9" t="n">
        <x:f>R12+S12-T12</x:f>
        <x:v>7.129309246671664</x:v>
      </x:c>
      <x:c r="V12" s="9" t="n">
        <x:f>U12-U11</x:f>
        <x:v>0.10535924995081203</x:v>
      </x:c>
      <x:c r="W12" s="9" t="n">
        <x:f>IF(A12=25,U12*Assumptions!$B$28,0)</x:f>
        <x:v>0</x:v>
      </x:c>
      <x:c r="X12" s="9" t="n">
        <x:f>N12-P12+M12-L12-V12+W12</x:f>
        <x:v>3.653857389728064</x:v>
      </x:c>
      <x:c r="Y12" s="9" t="n">
        <x:f>(1+Assumptions!$B$21)^A12</x:f>
        <x:v>2.357947691000002</x:v>
      </x:c>
      <x:c r="Z12" s="9" t="n">
        <x:f>X12/Y12</x:f>
        <x:v>1.5495922168563752</x:v>
      </x:c>
      <x:c r="AA12" s="9" t="n">
        <x:f>AA11+X12</x:f>
        <x:v>0.5741833715992728</x:v>
      </x:c>
    </x:row>
    <x:row r="13" ht="44" customHeight="1">
      <x:c r="A13" s="2" t="n">
        <x:f>10</x:f>
        <x:v>10</x:v>
      </x:c>
      <x:c r="B13" s="2" t="n">
        <x:f>2026+A13</x:f>
        <x:v>2036</x:v>
      </x:c>
      <x:c r="C13" s="2" t="n">
        <x:f>(1+Assumptions!$B$16)^MIN(A13-1,9)*(1+Assumptions!$B$16/2)^MAX(0,A13-10)</x:f>
        <x:v>1.1433899753942356</x:v>
      </x:c>
      <x:c r="D13" s="2" t="n">
        <x:f>IF(A13=1,0.5,IF(A13=2,0.8,1))</x:f>
        <x:v>1</x:v>
      </x:c>
      <x:c r="E13" s="9" t="n">
        <x:f>MIN(Assumptions!$B$11*Assumptions!$B$15*C13*D13,Assumptions!$B$8*Assumptions!$B$22)</x:f>
        <x:v>114338.99753942357</x:v>
      </x:c>
      <x:c r="F13" s="9" t="n">
        <x:f>E13*Assumptions!$B$10*Assumptions!$B$18/1000000</x:f>
        <x:v>45.73559901576943</x:v>
      </x:c>
      <x:c r="G13" s="9" t="n">
        <x:f>E13*Assumptions!$B$9*Assumptions!$B$17/1000000</x:f>
        <x:v>38.87525916340401</x:v>
      </x:c>
      <x:c r="H13" s="9" t="n">
        <x:f>Assumptions!$B$7*Assumptions!$B$19</x:f>
        <x:v>2</x:v>
      </x:c>
      <x:c r="I13" s="9" t="n">
        <x:f>F13-G13-H13</x:f>
        <x:v>4.860339852365421</x:v>
      </x:c>
      <x:c r="J13" s="9" t="n">
        <x:f>IF(A13=1,Assumptions!$B$6,IF(OR(A13=11,A13=21),Assumptions!$B$6*Assumptions!$B$27,0))</x:f>
        <x:v>0</x:v>
      </x:c>
      <x:c r="K13" s="9" t="n">
        <x:f>Assumptions!$B$6*Assumptions!$B$26</x:f>
        <x:v>0.4</x:v>
      </x:c>
      <x:c r="L13" s="9" t="n">
        <x:f>IF(A13=1,Assumptions!$B$6*(1-Assumptions!$B$29),IF(OR(A13=11,A13=21),J13,0))+K13</x:f>
        <x:v>0.4</x:v>
      </x:c>
      <x:c r="M13" s="9" t="n">
        <x:f>(SUM(J4:J13)+SUM(K4:K13))/Assumptions!$B$30</x:f>
        <x:v>2.4</x:v>
      </x:c>
      <x:c r="N13" s="9" t="n">
        <x:f>I13-M13</x:f>
        <x:v>2.4603398523654207</x:v>
      </x:c>
      <x:c r="O13" s="9" t="n">
        <x:f>Q12</x:f>
        <x:v>0</x:v>
      </x:c>
      <x:c r="P13" s="9" t="n">
        <x:f>MAX(0,N13-O13)*Assumptions!$B$23</x:f>
        <x:v>0.6150849630913552</x:v>
      </x:c>
      <x:c r="Q13" s="9" t="n">
        <x:f>MAX(0,O13-N13)</x:f>
        <x:v>0</x:v>
      </x:c>
      <x:c r="R13" s="9" t="n">
        <x:f>F13*Assumptions!$B$24*(Assumptions!$B$12+Assumptions!$B$20)/365</x:f>
        <x:v>3.508484308059025</x:v>
      </x:c>
      <x:c r="S13" s="9" t="n">
        <x:f>G13*(Assumptions!$B$13+Assumptions!$B$20)/365</x:f>
        <x:v>5.857915764348549</x:v>
      </x:c>
      <x:c r="T13" s="9" t="n">
        <x:f>G13*Assumptions!$B$25*Assumptions!$B$14/365</x:f>
        <x:v>2.130151187035836</x:v>
      </x:c>
      <x:c r="U13" s="9" t="n">
        <x:f>R13+S13-T13</x:f>
        <x:v>7.236248885371738</x:v>
      </x:c>
      <x:c r="V13" s="9" t="n">
        <x:f>U13-U12</x:f>
        <x:v>0.10693963870007472</x:v>
      </x:c>
      <x:c r="W13" s="9" t="n">
        <x:f>IF(A13=25,U13*Assumptions!$B$28,0)</x:f>
        <x:v>0</x:v>
      </x:c>
      <x:c r="X13" s="9" t="n">
        <x:f>N13-P13+M13-L13-V13+W13</x:f>
        <x:v>3.7383152505739905</x:v>
      </x:c>
      <x:c r="Y13" s="9" t="n">
        <x:f>(1+Assumptions!$B$21)^A13</x:f>
        <x:v>2.5937424601000023</x:v>
      </x:c>
      <x:c r="Z13" s="9" t="n">
        <x:f>X13/Y13</x:f>
        <x:v>1.4412823586308792</x:v>
      </x:c>
      <x:c r="AA13" s="9" t="n">
        <x:f>AA12+X13</x:f>
        <x:v>4.312498622173264</x:v>
      </x:c>
    </x:row>
    <x:row r="14" ht="44" customHeight="1">
      <x:c r="A14" s="2" t="n">
        <x:f>11</x:f>
        <x:v>11</x:v>
      </x:c>
      <x:c r="B14" s="2" t="n">
        <x:f>2026+A14</x:f>
        <x:v>2037</x:v>
      </x:c>
      <x:c r="C14" s="2" t="n">
        <x:f>(1+Assumptions!$B$16)^MIN(A14-1,9)*(1+Assumptions!$B$16/2)^MAX(0,A14-10)</x:f>
        <x:v>1.1519654002096924</x:v>
      </x:c>
      <x:c r="D14" s="2" t="n">
        <x:f>IF(A14=1,0.5,IF(A14=2,0.8,1))</x:f>
        <x:v>1</x:v>
      </x:c>
      <x:c r="E14" s="9" t="n">
        <x:f>MIN(Assumptions!$B$11*Assumptions!$B$15*C14*D14,Assumptions!$B$8*Assumptions!$B$22)</x:f>
        <x:v>115196.54002096925</x:v>
      </x:c>
      <x:c r="F14" s="9" t="n">
        <x:f>E14*Assumptions!$B$10*Assumptions!$B$18/1000000</x:f>
        <x:v>46.0786160083877</x:v>
      </x:c>
      <x:c r="G14" s="9" t="n">
        <x:f>E14*Assumptions!$B$9*Assumptions!$B$17/1000000</x:f>
        <x:v>39.166823607129544</x:v>
      </x:c>
      <x:c r="H14" s="9" t="n">
        <x:f>Assumptions!$B$7*Assumptions!$B$19</x:f>
        <x:v>2</x:v>
      </x:c>
      <x:c r="I14" s="9" t="n">
        <x:f>F14-G14-H14</x:f>
        <x:v>4.911792401258154</x:v>
      </x:c>
      <x:c r="J14" s="9" t="n">
        <x:f>IF(A14=1,Assumptions!$B$6,IF(OR(A14=11,A14=21),Assumptions!$B$6*Assumptions!$B$27,0))</x:f>
        <x:v>14</x:v>
      </x:c>
      <x:c r="K14" s="9" t="n">
        <x:f>Assumptions!$B$6*Assumptions!$B$26</x:f>
        <x:v>0.4</x:v>
      </x:c>
      <x:c r="L14" s="9" t="n">
        <x:f>IF(A14=1,Assumptions!$B$6*(1-Assumptions!$B$29),IF(OR(A14=11,A14=21),J14,0))+K14</x:f>
        <x:v>14.4</x:v>
      </x:c>
      <x:c r="M14" s="9" t="n">
        <x:f>(SUM(J5:J14)+SUM(K5:K14))/Assumptions!$B$30</x:f>
        <x:v>1.8</x:v>
      </x:c>
      <x:c r="N14" s="9" t="n">
        <x:f>I14-M14</x:f>
        <x:v>3.111792401258154</x:v>
      </x:c>
      <x:c r="O14" s="9" t="n">
        <x:f>Q13</x:f>
        <x:v>0</x:v>
      </x:c>
      <x:c r="P14" s="9" t="n">
        <x:f>MAX(0,N14-O14)*Assumptions!$B$23</x:f>
        <x:v>0.7779481003145385</x:v>
      </x:c>
      <x:c r="Q14" s="9" t="n">
        <x:f>MAX(0,O14-N14)</x:f>
        <x:v>0</x:v>
      </x:c>
      <x:c r="R14" s="9" t="n">
        <x:f>F14*Assumptions!$B$24*(Assumptions!$B$12+Assumptions!$B$20)/365</x:f>
        <x:v>3.534797940369467</x:v>
      </x:c>
      <x:c r="S14" s="9" t="n">
        <x:f>G14*(Assumptions!$B$13+Assumptions!$B$20)/365</x:f>
        <x:v>5.901850132581164</x:v>
      </x:c>
      <x:c r="T14" s="9" t="n">
        <x:f>G14*Assumptions!$B$25*Assumptions!$B$14/365</x:f>
        <x:v>2.1461273209386054</x:v>
      </x:c>
      <x:c r="U14" s="9" t="n">
        <x:f>R14+S14-T14</x:f>
        <x:v>7.290520752012027</x:v>
      </x:c>
      <x:c r="V14" s="9" t="n">
        <x:f>U14-U13</x:f>
        <x:v>0.05427186664028838</x:v>
      </x:c>
      <x:c r="W14" s="9" t="n">
        <x:f>IF(A14=25,U14*Assumptions!$B$28,0)</x:f>
        <x:v>0</x:v>
      </x:c>
      <x:c r="X14" s="9" t="n">
        <x:f>N14-P14+M14-L14-V14+W14</x:f>
        <x:v>-10.320427565696672</x:v>
      </x:c>
      <x:c r="Y14" s="9" t="n">
        <x:f>(1+Assumptions!$B$21)^A14</x:f>
        <x:v>2.8531167061100025</x:v>
      </x:c>
      <x:c r="Z14" s="9" t="n">
        <x:f>X14/Y14</x:f>
        <x:v>-3.6172469018162787</x:v>
      </x:c>
      <x:c r="AA14" s="9" t="n">
        <x:f>AA13+X14</x:f>
        <x:v>-6.0079289435234084</x:v>
      </x:c>
    </x:row>
    <x:row r="15" ht="44" customHeight="1">
      <x:c r="A15" s="2" t="n">
        <x:f>12</x:f>
        <x:v>12</x:v>
      </x:c>
      <x:c r="B15" s="2" t="n">
        <x:f>2026+A15</x:f>
        <x:v>2038</x:v>
      </x:c>
      <x:c r="C15" s="2" t="n">
        <x:f>(1+Assumptions!$B$16)^MIN(A15-1,9)*(1+Assumptions!$B$16/2)^MAX(0,A15-10)</x:f>
        <x:v>1.1606051407112652</x:v>
      </x:c>
      <x:c r="D15" s="2" t="n">
        <x:f>IF(A15=1,0.5,IF(A15=2,0.8,1))</x:f>
        <x:v>1</x:v>
      </x:c>
      <x:c r="E15" s="9" t="n">
        <x:f>MIN(Assumptions!$B$11*Assumptions!$B$15*C15*D15,Assumptions!$B$8*Assumptions!$B$22)</x:f>
        <x:v>116060.51407112651</x:v>
      </x:c>
      <x:c r="F15" s="9" t="n">
        <x:f>E15*Assumptions!$B$10*Assumptions!$B$18/1000000</x:f>
        <x:v>46.4242056284506</x:v>
      </x:c>
      <x:c r="G15" s="9" t="n">
        <x:f>E15*Assumptions!$B$9*Assumptions!$B$17/1000000</x:f>
        <x:v>39.46057478418301</x:v>
      </x:c>
      <x:c r="H15" s="9" t="n">
        <x:f>Assumptions!$B$7*Assumptions!$B$19</x:f>
        <x:v>2</x:v>
      </x:c>
      <x:c r="I15" s="9" t="n">
        <x:f>F15-G15-H15</x:f>
        <x:v>4.963630844267591</x:v>
      </x:c>
      <x:c r="J15" s="9" t="n">
        <x:f>IF(A15=1,Assumptions!$B$6,IF(OR(A15=11,A15=21),Assumptions!$B$6*Assumptions!$B$27,0))</x:f>
        <x:v>0</x:v>
      </x:c>
      <x:c r="K15" s="9" t="n">
        <x:f>Assumptions!$B$6*Assumptions!$B$26</x:f>
        <x:v>0.4</x:v>
      </x:c>
      <x:c r="L15" s="9" t="n">
        <x:f>IF(A15=1,Assumptions!$B$6*(1-Assumptions!$B$29),IF(OR(A15=11,A15=21),J15,0))+K15</x:f>
        <x:v>0.4</x:v>
      </x:c>
      <x:c r="M15" s="9" t="n">
        <x:f>(SUM(J6:J15)+SUM(K6:K15))/Assumptions!$B$30</x:f>
        <x:v>1.8</x:v>
      </x:c>
      <x:c r="N15" s="9" t="n">
        <x:f>I15-M15</x:f>
        <x:v>3.1636308442675913</x:v>
      </x:c>
      <x:c r="O15" s="9" t="n">
        <x:f>Q14</x:f>
        <x:v>0</x:v>
      </x:c>
      <x:c r="P15" s="9" t="n">
        <x:f>MAX(0,N15-O15)*Assumptions!$B$23</x:f>
        <x:v>0.7909077110668978</x:v>
      </x:c>
      <x:c r="Q15" s="9" t="n">
        <x:f>MAX(0,O15-N15)</x:f>
        <x:v>0</x:v>
      </x:c>
      <x:c r="R15" s="9" t="n">
        <x:f>F15*Assumptions!$B$24*(Assumptions!$B$12+Assumptions!$B$20)/365</x:f>
        <x:v>3.5613089249222374</x:v>
      </x:c>
      <x:c r="S15" s="9" t="n">
        <x:f>G15*(Assumptions!$B$13+Assumptions!$B$20)/365</x:f>
        <x:v>5.946114008575521</x:v>
      </x:c>
      <x:c r="T15" s="9" t="n">
        <x:f>G15*Assumptions!$B$25*Assumptions!$B$14/365</x:f>
        <x:v>2.1622232758456446</x:v>
      </x:c>
      <x:c r="U15" s="9" t="n">
        <x:f>R15+S15-T15</x:f>
        <x:v>7.345199657652115</x:v>
      </x:c>
      <x:c r="V15" s="9" t="n">
        <x:f>U15-U14</x:f>
        <x:v>0.05467890564008826</x:v>
      </x:c>
      <x:c r="W15" s="9" t="n">
        <x:f>IF(A15=25,U15*Assumptions!$B$28,0)</x:f>
        <x:v>0</x:v>
      </x:c>
      <x:c r="X15" s="9" t="n">
        <x:f>N15-P15+M15-L15-V15+W15</x:f>
        <x:v>3.7180442275606054</x:v>
      </x:c>
      <x:c r="Y15" s="9" t="n">
        <x:f>(1+Assumptions!$B$21)^A15</x:f>
        <x:v>3.138428376721003</x:v>
      </x:c>
      <x:c r="Z15" s="9" t="n">
        <x:f>X15/Y15</x:f>
        <x:v>1.1846834725109066</x:v>
      </x:c>
      <x:c r="AA15" s="9" t="n">
        <x:f>AA14+X15</x:f>
        <x:v>-2.289884715962803</x:v>
      </x:c>
    </x:row>
    <x:row r="16" ht="44" customHeight="1">
      <x:c r="A16" s="2" t="n">
        <x:f>13</x:f>
        <x:v>13</x:v>
      </x:c>
      <x:c r="B16" s="2" t="n">
        <x:f>2026+A16</x:f>
        <x:v>2039</x:v>
      </x:c>
      <x:c r="C16" s="2" t="n">
        <x:f>(1+Assumptions!$B$16)^MIN(A16-1,9)*(1+Assumptions!$B$16/2)^MAX(0,A16-10)</x:f>
        <x:v>1.1693096792665998</x:v>
      </x:c>
      <x:c r="D16" s="2" t="n">
        <x:f>IF(A16=1,0.5,IF(A16=2,0.8,1))</x:f>
        <x:v>1</x:v>
      </x:c>
      <x:c r="E16" s="9" t="n">
        <x:f>MIN(Assumptions!$B$11*Assumptions!$B$15*C16*D16,Assumptions!$B$8*Assumptions!$B$22)</x:f>
        <x:v>116930.96792665999</x:v>
      </x:c>
      <x:c r="F16" s="9" t="n">
        <x:f>E16*Assumptions!$B$10*Assumptions!$B$18/1000000</x:f>
        <x:v>46.772387170664</x:v>
      </x:c>
      <x:c r="G16" s="9" t="n">
        <x:f>E16*Assumptions!$B$9*Assumptions!$B$17/1000000</x:f>
        <x:v>39.756529095064394</x:v>
      </x:c>
      <x:c r="H16" s="9" t="n">
        <x:f>Assumptions!$B$7*Assumptions!$B$19</x:f>
        <x:v>2</x:v>
      </x:c>
      <x:c r="I16" s="9" t="n">
        <x:f>F16-G16-H16</x:f>
        <x:v>5.015858075599603</x:v>
      </x:c>
      <x:c r="J16" s="9" t="n">
        <x:f>IF(A16=1,Assumptions!$B$6,IF(OR(A16=11,A16=21),Assumptions!$B$6*Assumptions!$B$27,0))</x:f>
        <x:v>0</x:v>
      </x:c>
      <x:c r="K16" s="9" t="n">
        <x:f>Assumptions!$B$6*Assumptions!$B$26</x:f>
        <x:v>0.4</x:v>
      </x:c>
      <x:c r="L16" s="9" t="n">
        <x:f>IF(A16=1,Assumptions!$B$6*(1-Assumptions!$B$29),IF(OR(A16=11,A16=21),J16,0))+K16</x:f>
        <x:v>0.4</x:v>
      </x:c>
      <x:c r="M16" s="9" t="n">
        <x:f>(SUM(J7:J16)+SUM(K7:K16))/Assumptions!$B$30</x:f>
        <x:v>1.8</x:v>
      </x:c>
      <x:c r="N16" s="9" t="n">
        <x:f>I16-M16</x:f>
        <x:v>3.215858075599603</x:v>
      </x:c>
      <x:c r="O16" s="9" t="n">
        <x:f>Q15</x:f>
        <x:v>0</x:v>
      </x:c>
      <x:c r="P16" s="9" t="n">
        <x:f>MAX(0,N16-O16)*Assumptions!$B$23</x:f>
        <x:v>0.8039645188999007</x:v>
      </x:c>
      <x:c r="Q16" s="9" t="n">
        <x:f>MAX(0,O16-N16)</x:f>
        <x:v>0</x:v>
      </x:c>
      <x:c r="R16" s="9" t="n">
        <x:f>F16*Assumptions!$B$24*(Assumptions!$B$12+Assumptions!$B$20)/365</x:f>
        <x:v>3.588018741859156</x:v>
      </x:c>
      <x:c r="S16" s="9" t="n">
        <x:f>G16*(Assumptions!$B$13+Assumptions!$B$20)/365</x:f>
        <x:v>5.99070986363984</x:v>
      </x:c>
      <x:c r="T16" s="9" t="n">
        <x:f>G16*Assumptions!$B$25*Assumptions!$B$14/365</x:f>
        <x:v>2.1784399504144876</x:v>
      </x:c>
      <x:c r="U16" s="9" t="n">
        <x:f>R16+S16-T16</x:f>
        <x:v>7.400288655084509</x:v>
      </x:c>
      <x:c r="V16" s="9" t="n">
        <x:f>U16-U15</x:f>
        <x:v>0.05508899743239404</x:v>
      </x:c>
      <x:c r="W16" s="9" t="n">
        <x:f>IF(A16=25,U16*Assumptions!$B$28,0)</x:f>
        <x:v>0</x:v>
      </x:c>
      <x:c r="X16" s="9" t="n">
        <x:f>N16-P16+M16-L16-V16+W16</x:f>
        <x:v>3.7568045592673083</x:v>
      </x:c>
      <x:c r="Y16" s="9" t="n">
        <x:f>(1+Assumptions!$B$21)^A16</x:f>
        <x:v>3.452271214393104</x:v>
      </x:c>
      <x:c r="Z16" s="9" t="n">
        <x:f>X16/Y16</x:f>
        <x:v>1.0882124624521252</x:v>
      </x:c>
      <x:c r="AA16" s="9" t="n">
        <x:f>AA15+X16</x:f>
        <x:v>1.4669198433045052</x:v>
      </x:c>
    </x:row>
    <x:row r="17" ht="44" customHeight="1">
      <x:c r="A17" s="2" t="n">
        <x:f>14</x:f>
        <x:v>14</x:v>
      </x:c>
      <x:c r="B17" s="2" t="n">
        <x:f>2026+A17</x:f>
        <x:v>2040</x:v>
      </x:c>
      <x:c r="C17" s="2" t="n">
        <x:f>(1+Assumptions!$B$16)^MIN(A17-1,9)*(1+Assumptions!$B$16/2)^MAX(0,A17-10)</x:f>
        <x:v>1.1780795018610992</x:v>
      </x:c>
      <x:c r="D17" s="2" t="n">
        <x:f>IF(A17=1,0.5,IF(A17=2,0.8,1))</x:f>
        <x:v>1</x:v>
      </x:c>
      <x:c r="E17" s="9" t="n">
        <x:f>MIN(Assumptions!$B$11*Assumptions!$B$15*C17*D17,Assumptions!$B$8*Assumptions!$B$22)</x:f>
        <x:v>117807.95018610993</x:v>
      </x:c>
      <x:c r="F17" s="9" t="n">
        <x:f>E17*Assumptions!$B$10*Assumptions!$B$18/1000000</x:f>
        <x:v>47.12318007444397</x:v>
      </x:c>
      <x:c r="G17" s="9" t="n">
        <x:f>E17*Assumptions!$B$9*Assumptions!$B$17/1000000</x:f>
        <x:v>40.05470306327738</x:v>
      </x:c>
      <x:c r="H17" s="9" t="n">
        <x:f>Assumptions!$B$7*Assumptions!$B$19</x:f>
        <x:v>2</x:v>
      </x:c>
      <x:c r="I17" s="9" t="n">
        <x:f>F17-G17-H17</x:f>
        <x:v>5.068477011166593</x:v>
      </x:c>
      <x:c r="J17" s="9" t="n">
        <x:f>IF(A17=1,Assumptions!$B$6,IF(OR(A17=11,A17=21),Assumptions!$B$6*Assumptions!$B$27,0))</x:f>
        <x:v>0</x:v>
      </x:c>
      <x:c r="K17" s="9" t="n">
        <x:f>Assumptions!$B$6*Assumptions!$B$26</x:f>
        <x:v>0.4</x:v>
      </x:c>
      <x:c r="L17" s="9" t="n">
        <x:f>IF(A17=1,Assumptions!$B$6*(1-Assumptions!$B$29),IF(OR(A17=11,A17=21),J17,0))+K17</x:f>
        <x:v>0.4</x:v>
      </x:c>
      <x:c r="M17" s="9" t="n">
        <x:f>(SUM(J8:J17)+SUM(K8:K17))/Assumptions!$B$30</x:f>
        <x:v>1.8</x:v>
      </x:c>
      <x:c r="N17" s="9" t="n">
        <x:f>I17-M17</x:f>
        <x:v>3.268477011166593</x:v>
      </x:c>
      <x:c r="O17" s="9" t="n">
        <x:f>Q16</x:f>
        <x:v>0</x:v>
      </x:c>
      <x:c r="P17" s="9" t="n">
        <x:f>MAX(0,N17-O17)*Assumptions!$B$23</x:f>
        <x:v>0.8171192527916482</x:v>
      </x:c>
      <x:c r="Q17" s="9" t="n">
        <x:f>MAX(0,O17-N17)</x:f>
        <x:v>0</x:v>
      </x:c>
      <x:c r="R17" s="9" t="n">
        <x:f>F17*Assumptions!$B$24*(Assumptions!$B$12+Assumptions!$B$20)/365</x:f>
        <x:v>3.6149288824230994</x:v>
      </x:c>
      <x:c r="S17" s="9" t="n">
        <x:f>G17*(Assumptions!$B$13+Assumptions!$B$20)/365</x:f>
        <x:v>6.0356401876171395</x:v>
      </x:c>
      <x:c r="T17" s="9" t="n">
        <x:f>G17*Assumptions!$B$25*Assumptions!$B$14/365</x:f>
        <x:v>2.1947782500425963</x:v>
      </x:c>
      <x:c r="U17" s="9" t="n">
        <x:f>R17+S17-T17</x:f>
        <x:v>7.4557908199976435</x:v>
      </x:c>
      <x:c r="V17" s="9" t="n">
        <x:f>U17-U16</x:f>
        <x:v>0.05550216491313442</x:v>
      </x:c>
      <x:c r="W17" s="9" t="n">
        <x:f>IF(A17=25,U17*Assumptions!$B$28,0)</x:f>
        <x:v>0</x:v>
      </x:c>
      <x:c r="X17" s="9" t="n">
        <x:f>N17-P17+M17-L17-V17+W17</x:f>
        <x:v>3.7958555934618103</x:v>
      </x:c>
      <x:c r="Y17" s="9" t="n">
        <x:f>(1+Assumptions!$B$21)^A17</x:f>
        <x:v>3.7974983358324144</x:v>
      </x:c>
      <x:c r="Z17" s="9" t="n">
        <x:f>X17/Y17</x:f>
        <x:v>0.9995674145910471</x:v>
      </x:c>
      <x:c r="AA17" s="9" t="n">
        <x:f>AA16+X17</x:f>
        <x:v>5.262775436766315</x:v>
      </x:c>
    </x:row>
    <x:row r="18" ht="44" customHeight="1">
      <x:c r="A18" s="2" t="n">
        <x:f>15</x:f>
        <x:v>15</x:v>
      </x:c>
      <x:c r="B18" s="2" t="n">
        <x:f>2026+A18</x:f>
        <x:v>2041</x:v>
      </x:c>
      <x:c r="C18" s="2" t="n">
        <x:f>(1+Assumptions!$B$16)^MIN(A18-1,9)*(1+Assumptions!$B$16/2)^MAX(0,A18-10)</x:f>
        <x:v>1.1869150981250576</x:v>
      </x:c>
      <x:c r="D18" s="2" t="n">
        <x:f>IF(A18=1,0.5,IF(A18=2,0.8,1))</x:f>
        <x:v>1</x:v>
      </x:c>
      <x:c r="E18" s="9" t="n">
        <x:f>MIN(Assumptions!$B$11*Assumptions!$B$15*C18*D18,Assumptions!$B$8*Assumptions!$B$22)</x:f>
        <x:v>118691.50981250576</x:v>
      </x:c>
      <x:c r="F18" s="9" t="n">
        <x:f>E18*Assumptions!$B$10*Assumptions!$B$18/1000000</x:f>
        <x:v>47.4766039250023</x:v>
      </x:c>
      <x:c r="G18" s="9" t="n">
        <x:f>E18*Assumptions!$B$9*Assumptions!$B$17/1000000</x:f>
        <x:v>40.35511333625196</x:v>
      </x:c>
      <x:c r="H18" s="9" t="n">
        <x:f>Assumptions!$B$7*Assumptions!$B$19</x:f>
        <x:v>2</x:v>
      </x:c>
      <x:c r="I18" s="9" t="n">
        <x:f>F18-G18-H18</x:f>
        <x:v>5.121490588750341</x:v>
      </x:c>
      <x:c r="J18" s="9" t="n">
        <x:f>IF(A18=1,Assumptions!$B$6,IF(OR(A18=11,A18=21),Assumptions!$B$6*Assumptions!$B$27,0))</x:f>
        <x:v>0</x:v>
      </x:c>
      <x:c r="K18" s="9" t="n">
        <x:f>Assumptions!$B$6*Assumptions!$B$26</x:f>
        <x:v>0.4</x:v>
      </x:c>
      <x:c r="L18" s="9" t="n">
        <x:f>IF(A18=1,Assumptions!$B$6*(1-Assumptions!$B$29),IF(OR(A18=11,A18=21),J18,0))+K18</x:f>
        <x:v>0.4</x:v>
      </x:c>
      <x:c r="M18" s="9" t="n">
        <x:f>(SUM(J9:J18)+SUM(K9:K18))/Assumptions!$B$30</x:f>
        <x:v>1.8</x:v>
      </x:c>
      <x:c r="N18" s="9" t="n">
        <x:f>I18-M18</x:f>
        <x:v>3.3214905887503408</x:v>
      </x:c>
      <x:c r="O18" s="9" t="n">
        <x:f>Q17</x:f>
        <x:v>0</x:v>
      </x:c>
      <x:c r="P18" s="9" t="n">
        <x:f>MAX(0,N18-O18)*Assumptions!$B$23</x:f>
        <x:v>0.8303726471875852</x:v>
      </x:c>
      <x:c r="Q18" s="9" t="n">
        <x:f>MAX(0,O18-N18)</x:f>
        <x:v>0</x:v>
      </x:c>
      <x:c r="R18" s="9" t="n">
        <x:f>F18*Assumptions!$B$24*(Assumptions!$B$12+Assumptions!$B$20)/365</x:f>
        <x:v>3.6420408490412726</x:v>
      </x:c>
      <x:c r="S18" s="9" t="n">
        <x:f>G18*(Assumptions!$B$13+Assumptions!$B$20)/365</x:f>
        <x:v>6.080907489024269</x:v>
      </x:c>
      <x:c r="T18" s="9" t="n">
        <x:f>G18*Assumptions!$B$25*Assumptions!$B$14/365</x:f>
        <x:v>2.211239086917916</x:v>
      </x:c>
      <x:c r="U18" s="9" t="n">
        <x:f>R18+S18-T18</x:f>
        <x:v>7.511709251147627</x:v>
      </x:c>
      <x:c r="V18" s="9" t="n">
        <x:f>U18-U17</x:f>
        <x:v>0.055918431149983405</x:v>
      </x:c>
      <x:c r="W18" s="9" t="n">
        <x:f>IF(A18=25,U18*Assumptions!$B$28,0)</x:f>
        <x:v>0</x:v>
      </x:c>
      <x:c r="X18" s="9" t="n">
        <x:f>N18-P18+M18-L18-V18+W18</x:f>
        <x:v>3.8351995104127723</x:v>
      </x:c>
      <x:c r="Y18" s="9" t="n">
        <x:f>(1+Assumptions!$B$21)^A18</x:f>
        <x:v>4.177248169415656</x:v>
      </x:c>
      <x:c r="Z18" s="9" t="n">
        <x:f>X18/Y18</x:f>
        <x:v>0.9181162705373255</x:v>
      </x:c>
      <x:c r="AA18" s="9" t="n">
        <x:f>AA17+X18</x:f>
        <x:v>9.097974947179088</x:v>
      </x:c>
    </x:row>
    <x:row r="19" ht="44" customHeight="1">
      <x:c r="A19" s="2" t="n">
        <x:f>16</x:f>
        <x:v>16</x:v>
      </x:c>
      <x:c r="B19" s="2" t="n">
        <x:f>2026+A19</x:f>
        <x:v>2042</x:v>
      </x:c>
      <x:c r="C19" s="2" t="n">
        <x:f>(1+Assumptions!$B$16)^MIN(A19-1,9)*(1+Assumptions!$B$16/2)^MAX(0,A19-10)</x:f>
        <x:v>1.1958169613609957</x:v>
      </x:c>
      <x:c r="D19" s="2" t="n">
        <x:f>IF(A19=1,0.5,IF(A19=2,0.8,1))</x:f>
        <x:v>1</x:v>
      </x:c>
      <x:c r="E19" s="9" t="n">
        <x:f>MIN(Assumptions!$B$11*Assumptions!$B$15*C19*D19,Assumptions!$B$8*Assumptions!$B$22)</x:f>
        <x:v>119581.69613609956</x:v>
      </x:c>
      <x:c r="F19" s="9" t="n">
        <x:f>E19*Assumptions!$B$10*Assumptions!$B$18/1000000</x:f>
        <x:v>47.83267845443983</x:v>
      </x:c>
      <x:c r="G19" s="9" t="n">
        <x:f>E19*Assumptions!$B$9*Assumptions!$B$17/1000000</x:f>
        <x:v>40.65777668627385</x:v>
      </x:c>
      <x:c r="H19" s="9" t="n">
        <x:f>Assumptions!$B$7*Assumptions!$B$19</x:f>
        <x:v>2</x:v>
      </x:c>
      <x:c r="I19" s="9" t="n">
        <x:f>F19-G19-H19</x:f>
        <x:v>5.174901768165981</x:v>
      </x:c>
      <x:c r="J19" s="9" t="n">
        <x:f>IF(A19=1,Assumptions!$B$6,IF(OR(A19=11,A19=21),Assumptions!$B$6*Assumptions!$B$27,0))</x:f>
        <x:v>0</x:v>
      </x:c>
      <x:c r="K19" s="9" t="n">
        <x:f>Assumptions!$B$6*Assumptions!$B$26</x:f>
        <x:v>0.4</x:v>
      </x:c>
      <x:c r="L19" s="9" t="n">
        <x:f>IF(A19=1,Assumptions!$B$6*(1-Assumptions!$B$29),IF(OR(A19=11,A19=21),J19,0))+K19</x:f>
        <x:v>0.4</x:v>
      </x:c>
      <x:c r="M19" s="9" t="n">
        <x:f>(SUM(J10:J19)+SUM(K10:K19))/Assumptions!$B$30</x:f>
        <x:v>1.8</x:v>
      </x:c>
      <x:c r="N19" s="9" t="n">
        <x:f>I19-M19</x:f>
        <x:v>3.374901768165981</x:v>
      </x:c>
      <x:c r="O19" s="9" t="n">
        <x:f>Q18</x:f>
        <x:v>0</x:v>
      </x:c>
      <x:c r="P19" s="9" t="n">
        <x:f>MAX(0,N19-O19)*Assumptions!$B$23</x:f>
        <x:v>0.8437254420414952</x:v>
      </x:c>
      <x:c r="Q19" s="9" t="n">
        <x:f>MAX(0,O19-N19)</x:f>
        <x:v>0</x:v>
      </x:c>
      <x:c r="R19" s="9" t="n">
        <x:f>F19*Assumptions!$B$24*(Assumptions!$B$12+Assumptions!$B$20)/365</x:f>
        <x:v>3.669356155409083</x:v>
      </x:c>
      <x:c r="S19" s="9" t="n">
        <x:f>G19*(Assumptions!$B$13+Assumptions!$B$20)/365</x:f>
        <x:v>6.12651429519195</x:v>
      </x:c>
      <x:c r="T19" s="9" t="n">
        <x:f>G19*Assumptions!$B$25*Assumptions!$B$14/365</x:f>
        <x:v>2.2278233800698004</x:v>
      </x:c>
      <x:c r="U19" s="9" t="n">
        <x:f>R19+S19-T19</x:f>
        <x:v>7.568047070531232</x:v>
      </x:c>
      <x:c r="V19" s="9" t="n">
        <x:f>U19-U18</x:f>
        <x:v>0.05633781938360549</x:v>
      </x:c>
      <x:c r="W19" s="9" t="n">
        <x:f>IF(A19=25,U19*Assumptions!$B$28,0)</x:f>
        <x:v>0</x:v>
      </x:c>
      <x:c r="X19" s="9" t="n">
        <x:f>N19-P19+M19-L19-V19+W19</x:f>
        <x:v>3.8748385067408804</x:v>
      </x:c>
      <x:c r="Y19" s="9" t="n">
        <x:f>(1+Assumptions!$B$21)^A19</x:f>
        <x:v>4.594972986357222</x:v>
      </x:c>
      <x:c r="Z19" s="9" t="n">
        <x:f>X19/Y19</x:f>
        <x:v>0.8432777555484072</x:v>
      </x:c>
      <x:c r="AA19" s="9" t="n">
        <x:f>AA18+X19</x:f>
        <x:v>12.972813453919969</x:v>
      </x:c>
    </x:row>
    <x:row r="20" ht="44" customHeight="1">
      <x:c r="A20" s="2" t="n">
        <x:f>17</x:f>
        <x:v>17</x:v>
      </x:c>
      <x:c r="B20" s="2" t="n">
        <x:f>2026+A20</x:f>
        <x:v>2043</x:v>
      </x:c>
      <x:c r="C20" s="2" t="n">
        <x:f>(1+Assumptions!$B$16)^MIN(A20-1,9)*(1+Assumptions!$B$16/2)^MAX(0,A20-10)</x:f>
        <x:v>1.2047855885712033</x:v>
      </x:c>
      <x:c r="D20" s="2" t="n">
        <x:f>IF(A20=1,0.5,IF(A20=2,0.8,1))</x:f>
        <x:v>1</x:v>
      </x:c>
      <x:c r="E20" s="9" t="n">
        <x:f>MIN(Assumptions!$B$11*Assumptions!$B$15*C20*D20,Assumptions!$B$8*Assumptions!$B$22)</x:f>
        <x:v>120478.55885712033</x:v>
      </x:c>
      <x:c r="F20" s="9" t="n">
        <x:f>E20*Assumptions!$B$10*Assumptions!$B$18/1000000</x:f>
        <x:v>48.191423542848135</x:v>
      </x:c>
      <x:c r="G20" s="9" t="n">
        <x:f>E20*Assumptions!$B$9*Assumptions!$B$17/1000000</x:f>
        <x:v>40.96271001142091</x:v>
      </x:c>
      <x:c r="H20" s="9" t="n">
        <x:f>Assumptions!$B$7*Assumptions!$B$19</x:f>
        <x:v>2</x:v>
      </x:c>
      <x:c r="I20" s="9" t="n">
        <x:f>F20-G20-H20</x:f>
        <x:v>5.228713531427225</x:v>
      </x:c>
      <x:c r="J20" s="9" t="n">
        <x:f>IF(A20=1,Assumptions!$B$6,IF(OR(A20=11,A20=21),Assumptions!$B$6*Assumptions!$B$27,0))</x:f>
        <x:v>0</x:v>
      </x:c>
      <x:c r="K20" s="9" t="n">
        <x:f>Assumptions!$B$6*Assumptions!$B$26</x:f>
        <x:v>0.4</x:v>
      </x:c>
      <x:c r="L20" s="9" t="n">
        <x:f>IF(A20=1,Assumptions!$B$6*(1-Assumptions!$B$29),IF(OR(A20=11,A20=21),J20,0))+K20</x:f>
        <x:v>0.4</x:v>
      </x:c>
      <x:c r="M20" s="9" t="n">
        <x:f>(SUM(J11:J20)+SUM(K11:K20))/Assumptions!$B$30</x:f>
        <x:v>1.8</x:v>
      </x:c>
      <x:c r="N20" s="9" t="n">
        <x:f>I20-M20</x:f>
        <x:v>3.428713531427225</x:v>
      </x:c>
      <x:c r="O20" s="9" t="n">
        <x:f>Q19</x:f>
        <x:v>0</x:v>
      </x:c>
      <x:c r="P20" s="9" t="n">
        <x:f>MAX(0,N20-O20)*Assumptions!$B$23</x:f>
        <x:v>0.8571783828568063</x:v>
      </x:c>
      <x:c r="Q20" s="9" t="n">
        <x:f>MAX(0,O20-N20)</x:f>
        <x:v>0</x:v>
      </x:c>
      <x:c r="R20" s="9" t="n">
        <x:f>F20*Assumptions!$B$24*(Assumptions!$B$12+Assumptions!$B$20)/365</x:f>
        <x:v>3.696876326574652</x:v>
      </x:c>
      <x:c r="S20" s="9" t="n">
        <x:f>G20*(Assumptions!$B$13+Assumptions!$B$20)/365</x:f>
        <x:v>6.17246315240589</x:v>
      </x:c>
      <x:c r="T20" s="9" t="n">
        <x:f>G20*Assumptions!$B$25*Assumptions!$B$14/365</x:f>
        <x:v>2.2445320554203243</x:v>
      </x:c>
      <x:c r="U20" s="9" t="n">
        <x:f>R20+S20-T20</x:f>
        <x:v>7.624807423560219</x:v>
      </x:c>
      <x:c r="V20" s="9" t="n">
        <x:f>U20-U19</x:f>
        <x:v>0.05676035302898619</x:v>
      </x:c>
      <x:c r="W20" s="9" t="n">
        <x:f>IF(A20=25,U20*Assumptions!$B$28,0)</x:f>
        <x:v>0</x:v>
      </x:c>
      <x:c r="X20" s="9" t="n">
        <x:f>N20-P20+M20-L20-V20+W20</x:f>
        <x:v>3.9147747955414327</x:v>
      </x:c>
      <x:c r="Y20" s="9" t="n">
        <x:f>(1+Assumptions!$B$21)^A20</x:f>
        <x:v>5.054470284992945</x:v>
      </x:c>
      <x:c r="Z20" s="9" t="n">
        <x:f>X20/Y20</x:f>
        <x:v>0.7745173232424882</x:v>
      </x:c>
      <x:c r="AA20" s="9" t="n">
        <x:f>AA19+X20</x:f>
        <x:v>16.887588249461402</x:v>
      </x:c>
    </x:row>
    <x:row r="21" ht="44" customHeight="1">
      <x:c r="A21" s="2" t="n">
        <x:f>18</x:f>
        <x:v>18</x:v>
      </x:c>
      <x:c r="B21" s="2" t="n">
        <x:f>2026+A21</x:f>
        <x:v>2044</x:v>
      </x:c>
      <x:c r="C21" s="2" t="n">
        <x:f>(1+Assumptions!$B$16)^MIN(A21-1,9)*(1+Assumptions!$B$16/2)^MAX(0,A21-10)</x:f>
        <x:v>1.2138214804854872</x:v>
      </x:c>
      <x:c r="D21" s="2" t="n">
        <x:f>IF(A21=1,0.5,IF(A21=2,0.8,1))</x:f>
        <x:v>1</x:v>
      </x:c>
      <x:c r="E21" s="9" t="n">
        <x:f>MIN(Assumptions!$B$11*Assumptions!$B$15*C21*D21,Assumptions!$B$8*Assumptions!$B$22)</x:f>
        <x:v>121382.14804854873</x:v>
      </x:c>
      <x:c r="F21" s="9" t="n">
        <x:f>E21*Assumptions!$B$10*Assumptions!$B$18/1000000</x:f>
        <x:v>48.552859219419496</x:v>
      </x:c>
      <x:c r="G21" s="9" t="n">
        <x:f>E21*Assumptions!$B$9*Assumptions!$B$17/1000000</x:f>
        <x:v>41.26993033650657</x:v>
      </x:c>
      <x:c r="H21" s="9" t="n">
        <x:f>Assumptions!$B$7*Assumptions!$B$19</x:f>
        <x:v>2</x:v>
      </x:c>
      <x:c r="I21" s="9" t="n">
        <x:f>F21-G21-H21</x:f>
        <x:v>5.282928882912927</x:v>
      </x:c>
      <x:c r="J21" s="9" t="n">
        <x:f>IF(A21=1,Assumptions!$B$6,IF(OR(A21=11,A21=21),Assumptions!$B$6*Assumptions!$B$27,0))</x:f>
        <x:v>0</x:v>
      </x:c>
      <x:c r="K21" s="9" t="n">
        <x:f>Assumptions!$B$6*Assumptions!$B$26</x:f>
        <x:v>0.4</x:v>
      </x:c>
      <x:c r="L21" s="9" t="n">
        <x:f>IF(A21=1,Assumptions!$B$6*(1-Assumptions!$B$29),IF(OR(A21=11,A21=21),J21,0))+K21</x:f>
        <x:v>0.4</x:v>
      </x:c>
      <x:c r="M21" s="9" t="n">
        <x:f>(SUM(J12:J21)+SUM(K12:K21))/Assumptions!$B$30</x:f>
        <x:v>1.8</x:v>
      </x:c>
      <x:c r="N21" s="9" t="n">
        <x:f>I21-M21</x:f>
        <x:v>3.482928882912927</x:v>
      </x:c>
      <x:c r="O21" s="9" t="n">
        <x:f>Q20</x:f>
        <x:v>0</x:v>
      </x:c>
      <x:c r="P21" s="9" t="n">
        <x:f>MAX(0,N21-O21)*Assumptions!$B$23</x:f>
        <x:v>0.8707322207282318</x:v>
      </x:c>
      <x:c r="Q21" s="9" t="n">
        <x:f>MAX(0,O21-N21)</x:f>
        <x:v>0</x:v>
      </x:c>
      <x:c r="R21" s="9" t="n">
        <x:f>F21*Assumptions!$B$24*(Assumptions!$B$12+Assumptions!$B$20)/365</x:f>
        <x:v>3.7246028990239615</x:v>
      </x:c>
      <x:c r="S21" s="9" t="n">
        <x:f>G21*(Assumptions!$B$13+Assumptions!$B$20)/365</x:f>
        <x:v>6.218756626048935</x:v>
      </x:c>
      <x:c r="T21" s="9" t="n">
        <x:f>G21*Assumptions!$B$25*Assumptions!$B$14/365</x:f>
        <x:v>2.2613660458359766</x:v>
      </x:c>
      <x:c r="U21" s="9" t="n">
        <x:f>R21+S21-T21</x:f>
        <x:v>7.68199347923692</x:v>
      </x:c>
      <x:c r="V21" s="9" t="n">
        <x:f>U21-U20</x:f>
        <x:v>0.05718605567670121</x:v>
      </x:c>
      <x:c r="W21" s="9" t="n">
        <x:f>IF(A21=25,U21*Assumptions!$B$28,0)</x:f>
        <x:v>0</x:v>
      </x:c>
      <x:c r="X21" s="9" t="n">
        <x:f>N21-P21+M21-L21-V21+W21</x:f>
        <x:v>3.9550106065079937</x:v>
      </x:c>
      <x:c r="Y21" s="9" t="n">
        <x:f>(1+Assumptions!$B$21)^A21</x:f>
        <x:v>5.55991731349224</x:v>
      </x:c>
      <x:c r="Z21" s="9" t="n">
        <x:f>X21/Y21</x:f>
        <x:v>0.7113434217646327</x:v>
      </x:c>
      <x:c r="AA21" s="9" t="n">
        <x:f>AA20+X21</x:f>
        <x:v>20.842598855969396</x:v>
      </x:c>
    </x:row>
    <x:row r="22" ht="44" customHeight="1">
      <x:c r="A22" s="2" t="n">
        <x:f>19</x:f>
        <x:v>19</x:v>
      </x:c>
      <x:c r="B22" s="2" t="n">
        <x:f>2026+A22</x:f>
        <x:v>2045</x:v>
      </x:c>
      <x:c r="C22" s="2" t="n">
        <x:f>(1+Assumptions!$B$16)^MIN(A22-1,9)*(1+Assumptions!$B$16/2)^MAX(0,A22-10)</x:f>
        <x:v>1.2229251415891285</x:v>
      </x:c>
      <x:c r="D22" s="2" t="n">
        <x:f>IF(A22=1,0.5,IF(A22=2,0.8,1))</x:f>
        <x:v>1</x:v>
      </x:c>
      <x:c r="E22" s="9" t="n">
        <x:f>MIN(Assumptions!$B$11*Assumptions!$B$15*C22*D22,Assumptions!$B$8*Assumptions!$B$22)</x:f>
        <x:v>122292.51415891285</x:v>
      </x:c>
      <x:c r="F22" s="9" t="n">
        <x:f>E22*Assumptions!$B$10*Assumptions!$B$18/1000000</x:f>
        <x:v>48.917005663565135</x:v>
      </x:c>
      <x:c r="G22" s="9" t="n">
        <x:f>E22*Assumptions!$B$9*Assumptions!$B$17/1000000</x:f>
        <x:v>41.57945481403037</x:v>
      </x:c>
      <x:c r="H22" s="9" t="n">
        <x:f>Assumptions!$B$7*Assumptions!$B$19</x:f>
        <x:v>2</x:v>
      </x:c>
      <x:c r="I22" s="9" t="n">
        <x:f>F22-G22-H22</x:f>
        <x:v>5.3375508495347646</x:v>
      </x:c>
      <x:c r="J22" s="9" t="n">
        <x:f>IF(A22=1,Assumptions!$B$6,IF(OR(A22=11,A22=21),Assumptions!$B$6*Assumptions!$B$27,0))</x:f>
        <x:v>0</x:v>
      </x:c>
      <x:c r="K22" s="9" t="n">
        <x:f>Assumptions!$B$6*Assumptions!$B$26</x:f>
        <x:v>0.4</x:v>
      </x:c>
      <x:c r="L22" s="9" t="n">
        <x:f>IF(A22=1,Assumptions!$B$6*(1-Assumptions!$B$29),IF(OR(A22=11,A22=21),J22,0))+K22</x:f>
        <x:v>0.4</x:v>
      </x:c>
      <x:c r="M22" s="9" t="n">
        <x:f>(SUM(J13:J22)+SUM(K13:K22))/Assumptions!$B$30</x:f>
        <x:v>1.8</x:v>
      </x:c>
      <x:c r="N22" s="9" t="n">
        <x:f>I22-M22</x:f>
        <x:v>3.5375508495347647</x:v>
      </x:c>
      <x:c r="O22" s="9" t="n">
        <x:f>Q21</x:f>
        <x:v>0</x:v>
      </x:c>
      <x:c r="P22" s="9" t="n">
        <x:f>MAX(0,N22-O22)*Assumptions!$B$23</x:f>
        <x:v>0.8843877123836912</x:v>
      </x:c>
      <x:c r="Q22" s="9" t="n">
        <x:f>MAX(0,O22-N22)</x:f>
        <x:v>0</x:v>
      </x:c>
      <x:c r="R22" s="9" t="n">
        <x:f>F22*Assumptions!$B$24*(Assumptions!$B$12+Assumptions!$B$20)/365</x:f>
        <x:v>3.7525374207666404</x:v>
      </x:c>
      <x:c r="S22" s="9" t="n">
        <x:f>G22*(Assumptions!$B$13+Assumptions!$B$20)/365</x:f>
        <x:v>6.2653973007443025</x:v>
      </x:c>
      <x:c r="T22" s="9" t="n">
        <x:f>G22*Assumptions!$B$25*Assumptions!$B$14/365</x:f>
        <x:v>2.2783262911797464</x:v>
      </x:c>
      <x:c r="U22" s="9" t="n">
        <x:f>R22+S22-T22</x:f>
        <x:v>7.739608430331197</x:v>
      </x:c>
      <x:c r="V22" s="9" t="n">
        <x:f>U22-U21</x:f>
        <x:v>0.05761495109427717</x:v>
      </x:c>
      <x:c r="W22" s="9" t="n">
        <x:f>IF(A22=25,U22*Assumptions!$B$28,0)</x:f>
        <x:v>0</x:v>
      </x:c>
      <x:c r="X22" s="9" t="n">
        <x:f>N22-P22+M22-L22-V22+W22</x:f>
        <x:v>3.995548186056796</x:v>
      </x:c>
      <x:c r="Y22" s="9" t="n">
        <x:f>(1+Assumptions!$B$21)^A22</x:f>
        <x:v>6.115909044841464</x:v>
      </x:c>
      <x:c r="Z22" s="9" t="n">
        <x:f>X22/Y22</x:f>
        <x:v>0.6533040561528443</x:v>
      </x:c>
      <x:c r="AA22" s="9" t="n">
        <x:f>AA21+X22</x:f>
        <x:v>24.838147042026193</x:v>
      </x:c>
    </x:row>
    <x:row r="23" ht="44" customHeight="1">
      <x:c r="A23" s="2" t="n">
        <x:f>20</x:f>
        <x:v>20</x:v>
      </x:c>
      <x:c r="B23" s="2" t="n">
        <x:f>2026+A23</x:f>
        <x:v>2046</x:v>
      </x:c>
      <x:c r="C23" s="2" t="n">
        <x:f>(1+Assumptions!$B$16)^MIN(A23-1,9)*(1+Assumptions!$B$16/2)^MAX(0,A23-10)</x:f>
        <x:v>1.2320970801510471</x:v>
      </x:c>
      <x:c r="D23" s="2" t="n">
        <x:f>IF(A23=1,0.5,IF(A23=2,0.8,1))</x:f>
        <x:v>1</x:v>
      </x:c>
      <x:c r="E23" s="9" t="n">
        <x:f>MIN(Assumptions!$B$11*Assumptions!$B$15*C23*D23,Assumptions!$B$8*Assumptions!$B$22)</x:f>
        <x:v>123209.70801510471</x:v>
      </x:c>
      <x:c r="F23" s="9" t="n">
        <x:f>E23*Assumptions!$B$10*Assumptions!$B$18/1000000</x:f>
        <x:v>49.283883206041885</x:v>
      </x:c>
      <x:c r="G23" s="9" t="n">
        <x:f>E23*Assumptions!$B$9*Assumptions!$B$17/1000000</x:f>
        <x:v>41.8913007251356</x:v>
      </x:c>
      <x:c r="H23" s="9" t="n">
        <x:f>Assumptions!$B$7*Assumptions!$B$19</x:f>
        <x:v>2</x:v>
      </x:c>
      <x:c r="I23" s="9" t="n">
        <x:f>F23-G23-H23</x:f>
        <x:v>5.392582480906285</x:v>
      </x:c>
      <x:c r="J23" s="9" t="n">
        <x:f>IF(A23=1,Assumptions!$B$6,IF(OR(A23=11,A23=21),Assumptions!$B$6*Assumptions!$B$27,0))</x:f>
        <x:v>0</x:v>
      </x:c>
      <x:c r="K23" s="9" t="n">
        <x:f>Assumptions!$B$6*Assumptions!$B$26</x:f>
        <x:v>0.4</x:v>
      </x:c>
      <x:c r="L23" s="9" t="n">
        <x:f>IF(A23=1,Assumptions!$B$6*(1-Assumptions!$B$29),IF(OR(A23=11,A23=21),J23,0))+K23</x:f>
        <x:v>0.4</x:v>
      </x:c>
      <x:c r="M23" s="9" t="n">
        <x:f>(SUM(J14:J23)+SUM(K14:K23))/Assumptions!$B$30</x:f>
        <x:v>1.8</x:v>
      </x:c>
      <x:c r="N23" s="9" t="n">
        <x:f>I23-M23</x:f>
        <x:v>3.5925824809062847</x:v>
      </x:c>
      <x:c r="O23" s="9" t="n">
        <x:f>Q22</x:f>
        <x:v>0</x:v>
      </x:c>
      <x:c r="P23" s="9" t="n">
        <x:f>MAX(0,N23-O23)*Assumptions!$B$23</x:f>
        <x:v>0.8981456202265712</x:v>
      </x:c>
      <x:c r="Q23" s="9" t="n">
        <x:f>MAX(0,O23-N23)</x:f>
        <x:v>0</x:v>
      </x:c>
      <x:c r="R23" s="9" t="n">
        <x:f>F23*Assumptions!$B$24*(Assumptions!$B$12+Assumptions!$B$20)/365</x:f>
        <x:v>3.7806814514223914</x:v>
      </x:c>
      <x:c r="S23" s="9" t="n">
        <x:f>G23*(Assumptions!$B$13+Assumptions!$B$20)/365</x:f>
        <x:v>6.312387780499885</x:v>
      </x:c>
      <x:c r="T23" s="9" t="n">
        <x:f>G23*Assumptions!$B$25*Assumptions!$B$14/365</x:f>
        <x:v>2.2954137383635946</x:v>
      </x:c>
      <x:c r="U23" s="9" t="n">
        <x:f>R23+S23-T23</x:f>
        <x:v>7.797655493558683</x:v>
      </x:c>
      <x:c r="V23" s="9" t="n">
        <x:f>U23-U22</x:f>
        <x:v>0.05804706322748565</x:v>
      </x:c>
      <x:c r="W23" s="9" t="n">
        <x:f>IF(A23=25,U23*Assumptions!$B$28,0)</x:f>
        <x:v>0</x:v>
      </x:c>
      <x:c r="X23" s="9" t="n">
        <x:f>N23-P23+M23-L23-V23+W23</x:f>
        <x:v>4.036389797452228</x:v>
      </x:c>
      <x:c r="Y23" s="9" t="n">
        <x:f>(1+Assumptions!$B$21)^A23</x:f>
        <x:v>6.727499949325611</x:v>
      </x:c>
      <x:c r="Z23" s="9" t="n">
        <x:f>X23/Y23</x:f>
        <x:v>0.5999836236129367</x:v>
      </x:c>
      <x:c r="AA23" s="9" t="n">
        <x:f>AA22+X23</x:f>
        <x:v>28.87453683947842</x:v>
      </x:c>
    </x:row>
    <x:row r="24" ht="44" customHeight="1">
      <x:c r="A24" s="2" t="n">
        <x:f>21</x:f>
        <x:v>21</x:v>
      </x:c>
      <x:c r="B24" s="2" t="n">
        <x:f>2026+A24</x:f>
        <x:v>2047</x:v>
      </x:c>
      <x:c r="C24" s="2" t="n">
        <x:f>(1+Assumptions!$B$16)^MIN(A24-1,9)*(1+Assumptions!$B$16/2)^MAX(0,A24-10)</x:f>
        <x:v>1.24133780825218</x:v>
      </x:c>
      <x:c r="D24" s="2" t="n">
        <x:f>IF(A24=1,0.5,IF(A24=2,0.8,1))</x:f>
        <x:v>1</x:v>
      </x:c>
      <x:c r="E24" s="9" t="n">
        <x:f>MIN(Assumptions!$B$11*Assumptions!$B$15*C24*D24,Assumptions!$B$8*Assumptions!$B$22)</x:f>
        <x:v>124133.780825218</x:v>
      </x:c>
      <x:c r="F24" s="9" t="n">
        <x:f>E24*Assumptions!$B$10*Assumptions!$B$18/1000000</x:f>
        <x:v>49.6535123300872</x:v>
      </x:c>
      <x:c r="G24" s="9" t="n">
        <x:f>E24*Assumptions!$B$9*Assumptions!$B$17/1000000</x:f>
        <x:v>42.20548548057412</x:v>
      </x:c>
      <x:c r="H24" s="9" t="n">
        <x:f>Assumptions!$B$7*Assumptions!$B$19</x:f>
        <x:v>2</x:v>
      </x:c>
      <x:c r="I24" s="9" t="n">
        <x:f>F24-G24-H24</x:f>
        <x:v>5.448026849513084</x:v>
      </x:c>
      <x:c r="J24" s="9" t="n">
        <x:f>IF(A24=1,Assumptions!$B$6,IF(OR(A24=11,A24=21),Assumptions!$B$6*Assumptions!$B$27,0))</x:f>
        <x:v>14</x:v>
      </x:c>
      <x:c r="K24" s="9" t="n">
        <x:f>Assumptions!$B$6*Assumptions!$B$26</x:f>
        <x:v>0.4</x:v>
      </x:c>
      <x:c r="L24" s="9" t="n">
        <x:f>IF(A24=1,Assumptions!$B$6*(1-Assumptions!$B$29),IF(OR(A24=11,A24=21),J24,0))+K24</x:f>
        <x:v>14.4</x:v>
      </x:c>
      <x:c r="M24" s="9" t="n">
        <x:f>(SUM(J15:J24)+SUM(K15:K24))/Assumptions!$B$30</x:f>
        <x:v>1.8</x:v>
      </x:c>
      <x:c r="N24" s="9" t="n">
        <x:f>I24-M24</x:f>
        <x:v>3.6480268495130845</x:v>
      </x:c>
      <x:c r="O24" s="9" t="n">
        <x:f>Q23</x:f>
        <x:v>0</x:v>
      </x:c>
      <x:c r="P24" s="9" t="n">
        <x:f>MAX(0,N24-O24)*Assumptions!$B$23</x:f>
        <x:v>0.9120067123782711</x:v>
      </x:c>
      <x:c r="Q24" s="9" t="n">
        <x:f>MAX(0,O24-N24)</x:f>
        <x:v>0</x:v>
      </x:c>
      <x:c r="R24" s="9" t="n">
        <x:f>F24*Assumptions!$B$24*(Assumptions!$B$12+Assumptions!$B$20)/365</x:f>
        <x:v>3.80903656230806</x:v>
      </x:c>
      <x:c r="S24" s="9" t="n">
        <x:f>G24*(Assumptions!$B$13+Assumptions!$B$20)/365</x:f>
        <x:v>6.3597306888536345</x:v>
      </x:c>
      <x:c r="T24" s="9" t="n">
        <x:f>G24*Assumptions!$B$25*Assumptions!$B$14/365</x:f>
        <x:v>2.3126293414013217</x:v>
      </x:c>
      <x:c r="U24" s="9" t="n">
        <x:f>R24+S24-T24</x:f>
        <x:v>7.856137909760373</x:v>
      </x:c>
      <x:c r="V24" s="9" t="n">
        <x:f>U24-U23</x:f>
        <x:v>0.05848241620169059</x:v>
      </x:c>
      <x:c r="W24" s="9" t="n">
        <x:f>IF(A24=25,U24*Assumptions!$B$28,0)</x:f>
        <x:v>0</x:v>
      </x:c>
      <x:c r="X24" s="9" t="n">
        <x:f>N24-P24+M24-L24-V24+W24</x:f>
        <x:v>-9.922462279066877</x:v>
      </x:c>
      <x:c r="Y24" s="9" t="n">
        <x:f>(1+Assumptions!$B$21)^A24</x:f>
        <x:v>7.400249944258173</x:v>
      </x:c>
      <x:c r="Z24" s="9" t="n">
        <x:f>X24/Y24</x:f>
        <x:v>-1.3408279928120104</x:v>
      </x:c>
      <x:c r="AA24" s="9" t="n">
        <x:f>AA23+X24</x:f>
        <x:v>18.952074560411543</x:v>
      </x:c>
    </x:row>
    <x:row r="25" ht="44" customHeight="1">
      <x:c r="A25" s="2" t="n">
        <x:f>22</x:f>
        <x:v>22</x:v>
      </x:c>
      <x:c r="B25" s="2" t="n">
        <x:f>2026+A25</x:f>
        <x:v>2048</x:v>
      </x:c>
      <x:c r="C25" s="2" t="n">
        <x:f>(1+Assumptions!$B$16)^MIN(A25-1,9)*(1+Assumptions!$B$16/2)^MAX(0,A25-10)</x:f>
        <x:v>1.2506478418140714</x:v>
      </x:c>
      <x:c r="D25" s="2" t="n">
        <x:f>IF(A25=1,0.5,IF(A25=2,0.8,1))</x:f>
        <x:v>1</x:v>
      </x:c>
      <x:c r="E25" s="9" t="n">
        <x:f>MIN(Assumptions!$B$11*Assumptions!$B$15*C25*D25,Assumptions!$B$8*Assumptions!$B$22)</x:f>
        <x:v>125064.78418140714</x:v>
      </x:c>
      <x:c r="F25" s="9" t="n">
        <x:f>E25*Assumptions!$B$10*Assumptions!$B$18/1000000</x:f>
        <x:v>50.02591367256286</x:v>
      </x:c>
      <x:c r="G25" s="9" t="n">
        <x:f>E25*Assumptions!$B$9*Assumptions!$B$17/1000000</x:f>
        <x:v>42.52202662167843</x:v>
      </x:c>
      <x:c r="H25" s="9" t="n">
        <x:f>Assumptions!$B$7*Assumptions!$B$19</x:f>
        <x:v>2</x:v>
      </x:c>
      <x:c r="I25" s="9" t="n">
        <x:f>F25-G25-H25</x:f>
        <x:v>5.50388705088443</x:v>
      </x:c>
      <x:c r="J25" s="9" t="n">
        <x:f>IF(A25=1,Assumptions!$B$6,IF(OR(A25=11,A25=21),Assumptions!$B$6*Assumptions!$B$27,0))</x:f>
        <x:v>0</x:v>
      </x:c>
      <x:c r="K25" s="9" t="n">
        <x:f>Assumptions!$B$6*Assumptions!$B$26</x:f>
        <x:v>0.4</x:v>
      </x:c>
      <x:c r="L25" s="9" t="n">
        <x:f>IF(A25=1,Assumptions!$B$6*(1-Assumptions!$B$29),IF(OR(A25=11,A25=21),J25,0))+K25</x:f>
        <x:v>0.4</x:v>
      </x:c>
      <x:c r="M25" s="9" t="n">
        <x:f>(SUM(J16:J25)+SUM(K16:K25))/Assumptions!$B$30</x:f>
        <x:v>1.8</x:v>
      </x:c>
      <x:c r="N25" s="9" t="n">
        <x:f>I25-M25</x:f>
        <x:v>3.70388705088443</x:v>
      </x:c>
      <x:c r="O25" s="9" t="n">
        <x:f>Q24</x:f>
        <x:v>0</x:v>
      </x:c>
      <x:c r="P25" s="9" t="n">
        <x:f>MAX(0,N25-O25)*Assumptions!$B$23</x:f>
        <x:v>0.9259717627211075</x:v>
      </x:c>
      <x:c r="Q25" s="9" t="n">
        <x:f>MAX(0,O25-N25)</x:f>
        <x:v>0</x:v>
      </x:c>
      <x:c r="R25" s="9" t="n">
        <x:f>F25*Assumptions!$B$24*(Assumptions!$B$12+Assumptions!$B$20)/365</x:f>
        <x:v>3.8376043365253705</x:v>
      </x:c>
      <x:c r="S25" s="9" t="n">
        <x:f>G25*(Assumptions!$B$13+Assumptions!$B$20)/365</x:f>
        <x:v>6.407428669020037</x:v>
      </x:c>
      <x:c r="T25" s="9" t="n">
        <x:f>G25*Assumptions!$B$25*Assumptions!$B$14/365</x:f>
        <x:v>2.3299740614618316</x:v>
      </x:c>
      <x:c r="U25" s="9" t="n">
        <x:f>R25+S25-T25</x:f>
        <x:v>7.915058944083576</x:v>
      </x:c>
      <x:c r="V25" s="9" t="n">
        <x:f>U25-U24</x:f>
        <x:v>0.058921034323202726</x:v>
      </x:c>
      <x:c r="W25" s="9" t="n">
        <x:f>IF(A25=25,U25*Assumptions!$B$28,0)</x:f>
        <x:v>0</x:v>
      </x:c>
      <x:c r="X25" s="9" t="n">
        <x:f>N25-P25+M25-L25-V25+W25</x:f>
        <x:v>4.118994253840119</x:v>
      </x:c>
      <x:c r="Y25" s="9" t="n">
        <x:f>(1+Assumptions!$B$21)^A25</x:f>
        <x:v>8.14027493868399</x:v>
      </x:c>
      <x:c r="Z25" s="9" t="n">
        <x:f>X25/Y25</x:f>
        <x:v>0.5060018592573512</x:v>
      </x:c>
      <x:c r="AA25" s="9" t="n">
        <x:f>AA24+X25</x:f>
        <x:v>23.07106881425166</x:v>
      </x:c>
    </x:row>
    <x:row r="26" ht="44" customHeight="1">
      <x:c r="A26" s="2" t="n">
        <x:f>23</x:f>
        <x:v>23</x:v>
      </x:c>
      <x:c r="B26" s="2" t="n">
        <x:f>2026+A26</x:f>
        <x:v>2049</x:v>
      </x:c>
      <x:c r="C26" s="2" t="n">
        <x:f>(1+Assumptions!$B$16)^MIN(A26-1,9)*(1+Assumptions!$B$16/2)^MAX(0,A26-10)</x:f>
        <x:v>1.260027700627677</x:v>
      </x:c>
      <x:c r="D26" s="2" t="n">
        <x:f>IF(A26=1,0.5,IF(A26=2,0.8,1))</x:f>
        <x:v>1</x:v>
      </x:c>
      <x:c r="E26" s="9" t="n">
        <x:f>MIN(Assumptions!$B$11*Assumptions!$B$15*C26*D26,Assumptions!$B$8*Assumptions!$B$22)</x:f>
        <x:v>126002.7700627677</x:v>
      </x:c>
      <x:c r="F26" s="9" t="n">
        <x:f>E26*Assumptions!$B$10*Assumptions!$B$18/1000000</x:f>
        <x:v>50.40110802510708</x:v>
      </x:c>
      <x:c r="G26" s="9" t="n">
        <x:f>E26*Assumptions!$B$9*Assumptions!$B$17/1000000</x:f>
        <x:v>42.84094182134101</x:v>
      </x:c>
      <x:c r="H26" s="9" t="n">
        <x:f>Assumptions!$B$7*Assumptions!$B$19</x:f>
        <x:v>2</x:v>
      </x:c>
      <x:c r="I26" s="9" t="n">
        <x:f>F26-G26-H26</x:f>
        <x:v>5.560166203766066</x:v>
      </x:c>
      <x:c r="J26" s="9" t="n">
        <x:f>IF(A26=1,Assumptions!$B$6,IF(OR(A26=11,A26=21),Assumptions!$B$6*Assumptions!$B$27,0))</x:f>
        <x:v>0</x:v>
      </x:c>
      <x:c r="K26" s="9" t="n">
        <x:f>Assumptions!$B$6*Assumptions!$B$26</x:f>
        <x:v>0.4</x:v>
      </x:c>
      <x:c r="L26" s="9" t="n">
        <x:f>IF(A26=1,Assumptions!$B$6*(1-Assumptions!$B$29),IF(OR(A26=11,A26=21),J26,0))+K26</x:f>
        <x:v>0.4</x:v>
      </x:c>
      <x:c r="M26" s="9" t="n">
        <x:f>(SUM(J17:J26)+SUM(K17:K26))/Assumptions!$B$30</x:f>
        <x:v>1.8</x:v>
      </x:c>
      <x:c r="N26" s="9" t="n">
        <x:f>I26-M26</x:f>
        <x:v>3.760166203766066</x:v>
      </x:c>
      <x:c r="O26" s="9" t="n">
        <x:f>Q25</x:f>
        <x:v>0</x:v>
      </x:c>
      <x:c r="P26" s="9" t="n">
        <x:f>MAX(0,N26-O26)*Assumptions!$B$23</x:f>
        <x:v>0.9400415509415165</x:v>
      </x:c>
      <x:c r="Q26" s="9" t="n">
        <x:f>MAX(0,O26-N26)</x:f>
        <x:v>0</x:v>
      </x:c>
      <x:c r="R26" s="9" t="n">
        <x:f>F26*Assumptions!$B$24*(Assumptions!$B$12+Assumptions!$B$20)/365</x:f>
        <x:v>3.86638636904931</x:v>
      </x:c>
      <x:c r="S26" s="9" t="n">
        <x:f>G26*(Assumptions!$B$13+Assumptions!$B$20)/365</x:f>
        <x:v>6.455484384037687</x:v>
      </x:c>
      <x:c r="T26" s="9" t="n">
        <x:f>G26*Assumptions!$B$25*Assumptions!$B$14/365</x:f>
        <x:v>2.3474488669227953</x:v>
      </x:c>
      <x:c r="U26" s="9" t="n">
        <x:f>R26+S26-T26</x:f>
        <x:v>7.974421886164203</x:v>
      </x:c>
      <x:c r="V26" s="9" t="n">
        <x:f>U26-U25</x:f>
        <x:v>0.05936294208062698</x:v>
      </x:c>
      <x:c r="W26" s="9" t="n">
        <x:f>IF(A26=25,U26*Assumptions!$B$28,0)</x:f>
        <x:v>0</x:v>
      </x:c>
      <x:c r="X26" s="9" t="n">
        <x:f>N26-P26+M26-L26-V26+W26</x:f>
        <x:v>4.160761710743922</x:v>
      </x:c>
      <x:c r="Y26" s="9" t="n">
        <x:f>(1+Assumptions!$B$21)^A26</x:f>
        <x:v>8.95430243255239</x:v>
      </x:c>
      <x:c r="Z26" s="9" t="n">
        <x:f>X26/Y26</x:f>
        <x:v>0.4646662028767229</x:v>
      </x:c>
      <x:c r="AA26" s="9" t="n">
        <x:f>AA25+X26</x:f>
        <x:v>27.231830524995583</x:v>
      </x:c>
    </x:row>
    <x:row r="27" ht="44" customHeight="1">
      <x:c r="A27" s="2" t="n">
        <x:f>24</x:f>
        <x:v>24</x:v>
      </x:c>
      <x:c r="B27" s="2" t="n">
        <x:f>2026+A27</x:f>
        <x:v>2050</x:v>
      </x:c>
      <x:c r="C27" s="2" t="n">
        <x:f>(1+Assumptions!$B$16)^MIN(A27-1,9)*(1+Assumptions!$B$16/2)^MAX(0,A27-10)</x:f>
        <x:v>1.2694779083823848</x:v>
      </x:c>
      <x:c r="D27" s="2" t="n">
        <x:f>IF(A27=1,0.5,IF(A27=2,0.8,1))</x:f>
        <x:v>1</x:v>
      </x:c>
      <x:c r="E27" s="9" t="n">
        <x:f>MIN(Assumptions!$B$11*Assumptions!$B$15*C27*D27,Assumptions!$B$8*Assumptions!$B$22)</x:f>
        <x:v>126947.79083823848</x:v>
      </x:c>
      <x:c r="F27" s="9" t="n">
        <x:f>E27*Assumptions!$B$10*Assumptions!$B$18/1000000</x:f>
        <x:v>50.77911633529539</x:v>
      </x:c>
      <x:c r="G27" s="9" t="n">
        <x:f>E27*Assumptions!$B$9*Assumptions!$B$17/1000000</x:f>
        <x:v>43.162248885001084</x:v>
      </x:c>
      <x:c r="H27" s="9" t="n">
        <x:f>Assumptions!$B$7*Assumptions!$B$19</x:f>
        <x:v>2</x:v>
      </x:c>
      <x:c r="I27" s="9" t="n">
        <x:f>F27-G27-H27</x:f>
        <x:v>5.616867450294308</x:v>
      </x:c>
      <x:c r="J27" s="9" t="n">
        <x:f>IF(A27=1,Assumptions!$B$6,IF(OR(A27=11,A27=21),Assumptions!$B$6*Assumptions!$B$27,0))</x:f>
        <x:v>0</x:v>
      </x:c>
      <x:c r="K27" s="9" t="n">
        <x:f>Assumptions!$B$6*Assumptions!$B$26</x:f>
        <x:v>0.4</x:v>
      </x:c>
      <x:c r="L27" s="9" t="n">
        <x:f>IF(A27=1,Assumptions!$B$6*(1-Assumptions!$B$29),IF(OR(A27=11,A27=21),J27,0))+K27</x:f>
        <x:v>0.4</x:v>
      </x:c>
      <x:c r="M27" s="9" t="n">
        <x:f>(SUM(J18:J27)+SUM(K18:K27))/Assumptions!$B$30</x:f>
        <x:v>1.8</x:v>
      </x:c>
      <x:c r="N27" s="9" t="n">
        <x:f>I27-M27</x:f>
        <x:v>3.816867450294308</x:v>
      </x:c>
      <x:c r="O27" s="9" t="n">
        <x:f>Q26</x:f>
        <x:v>0</x:v>
      </x:c>
      <x:c r="P27" s="9" t="n">
        <x:f>MAX(0,N27-O27)*Assumptions!$B$23</x:f>
        <x:v>0.954216862573577</x:v>
      </x:c>
      <x:c r="Q27" s="9" t="n">
        <x:f>MAX(0,O27-N27)</x:f>
        <x:v>0</x:v>
      </x:c>
      <x:c r="R27" s="9" t="n">
        <x:f>F27*Assumptions!$B$24*(Assumptions!$B$12+Assumptions!$B$20)/365</x:f>
        <x:v>3.8953842668171808</x:v>
      </x:c>
      <x:c r="S27" s="9" t="n">
        <x:f>G27*(Assumptions!$B$13+Assumptions!$B$20)/365</x:f>
        <x:v>6.503900516917971</x:v>
      </x:c>
      <x:c r="T27" s="9" t="n">
        <x:f>G27*Assumptions!$B$25*Assumptions!$B$14/365</x:f>
        <x:v>2.3650547334247167</x:v>
      </x:c>
      <x:c r="U27" s="9" t="n">
        <x:f>R27+S27-T27</x:f>
        <x:v>8.034230050310434</x:v>
      </x:c>
      <x:c r="V27" s="9" t="n">
        <x:f>U27-U26</x:f>
        <x:v>0.059808164146231135</x:v>
      </x:c>
      <x:c r="W27" s="9" t="n">
        <x:f>IF(A27=25,U27*Assumptions!$B$28,0)</x:f>
        <x:v>0</x:v>
      </x:c>
      <x:c r="X27" s="9" t="n">
        <x:f>N27-P27+M27-L27-V27+W27</x:f>
        <x:v>4.202842423574499</x:v>
      </x:c>
      <x:c r="Y27" s="9" t="n">
        <x:f>(1+Assumptions!$B$21)^A27</x:f>
        <x:v>9.84973267580763</x:v>
      </x:c>
      <x:c r="Z27" s="9" t="n">
        <x:f>X27/Y27</x:f>
        <x:v>0.4266960903311913</x:v>
      </x:c>
      <x:c r="AA27" s="9" t="n">
        <x:f>AA26+X27</x:f>
        <x:v>31.434672948570082</x:v>
      </x:c>
    </x:row>
    <x:row r="28" ht="44" customHeight="1">
      <x:c r="A28" s="2" t="n">
        <x:f>25</x:f>
        <x:v>25</x:v>
      </x:c>
      <x:c r="B28" s="2" t="n">
        <x:f>2026+A28</x:f>
        <x:v>2051</x:v>
      </x:c>
      <x:c r="C28" s="2" t="n">
        <x:f>(1+Assumptions!$B$16)^MIN(A28-1,9)*(1+Assumptions!$B$16/2)^MAX(0,A28-10)</x:f>
        <x:v>1.2789989926952525</x:v>
      </x:c>
      <x:c r="D28" s="2" t="n">
        <x:f>IF(A28=1,0.5,IF(A28=2,0.8,1))</x:f>
        <x:v>1</x:v>
      </x:c>
      <x:c r="E28" s="9" t="n">
        <x:f>MIN(Assumptions!$B$11*Assumptions!$B$15*C28*D28,Assumptions!$B$8*Assumptions!$B$22)</x:f>
        <x:v>127899.89926952525</x:v>
      </x:c>
      <x:c r="F28" s="9" t="n">
        <x:f>E28*Assumptions!$B$10*Assumptions!$B$18/1000000</x:f>
        <x:v>51.1599597078101</x:v>
      </x:c>
      <x:c r="G28" s="9" t="n">
        <x:f>E28*Assumptions!$B$9*Assumptions!$B$17/1000000</x:f>
        <x:v>43.48596575163858</x:v>
      </x:c>
      <x:c r="H28" s="9" t="n">
        <x:f>Assumptions!$B$7*Assumptions!$B$19</x:f>
        <x:v>2</x:v>
      </x:c>
      <x:c r="I28" s="9" t="n">
        <x:f>F28-G28-H28</x:f>
        <x:v>5.673993956171522</x:v>
      </x:c>
      <x:c r="J28" s="9" t="n">
        <x:f>IF(A28=1,Assumptions!$B$6,IF(OR(A28=11,A28=21),Assumptions!$B$6*Assumptions!$B$27,0))</x:f>
        <x:v>0</x:v>
      </x:c>
      <x:c r="K28" s="9" t="n">
        <x:f>Assumptions!$B$6*Assumptions!$B$26</x:f>
        <x:v>0.4</x:v>
      </x:c>
      <x:c r="L28" s="9" t="n">
        <x:f>IF(A28=1,Assumptions!$B$6*(1-Assumptions!$B$29),IF(OR(A28=11,A28=21),J28,0))+K28</x:f>
        <x:v>0.4</x:v>
      </x:c>
      <x:c r="M28" s="9" t="n">
        <x:f>(SUM(J19:J28)+SUM(K19:K28))/Assumptions!$B$30</x:f>
        <x:v>1.8</x:v>
      </x:c>
      <x:c r="N28" s="9" t="n">
        <x:f>I28-M28</x:f>
        <x:v>3.873993956171522</x:v>
      </x:c>
      <x:c r="O28" s="9" t="n">
        <x:f>Q27</x:f>
        <x:v>0</x:v>
      </x:c>
      <x:c r="P28" s="9" t="n">
        <x:f>MAX(0,N28-O28)*Assumptions!$B$23</x:f>
        <x:v>0.9684984890428805</x:v>
      </x:c>
      <x:c r="Q28" s="9" t="n">
        <x:f>MAX(0,O28-N28)</x:f>
        <x:v>0</x:v>
      </x:c>
      <x:c r="R28" s="9" t="n">
        <x:f>F28*Assumptions!$B$24*(Assumptions!$B$12+Assumptions!$B$20)/365</x:f>
        <x:v>3.92459964881831</x:v>
      </x:c>
      <x:c r="S28" s="9" t="n">
        <x:f>G28*(Assumptions!$B$13+Assumptions!$B$20)/365</x:f>
        <x:v>6.552679770794855</x:v>
      </x:c>
      <x:c r="T28" s="9" t="n">
        <x:f>G28*Assumptions!$B$25*Assumptions!$B$14/365</x:f>
        <x:v>2.3827926439254017</x:v>
      </x:c>
      <x:c r="U28" s="9" t="n">
        <x:f>R28+S28-T28</x:f>
        <x:v>8.094486775687763</x:v>
      </x:c>
      <x:c r="V28" s="9" t="n">
        <x:f>U28-U27</x:f>
        <x:v>0.060256725377328735</x:v>
      </x:c>
      <x:c r="W28" s="9" t="n">
        <x:f>IF(A28=25,U28*Assumptions!$B$28,0)</x:f>
        <x:v>7.285038098118987</x:v>
      </x:c>
      <x:c r="X28" s="9" t="n">
        <x:f>N28-P28+M28-L28-V28+W28</x:f>
        <x:v>11.5302768398703</x:v>
      </x:c>
      <x:c r="Y28" s="9" t="n">
        <x:f>(1+Assumptions!$B$21)^A28</x:f>
        <x:v>10.834705943388395</x:v>
      </x:c>
      <x:c r="Z28" s="9" t="n">
        <x:f>X28/Y28</x:f>
        <x:v>1.0641984101937128</x:v>
      </x:c>
      <x:c r="AA28" s="9" t="n">
        <x:f>AA27+X28</x:f>
        <x:v>42.96494978844038</x:v>
      </x:c>
    </x:row>
    <x:row r="31">
      <x:c r="A31" t="str">
        <x:v>NPV (realUSDm)</x:v>
      </x:c>
      <x:c r="B31" t="n">
        <x:f>-Assumptions!B6*Assumptions!B29+SUM(Z4:Z28)</x:f>
        <x:v>-1.7999419404754295</x:v>
      </x:c>
    </x:row>
    <x:row r="32">
      <x:c r="A32" t="str">
        <x:v>Peak annual funding</x:v>
      </x:c>
      <x:c r="B32" t="n">
        <x:f>MAX(Assumptions!B6*Assumptions!B29,-MIN(AA4:AA28))</x:f>
        <x:v>22.564383561643837</x:v>
      </x:c>
    </x:row>
    <x:row r="33">
      <x:c r="A33" t="str">
        <x:v>Capacity test (0=pass)</x:v>
      </x:c>
      <x:c r="B33" t="n">
        <x:f>MAX(0,MAX(E4:E28)-Assumptions!B8*Assumptions!B22)</x:f>
        <x:v>0</x:v>
      </x:c>
    </x:row>
    <x:row r="34">
      <x:c r="A34" t="str">
        <x:v>FCFF accounting residual</x:v>
      </x:c>
      <x:c r="B34" t="n">
        <x:f>SUM(X4:X28)-(SUM(N4:N28)-SUM(P4:P28)+SUM(M4:M28)-SUM(L4:L28)-SUM(V4:V28)+SUM(W4:W28))</x:f>
        <x:v>7.105427357601002e-15</x:v>
      </x:c>
    </x:row>
    <x:row r="36">
      <x:c r="A36" t="str">
        <x:v>Year3 normalized ROIC</x:v>
      </x:c>
      <x:c r="B36" s="10" t="n">
        <x:f>(N6-MAX(0,N6)*Assumptions!B23)/(SUM(J4:J6)+SUM(K4:K6)-SUM(M4:M6)+U6)</x:f>
        <x:v>0.07197432986492461</x:v>
      </x:c>
    </x:row>
    <x:row r="37">
      <x:c r="A37" t="str">
        <x:v>Year3 capital turns</x:v>
      </x:c>
      <x:c r="B37" s="11" t="n">
        <x:f>F6/(SUM(J4:J6)+SUM(K4:K6)-SUM(M4:M6)+U6)</x:f>
        <x:v>1.918477476348797</x:v>
      </x:c>
    </x:row>
    <x:row r="38">
      <x:c r="A38" t="str">
        <x:v>NPV without closeout</x:v>
      </x:c>
      <x:c r="B38" s="11" t="n">
        <x:f>B31-W28/Y28</x:f>
        <x:v>-2.472321803499262</x:v>
      </x:c>
    </x:row>
    <x:row r="39">
      <x:c r="A39" t="str">
        <x:v>Closeout PV</x:v>
      </x:c>
      <x:c r="B39" s="11" t="n">
        <x:f>W28/Y28</x:f>
        <x:v>0.672379863023832</x:v>
      </x:c>
    </x:row>
    <x:row r="40">
      <x:c r="A40" t="str">
        <x:v>NPV / annual funding</x:v>
      </x:c>
      <x:c r="B40" s="11" t="n">
        <x:f>B31/B32</x:f>
        <x:v>-0.07976916079086106</x:v>
      </x:c>
    </x:row>
  </x:sheetData>
  <x:mergeCells>
    <x:mergeCell ref="A1:AA1"/>
    <x:mergeCell ref="A2:AA2"/>
  </x:mergeCells>
  <x:pageMargins left="0.7" right="0.7" top="0.75" bottom="0.75" header="0.3" footer="0.3"/>
  <x:drawing xmlns:r="http://schemas.openxmlformats.org/officeDocument/2006/relationships" r:id="R8095fb1e44f04333"/>
</x:worksheet>
</file>

<file path=xl/worksheets/sheet2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</x:cols>
  <x:sheetData>
    <x:row r="1" ht="42" customHeight="1">
      <x:c r="A1" s="5" t="str">
        <x:v>Sensitivity / v1.1.0</x:v>
      </x:c>
      <x:c r="B1" s="2"/>
      <x:c r="C1" s="2"/>
      <x:c r="D1" s="2"/>
      <x:c r="E1" s="2"/>
      <x:c r="F1" s="2"/>
      <x:c r="G1" s="2"/>
    </x:row>
    <x:row r="2" ht="42" customHeight="1">
      <x:c r="A2" s="2" t="str">
        <x:v>Public evidence + chosen examples; no Olam internal investment valuation</x:v>
      </x:c>
      <x:c r="B2" s="2"/>
      <x:c r="C2" s="2"/>
      <x:c r="D2" s="2"/>
      <x:c r="E2" s="2"/>
      <x:c r="F2" s="2"/>
      <x:c r="G2" s="2"/>
    </x:row>
    <x:row r="3" ht="32" customHeight="1">
      <x:c r="A3" s="4" t="str">
        <x:v>Mode</x:v>
      </x:c>
      <x:c r="B3" s="4" t="str">
        <x:v>World</x:v>
      </x:c>
      <x:c r="C3" s="4" t="str">
        <x:v>Cached NPV $m</x:v>
      </x:c>
      <x:c r="D3" s="4" t="str">
        <x:v>Peak funding $m</x:v>
      </x:c>
      <x:c r="E3" s="4" t="str">
        <x:v>Operating break-even t</x:v>
      </x:c>
      <x:c r="F3" s="4" t="str">
        <x:v>Investment orders t</x:v>
      </x:c>
      <x:c r="G3" s="4" t="str">
        <x:v>Run stamp</x:v>
      </x:c>
    </x:row>
    <x:row r="4" ht="44" customHeight="1">
      <x:c r="A4" s="2" t="str">
        <x:v>trade</x:v>
      </x:c>
      <x:c r="B4" s="2" t="str">
        <x:v>managed</x:v>
      </x:c>
      <x:c r="C4" s="2" t="n">
        <x:v>0.35768624230170054</x:v>
      </x:c>
      <x:c r="D4" s="2" t="n">
        <x:v>2.9413770000000037</x:v>
      </x:c>
      <x:c r="E4" s="2" t="n">
        <x:v>31250</x:v>
      </x:c>
      <x:c r="F4" s="2" t="n">
        <x:v>89195.8345259654</x:v>
      </x:c>
      <x:c r="G4" s="2" t="d">
        <x:v>2026-10-07T20:19:48.823Z</x:v>
      </x:c>
    </x:row>
    <x:row r="5" ht="44" customHeight="1">
      <x:c r="A5" s="2" t="str">
        <x:v>trade</x:v>
      </x:c>
      <x:c r="B5" s="2" t="str">
        <x:v>integration</x:v>
      </x:c>
      <x:c r="C5" s="2" t="n">
        <x:v>7.869359046008329</x:v>
      </x:c>
      <x:c r="D5" s="2" t="n">
        <x:v>1.5686896712328786</x:v>
      </x:c>
      <x:c r="E5" s="2" t="n">
        <x:v>17651.296829971187</x:v>
      </x:c>
      <x:c r="F5" s="2" t="n">
        <x:v>27991.67630528343</x:v>
      </x:c>
      <x:c r="G5" s="2" t="d">
        <x:v>2026-10-07T20:19:48.823Z</x:v>
      </x:c>
    </x:row>
    <x:row r="6" ht="44" customHeight="1">
      <x:c r="A6" s="2" t="str">
        <x:v>trade</x:v>
      </x:c>
      <x:c r="B6" s="2" t="str">
        <x:v>fragmented</x:v>
      </x:c>
      <x:c r="C6" s="2" t="n">
        <x:v>-10.136255746401934</x:v>
      </x:c>
      <x:c r="D6" s="2" t="n">
        <x:v>22.84820444735882</x:v>
      </x:c>
      <x:c r="E6" s="2"/>
      <x:c r="F6" s="2"/>
      <x:c r="G6" s="2" t="d">
        <x:v>2026-10-07T20:19:48.823Z</x:v>
      </x:c>
    </x:row>
    <x:row r="7" ht="44" customHeight="1">
      <x:c r="A7" s="2" t="str">
        <x:v>trade</x:v>
      </x:c>
      <x:c r="B7" s="2" t="str">
        <x:v>physical</x:v>
      </x:c>
      <x:c r="C7" s="2" t="n">
        <x:v>-25.560849591724317</x:v>
      </x:c>
      <x:c r="D7" s="2" t="n">
        <x:v>70.94921425008118</x:v>
      </x:c>
      <x:c r="E7" s="2"/>
      <x:c r="F7" s="2"/>
      <x:c r="G7" s="2" t="d">
        <x:v>2026-10-07T20:19:48.823Z</x:v>
      </x:c>
    </x:row>
    <x:row r="8" ht="44" customHeight="1">
      <x:c r="A8" s="2" t="str">
        <x:v>trade</x:v>
      </x:c>
      <x:c r="B8" s="2" t="str">
        <x:v>squeeze</x:v>
      </x:c>
      <x:c r="C8" s="2" t="n">
        <x:v>-13.357503120599379</x:v>
      </x:c>
      <x:c r="D8" s="2" t="n">
        <x:v>36.99873139726028</x:v>
      </x:c>
      <x:c r="E8" s="2"/>
      <x:c r="F8" s="2"/>
      <x:c r="G8" s="2" t="d">
        <x:v>2026-10-07T20:19:48.823Z</x:v>
      </x:c>
    </x:row>
    <x:row r="9" ht="44" customHeight="1">
      <x:c r="A9" s="2" t="str">
        <x:v>trade</x:v>
      </x:c>
      <x:c r="B9" s="2" t="str">
        <x:v>nutrition</x:v>
      </x:c>
      <x:c r="C9" s="2" t="n">
        <x:v>-0.5433706314193101</x:v>
      </x:c>
      <x:c r="D9" s="2" t="n">
        <x:v>4.071070447090416</x:v>
      </x:c>
      <x:c r="E9" s="2" t="n">
        <x:v>32475.490196078557</x:v>
      </x:c>
      <x:c r="F9" s="2" t="n">
        <x:v>121633.64390198824</x:v>
      </x:c>
      <x:c r="G9" s="2" t="d">
        <x:v>2026-10-07T20:19:48.823Z</x:v>
      </x:c>
    </x:row>
    <x:row r="10" ht="44" customHeight="1">
      <x:c r="A10" s="2" t="str">
        <x:v>partner</x:v>
      </x:c>
      <x:c r="B10" s="2" t="str">
        <x:v>managed</x:v>
      </x:c>
      <x:c r="C10" s="2" t="n">
        <x:v>10.817370364399231</x:v>
      </x:c>
      <x:c r="D10" s="2" t="n">
        <x:v>9.795726027397262</x:v>
      </x:c>
      <x:c r="E10" s="2" t="n">
        <x:v>25000</x:v>
      </x:c>
      <x:c r="F10" s="2" t="n">
        <x:v>62437.7886229557</x:v>
      </x:c>
      <x:c r="G10" s="2" t="d">
        <x:v>2026-10-07T20:19:48.823Z</x:v>
      </x:c>
    </x:row>
    <x:row r="11" ht="44" customHeight="1">
      <x:c r="A11" s="2" t="str">
        <x:v>partner</x:v>
      </x:c>
      <x:c r="B11" s="2" t="str">
        <x:v>integration</x:v>
      </x:c>
      <x:c r="C11" s="2" t="n">
        <x:v>20.592951494337385</x:v>
      </x:c>
      <x:c r="D11" s="2" t="n">
        <x:v>9.137024657534244</x:v>
      </x:c>
      <x:c r="E11" s="2" t="n">
        <x:v>22072.07207207206</x:v>
      </x:c>
      <x:c r="F11" s="2" t="n">
        <x:v>42554.41685771852</x:v>
      </x:c>
      <x:c r="G11" s="2" t="d">
        <x:v>2026-10-07T20:19:48.823Z</x:v>
      </x:c>
    </x:row>
    <x:row r="12" ht="44" customHeight="1">
      <x:c r="A12" s="2" t="str">
        <x:v>partner</x:v>
      </x:c>
      <x:c r="B12" s="2" t="str">
        <x:v>fragmented</x:v>
      </x:c>
      <x:c r="C12" s="2" t="n">
        <x:v>-3.5847305871200685</x:v>
      </x:c>
      <x:c r="D12" s="2" t="n">
        <x:v>12.709059419178088</x:v>
      </x:c>
      <x:c r="E12" s="2" t="n">
        <x:v>33536.585365853694</x:v>
      </x:c>
      <x:c r="F12" s="2" t="n">
        <x:v>151350.81667983875</x:v>
      </x:c>
      <x:c r="G12" s="2" t="d">
        <x:v>2026-10-07T20:19:48.823Z</x:v>
      </x:c>
    </x:row>
    <x:row r="13" ht="44" customHeight="1">
      <x:c r="A13" s="2" t="str">
        <x:v>partner</x:v>
      </x:c>
      <x:c r="B13" s="2" t="str">
        <x:v>physical</x:v>
      </x:c>
      <x:c r="C13" s="2" t="n">
        <x:v>-17.395001416781703</x:v>
      </x:c>
      <x:c r="D13" s="2" t="n">
        <x:v>27.95674091083143</x:v>
      </x:c>
      <x:c r="E13" s="2" t="n">
        <x:v>71874.99999999983</x:v>
      </x:c>
      <x:c r="F13" s="2"/>
      <x:c r="G13" s="2" t="d">
        <x:v>2026-10-07T20:19:48.823Z</x:v>
      </x:c>
    </x:row>
    <x:row r="14" ht="44" customHeight="1">
      <x:c r="A14" s="2" t="str">
        <x:v>partner</x:v>
      </x:c>
      <x:c r="B14" s="2" t="str">
        <x:v>squeeze</x:v>
      </x:c>
      <x:c r="C14" s="2" t="n">
        <x:v>-9.82494869860839</x:v>
      </x:c>
      <x:c r="D14" s="2" t="n">
        <x:v>14.232439232876722</x:v>
      </x:c>
      <x:c r="E14" s="2" t="n">
        <x:v>42112.2994652407</x:v>
      </x:c>
      <x:c r="F14" s="2"/>
      <x:c r="G14" s="2" t="d">
        <x:v>2026-10-07T20:19:48.823Z</x:v>
      </x:c>
    </x:row>
    <x:row r="15" ht="44" customHeight="1">
      <x:c r="A15" s="2" t="str">
        <x:v>partner</x:v>
      </x:c>
      <x:c r="B15" s="2" t="str">
        <x:v>nutrition</x:v>
      </x:c>
      <x:c r="C15" s="2" t="n">
        <x:v>10.071104437961292</x:v>
      </x:c>
      <x:c r="D15" s="2" t="n">
        <x:v>10.38084</x:v>
      </x:c>
      <x:c r="E15" s="2" t="n">
        <x:v>25980.392156862756</x:v>
      </x:c>
      <x:c r="F15" s="2" t="n">
        <x:v>64972.55435624967</x:v>
      </x:c>
      <x:c r="G15" s="2" t="d">
        <x:v>2026-10-07T20:19:48.823Z</x:v>
      </x:c>
    </x:row>
    <x:row r="16" ht="44" customHeight="1">
      <x:c r="A16" s="2" t="str">
        <x:v>plant</x:v>
      </x:c>
      <x:c r="B16" s="2" t="str">
        <x:v>managed</x:v>
      </x:c>
      <x:c r="C16" s="2" t="n">
        <x:v>-1.7999419404754313</x:v>
      </x:c>
      <x:c r="D16" s="2" t="n">
        <x:v>22.564383561643837</x:v>
      </x:c>
      <x:c r="E16" s="2" t="n">
        <x:v>33333.333333333336</x:v>
      </x:c>
      <x:c r="F16" s="2" t="n">
        <x:v>104862.13464493981</x:v>
      </x:c>
      <x:c r="G16" s="2" t="d">
        <x:v>2026-10-07T20:19:48.823Z</x:v>
      </x:c>
    </x:row>
    <x:row r="17" ht="44" customHeight="1">
      <x:c r="A17" s="2" t="str">
        <x:v>plant</x:v>
      </x:c>
      <x:c r="B17" s="2" t="str">
        <x:v>integration</x:v>
      </x:c>
      <x:c r="C17" s="2" t="n">
        <x:v>13.879461780773948</x:v>
      </x:c>
      <x:c r="D17" s="2" t="n">
        <x:v>21.728734246575343</x:v>
      </x:c>
      <x:c r="E17" s="2" t="n">
        <x:v>30107.52688172042</x:v>
      </x:c>
      <x:c r="F17" s="2" t="n">
        <x:v>73631.61307311719</x:v>
      </x:c>
      <x:c r="G17" s="2" t="d">
        <x:v>2026-10-07T20:19:48.823Z</x:v>
      </x:c>
    </x:row>
    <x:row r="18" ht="44" customHeight="1">
      <x:c r="A18" s="2" t="str">
        <x:v>plant</x:v>
      </x:c>
      <x:c r="B18" s="2" t="str">
        <x:v>fragmented</x:v>
      </x:c>
      <x:c r="C18" s="2" t="n">
        <x:v>-17.20394764958582</x:v>
      </x:c>
      <x:c r="D18" s="2" t="n">
        <x:v>25.97873621917809</x:v>
      </x:c>
      <x:c r="E18" s="2" t="n">
        <x:v>42145.59386973181</x:v>
      </x:c>
      <x:c r="F18" s="2"/>
      <x:c r="G18" s="2" t="d">
        <x:v>2026-10-07T20:19:48.823Z</x:v>
      </x:c>
    </x:row>
    <x:row r="19" ht="44" customHeight="1">
      <x:c r="A19" s="2" t="str">
        <x:v>plant</x:v>
      </x:c>
      <x:c r="B19" s="2" t="str">
        <x:v>physical</x:v>
      </x:c>
      <x:c r="C19" s="2" t="n">
        <x:v>-33.292163663292115</x:v>
      </x:c>
      <x:c r="D19" s="2" t="n">
        <x:v>57.89763621465281</x:v>
      </x:c>
      <x:c r="E19" s="2" t="n">
        <x:v>69696.96969696958</x:v>
      </x:c>
      <x:c r="F19" s="2"/>
      <x:c r="G19" s="2" t="d">
        <x:v>2026-10-07T20:19:48.823Z</x:v>
      </x:c>
    </x:row>
    <x:row r="20" ht="44" customHeight="1">
      <x:c r="A20" s="2" t="str">
        <x:v>plant</x:v>
      </x:c>
      <x:c r="B20" s="2" t="str">
        <x:v>squeeze</x:v>
      </x:c>
      <x:c r="C20" s="2" t="n">
        <x:v>-24.952075111496065</x:v>
      </x:c>
      <x:c r="D20" s="2" t="n">
        <x:v>38.204532602739775</x:v>
      </x:c>
      <x:c r="E20" s="2" t="n">
        <x:v>49528.30188679248</x:v>
      </x:c>
      <x:c r="F20" s="2"/>
      <x:c r="G20" s="2" t="d">
        <x:v>2026-10-07T20:19:48.823Z</x:v>
      </x:c>
    </x:row>
    <x:row r="21" ht="44" customHeight="1">
      <x:c r="A21" s="2" t="str">
        <x:v>plant</x:v>
      </x:c>
      <x:c r="B21" s="2" t="str">
        <x:v>nutrition</x:v>
      </x:c>
      <x:c r="C21" s="2" t="n">
        <x:v>-2.8782641183332043</x:v>
      </x:c>
      <x:c r="D21" s="2" t="n">
        <x:v>23.1676301369863</x:v>
      </x:c>
      <x:c r="E21" s="2" t="n">
        <x:v>34640.522875817</x:v>
      </x:c>
      <x:c r="F21" s="2" t="n">
        <x:v>107844.84544675304</x:v>
      </x:c>
      <x:c r="G21" s="2" t="d">
        <x:v>2026-10-07T20:19:48.823Z</x:v>
      </x:c>
    </x:row>
    <x:row r="25">
      <x:c r="A25" t="str">
        <x:v>Mode</x:v>
      </x:c>
      <x:c r="B25" t="str">
        <x:v>World</x:v>
      </x:c>
      <x:c r="C25" t="str">
        <x:v>Variable</x:v>
      </x:c>
      <x:c r="D25" t="str">
        <x:v>Input</x:v>
      </x:c>
      <x:c r="E25" t="str">
        <x:v>NPV $m</x:v>
      </x:c>
      <x:c r="F25" t="str">
        <x:v>DeltaNPV $m</x:v>
      </x:c>
      <x:c r="G25" t="str">
        <x:v>Peak funding $m</x:v>
      </x:c>
    </x:row>
    <x:row r="26">
      <x:c r="A26" t="str">
        <x:v>trade</x:v>
      </x:c>
      <x:c r="B26" t="str">
        <x:v>managed</x:v>
      </x:c>
      <x:c r="C26" t="str">
        <x:v>orders_factor</x:v>
      </x:c>
      <x:c r="D26" t="n">
        <x:v>0.7</x:v>
      </x:c>
      <x:c r="E26" t="n">
        <x:v>-0.6369911908715896</x:v>
      </x:c>
      <x:c r="F26" t="n">
        <x:v>-0.9946774331732902</x:v>
      </x:c>
      <x:c r="G26" t="n">
        <x:v>2.5223138999999994</x:v>
      </x:c>
    </x:row>
    <x:row r="27">
      <x:c r="A27" t="str">
        <x:v>trade</x:v>
      </x:c>
      <x:c r="B27" t="str">
        <x:v>managed</x:v>
      </x:c>
      <x:c r="C27" t="str">
        <x:v>orders_factor</x:v>
      </x:c>
      <x:c r="D27" t="n">
        <x:v>0.85</x:v>
      </x:c>
      <x:c r="E27" t="n">
        <x:v>-0.13915660651634754</x:v>
      </x:c>
      <x:c r="F27" t="n">
        <x:v>-0.4968428488180481</x:v>
      </x:c>
      <x:c r="G27" t="n">
        <x:v>2.731845449999999</x:v>
      </x:c>
    </x:row>
    <x:row r="28">
      <x:c r="A28" t="str">
        <x:v>trade</x:v>
      </x:c>
      <x:c r="B28" t="str">
        <x:v>managed</x:v>
      </x:c>
      <x:c r="C28" t="str">
        <x:v>orders_factor</x:v>
      </x:c>
      <x:c r="D28" t="n">
        <x:v>1</x:v>
      </x:c>
      <x:c r="E28" t="n">
        <x:v>0.35768624230170054</x:v>
      </x:c>
      <x:c r="F28" t="n">
        <x:v>0</x:v>
      </x:c>
      <x:c r="G28" t="n">
        <x:v>2.9413770000000037</x:v>
      </x:c>
    </x:row>
    <x:row r="29">
      <x:c r="A29" t="str">
        <x:v>trade</x:v>
      </x:c>
      <x:c r="B29" t="str">
        <x:v>managed</x:v>
      </x:c>
      <x:c r="C29" t="str">
        <x:v>orders_factor</x:v>
      </x:c>
      <x:c r="D29" t="n">
        <x:v>1.15</x:v>
      </x:c>
      <x:c r="E29" t="n">
        <x:v>0.8542811572354702</x:v>
      </x:c>
      <x:c r="F29" t="n">
        <x:v>0.4965949149337696</x:v>
      </x:c>
      <x:c r="G29" t="n">
        <x:v>3.1509085500000014</x:v>
      </x:c>
    </x:row>
    <x:row r="30">
      <x:c r="A30" t="str">
        <x:v>trade</x:v>
      </x:c>
      <x:c r="B30" t="str">
        <x:v>managed</x:v>
      </x:c>
      <x:c r="C30" t="str">
        <x:v>orders_factor</x:v>
      </x:c>
      <x:c r="D30" t="n">
        <x:v>1.3</x:v>
      </x:c>
      <x:c r="E30" t="n">
        <x:v>1.290389344245062</x:v>
      </x:c>
      <x:c r="F30" t="n">
        <x:v>0.9327031019433615</x:v>
      </x:c>
      <x:c r="G30" t="n">
        <x:v>3.360440099999999</x:v>
      </x:c>
    </x:row>
    <x:row r="31">
      <x:c r="A31" t="str">
        <x:v>trade</x:v>
      </x:c>
      <x:c r="B31" t="str">
        <x:v>managed</x:v>
      </x:c>
      <x:c r="C31" t="str">
        <x:v>price_factor</x:v>
      </x:c>
      <x:c r="D31" t="n">
        <x:v>0.9</x:v>
      </x:c>
      <x:c r="E31" t="n">
        <x:v>-35.991351339031056</x:v>
      </x:c>
      <x:c r="F31" t="n">
        <x:v>-36.34903758133276</x:v>
      </x:c>
      <x:c r="G31" t="n">
        <x:v>99.76836701813428</x:v>
      </x:c>
    </x:row>
    <x:row r="32">
      <x:c r="A32" t="str">
        <x:v>trade</x:v>
      </x:c>
      <x:c r="B32" t="str">
        <x:v>managed</x:v>
      </x:c>
      <x:c r="C32" t="str">
        <x:v>price_factor</x:v>
      </x:c>
      <x:c r="D32" t="n">
        <x:v>0.95</x:v>
      </x:c>
      <x:c r="E32" t="n">
        <x:v>-17.278137438589347</x:v>
      </x:c>
      <x:c r="F32" t="n">
        <x:v>-17.635823680891047</x:v>
      </x:c>
      <x:c r="G32" t="n">
        <x:v>44.54672401716391</x:v>
      </x:c>
    </x:row>
    <x:row r="33">
      <x:c r="A33" t="str">
        <x:v>trade</x:v>
      </x:c>
      <x:c r="B33" t="str">
        <x:v>managed</x:v>
      </x:c>
      <x:c r="C33" t="str">
        <x:v>price_factor</x:v>
      </x:c>
      <x:c r="D33" t="n">
        <x:v>1</x:v>
      </x:c>
      <x:c r="E33" t="n">
        <x:v>0.35768624230170054</x:v>
      </x:c>
      <x:c r="F33" t="n">
        <x:v>0</x:v>
      </x:c>
      <x:c r="G33" t="n">
        <x:v>2.9413770000000037</x:v>
      </x:c>
    </x:row>
    <x:row r="34">
      <x:c r="A34" t="str">
        <x:v>trade</x:v>
      </x:c>
      <x:c r="B34" t="str">
        <x:v>managed</x:v>
      </x:c>
      <x:c r="C34" t="str">
        <x:v>price_factor</x:v>
      </x:c>
      <x:c r="D34" t="n">
        <x:v>1.05</x:v>
      </x:c>
      <x:c r="E34" t="n">
        <x:v>14.373855159057657</x:v>
      </x:c>
      <x:c r="F34" t="n">
        <x:v>14.016168916755957</x:v>
      </x:c>
      <x:c r="G34" t="n">
        <x:v>1.5358356164383573</x:v>
      </x:c>
    </x:row>
    <x:row r="35">
      <x:c r="A35" t="str">
        <x:v>trade</x:v>
      </x:c>
      <x:c r="B35" t="str">
        <x:v>managed</x:v>
      </x:c>
      <x:c r="C35" t="str">
        <x:v>price_factor</x:v>
      </x:c>
      <x:c r="D35" t="n">
        <x:v>1.1</x:v>
      </x:c>
      <x:c r="E35" t="n">
        <x:v>28.390024075813656</x:v>
      </x:c>
      <x:c r="F35" t="n">
        <x:v>28.032337833511956</x:v>
      </x:c>
      <x:c r="G35" t="n">
        <x:v>0.829671232876711</x:v>
      </x:c>
    </x:row>
    <x:row r="36">
      <x:c r="A36" t="str">
        <x:v>trade</x:v>
      </x:c>
      <x:c r="B36" t="str">
        <x:v>managed</x:v>
      </x:c>
      <x:c r="C36" t="str">
        <x:v>cost_factor</x:v>
      </x:c>
      <x:c r="D36" t="n">
        <x:v>0.9</x:v>
      </x:c>
      <x:c r="E36" t="n">
        <x:v>28.058960799191087</x:v>
      </x:c>
      <x:c r="F36" t="n">
        <x:v>27.701274556889388</x:v>
      </x:c>
      <x:c r="G36" t="n">
        <x:v>0.7236712328767124</x:v>
      </x:c>
    </x:row>
    <x:row r="37">
      <x:c r="A37" t="str">
        <x:v>trade</x:v>
      </x:c>
      <x:c r="B37" t="str">
        <x:v>managed</x:v>
      </x:c>
      <x:c r="C37" t="str">
        <x:v>cost_factor</x:v>
      </x:c>
      <x:c r="D37" t="n">
        <x:v>0.95</x:v>
      </x:c>
      <x:c r="E37" t="n">
        <x:v>14.208323520746411</x:v>
      </x:c>
      <x:c r="F37" t="n">
        <x:v>13.850637278444712</x:v>
      </x:c>
      <x:c r="G37" t="n">
        <x:v>1.4828356164383565</x:v>
      </x:c>
    </x:row>
    <x:row r="38">
      <x:c r="A38" t="str">
        <x:v>trade</x:v>
      </x:c>
      <x:c r="B38" t="str">
        <x:v>managed</x:v>
      </x:c>
      <x:c r="C38" t="str">
        <x:v>cost_factor</x:v>
      </x:c>
      <x:c r="D38" t="n">
        <x:v>1</x:v>
      </x:c>
      <x:c r="E38" t="n">
        <x:v>0.35768624230170054</x:v>
      </x:c>
      <x:c r="F38" t="n">
        <x:v>0</x:v>
      </x:c>
      <x:c r="G38" t="n">
        <x:v>2.9413770000000037</x:v>
      </x:c>
    </x:row>
    <x:row r="39">
      <x:c r="A39" t="str">
        <x:v>trade</x:v>
      </x:c>
      <x:c r="B39" t="str">
        <x:v>managed</x:v>
      </x:c>
      <x:c r="C39" t="str">
        <x:v>cost_factor</x:v>
      </x:c>
      <x:c r="D39" t="n">
        <x:v>1.05</x:v>
      </x:c>
      <x:c r="E39" t="n">
        <x:v>-17.01866490060441</x:v>
      </x:c>
      <x:c r="F39" t="n">
        <x:v>-17.37635114290611</x:v>
      </x:c>
      <x:c r="G39" t="n">
        <x:v>43.64187165271394</x:v>
      </x:c>
    </x:row>
    <x:row r="40">
      <x:c r="A40" t="str">
        <x:v>trade</x:v>
      </x:c>
      <x:c r="B40" t="str">
        <x:v>managed</x:v>
      </x:c>
      <x:c r="C40" t="str">
        <x:v>cost_factor</x:v>
      </x:c>
      <x:c r="D40" t="n">
        <x:v>1.1</x:v>
      </x:c>
      <x:c r="E40" t="n">
        <x:v>-35.47240626306116</x:v>
      </x:c>
      <x:c r="F40" t="n">
        <x:v>-35.83009250536286</x:v>
      </x:c>
      <x:c r="G40" t="n">
        <x:v>97.54583315133999</x:v>
      </x:c>
    </x:row>
    <x:row r="41">
      <x:c r="A41" t="str">
        <x:v>trade</x:v>
      </x:c>
      <x:c r="B41" t="str">
        <x:v>managed</x:v>
      </x:c>
      <x:c r="C41" t="str">
        <x:v>capex_factor</x:v>
      </x:c>
      <x:c r="D41" t="n">
        <x:v>0.5</x:v>
      </x:c>
      <x:c r="E41" t="n">
        <x:v>0.9831870025543663</x:v>
      </x:c>
      <x:c r="F41" t="n">
        <x:v>0.6255007602526658</x:v>
      </x:c>
      <x:c r="G41" t="n">
        <x:v>2.450377000000004</x:v>
      </x:c>
    </x:row>
    <x:row r="42">
      <x:c r="A42" t="str">
        <x:v>trade</x:v>
      </x:c>
      <x:c r="B42" t="str">
        <x:v>managed</x:v>
      </x:c>
      <x:c r="C42" t="str">
        <x:v>capex_factor</x:v>
      </x:c>
      <x:c r="D42" t="n">
        <x:v>0.75</x:v>
      </x:c>
      <x:c r="E42" t="n">
        <x:v>0.6704366224280334</x:v>
      </x:c>
      <x:c r="F42" t="n">
        <x:v>0.3127503801263328</x:v>
      </x:c>
      <x:c r="G42" t="n">
        <x:v>2.695877000000004</x:v>
      </x:c>
    </x:row>
    <x:row r="43">
      <x:c r="A43" t="str">
        <x:v>trade</x:v>
      </x:c>
      <x:c r="B43" t="str">
        <x:v>managed</x:v>
      </x:c>
      <x:c r="C43" t="str">
        <x:v>capex_factor</x:v>
      </x:c>
      <x:c r="D43" t="n">
        <x:v>1</x:v>
      </x:c>
      <x:c r="E43" t="n">
        <x:v>0.35768624230170054</x:v>
      </x:c>
      <x:c r="F43" t="n">
        <x:v>0</x:v>
      </x:c>
      <x:c r="G43" t="n">
        <x:v>2.9413770000000037</x:v>
      </x:c>
    </x:row>
    <x:row r="44">
      <x:c r="A44" t="str">
        <x:v>trade</x:v>
      </x:c>
      <x:c r="B44" t="str">
        <x:v>managed</x:v>
      </x:c>
      <x:c r="C44" t="str">
        <x:v>capex_factor</x:v>
      </x:c>
      <x:c r="D44" t="n">
        <x:v>1.25</x:v>
      </x:c>
      <x:c r="E44" t="n">
        <x:v>0.0449358621753676</x:v>
      </x:c>
      <x:c r="F44" t="n">
        <x:v>-0.31275038012633294</x:v>
      </x:c>
      <x:c r="G44" t="n">
        <x:v>3.186877000000004</x:v>
      </x:c>
    </x:row>
    <x:row r="45">
      <x:c r="A45" t="str">
        <x:v>trade</x:v>
      </x:c>
      <x:c r="B45" t="str">
        <x:v>managed</x:v>
      </x:c>
      <x:c r="C45" t="str">
        <x:v>capex_factor</x:v>
      </x:c>
      <x:c r="D45" t="n">
        <x:v>1.5</x:v>
      </x:c>
      <x:c r="E45" t="n">
        <x:v>-0.26787650142203956</x:v>
      </x:c>
      <x:c r="F45" t="n">
        <x:v>-0.6255627437237401</x:v>
      </x:c>
      <x:c r="G45" t="n">
        <x:v>3.432377000000004</x:v>
      </x:c>
    </x:row>
    <x:row r="46">
      <x:c r="A46" t="str">
        <x:v>trade</x:v>
      </x:c>
      <x:c r="B46" t="str">
        <x:v>managed</x:v>
      </x:c>
      <x:c r="C46" t="str">
        <x:v>DSO_added_days</x:v>
      </x:c>
      <x:c r="D46" t="n">
        <x:v>-10</x:v>
      </x:c>
      <x:c r="E46" t="n">
        <x:v>1.1073465853147089</x:v>
      </x:c>
      <x:c r="F46" t="n">
        <x:v>0.7496603430130083</x:v>
      </x:c>
      <x:c r="G46" t="n">
        <x:v>2.0730495890411</x:v>
      </x:c>
    </x:row>
    <x:row r="47">
      <x:c r="A47" t="str">
        <x:v>trade</x:v>
      </x:c>
      <x:c r="B47" t="str">
        <x:v>managed</x:v>
      </x:c>
      <x:c r="C47" t="str">
        <x:v>DSO_added_days</x:v>
      </x:c>
      <x:c r="D47" t="n">
        <x:v>0</x:v>
      </x:c>
      <x:c r="E47" t="n">
        <x:v>0.35768624230170054</x:v>
      </x:c>
      <x:c r="F47" t="n">
        <x:v>0</x:v>
      </x:c>
      <x:c r="G47" t="n">
        <x:v>2.9413770000000037</x:v>
      </x:c>
    </x:row>
    <x:row r="48">
      <x:c r="A48" t="str">
        <x:v>trade</x:v>
      </x:c>
      <x:c r="B48" t="str">
        <x:v>managed</x:v>
      </x:c>
      <x:c r="C48" t="str">
        <x:v>DSO_added_days</x:v>
      </x:c>
      <x:c r="D48" t="n">
        <x:v>10</x:v>
      </x:c>
      <x:c r="E48" t="n">
        <x:v>-0.39197410071130745</x:v>
      </x:c>
      <x:c r="F48" t="n">
        <x:v>-0.749660343013008</x:v>
      </x:c>
      <x:c r="G48" t="n">
        <x:v>3.844587958904113</x:v>
      </x:c>
    </x:row>
    <x:row r="49">
      <x:c r="A49" t="str">
        <x:v>trade</x:v>
      </x:c>
      <x:c r="B49" t="str">
        <x:v>managed</x:v>
      </x:c>
      <x:c r="C49" t="str">
        <x:v>DSO_added_days</x:v>
      </x:c>
      <x:c r="D49" t="n">
        <x:v>20</x:v>
      </x:c>
      <x:c r="E49" t="n">
        <x:v>-1.1416344437243158</x:v>
      </x:c>
      <x:c r="F49" t="n">
        <x:v>-1.4993206860260164</x:v>
      </x:c>
      <x:c r="G49" t="n">
        <x:v>4.747798917808222</x:v>
      </x:c>
    </x:row>
    <x:row r="50">
      <x:c r="A50" t="str">
        <x:v>trade</x:v>
      </x:c>
      <x:c r="B50" t="str">
        <x:v>managed</x:v>
      </x:c>
      <x:c r="C50" t="str">
        <x:v>DSO_added_days</x:v>
      </x:c>
      <x:c r="D50" t="n">
        <x:v>40</x:v>
      </x:c>
      <x:c r="E50" t="n">
        <x:v>-2.640955129750332</x:v>
      </x:c>
      <x:c r="F50" t="n">
        <x:v>-2.998641372052033</x:v>
      </x:c>
      <x:c r="G50" t="n">
        <x:v>6.554220835616441</x:v>
      </x:c>
    </x:row>
    <x:row r="51">
      <x:c r="A51" t="str">
        <x:v>trade</x:v>
      </x:c>
      <x:c r="B51" t="str">
        <x:v>managed</x:v>
      </x:c>
      <x:c r="C51" t="str">
        <x:v>DIO_added_days</x:v>
      </x:c>
      <x:c r="D51" t="n">
        <x:v>-10</x:v>
      </x:c>
      <x:c r="E51" t="n">
        <x:v>1.2760201624926353</x:v>
      </x:c>
      <x:c r="F51" t="n">
        <x:v>0.9183339201909347</x:v>
      </x:c>
      <x:c r="G51" t="n">
        <x:v>1.9128742465753465</x:v>
      </x:c>
    </x:row>
    <x:row r="52">
      <x:c r="A52" t="str">
        <x:v>trade</x:v>
      </x:c>
      <x:c r="B52" t="str">
        <x:v>managed</x:v>
      </x:c>
      <x:c r="C52" t="str">
        <x:v>DIO_added_days</x:v>
      </x:c>
      <x:c r="D52" t="n">
        <x:v>0</x:v>
      </x:c>
      <x:c r="E52" t="n">
        <x:v>0.35768624230170054</x:v>
      </x:c>
      <x:c r="F52" t="n">
        <x:v>0</x:v>
      </x:c>
      <x:c r="G52" t="n">
        <x:v>2.9413770000000037</x:v>
      </x:c>
    </x:row>
    <x:row r="53">
      <x:c r="A53" t="str">
        <x:v>trade</x:v>
      </x:c>
      <x:c r="B53" t="str">
        <x:v>managed</x:v>
      </x:c>
      <x:c r="C53" t="str">
        <x:v>DIO_added_days</x:v>
      </x:c>
      <x:c r="D53" t="n">
        <x:v>10</x:v>
      </x:c>
      <x:c r="E53" t="n">
        <x:v>-0.5606476778892345</x:v>
      </x:c>
      <x:c r="F53" t="n">
        <x:v>-0.9183339201909351</x:v>
      </x:c>
      <x:c r="G53" t="n">
        <x:v>4.047810424657539</x:v>
      </x:c>
    </x:row>
    <x:row r="54">
      <x:c r="A54" t="str">
        <x:v>trade</x:v>
      </x:c>
      <x:c r="B54" t="str">
        <x:v>managed</x:v>
      </x:c>
      <x:c r="C54" t="str">
        <x:v>DIO_added_days</x:v>
      </x:c>
      <x:c r="D54" t="n">
        <x:v>20</x:v>
      </x:c>
      <x:c r="E54" t="n">
        <x:v>-1.4789815980801688</x:v>
      </x:c>
      <x:c r="F54" t="n">
        <x:v>-1.8366678403818693</x:v>
      </x:c>
      <x:c r="G54" t="n">
        <x:v>5.154243849315073</x:v>
      </x:c>
    </x:row>
    <x:row r="55">
      <x:c r="A55" t="str">
        <x:v>trade</x:v>
      </x:c>
      <x:c r="B55" t="str">
        <x:v>managed</x:v>
      </x:c>
      <x:c r="C55" t="str">
        <x:v>DIO_added_days</x:v>
      </x:c>
      <x:c r="D55" t="n">
        <x:v>40</x:v>
      </x:c>
      <x:c r="E55" t="n">
        <x:v>-3.3156494384620396</x:v>
      </x:c>
      <x:c r="F55" t="n">
        <x:v>-3.6733356807637403</x:v>
      </x:c>
      <x:c r="G55" t="n">
        <x:v>7.367110698630139</x:v>
      </x:c>
    </x:row>
    <x:row r="56">
      <x:c r="A56" t="str">
        <x:v>trade</x:v>
      </x:c>
      <x:c r="B56" t="str">
        <x:v>managed</x:v>
      </x:c>
      <x:c r="C56" t="str">
        <x:v>real_hurdle</x:v>
      </x:c>
      <x:c r="D56" t="n">
        <x:v>0.06</x:v>
      </x:c>
      <x:c r="E56" t="n">
        <x:v>2.1966062939688844</x:v>
      </x:c>
      <x:c r="F56" t="n">
        <x:v>1.8389200516671838</x:v>
      </x:c>
      <x:c r="G56" t="n">
        <x:v>2.9413770000000037</x:v>
      </x:c>
    </x:row>
    <x:row r="57">
      <x:c r="A57" t="str">
        <x:v>trade</x:v>
      </x:c>
      <x:c r="B57" t="str">
        <x:v>managed</x:v>
      </x:c>
      <x:c r="C57" t="str">
        <x:v>real_hurdle</x:v>
      </x:c>
      <x:c r="D57" t="n">
        <x:v>0.08</x:v>
      </x:c>
      <x:c r="E57" t="n">
        <x:v>1.1156231327596076</x:v>
      </x:c>
      <x:c r="F57" t="n">
        <x:v>0.757936890457907</x:v>
      </x:c>
      <x:c r="G57" t="n">
        <x:v>2.9413770000000037</x:v>
      </x:c>
    </x:row>
    <x:row r="58">
      <x:c r="A58" t="str">
        <x:v>trade</x:v>
      </x:c>
      <x:c r="B58" t="str">
        <x:v>managed</x:v>
      </x:c>
      <x:c r="C58" t="str">
        <x:v>real_hurdle</x:v>
      </x:c>
      <x:c r="D58" t="n">
        <x:v>0.1</x:v>
      </x:c>
      <x:c r="E58" t="n">
        <x:v>0.35768624230170054</x:v>
      </x:c>
      <x:c r="F58" t="n">
        <x:v>0</x:v>
      </x:c>
      <x:c r="G58" t="n">
        <x:v>2.9413770000000037</x:v>
      </x:c>
    </x:row>
    <x:row r="59">
      <x:c r="A59" t="str">
        <x:v>trade</x:v>
      </x:c>
      <x:c r="B59" t="str">
        <x:v>managed</x:v>
      </x:c>
      <x:c r="C59" t="str">
        <x:v>real_hurdle</x:v>
      </x:c>
      <x:c r="D59" t="n">
        <x:v>0.12</x:v>
      </x:c>
      <x:c r="E59" t="n">
        <x:v>-0.1832120464245255</x:v>
      </x:c>
      <x:c r="F59" t="n">
        <x:v>-0.540898288726226</x:v>
      </x:c>
      <x:c r="G59" t="n">
        <x:v>2.9413770000000037</x:v>
      </x:c>
    </x:row>
    <x:row r="60">
      <x:c r="A60" t="str">
        <x:v>trade</x:v>
      </x:c>
      <x:c r="B60" t="str">
        <x:v>managed</x:v>
      </x:c>
      <x:c r="C60" t="str">
        <x:v>real_hurdle</x:v>
      </x:c>
      <x:c r="D60" t="n">
        <x:v>0.16</x:v>
      </x:c>
      <x:c r="E60" t="n">
        <x:v>-0.8645378621590607</x:v>
      </x:c>
      <x:c r="F60" t="n">
        <x:v>-1.2222241044607611</x:v>
      </x:c>
      <x:c r="G60" t="n">
        <x:v>2.9413770000000037</x:v>
      </x:c>
    </x:row>
    <x:row r="61">
      <x:c r="A61" t="str">
        <x:v>trade</x:v>
      </x:c>
      <x:c r="B61" t="str">
        <x:v>integration</x:v>
      </x:c>
      <x:c r="C61" t="str">
        <x:v>orders_factor</x:v>
      </x:c>
      <x:c r="D61" t="n">
        <x:v>0.7</x:v>
      </x:c>
      <x:c r="E61" t="n">
        <x:v>4.666939808006195</x:v>
      </x:c>
      <x:c r="F61" t="n">
        <x:v>-3.2024192380021343</x:v>
      </x:c>
      <x:c r="G61" t="n">
        <x:v>1.451557769863014</x:v>
      </x:c>
    </x:row>
    <x:row r="62">
      <x:c r="A62" t="str">
        <x:v>trade</x:v>
      </x:c>
      <x:c r="B62" t="str">
        <x:v>integration</x:v>
      </x:c>
      <x:c r="C62" t="str">
        <x:v>orders_factor</x:v>
      </x:c>
      <x:c r="D62" t="n">
        <x:v>0.85</x:v>
      </x:c>
      <x:c r="E62" t="n">
        <x:v>6.331656333417619</x:v>
      </x:c>
      <x:c r="F62" t="n">
        <x:v>-1.5377027125907103</x:v>
      </x:c>
      <x:c r="G62" t="n">
        <x:v>1.510123720547945</x:v>
      </x:c>
    </x:row>
    <x:row r="63">
      <x:c r="A63" t="str">
        <x:v>trade</x:v>
      </x:c>
      <x:c r="B63" t="str">
        <x:v>integration</x:v>
      </x:c>
      <x:c r="C63" t="str">
        <x:v>orders_factor</x:v>
      </x:c>
      <x:c r="D63" t="n">
        <x:v>1</x:v>
      </x:c>
      <x:c r="E63" t="n">
        <x:v>7.869359046008329</x:v>
      </x:c>
      <x:c r="F63" t="n">
        <x:v>0</x:v>
      </x:c>
      <x:c r="G63" t="n">
        <x:v>1.5686896712328786</x:v>
      </x:c>
    </x:row>
    <x:row r="64">
      <x:c r="A64" t="str">
        <x:v>trade</x:v>
      </x:c>
      <x:c r="B64" t="str">
        <x:v>integration</x:v>
      </x:c>
      <x:c r="C64" t="str">
        <x:v>orders_factor</x:v>
      </x:c>
      <x:c r="D64" t="n">
        <x:v>1.15</x:v>
      </x:c>
      <x:c r="E64" t="n">
        <x:v>8.831036847803707</x:v>
      </x:c>
      <x:c r="F64" t="n">
        <x:v>0.9616778017953784</x:v>
      </x:c>
      <x:c r="G64" t="n">
        <x:v>1.627255621917807</x:v>
      </x:c>
    </x:row>
    <x:row r="65">
      <x:c r="A65" t="str">
        <x:v>trade</x:v>
      </x:c>
      <x:c r="B65" t="str">
        <x:v>integration</x:v>
      </x:c>
      <x:c r="C65" t="str">
        <x:v>orders_factor</x:v>
      </x:c>
      <x:c r="D65" t="n">
        <x:v>1.3</x:v>
      </x:c>
      <x:c r="E65" t="n">
        <x:v>9.249458036455232</x:v>
      </x:c>
      <x:c r="F65" t="n">
        <x:v>1.3800989904469034</x:v>
      </x:c>
      <x:c r="G65" t="n">
        <x:v>1.685821572602738</x:v>
      </x:c>
    </x:row>
    <x:row r="66">
      <x:c r="A66" t="str">
        <x:v>trade</x:v>
      </x:c>
      <x:c r="B66" t="str">
        <x:v>integration</x:v>
      </x:c>
      <x:c r="C66" t="str">
        <x:v>price_factor</x:v>
      </x:c>
      <x:c r="D66" t="n">
        <x:v>0.9</x:v>
      </x:c>
      <x:c r="E66" t="n">
        <x:v>-37.52858262769917</x:v>
      </x:c>
      <x:c r="F66" t="n">
        <x:v>-45.3979416737075</x:v>
      </x:c>
      <x:c r="G66" t="n">
        <x:v>98.12231141356806</x:v>
      </x:c>
    </x:row>
    <x:row r="67">
      <x:c r="A67" t="str">
        <x:v>trade</x:v>
      </x:c>
      <x:c r="B67" t="str">
        <x:v>integration</x:v>
      </x:c>
      <x:c r="C67" t="str">
        <x:v>price_factor</x:v>
      </x:c>
      <x:c r="D67" t="n">
        <x:v>0.95</x:v>
      </x:c>
      <x:c r="E67" t="n">
        <x:v>-13.134705651924346</x:v>
      </x:c>
      <x:c r="F67" t="n">
        <x:v>-21.004064697932677</x:v>
      </x:c>
      <x:c r="G67" t="n">
        <x:v>31.170008518285325</x:v>
      </x:c>
    </x:row>
    <x:row r="68">
      <x:c r="A68" t="str">
        <x:v>trade</x:v>
      </x:c>
      <x:c r="B68" t="str">
        <x:v>integration</x:v>
      </x:c>
      <x:c r="C68" t="str">
        <x:v>price_factor</x:v>
      </x:c>
      <x:c r="D68" t="n">
        <x:v>1</x:v>
      </x:c>
      <x:c r="E68" t="n">
        <x:v>7.869359046008329</x:v>
      </x:c>
      <x:c r="F68" t="n">
        <x:v>0</x:v>
      </x:c>
      <x:c r="G68" t="n">
        <x:v>1.5686896712328786</x:v>
      </x:c>
    </x:row>
    <x:row r="69">
      <x:c r="A69" t="str">
        <x:v>trade</x:v>
      </x:c>
      <x:c r="B69" t="str">
        <x:v>integration</x:v>
      </x:c>
      <x:c r="C69" t="str">
        <x:v>price_factor</x:v>
      </x:c>
      <x:c r="D69" t="n">
        <x:v>1.05</x:v>
      </x:c>
      <x:c r="E69" t="n">
        <x:v>26.14811688676064</x:v>
      </x:c>
      <x:c r="F69" t="n">
        <x:v>18.278757840752313</x:v>
      </x:c>
      <x:c r="G69" t="n">
        <x:v>0.7655115890410966</x:v>
      </x:c>
    </x:row>
    <x:row r="70">
      <x:c r="A70" t="str">
        <x:v>trade</x:v>
      </x:c>
      <x:c r="B70" t="str">
        <x:v>integration</x:v>
      </x:c>
      <x:c r="C70" t="str">
        <x:v>price_factor</x:v>
      </x:c>
      <x:c r="D70" t="n">
        <x:v>1.1</x:v>
      </x:c>
      <x:c r="E70" t="n">
        <x:v>44.42687472751302</x:v>
      </x:c>
      <x:c r="F70" t="n">
        <x:v>36.55751568150469</x:v>
      </x:c>
      <x:c r="G70" t="n">
        <x:v>0.6</x:v>
      </x:c>
    </x:row>
    <x:row r="71">
      <x:c r="A71" t="str">
        <x:v>trade</x:v>
      </x:c>
      <x:c r="B71" t="str">
        <x:v>integration</x:v>
      </x:c>
      <x:c r="C71" t="str">
        <x:v>cost_factor</x:v>
      </x:c>
      <x:c r="D71" t="n">
        <x:v>0.9</x:v>
      </x:c>
      <x:c r="E71" t="n">
        <x:v>43.329765091854085</x:v>
      </x:c>
      <x:c r="F71" t="n">
        <x:v>35.46040604584576</x:v>
      </x:c>
      <x:c r="G71" t="n">
        <x:v>0.6</x:v>
      </x:c>
    </x:row>
    <x:row r="72">
      <x:c r="A72" t="str">
        <x:v>trade</x:v>
      </x:c>
      <x:c r="B72" t="str">
        <x:v>integration</x:v>
      </x:c>
      <x:c r="C72" t="str">
        <x:v>cost_factor</x:v>
      </x:c>
      <x:c r="D72" t="n">
        <x:v>0.95</x:v>
      </x:c>
      <x:c r="E72" t="n">
        <x:v>25.599562068931228</x:v>
      </x:c>
      <x:c r="F72" t="n">
        <x:v>17.7302030229229</x:v>
      </x:c>
      <x:c r="G72" t="n">
        <x:v>0.7459896054794506</x:v>
      </x:c>
    </x:row>
    <x:row r="73">
      <x:c r="A73" t="str">
        <x:v>trade</x:v>
      </x:c>
      <x:c r="B73" t="str">
        <x:v>integration</x:v>
      </x:c>
      <x:c r="C73" t="str">
        <x:v>cost_factor</x:v>
      </x:c>
      <x:c r="D73" t="n">
        <x:v>1</x:v>
      </x:c>
      <x:c r="E73" t="n">
        <x:v>7.869359046008329</x:v>
      </x:c>
      <x:c r="F73" t="n">
        <x:v>0</x:v>
      </x:c>
      <x:c r="G73" t="n">
        <x:v>1.5686896712328786</x:v>
      </x:c>
    </x:row>
    <x:row r="74">
      <x:c r="A74" t="str">
        <x:v>trade</x:v>
      </x:c>
      <x:c r="B74" t="str">
        <x:v>integration</x:v>
      </x:c>
      <x:c r="C74" t="str">
        <x:v>cost_factor</x:v>
      </x:c>
      <x:c r="D74" t="n">
        <x:v>1.05</x:v>
      </x:c>
      <x:c r="E74" t="n">
        <x:v>-12.373956200109676</x:v>
      </x:c>
      <x:c r="F74" t="n">
        <x:v>-20.243315246118005</x:v>
      </x:c>
      <x:c r="G74" t="n">
        <x:v>29.043591087106847</x:v>
      </x:c>
    </x:row>
    <x:row r="75">
      <x:c r="A75" t="str">
        <x:v>trade</x:v>
      </x:c>
      <x:c r="B75" t="str">
        <x:v>integration</x:v>
      </x:c>
      <x:c r="C75" t="str">
        <x:v>cost_factor</x:v>
      </x:c>
      <x:c r="D75" t="n">
        <x:v>1.1</x:v>
      </x:c>
      <x:c r="E75" t="n">
        <x:v>-36.00708372406977</x:v>
      </x:c>
      <x:c r="F75" t="n">
        <x:v>-43.8764427700781</x:v>
      </x:c>
      <x:c r="G75" t="n">
        <x:v>93.42661770189586</x:v>
      </x:c>
    </x:row>
    <x:row r="76">
      <x:c r="A76" t="str">
        <x:v>trade</x:v>
      </x:c>
      <x:c r="B76" t="str">
        <x:v>integration</x:v>
      </x:c>
      <x:c r="C76" t="str">
        <x:v>capex_factor</x:v>
      </x:c>
      <x:c r="D76" t="n">
        <x:v>0.5</x:v>
      </x:c>
      <x:c r="E76" t="n">
        <x:v>8.517778200093936</x:v>
      </x:c>
      <x:c r="F76" t="n">
        <x:v>0.648419154085607</x:v>
      </x:c>
      <x:c r="G76" t="n">
        <x:v>1.0714396712328784</x:v>
      </x:c>
    </x:row>
    <x:row r="77">
      <x:c r="A77" t="str">
        <x:v>trade</x:v>
      </x:c>
      <x:c r="B77" t="str">
        <x:v>integration</x:v>
      </x:c>
      <x:c r="C77" t="str">
        <x:v>capex_factor</x:v>
      </x:c>
      <x:c r="D77" t="n">
        <x:v>0.75</x:v>
      </x:c>
      <x:c r="E77" t="n">
        <x:v>8.193568623051135</x:v>
      </x:c>
      <x:c r="F77" t="n">
        <x:v>0.3242095770428062</x:v>
      </x:c>
      <x:c r="G77" t="n">
        <x:v>1.3200646712328785</x:v>
      </x:c>
    </x:row>
    <x:row r="78">
      <x:c r="A78" t="str">
        <x:v>trade</x:v>
      </x:c>
      <x:c r="B78" t="str">
        <x:v>integration</x:v>
      </x:c>
      <x:c r="C78" t="str">
        <x:v>capex_factor</x:v>
      </x:c>
      <x:c r="D78" t="n">
        <x:v>1</x:v>
      </x:c>
      <x:c r="E78" t="n">
        <x:v>7.869359046008329</x:v>
      </x:c>
      <x:c r="F78" t="n">
        <x:v>0</x:v>
      </x:c>
      <x:c r="G78" t="n">
        <x:v>1.5686896712328786</x:v>
      </x:c>
    </x:row>
    <x:row r="79">
      <x:c r="A79" t="str">
        <x:v>trade</x:v>
      </x:c>
      <x:c r="B79" t="str">
        <x:v>integration</x:v>
      </x:c>
      <x:c r="C79" t="str">
        <x:v>capex_factor</x:v>
      </x:c>
      <x:c r="D79" t="n">
        <x:v>1.25</x:v>
      </x:c>
      <x:c r="E79" t="n">
        <x:v>7.5451494689655245</x:v>
      </x:c>
      <x:c r="F79" t="n">
        <x:v>-0.3242095770428044</x:v>
      </x:c>
      <x:c r="G79" t="n">
        <x:v>1.8173146712328785</x:v>
      </x:c>
    </x:row>
    <x:row r="80">
      <x:c r="A80" t="str">
        <x:v>trade</x:v>
      </x:c>
      <x:c r="B80" t="str">
        <x:v>integration</x:v>
      </x:c>
      <x:c r="C80" t="str">
        <x:v>capex_factor</x:v>
      </x:c>
      <x:c r="D80" t="n">
        <x:v>1.5</x:v>
      </x:c>
      <x:c r="E80" t="n">
        <x:v>7.22093989192272</x:v>
      </x:c>
      <x:c r="F80" t="n">
        <x:v>-0.6484191540856088</x:v>
      </x:c>
      <x:c r="G80" t="n">
        <x:v>2.0659396712328784</x:v>
      </x:c>
    </x:row>
    <x:row r="81">
      <x:c r="A81" t="str">
        <x:v>trade</x:v>
      </x:c>
      <x:c r="B81" t="str">
        <x:v>integration</x:v>
      </x:c>
      <x:c r="C81" t="str">
        <x:v>DSO_added_days</x:v>
      </x:c>
      <x:c r="D81" t="n">
        <x:v>-10</x:v>
      </x:c>
      <x:c r="E81" t="n">
        <x:v>8.757353236878142</x:v>
      </x:c>
      <x:c r="F81" t="n">
        <x:v>0.8879941908698132</x:v>
      </x:c>
      <x:c r="G81" t="n">
        <x:v>1.0777307671232892</x:v>
      </x:c>
    </x:row>
    <x:row r="82">
      <x:c r="A82" t="str">
        <x:v>trade</x:v>
      </x:c>
      <x:c r="B82" t="str">
        <x:v>integration</x:v>
      </x:c>
      <x:c r="C82" t="str">
        <x:v>DSO_added_days</x:v>
      </x:c>
      <x:c r="D82" t="n">
        <x:v>0</x:v>
      </x:c>
      <x:c r="E82" t="n">
        <x:v>7.869359046008329</x:v>
      </x:c>
      <x:c r="F82" t="n">
        <x:v>0</x:v>
      </x:c>
      <x:c r="G82" t="n">
        <x:v>1.5686896712328786</x:v>
      </x:c>
    </x:row>
    <x:row r="83">
      <x:c r="A83" t="str">
        <x:v>trade</x:v>
      </x:c>
      <x:c r="B83" t="str">
        <x:v>integration</x:v>
      </x:c>
      <x:c r="C83" t="str">
        <x:v>DSO_added_days</x:v>
      </x:c>
      <x:c r="D83" t="n">
        <x:v>10</x:v>
      </x:c>
      <x:c r="E83" t="n">
        <x:v>6.981364855138515</x:v>
      </x:c>
      <x:c r="F83" t="n">
        <x:v>-0.8879941908698141</x:v>
      </x:c>
      <x:c r="G83" t="n">
        <x:v>2.2185336635616464</x:v>
      </x:c>
    </x:row>
    <x:row r="84">
      <x:c r="A84" t="str">
        <x:v>trade</x:v>
      </x:c>
      <x:c r="B84" t="str">
        <x:v>integration</x:v>
      </x:c>
      <x:c r="C84" t="str">
        <x:v>DSO_added_days</x:v>
      </x:c>
      <x:c r="D84" t="n">
        <x:v>20</x:v>
      </x:c>
      <x:c r="E84" t="n">
        <x:v>6.093370664268701</x:v>
      </x:c>
      <x:c r="F84" t="n">
        <x:v>-1.7759883817396283</x:v>
      </x:c>
      <x:c r="G84" t="n">
        <x:v>3.0237062663013723</x:v>
      </x:c>
    </x:row>
    <x:row r="85">
      <x:c r="A85" t="str">
        <x:v>trade</x:v>
      </x:c>
      <x:c r="B85" t="str">
        <x:v>integration</x:v>
      </x:c>
      <x:c r="C85" t="str">
        <x:v>DSO_added_days</x:v>
      </x:c>
      <x:c r="D85" t="n">
        <x:v>40</x:v>
      </x:c>
      <x:c r="E85" t="n">
        <x:v>4.317382282529073</x:v>
      </x:c>
      <x:c r="F85" t="n">
        <x:v>-3.5519767634792556</x:v>
      </x:c>
      <x:c r="G85" t="n">
        <x:v>4.9411565482191815</x:v>
      </x:c>
    </x:row>
    <x:row r="86">
      <x:c r="A86" t="str">
        <x:v>trade</x:v>
      </x:c>
      <x:c r="B86" t="str">
        <x:v>integration</x:v>
      </x:c>
      <x:c r="C86" t="str">
        <x:v>DIO_added_days</x:v>
      </x:c>
      <x:c r="D86" t="n">
        <x:v>-10</x:v>
      </x:c>
      <x:c r="E86" t="n">
        <x:v>8.940835036566618</x:v>
      </x:c>
      <x:c r="F86" t="n">
        <x:v>1.0714759905582891</x:v>
      </x:c>
      <x:c r="G86" t="n">
        <x:v>0.9762863835616454</x:v>
      </x:c>
    </x:row>
    <x:row r="87">
      <x:c r="A87" t="str">
        <x:v>trade</x:v>
      </x:c>
      <x:c r="B87" t="str">
        <x:v>integration</x:v>
      </x:c>
      <x:c r="C87" t="str">
        <x:v>DIO_added_days</x:v>
      </x:c>
      <x:c r="D87" t="n">
        <x:v>0</x:v>
      </x:c>
      <x:c r="E87" t="n">
        <x:v>7.869359046008329</x:v>
      </x:c>
      <x:c r="F87" t="n">
        <x:v>0</x:v>
      </x:c>
      <x:c r="G87" t="n">
        <x:v>1.5686896712328786</x:v>
      </x:c>
    </x:row>
    <x:row r="88">
      <x:c r="A88" t="str">
        <x:v>trade</x:v>
      </x:c>
      <x:c r="B88" t="str">
        <x:v>integration</x:v>
      </x:c>
      <x:c r="C88" t="str">
        <x:v>DIO_added_days</x:v>
      </x:c>
      <x:c r="D88" t="n">
        <x:v>10</x:v>
      </x:c>
      <x:c r="E88" t="n">
        <x:v>6.797883055450039</x:v>
      </x:c>
      <x:c r="F88" t="n">
        <x:v>-1.07147599055829</x:v>
      </x:c>
      <x:c r="G88" t="n">
        <x:v>2.3849024526027427</x:v>
      </x:c>
    </x:row>
    <x:row r="89">
      <x:c r="A89" t="str">
        <x:v>trade</x:v>
      </x:c>
      <x:c r="B89" t="str">
        <x:v>integration</x:v>
      </x:c>
      <x:c r="C89" t="str">
        <x:v>DIO_added_days</x:v>
      </x:c>
      <x:c r="D89" t="n">
        <x:v>20</x:v>
      </x:c>
      <x:c r="E89" t="n">
        <x:v>5.726407064891751</x:v>
      </x:c>
      <x:c r="F89" t="n">
        <x:v>-2.1429519811165783</x:v>
      </x:c>
      <x:c r="G89" t="n">
        <x:v>3.356443844383564</x:v>
      </x:c>
    </x:row>
    <x:row r="90">
      <x:c r="A90" t="str">
        <x:v>trade</x:v>
      </x:c>
      <x:c r="B90" t="str">
        <x:v>integration</x:v>
      </x:c>
      <x:c r="C90" t="str">
        <x:v>DIO_added_days</x:v>
      </x:c>
      <x:c r="D90" t="n">
        <x:v>40</x:v>
      </x:c>
      <x:c r="E90" t="n">
        <x:v>3.583455083775172</x:v>
      </x:c>
      <x:c r="F90" t="n">
        <x:v>-4.2859039622331565</x:v>
      </x:c>
      <x:c r="G90" t="n">
        <x:v>5.793796592054795</x:v>
      </x:c>
    </x:row>
    <x:row r="91">
      <x:c r="A91" t="str">
        <x:v>trade</x:v>
      </x:c>
      <x:c r="B91" t="str">
        <x:v>integration</x:v>
      </x:c>
      <x:c r="C91" t="str">
        <x:v>real_hurdle</x:v>
      </x:c>
      <x:c r="D91" t="n">
        <x:v>0.06</x:v>
      </x:c>
      <x:c r="E91" t="n">
        <x:v>11.610888642113853</x:v>
      </x:c>
      <x:c r="F91" t="n">
        <x:v>3.741529596105524</x:v>
      </x:c>
      <x:c r="G91" t="n">
        <x:v>1.5686896712328786</x:v>
      </x:c>
    </x:row>
    <x:row r="92">
      <x:c r="A92" t="str">
        <x:v>trade</x:v>
      </x:c>
      <x:c r="B92" t="str">
        <x:v>integration</x:v>
      </x:c>
      <x:c r="C92" t="str">
        <x:v>real_hurdle</x:v>
      </x:c>
      <x:c r="D92" t="n">
        <x:v>0.08</x:v>
      </x:c>
      <x:c r="E92" t="n">
        <x:v>8.927847149018385</x:v>
      </x:c>
      <x:c r="F92" t="n">
        <x:v>1.0584881030100561</x:v>
      </x:c>
      <x:c r="G92" t="n">
        <x:v>1.5686896712328786</x:v>
      </x:c>
    </x:row>
    <x:row r="93">
      <x:c r="A93" t="str">
        <x:v>trade</x:v>
      </x:c>
      <x:c r="B93" t="str">
        <x:v>integration</x:v>
      </x:c>
      <x:c r="C93" t="str">
        <x:v>real_hurdle</x:v>
      </x:c>
      <x:c r="D93" t="n">
        <x:v>0.1</x:v>
      </x:c>
      <x:c r="E93" t="n">
        <x:v>6.957792972954234</x:v>
      </x:c>
      <x:c r="F93" t="n">
        <x:v>-0.9115660730540949</x:v>
      </x:c>
      <x:c r="G93" t="n">
        <x:v>1.5686896712328786</x:v>
      </x:c>
    </x:row>
    <x:row r="94">
      <x:c r="A94" t="str">
        <x:v>trade</x:v>
      </x:c>
      <x:c r="B94" t="str">
        <x:v>integration</x:v>
      </x:c>
      <x:c r="C94" t="str">
        <x:v>real_hurdle</x:v>
      </x:c>
      <x:c r="D94" t="n">
        <x:v>0.12</x:v>
      </x:c>
      <x:c r="E94" t="n">
        <x:v>5.4835016955085685</x:v>
      </x:c>
      <x:c r="F94" t="n">
        <x:v>-2.3858573504997604</x:v>
      </x:c>
      <x:c r="G94" t="n">
        <x:v>1.5686896712328786</x:v>
      </x:c>
    </x:row>
    <x:row r="95">
      <x:c r="A95" t="str">
        <x:v>trade</x:v>
      </x:c>
      <x:c r="B95" t="str">
        <x:v>integration</x:v>
      </x:c>
      <x:c r="C95" t="str">
        <x:v>real_hurdle</x:v>
      </x:c>
      <x:c r="D95" t="n">
        <x:v>0.16</x:v>
      </x:c>
      <x:c r="E95" t="n">
        <x:v>3.4895067446525565</x:v>
      </x:c>
      <x:c r="F95" t="n">
        <x:v>-4.379852301355772</x:v>
      </x:c>
      <x:c r="G95" t="n">
        <x:v>1.5686896712328786</x:v>
      </x:c>
    </x:row>
    <x:row r="96">
      <x:c r="A96" t="str">
        <x:v>trade</x:v>
      </x:c>
      <x:c r="B96" t="str">
        <x:v>fragmented</x:v>
      </x:c>
      <x:c r="C96" t="str">
        <x:v>orders_factor</x:v>
      </x:c>
      <x:c r="D96" t="n">
        <x:v>0.7</x:v>
      </x:c>
      <x:c r="E96" t="n">
        <x:v>-8.156447191355307</x:v>
      </x:c>
      <x:c r="F96" t="n">
        <x:v>1.9798085550466276</x:v>
      </x:c>
      <x:c r="G96" t="n">
        <x:v>18.83774311315117</x:v>
      </x:c>
    </x:row>
    <x:row r="97">
      <x:c r="A97" t="str">
        <x:v>trade</x:v>
      </x:c>
      <x:c r="B97" t="str">
        <x:v>fragmented</x:v>
      </x:c>
      <x:c r="C97" t="str">
        <x:v>orders_factor</x:v>
      </x:c>
      <x:c r="D97" t="n">
        <x:v>0.85</x:v>
      </x:c>
      <x:c r="E97" t="n">
        <x:v>-9.146351468878615</x:v>
      </x:c>
      <x:c r="F97" t="n">
        <x:v>0.9899042775233191</x:v>
      </x:c>
      <x:c r="G97" t="n">
        <x:v>20.842973780255008</x:v>
      </x:c>
    </x:row>
    <x:row r="98">
      <x:c r="A98" t="str">
        <x:v>trade</x:v>
      </x:c>
      <x:c r="B98" t="str">
        <x:v>fragmented</x:v>
      </x:c>
      <x:c r="C98" t="str">
        <x:v>orders_factor</x:v>
      </x:c>
      <x:c r="D98" t="n">
        <x:v>1</x:v>
      </x:c>
      <x:c r="E98" t="n">
        <x:v>-10.136255746401934</x:v>
      </x:c>
      <x:c r="F98" t="n">
        <x:v>0</x:v>
      </x:c>
      <x:c r="G98" t="n">
        <x:v>22.84820444735882</x:v>
      </x:c>
    </x:row>
    <x:row r="99">
      <x:c r="A99" t="str">
        <x:v>trade</x:v>
      </x:c>
      <x:c r="B99" t="str">
        <x:v>fragmented</x:v>
      </x:c>
      <x:c r="C99" t="str">
        <x:v>orders_factor</x:v>
      </x:c>
      <x:c r="D99" t="n">
        <x:v>1.15</x:v>
      </x:c>
      <x:c r="E99" t="n">
        <x:v>-11.126160023925237</x:v>
      </x:c>
      <x:c r="F99" t="n">
        <x:v>-0.9899042775233031</x:v>
      </x:c>
      <x:c r="G99" t="n">
        <x:v>24.853435114462606</x:v>
      </x:c>
    </x:row>
    <x:row r="100">
      <x:c r="A100" t="str">
        <x:v>trade</x:v>
      </x:c>
      <x:c r="B100" t="str">
        <x:v>fragmented</x:v>
      </x:c>
      <x:c r="C100" t="str">
        <x:v>orders_factor</x:v>
      </x:c>
      <x:c r="D100" t="n">
        <x:v>1.3</x:v>
      </x:c>
      <x:c r="E100" t="n">
        <x:v>-12.116064301448557</x:v>
      </x:c>
      <x:c r="F100" t="n">
        <x:v>-1.9798085550466222</x:v>
      </x:c>
      <x:c r="G100" t="n">
        <x:v>26.858665781566447</x:v>
      </x:c>
    </x:row>
    <x:row r="101">
      <x:c r="A101" t="str">
        <x:v>trade</x:v>
      </x:c>
      <x:c r="B101" t="str">
        <x:v>fragmented</x:v>
      </x:c>
      <x:c r="C101" t="str">
        <x:v>price_factor</x:v>
      </x:c>
      <x:c r="D101" t="n">
        <x:v>0.9</x:v>
      </x:c>
      <x:c r="E101" t="n">
        <x:v>-37.89000362477896</x:v>
      </x:c>
      <x:c r="F101" t="n">
        <x:v>-27.753747878377027</x:v>
      </x:c>
      <x:c r="G101" t="n">
        <x:v>114.06789749716484</x:v>
      </x:c>
    </x:row>
    <x:row r="102">
      <x:c r="A102" t="str">
        <x:v>trade</x:v>
      </x:c>
      <x:c r="B102" t="str">
        <x:v>fragmented</x:v>
      </x:c>
      <x:c r="C102" t="str">
        <x:v>price_factor</x:v>
      </x:c>
      <x:c r="D102" t="n">
        <x:v>0.95</x:v>
      </x:c>
      <x:c r="E102" t="n">
        <x:v>-24.013129685590474</x:v>
      </x:c>
      <x:c r="F102" t="n">
        <x:v>-13.87687393918854</x:v>
      </x:c>
      <x:c r="G102" t="n">
        <x:v>68.45805097226192</x:v>
      </x:c>
    </x:row>
    <x:row r="103">
      <x:c r="A103" t="str">
        <x:v>trade</x:v>
      </x:c>
      <x:c r="B103" t="str">
        <x:v>fragmented</x:v>
      </x:c>
      <x:c r="C103" t="str">
        <x:v>price_factor</x:v>
      </x:c>
      <x:c r="D103" t="n">
        <x:v>1</x:v>
      </x:c>
      <x:c r="E103" t="n">
        <x:v>-10.136255746401934</x:v>
      </x:c>
      <x:c r="F103" t="n">
        <x:v>0</x:v>
      </x:c>
      <x:c r="G103" t="n">
        <x:v>22.84820444735882</x:v>
      </x:c>
    </x:row>
    <x:row r="104">
      <x:c r="A104" t="str">
        <x:v>trade</x:v>
      </x:c>
      <x:c r="B104" t="str">
        <x:v>fragmented</x:v>
      </x:c>
      <x:c r="C104" t="str">
        <x:v>price_factor</x:v>
      </x:c>
      <x:c r="D104" t="n">
        <x:v>1.05</x:v>
      </x:c>
      <x:c r="E104" t="n">
        <x:v>1.5639374631753653</x:v>
      </x:c>
      <x:c r="F104" t="n">
        <x:v>11.7001932095773</x:v>
      </x:c>
      <x:c r="G104" t="n">
        <x:v>4.442172305438351</x:v>
      </x:c>
    </x:row>
    <x:row r="105">
      <x:c r="A105" t="str">
        <x:v>trade</x:v>
      </x:c>
      <x:c r="B105" t="str">
        <x:v>fragmented</x:v>
      </x:c>
      <x:c r="C105" t="str">
        <x:v>price_factor</x:v>
      </x:c>
      <x:c r="D105" t="n">
        <x:v>1.1</x:v>
      </x:c>
      <x:c r="E105" t="n">
        <x:v>11.94285900307426</x:v>
      </x:c>
      <x:c r="F105" t="n">
        <x:v>22.079114749476194</x:v>
      </x:c>
      <x:c r="G105" t="n">
        <x:v>2.733593013698629</x:v>
      </x:c>
    </x:row>
    <x:row r="106">
      <x:c r="A106" t="str">
        <x:v>trade</x:v>
      </x:c>
      <x:c r="B106" t="str">
        <x:v>fragmented</x:v>
      </x:c>
      <x:c r="C106" t="str">
        <x:v>cost_factor</x:v>
      </x:c>
      <x:c r="D106" t="n">
        <x:v>0.9</x:v>
      </x:c>
      <x:c r="E106" t="n">
        <x:v>12.544944436870717</x:v>
      </x:c>
      <x:c r="F106" t="n">
        <x:v>22.68120018327265</x:v>
      </x:c>
      <x:c r="G106" t="n">
        <x:v>2.454269260273974</x:v>
      </x:c>
    </x:row>
    <x:row r="107">
      <x:c r="A107" t="str">
        <x:v>trade</x:v>
      </x:c>
      <x:c r="B107" t="str">
        <x:v>fragmented</x:v>
      </x:c>
      <x:c r="C107" t="str">
        <x:v>cost_factor</x:v>
      </x:c>
      <x:c r="D107" t="n">
        <x:v>0.95</x:v>
      </x:c>
      <x:c r="E107" t="n">
        <x:v>1.864980180073609</x:v>
      </x:c>
      <x:c r="F107" t="n">
        <x:v>12.001235926475543</x:v>
      </x:c>
      <x:c r="G107" t="n">
        <x:v>4.1449088913856205</x:v>
      </x:c>
    </x:row>
    <x:row r="108">
      <x:c r="A108" t="str">
        <x:v>trade</x:v>
      </x:c>
      <x:c r="B108" t="str">
        <x:v>fragmented</x:v>
      </x:c>
      <x:c r="C108" t="str">
        <x:v>cost_factor</x:v>
      </x:c>
      <x:c r="D108" t="n">
        <x:v>1</x:v>
      </x:c>
      <x:c r="E108" t="n">
        <x:v>-10.136255746401934</x:v>
      </x:c>
      <x:c r="F108" t="n">
        <x:v>0</x:v>
      </x:c>
      <x:c r="G108" t="n">
        <x:v>22.84820444735882</x:v>
      </x:c>
    </x:row>
    <x:row r="109">
      <x:c r="A109" t="str">
        <x:v>trade</x:v>
      </x:c>
      <x:c r="B109" t="str">
        <x:v>fragmented</x:v>
      </x:c>
      <x:c r="C109" t="str">
        <x:v>cost_factor</x:v>
      </x:c>
      <x:c r="D109" t="n">
        <x:v>1.05</x:v>
      </x:c>
      <x:c r="E109" t="n">
        <x:v>-24.343097778098247</x:v>
      </x:c>
      <x:c r="F109" t="n">
        <x:v>-14.206842031696313</x:v>
      </x:c>
      <x:c r="G109" t="n">
        <x:v>69.12646119462988</x:v>
      </x:c>
    </x:row>
    <x:row r="110">
      <x:c r="A110" t="str">
        <x:v>trade</x:v>
      </x:c>
      <x:c r="B110" t="str">
        <x:v>fragmented</x:v>
      </x:c>
      <x:c r="C110" t="str">
        <x:v>cost_factor</x:v>
      </x:c>
      <x:c r="D110" t="n">
        <x:v>1.1</x:v>
      </x:c>
      <x:c r="E110" t="n">
        <x:v>-38.549939809794566</x:v>
      </x:c>
      <x:c r="F110" t="n">
        <x:v>-28.41368406339263</x:v>
      </x:c>
      <x:c r="G110" t="n">
        <x:v>115.40471794190096</x:v>
      </x:c>
    </x:row>
    <x:row r="111">
      <x:c r="A111" t="str">
        <x:v>trade</x:v>
      </x:c>
      <x:c r="B111" t="str">
        <x:v>fragmented</x:v>
      </x:c>
      <x:c r="C111" t="str">
        <x:v>capex_factor</x:v>
      </x:c>
      <x:c r="D111" t="n">
        <x:v>0.5</x:v>
      </x:c>
      <x:c r="E111" t="n">
        <x:v>-9.446240426187552</x:v>
      </x:c>
      <x:c r="F111" t="n">
        <x:v>0.6900153202143819</x:v>
      </x:c>
      <x:c r="G111" t="n">
        <x:v>21.408204447358816</x:v>
      </x:c>
    </x:row>
    <x:row r="112">
      <x:c r="A112" t="str">
        <x:v>trade</x:v>
      </x:c>
      <x:c r="B112" t="str">
        <x:v>fragmented</x:v>
      </x:c>
      <x:c r="C112" t="str">
        <x:v>capex_factor</x:v>
      </x:c>
      <x:c r="D112" t="n">
        <x:v>0.75</x:v>
      </x:c>
      <x:c r="E112" t="n">
        <x:v>-9.791248086294742</x:v>
      </x:c>
      <x:c r="F112" t="n">
        <x:v>0.34500766010719275</x:v>
      </x:c>
      <x:c r="G112" t="n">
        <x:v>22.128204447358822</x:v>
      </x:c>
    </x:row>
    <x:row r="113">
      <x:c r="A113" t="str">
        <x:v>trade</x:v>
      </x:c>
      <x:c r="B113" t="str">
        <x:v>fragmented</x:v>
      </x:c>
      <x:c r="C113" t="str">
        <x:v>capex_factor</x:v>
      </x:c>
      <x:c r="D113" t="n">
        <x:v>1</x:v>
      </x:c>
      <x:c r="E113" t="n">
        <x:v>-10.136255746401934</x:v>
      </x:c>
      <x:c r="F113" t="n">
        <x:v>0</x:v>
      </x:c>
      <x:c r="G113" t="n">
        <x:v>22.84820444735882</x:v>
      </x:c>
    </x:row>
    <x:row r="114">
      <x:c r="A114" t="str">
        <x:v>trade</x:v>
      </x:c>
      <x:c r="B114" t="str">
        <x:v>fragmented</x:v>
      </x:c>
      <x:c r="C114" t="str">
        <x:v>capex_factor</x:v>
      </x:c>
      <x:c r="D114" t="n">
        <x:v>1.25</x:v>
      </x:c>
      <x:c r="E114" t="n">
        <x:v>-10.481263406509123</x:v>
      </x:c>
      <x:c r="F114" t="n">
        <x:v>-0.3450076601071892</x:v>
      </x:c>
      <x:c r="G114" t="n">
        <x:v>23.56820444735882</x:v>
      </x:c>
    </x:row>
    <x:row r="115">
      <x:c r="A115" t="str">
        <x:v>trade</x:v>
      </x:c>
      <x:c r="B115" t="str">
        <x:v>fragmented</x:v>
      </x:c>
      <x:c r="C115" t="str">
        <x:v>capex_factor</x:v>
      </x:c>
      <x:c r="D115" t="n">
        <x:v>1.5</x:v>
      </x:c>
      <x:c r="E115" t="n">
        <x:v>-10.826271066616316</x:v>
      </x:c>
      <x:c r="F115" t="n">
        <x:v>-0.6900153202143819</x:v>
      </x:c>
      <x:c r="G115" t="n">
        <x:v>24.288204447358826</x:v>
      </x:c>
    </x:row>
    <x:row r="116">
      <x:c r="A116" t="str">
        <x:v>trade</x:v>
      </x:c>
      <x:c r="B116" t="str">
        <x:v>fragmented</x:v>
      </x:c>
      <x:c r="C116" t="str">
        <x:v>DSO_added_days</x:v>
      </x:c>
      <x:c r="D116" t="n">
        <x:v>-10</x:v>
      </x:c>
      <x:c r="E116" t="n">
        <x:v>-9.479480558001105</x:v>
      </x:c>
      <x:c r="F116" t="n">
        <x:v>0.6567751884008288</x:v>
      </x:c>
      <x:c r="G116" t="n">
        <x:v>21.9593946022951</x:v>
      </x:c>
    </x:row>
    <x:row r="117">
      <x:c r="A117" t="str">
        <x:v>trade</x:v>
      </x:c>
      <x:c r="B117" t="str">
        <x:v>fragmented</x:v>
      </x:c>
      <x:c r="C117" t="str">
        <x:v>DSO_added_days</x:v>
      </x:c>
      <x:c r="D117" t="n">
        <x:v>0</x:v>
      </x:c>
      <x:c r="E117" t="n">
        <x:v>-10.136255746401934</x:v>
      </x:c>
      <x:c r="F117" t="n">
        <x:v>0</x:v>
      </x:c>
      <x:c r="G117" t="n">
        <x:v>22.84820444735882</x:v>
      </x:c>
    </x:row>
    <x:row r="118">
      <x:c r="A118" t="str">
        <x:v>trade</x:v>
      </x:c>
      <x:c r="B118" t="str">
        <x:v>fragmented</x:v>
      </x:c>
      <x:c r="C118" t="str">
        <x:v>DSO_added_days</x:v>
      </x:c>
      <x:c r="D118" t="n">
        <x:v>10</x:v>
      </x:c>
      <x:c r="E118" t="n">
        <x:v>-10.793030934802761</x:v>
      </x:c>
      <x:c r="F118" t="n">
        <x:v>-0.656775188400827</x:v>
      </x:c>
      <x:c r="G118" t="n">
        <x:v>23.73701429242255</x:v>
      </x:c>
    </x:row>
    <x:row r="119">
      <x:c r="A119" t="str">
        <x:v>trade</x:v>
      </x:c>
      <x:c r="B119" t="str">
        <x:v>fragmented</x:v>
      </x:c>
      <x:c r="C119" t="str">
        <x:v>DSO_added_days</x:v>
      </x:c>
      <x:c r="D119" t="n">
        <x:v>20</x:v>
      </x:c>
      <x:c r="E119" t="n">
        <x:v>-11.44980612320359</x:v>
      </x:c>
      <x:c r="F119" t="n">
        <x:v>-1.3135503768016559</x:v>
      </x:c>
      <x:c r="G119" t="n">
        <x:v>24.625824137486273</x:v>
      </x:c>
    </x:row>
    <x:row r="120">
      <x:c r="A120" t="str">
        <x:v>trade</x:v>
      </x:c>
      <x:c r="B120" t="str">
        <x:v>fragmented</x:v>
      </x:c>
      <x:c r="C120" t="str">
        <x:v>DSO_added_days</x:v>
      </x:c>
      <x:c r="D120" t="n">
        <x:v>40</x:v>
      </x:c>
      <x:c r="E120" t="n">
        <x:v>-12.763356500005248</x:v>
      </x:c>
      <x:c r="F120" t="n">
        <x:v>-2.6271007536033135</x:v>
      </x:c>
      <x:c r="G120" t="n">
        <x:v>26.403443827613728</x:v>
      </x:c>
    </x:row>
    <x:row r="121">
      <x:c r="A121" t="str">
        <x:v>trade</x:v>
      </x:c>
      <x:c r="B121" t="str">
        <x:v>fragmented</x:v>
      </x:c>
      <x:c r="C121" t="str">
        <x:v>DIO_added_days</x:v>
      </x:c>
      <x:c r="D121" t="n">
        <x:v>-10</x:v>
      </x:c>
      <x:c r="E121" t="n">
        <x:v>-9.30849797890541</x:v>
      </x:c>
      <x:c r="F121" t="n">
        <x:v>0.8277577674965251</x:v>
      </x:c>
      <x:c r="G121" t="n">
        <x:v>21.728004923880672</x:v>
      </x:c>
    </x:row>
    <x:row r="122">
      <x:c r="A122" t="str">
        <x:v>trade</x:v>
      </x:c>
      <x:c r="B122" t="str">
        <x:v>fragmented</x:v>
      </x:c>
      <x:c r="C122" t="str">
        <x:v>DIO_added_days</x:v>
      </x:c>
      <x:c r="D122" t="n">
        <x:v>0</x:v>
      </x:c>
      <x:c r="E122" t="n">
        <x:v>-10.136255746401934</x:v>
      </x:c>
      <x:c r="F122" t="n">
        <x:v>0</x:v>
      </x:c>
      <x:c r="G122" t="n">
        <x:v>22.84820444735882</x:v>
      </x:c>
    </x:row>
    <x:row r="123">
      <x:c r="A123" t="str">
        <x:v>trade</x:v>
      </x:c>
      <x:c r="B123" t="str">
        <x:v>fragmented</x:v>
      </x:c>
      <x:c r="C123" t="str">
        <x:v>DIO_added_days</x:v>
      </x:c>
      <x:c r="D123" t="n">
        <x:v>10</x:v>
      </x:c>
      <x:c r="E123" t="n">
        <x:v>-10.964013513898458</x:v>
      </x:c>
      <x:c r="F123" t="n">
        <x:v>-0.8277577674965233</x:v>
      </x:c>
      <x:c r="G123" t="n">
        <x:v>23.96840397083698</x:v>
      </x:c>
    </x:row>
    <x:row r="124">
      <x:c r="A124" t="str">
        <x:v>trade</x:v>
      </x:c>
      <x:c r="B124" t="str">
        <x:v>fragmented</x:v>
      </x:c>
      <x:c r="C124" t="str">
        <x:v>DIO_added_days</x:v>
      </x:c>
      <x:c r="D124" t="n">
        <x:v>20</x:v>
      </x:c>
      <x:c r="E124" t="n">
        <x:v>-11.791771281394983</x:v>
      </x:c>
      <x:c r="F124" t="n">
        <x:v>-1.6555155349930484</x:v>
      </x:c>
      <x:c r="G124" t="n">
        <x:v>25.08860349431513</x:v>
      </x:c>
    </x:row>
    <x:row r="125">
      <x:c r="A125" t="str">
        <x:v>trade</x:v>
      </x:c>
      <x:c r="B125" t="str">
        <x:v>fragmented</x:v>
      </x:c>
      <x:c r="C125" t="str">
        <x:v>DIO_added_days</x:v>
      </x:c>
      <x:c r="D125" t="n">
        <x:v>40</x:v>
      </x:c>
      <x:c r="E125" t="n">
        <x:v>-13.447286816388033</x:v>
      </x:c>
      <x:c r="F125" t="n">
        <x:v>-3.3110310699860985</x:v>
      </x:c>
      <x:c r="G125" t="n">
        <x:v>27.32900254127143</x:v>
      </x:c>
    </x:row>
    <x:row r="126">
      <x:c r="A126" t="str">
        <x:v>trade</x:v>
      </x:c>
      <x:c r="B126" t="str">
        <x:v>fragmented</x:v>
      </x:c>
      <x:c r="C126" t="str">
        <x:v>real_hurdle</x:v>
      </x:c>
      <x:c r="D126" t="n">
        <x:v>0.06</x:v>
      </x:c>
      <x:c r="E126" t="n">
        <x:v>-13.120503707784405</x:v>
      </x:c>
      <x:c r="F126" t="n">
        <x:v>-2.9842479613824704</x:v>
      </x:c>
      <x:c r="G126" t="n">
        <x:v>22.84820444735882</x:v>
      </x:c>
    </x:row>
    <x:row r="127">
      <x:c r="A127" t="str">
        <x:v>trade</x:v>
      </x:c>
      <x:c r="B127" t="str">
        <x:v>fragmented</x:v>
      </x:c>
      <x:c r="C127" t="str">
        <x:v>real_hurdle</x:v>
      </x:c>
      <x:c r="D127" t="n">
        <x:v>0.08</x:v>
      </x:c>
      <x:c r="E127" t="n">
        <x:v>-11.940926739782213</x:v>
      </x:c>
      <x:c r="F127" t="n">
        <x:v>-1.8046709933802791</x:v>
      </x:c>
      <x:c r="G127" t="n">
        <x:v>22.84820444735882</x:v>
      </x:c>
    </x:row>
    <x:row r="128">
      <x:c r="A128" t="str">
        <x:v>trade</x:v>
      </x:c>
      <x:c r="B128" t="str">
        <x:v>fragmented</x:v>
      </x:c>
      <x:c r="C128" t="str">
        <x:v>real_hurdle</x:v>
      </x:c>
      <x:c r="D128" t="n">
        <x:v>0.1</x:v>
      </x:c>
      <x:c r="E128" t="n">
        <x:v>-10.958634923249223</x:v>
      </x:c>
      <x:c r="F128" t="n">
        <x:v>-0.8223791768472886</x:v>
      </x:c>
      <x:c r="G128" t="n">
        <x:v>22.84820444735882</x:v>
      </x:c>
    </x:row>
    <x:row r="129">
      <x:c r="A129" t="str">
        <x:v>trade</x:v>
      </x:c>
      <x:c r="B129" t="str">
        <x:v>fragmented</x:v>
      </x:c>
      <x:c r="C129" t="str">
        <x:v>real_hurdle</x:v>
      </x:c>
      <x:c r="D129" t="n">
        <x:v>0.12</x:v>
      </x:c>
      <x:c r="E129" t="n">
        <x:v>-10.136255746401934</x:v>
      </x:c>
      <x:c r="F129" t="n">
        <x:v>0</x:v>
      </x:c>
      <x:c r="G129" t="n">
        <x:v>22.84820444735882</x:v>
      </x:c>
    </x:row>
    <x:row r="130">
      <x:c r="A130" t="str">
        <x:v>trade</x:v>
      </x:c>
      <x:c r="B130" t="str">
        <x:v>fragmented</x:v>
      </x:c>
      <x:c r="C130" t="str">
        <x:v>real_hurdle</x:v>
      </x:c>
      <x:c r="D130" t="n">
        <x:v>0.16</x:v>
      </x:c>
      <x:c r="E130" t="n">
        <x:v>-8.852858925997179</x:v>
      </x:c>
      <x:c r="F130" t="n">
        <x:v>1.2833968204047554</x:v>
      </x:c>
      <x:c r="G130" t="n">
        <x:v>22.84820444735882</x:v>
      </x:c>
    </x:row>
    <x:row r="131">
      <x:c r="A131" t="str">
        <x:v>trade</x:v>
      </x:c>
      <x:c r="B131" t="str">
        <x:v>physical</x:v>
      </x:c>
      <x:c r="C131" t="str">
        <x:v>orders_factor</x:v>
      </x:c>
      <x:c r="D131" t="n">
        <x:v>0.7</x:v>
      </x:c>
      <x:c r="E131" t="n">
        <x:v>-18.98307465475122</x:v>
      </x:c>
      <x:c r="F131" t="n">
        <x:v>6.577774936973096</x:v>
      </x:c>
      <x:c r="G131" t="n">
        <x:v>52.598449975056845</x:v>
      </x:c>
    </x:row>
    <x:row r="132">
      <x:c r="A132" t="str">
        <x:v>trade</x:v>
      </x:c>
      <x:c r="B132" t="str">
        <x:v>physical</x:v>
      </x:c>
      <x:c r="C132" t="str">
        <x:v>orders_factor</x:v>
      </x:c>
      <x:c r="D132" t="n">
        <x:v>0.85</x:v>
      </x:c>
      <x:c r="E132" t="n">
        <x:v>-22.27196212323777</x:v>
      </x:c>
      <x:c r="F132" t="n">
        <x:v>3.2888874684865463</x:v>
      </x:c>
      <x:c r="G132" t="n">
        <x:v>61.773832112569025</x:v>
      </x:c>
    </x:row>
    <x:row r="133">
      <x:c r="A133" t="str">
        <x:v>trade</x:v>
      </x:c>
      <x:c r="B133" t="str">
        <x:v>physical</x:v>
      </x:c>
      <x:c r="C133" t="str">
        <x:v>orders_factor</x:v>
      </x:c>
      <x:c r="D133" t="n">
        <x:v>1</x:v>
      </x:c>
      <x:c r="E133" t="n">
        <x:v>-25.560849591724317</x:v>
      </x:c>
      <x:c r="F133" t="n">
        <x:v>0</x:v>
      </x:c>
      <x:c r="G133" t="n">
        <x:v>70.94921425008118</x:v>
      </x:c>
    </x:row>
    <x:row r="134">
      <x:c r="A134" t="str">
        <x:v>trade</x:v>
      </x:c>
      <x:c r="B134" t="str">
        <x:v>physical</x:v>
      </x:c>
      <x:c r="C134" t="str">
        <x:v>orders_factor</x:v>
      </x:c>
      <x:c r="D134" t="n">
        <x:v>1.15</x:v>
      </x:c>
      <x:c r="E134" t="n">
        <x:v>-28.849737060210874</x:v>
      </x:c>
      <x:c r="F134" t="n">
        <x:v>-3.288887468486557</x:v>
      </x:c>
      <x:c r="G134" t="n">
        <x:v>80.12459638759339</x:v>
      </x:c>
    </x:row>
    <x:row r="135">
      <x:c r="A135" t="str">
        <x:v>trade</x:v>
      </x:c>
      <x:c r="B135" t="str">
        <x:v>physical</x:v>
      </x:c>
      <x:c r="C135" t="str">
        <x:v>orders_factor</x:v>
      </x:c>
      <x:c r="D135" t="n">
        <x:v>1.3</x:v>
      </x:c>
      <x:c r="E135" t="n">
        <x:v>-32.138624528697406</x:v>
      </x:c>
      <x:c r="F135" t="n">
        <x:v>-6.577774936973089</x:v>
      </x:c>
      <x:c r="G135" t="n">
        <x:v>89.29997852510556</x:v>
      </x:c>
    </x:row>
    <x:row r="136">
      <x:c r="A136" t="str">
        <x:v>trade</x:v>
      </x:c>
      <x:c r="B136" t="str">
        <x:v>physical</x:v>
      </x:c>
      <x:c r="C136" t="str">
        <x:v>price_factor</x:v>
      </x:c>
      <x:c r="D136" t="n">
        <x:v>0.9</x:v>
      </x:c>
      <x:c r="E136" t="n">
        <x:v>-51.272890998251576</x:v>
      </x:c>
      <x:c r="F136" t="n">
        <x:v>-25.71204140652726</x:v>
      </x:c>
      <x:c r="G136" t="n">
        <x:v>155.6818038598275</x:v>
      </x:c>
    </x:row>
    <x:row r="137">
      <x:c r="A137" t="str">
        <x:v>trade</x:v>
      </x:c>
      <x:c r="B137" t="str">
        <x:v>physical</x:v>
      </x:c>
      <x:c r="C137" t="str">
        <x:v>price_factor</x:v>
      </x:c>
      <x:c r="D137" t="n">
        <x:v>0.95</x:v>
      </x:c>
      <x:c r="E137" t="n">
        <x:v>-38.416870294987945</x:v>
      </x:c>
      <x:c r="F137" t="n">
        <x:v>-12.856020703263628</x:v>
      </x:c>
      <x:c r="G137" t="n">
        <x:v>113.2627301940761</x:v>
      </x:c>
    </x:row>
    <x:row r="138">
      <x:c r="A138" t="str">
        <x:v>trade</x:v>
      </x:c>
      <x:c r="B138" t="str">
        <x:v>physical</x:v>
      </x:c>
      <x:c r="C138" t="str">
        <x:v>price_factor</x:v>
      </x:c>
      <x:c r="D138" t="n">
        <x:v>1</x:v>
      </x:c>
      <x:c r="E138" t="n">
        <x:v>-25.560849591724317</x:v>
      </x:c>
      <x:c r="F138" t="n">
        <x:v>0</x:v>
      </x:c>
      <x:c r="G138" t="n">
        <x:v>70.94921425008118</x:v>
      </x:c>
    </x:row>
    <x:row r="139">
      <x:c r="A139" t="str">
        <x:v>trade</x:v>
      </x:c>
      <x:c r="B139" t="str">
        <x:v>physical</x:v>
      </x:c>
      <x:c r="C139" t="str">
        <x:v>price_factor</x:v>
      </x:c>
      <x:c r="D139" t="n">
        <x:v>1.05</x:v>
      </x:c>
      <x:c r="E139" t="n">
        <x:v>-12.704828888460654</x:v>
      </x:c>
      <x:c r="F139" t="n">
        <x:v>12.856020703263663</x:v>
      </x:c>
      <x:c r="G139" t="n">
        <x:v>28.635698306086166</x:v>
      </x:c>
    </x:row>
    <x:row r="140">
      <x:c r="A140" t="str">
        <x:v>trade</x:v>
      </x:c>
      <x:c r="B140" t="str">
        <x:v>physical</x:v>
      </x:c>
      <x:c r="C140" t="str">
        <x:v>price_factor</x:v>
      </x:c>
      <x:c r="D140" t="n">
        <x:v>1.1</x:v>
      </x:c>
      <x:c r="E140" t="n">
        <x:v>-1.471801690831522</x:v>
      </x:c>
      <x:c r="F140" t="n">
        <x:v>24.089047900892794</x:v>
      </x:c>
      <x:c r="G140" t="n">
        <x:v>6.696595231657515</x:v>
      </x:c>
    </x:row>
    <x:row r="141">
      <x:c r="A141" t="str">
        <x:v>trade</x:v>
      </x:c>
      <x:c r="B141" t="str">
        <x:v>physical</x:v>
      </x:c>
      <x:c r="C141" t="str">
        <x:v>cost_factor</x:v>
      </x:c>
      <x:c r="D141" t="n">
        <x:v>0.9</x:v>
      </x:c>
      <x:c r="E141" t="n">
        <x:v>0.31015426077276265</x:v>
      </x:c>
      <x:c r="F141" t="n">
        <x:v>25.87100385249708</x:v>
      </x:c>
      <x:c r="G141" t="n">
        <x:v>5.6210535500726</x:v>
      </x:c>
    </x:row>
    <x:row r="142">
      <x:c r="A142" t="str">
        <x:v>trade</x:v>
      </x:c>
      <x:c r="B142" t="str">
        <x:v>physical</x:v>
      </x:c>
      <x:c r="C142" t="str">
        <x:v>cost_factor</x:v>
      </x:c>
      <x:c r="D142" t="n">
        <x:v>0.95</x:v>
      </x:c>
      <x:c r="E142" t="n">
        <x:v>-11.608533065631818</x:v>
      </x:c>
      <x:c r="F142" t="n">
        <x:v>13.952316526092499</x:v>
      </x:c>
      <x:c r="G142" t="n">
        <x:v>25.577237593582154</x:v>
      </x:c>
    </x:row>
    <x:row r="143">
      <x:c r="A143" t="str">
        <x:v>trade</x:v>
      </x:c>
      <x:c r="B143" t="str">
        <x:v>physical</x:v>
      </x:c>
      <x:c r="C143" t="str">
        <x:v>cost_factor</x:v>
      </x:c>
      <x:c r="D143" t="n">
        <x:v>1</x:v>
      </x:c>
      <x:c r="E143" t="n">
        <x:v>-25.560849591724317</x:v>
      </x:c>
      <x:c r="F143" t="n">
        <x:v>0</x:v>
      </x:c>
      <x:c r="G143" t="n">
        <x:v>70.94921425008118</x:v>
      </x:c>
    </x:row>
    <x:row r="144">
      <x:c r="A144" t="str">
        <x:v>trade</x:v>
      </x:c>
      <x:c r="B144" t="str">
        <x:v>physical</x:v>
      </x:c>
      <x:c r="C144" t="str">
        <x:v>cost_factor</x:v>
      </x:c>
      <x:c r="D144" t="n">
        <x:v>1.05</x:v>
      </x:c>
      <x:c r="E144" t="n">
        <x:v>-39.513166117816816</x:v>
      </x:c>
      <x:c r="F144" t="n">
        <x:v>-13.952316526092499</x:v>
      </x:c>
      <x:c r="G144" t="n">
        <x:v>116.32119090658024</x:v>
      </x:c>
    </x:row>
    <x:row r="145">
      <x:c r="A145" t="str">
        <x:v>trade</x:v>
      </x:c>
      <x:c r="B145" t="str">
        <x:v>physical</x:v>
      </x:c>
      <x:c r="C145" t="str">
        <x:v>cost_factor</x:v>
      </x:c>
      <x:c r="D145" t="n">
        <x:v>1.1</x:v>
      </x:c>
      <x:c r="E145" t="n">
        <x:v>-53.46548264390931</x:v>
      </x:c>
      <x:c r="F145" t="n">
        <x:v>-27.904633052184995</x:v>
      </x:c>
      <x:c r="G145" t="n">
        <x:v>161.69316756307927</x:v>
      </x:c>
    </x:row>
    <x:row r="146">
      <x:c r="A146" t="str">
        <x:v>trade</x:v>
      </x:c>
      <x:c r="B146" t="str">
        <x:v>physical</x:v>
      </x:c>
      <x:c r="C146" t="str">
        <x:v>capex_factor</x:v>
      </x:c>
      <x:c r="D146" t="n">
        <x:v>0.5</x:v>
      </x:c>
      <x:c r="E146" t="n">
        <x:v>-24.87083427150993</x:v>
      </x:c>
      <x:c r="F146" t="n">
        <x:v>0.6900153202143855</x:v>
      </x:c>
      <x:c r="G146" t="n">
        <x:v>69.50921425008121</x:v>
      </x:c>
    </x:row>
    <x:row r="147">
      <x:c r="A147" t="str">
        <x:v>trade</x:v>
      </x:c>
      <x:c r="B147" t="str">
        <x:v>physical</x:v>
      </x:c>
      <x:c r="C147" t="str">
        <x:v>capex_factor</x:v>
      </x:c>
      <x:c r="D147" t="n">
        <x:v>0.75</x:v>
      </x:c>
      <x:c r="E147" t="n">
        <x:v>-25.215841931617124</x:v>
      </x:c>
      <x:c r="F147" t="n">
        <x:v>0.34500766010719275</x:v>
      </x:c>
      <x:c r="G147" t="n">
        <x:v>70.2292142500812</x:v>
      </x:c>
    </x:row>
    <x:row r="148">
      <x:c r="A148" t="str">
        <x:v>trade</x:v>
      </x:c>
      <x:c r="B148" t="str">
        <x:v>physical</x:v>
      </x:c>
      <x:c r="C148" t="str">
        <x:v>capex_factor</x:v>
      </x:c>
      <x:c r="D148" t="n">
        <x:v>1</x:v>
      </x:c>
      <x:c r="E148" t="n">
        <x:v>-25.560849591724317</x:v>
      </x:c>
      <x:c r="F148" t="n">
        <x:v>0</x:v>
      </x:c>
      <x:c r="G148" t="n">
        <x:v>70.94921425008118</x:v>
      </x:c>
    </x:row>
    <x:row r="149">
      <x:c r="A149" t="str">
        <x:v>trade</x:v>
      </x:c>
      <x:c r="B149" t="str">
        <x:v>physical</x:v>
      </x:c>
      <x:c r="C149" t="str">
        <x:v>capex_factor</x:v>
      </x:c>
      <x:c r="D149" t="n">
        <x:v>1.25</x:v>
      </x:c>
      <x:c r="E149" t="n">
        <x:v>-25.905857251831506</x:v>
      </x:c>
      <x:c r="F149" t="n">
        <x:v>-0.3450076601071892</x:v>
      </x:c>
      <x:c r="G149" t="n">
        <x:v>71.66921425008121</x:v>
      </x:c>
    </x:row>
    <x:row r="150">
      <x:c r="A150" t="str">
        <x:v>trade</x:v>
      </x:c>
      <x:c r="B150" t="str">
        <x:v>physical</x:v>
      </x:c>
      <x:c r="C150" t="str">
        <x:v>capex_factor</x:v>
      </x:c>
      <x:c r="D150" t="n">
        <x:v>1.5</x:v>
      </x:c>
      <x:c r="E150" t="n">
        <x:v>-26.250864911938695</x:v>
      </x:c>
      <x:c r="F150" t="n">
        <x:v>-0.6900153202143784</x:v>
      </x:c>
      <x:c r="G150" t="n">
        <x:v>72.3892142500812</x:v>
      </x:c>
    </x:row>
    <x:row r="151">
      <x:c r="A151" t="str">
        <x:v>trade</x:v>
      </x:c>
      <x:c r="B151" t="str">
        <x:v>physical</x:v>
      </x:c>
      <x:c r="C151" t="str">
        <x:v>DSO_added_days</x:v>
      </x:c>
      <x:c r="D151" t="n">
        <x:v>-10</x:v>
      </x:c>
      <x:c r="E151" t="n">
        <x:v>-24.950946820615343</x:v>
      </x:c>
      <x:c r="F151" t="n">
        <x:v>0.609902771108974</x:v>
      </x:c>
      <x:c r="G151" t="n">
        <x:v>70.12383656062673</x:v>
      </x:c>
    </x:row>
    <x:row r="152">
      <x:c r="A152" t="str">
        <x:v>trade</x:v>
      </x:c>
      <x:c r="B152" t="str">
        <x:v>physical</x:v>
      </x:c>
      <x:c r="C152" t="str">
        <x:v>DSO_added_days</x:v>
      </x:c>
      <x:c r="D152" t="n">
        <x:v>0</x:v>
      </x:c>
      <x:c r="E152" t="n">
        <x:v>-25.560849591724317</x:v>
      </x:c>
      <x:c r="F152" t="n">
        <x:v>0</x:v>
      </x:c>
      <x:c r="G152" t="n">
        <x:v>70.94921425008118</x:v>
      </x:c>
    </x:row>
    <x:row r="153">
      <x:c r="A153" t="str">
        <x:v>trade</x:v>
      </x:c>
      <x:c r="B153" t="str">
        <x:v>physical</x:v>
      </x:c>
      <x:c r="C153" t="str">
        <x:v>DSO_added_days</x:v>
      </x:c>
      <x:c r="D153" t="n">
        <x:v>10</x:v>
      </x:c>
      <x:c r="E153" t="n">
        <x:v>-26.17075236283329</x:v>
      </x:c>
      <x:c r="F153" t="n">
        <x:v>-0.609902771108974</x:v>
      </x:c>
      <x:c r="G153" t="n">
        <x:v>71.77459193953567</x:v>
      </x:c>
    </x:row>
    <x:row r="154">
      <x:c r="A154" t="str">
        <x:v>trade</x:v>
      </x:c>
      <x:c r="B154" t="str">
        <x:v>physical</x:v>
      </x:c>
      <x:c r="C154" t="str">
        <x:v>DSO_added_days</x:v>
      </x:c>
      <x:c r="D154" t="n">
        <x:v>20</x:v>
      </x:c>
      <x:c r="E154" t="n">
        <x:v>-26.780655133942265</x:v>
      </x:c>
      <x:c r="F154" t="n">
        <x:v>-1.219805542217948</x:v>
      </x:c>
      <x:c r="G154" t="n">
        <x:v>72.59996962899014</x:v>
      </x:c>
    </x:row>
    <x:row r="155">
      <x:c r="A155" t="str">
        <x:v>trade</x:v>
      </x:c>
      <x:c r="B155" t="str">
        <x:v>physical</x:v>
      </x:c>
      <x:c r="C155" t="str">
        <x:v>DSO_added_days</x:v>
      </x:c>
      <x:c r="D155" t="n">
        <x:v>40</x:v>
      </x:c>
      <x:c r="E155" t="n">
        <x:v>-28.000460676160216</x:v>
      </x:c>
      <x:c r="F155" t="n">
        <x:v>-2.4396110844358994</x:v>
      </x:c>
      <x:c r="G155" t="n">
        <x:v>74.2507250078991</x:v>
      </x:c>
    </x:row>
    <x:row r="156">
      <x:c r="A156" t="str">
        <x:v>trade</x:v>
      </x:c>
      <x:c r="B156" t="str">
        <x:v>physical</x:v>
      </x:c>
      <x:c r="C156" t="str">
        <x:v>DIO_added_days</x:v>
      </x:c>
      <x:c r="D156" t="n">
        <x:v>-10</x:v>
      </x:c>
      <x:c r="E156" t="n">
        <x:v>-24.75028305512076</x:v>
      </x:c>
      <x:c r="F156" t="n">
        <x:v>0.8105665366035559</x:v>
      </x:c>
      <x:c r="G156" t="n">
        <x:v>69.85227951421423</x:v>
      </x:c>
    </x:row>
    <x:row r="157">
      <x:c r="A157" t="str">
        <x:v>trade</x:v>
      </x:c>
      <x:c r="B157" t="str">
        <x:v>physical</x:v>
      </x:c>
      <x:c r="C157" t="str">
        <x:v>DIO_added_days</x:v>
      </x:c>
      <x:c r="D157" t="n">
        <x:v>0</x:v>
      </x:c>
      <x:c r="E157" t="n">
        <x:v>-25.560849591724317</x:v>
      </x:c>
      <x:c r="F157" t="n">
        <x:v>0</x:v>
      </x:c>
      <x:c r="G157" t="n">
        <x:v>70.94921425008118</x:v>
      </x:c>
    </x:row>
    <x:row r="158">
      <x:c r="A158" t="str">
        <x:v>trade</x:v>
      </x:c>
      <x:c r="B158" t="str">
        <x:v>physical</x:v>
      </x:c>
      <x:c r="C158" t="str">
        <x:v>DIO_added_days</x:v>
      </x:c>
      <x:c r="D158" t="n">
        <x:v>10</x:v>
      </x:c>
      <x:c r="E158" t="n">
        <x:v>-26.371416128327873</x:v>
      </x:c>
      <x:c r="F158" t="n">
        <x:v>-0.8105665366035559</x:v>
      </x:c>
      <x:c r="G158" t="n">
        <x:v>72.04614898594815</x:v>
      </x:c>
    </x:row>
    <x:row r="159">
      <x:c r="A159" t="str">
        <x:v>trade</x:v>
      </x:c>
      <x:c r="B159" t="str">
        <x:v>physical</x:v>
      </x:c>
      <x:c r="C159" t="str">
        <x:v>DIO_added_days</x:v>
      </x:c>
      <x:c r="D159" t="n">
        <x:v>20</x:v>
      </x:c>
      <x:c r="E159" t="n">
        <x:v>-27.181982664931425</x:v>
      </x:c>
      <x:c r="F159" t="n">
        <x:v>-1.6211330732071083</x:v>
      </x:c>
      <x:c r="G159" t="n">
        <x:v>73.14308372181513</x:v>
      </x:c>
    </x:row>
    <x:row r="160">
      <x:c r="A160" t="str">
        <x:v>trade</x:v>
      </x:c>
      <x:c r="B160" t="str">
        <x:v>physical</x:v>
      </x:c>
      <x:c r="C160" t="str">
        <x:v>DIO_added_days</x:v>
      </x:c>
      <x:c r="D160" t="n">
        <x:v>40</x:v>
      </x:c>
      <x:c r="E160" t="n">
        <x:v>-28.803115738138537</x:v>
      </x:c>
      <x:c r="F160" t="n">
        <x:v>-3.24226614641422</x:v>
      </x:c>
      <x:c r="G160" t="n">
        <x:v>75.33695319354912</x:v>
      </x:c>
    </x:row>
    <x:row r="161">
      <x:c r="A161" t="str">
        <x:v>trade</x:v>
      </x:c>
      <x:c r="B161" t="str">
        <x:v>physical</x:v>
      </x:c>
      <x:c r="C161" t="str">
        <x:v>real_hurdle</x:v>
      </x:c>
      <x:c r="D161" t="n">
        <x:v>0.06</x:v>
      </x:c>
      <x:c r="E161" t="n">
        <x:v>-38.229629680289015</x:v>
      </x:c>
      <x:c r="F161" t="n">
        <x:v>-12.668780088564699</x:v>
      </x:c>
      <x:c r="G161" t="n">
        <x:v>70.94921425008118</x:v>
      </x:c>
    </x:row>
    <x:row r="162">
      <x:c r="A162" t="str">
        <x:v>trade</x:v>
      </x:c>
      <x:c r="B162" t="str">
        <x:v>physical</x:v>
      </x:c>
      <x:c r="C162" t="str">
        <x:v>real_hurdle</x:v>
      </x:c>
      <x:c r="D162" t="n">
        <x:v>0.08</x:v>
      </x:c>
      <x:c r="E162" t="n">
        <x:v>-32.92961093849594</x:v>
      </x:c>
      <x:c r="F162" t="n">
        <x:v>-7.368761346771624</x:v>
      </x:c>
      <x:c r="G162" t="n">
        <x:v>70.94921425008118</x:v>
      </x:c>
    </x:row>
    <x:row r="163">
      <x:c r="A163" t="str">
        <x:v>trade</x:v>
      </x:c>
      <x:c r="B163" t="str">
        <x:v>physical</x:v>
      </x:c>
      <x:c r="C163" t="str">
        <x:v>real_hurdle</x:v>
      </x:c>
      <x:c r="D163" t="n">
        <x:v>0.1</x:v>
      </x:c>
      <x:c r="E163" t="n">
        <x:v>-28.81232297210425</x:v>
      </x:c>
      <x:c r="F163" t="n">
        <x:v>-3.2514733803799345</x:v>
      </x:c>
      <x:c r="G163" t="n">
        <x:v>70.94921425008118</x:v>
      </x:c>
    </x:row>
    <x:row r="164">
      <x:c r="A164" t="str">
        <x:v>trade</x:v>
      </x:c>
      <x:c r="B164" t="str">
        <x:v>physical</x:v>
      </x:c>
      <x:c r="C164" t="str">
        <x:v>real_hurdle</x:v>
      </x:c>
      <x:c r="D164" t="n">
        <x:v>0.12</x:v>
      </x:c>
      <x:c r="E164" t="n">
        <x:v>-25.560849591724317</x:v>
      </x:c>
      <x:c r="F164" t="n">
        <x:v>0</x:v>
      </x:c>
      <x:c r="G164" t="n">
        <x:v>70.94921425008118</x:v>
      </x:c>
    </x:row>
    <x:row r="165">
      <x:c r="A165" t="str">
        <x:v>trade</x:v>
      </x:c>
      <x:c r="B165" t="str">
        <x:v>physical</x:v>
      </x:c>
      <x:c r="C165" t="str">
        <x:v>real_hurdle</x:v>
      </x:c>
      <x:c r="D165" t="n">
        <x:v>0.16</x:v>
      </x:c>
      <x:c r="E165" t="n">
        <x:v>-20.828177476988767</x:v>
      </x:c>
      <x:c r="F165" t="n">
        <x:v>4.73267211473555</x:v>
      </x:c>
      <x:c r="G165" t="n">
        <x:v>70.94921425008118</x:v>
      </x:c>
    </x:row>
    <x:row r="166">
      <x:c r="A166" t="str">
        <x:v>trade</x:v>
      </x:c>
      <x:c r="B166" t="str">
        <x:v>squeeze</x:v>
      </x:c>
      <x:c r="C166" t="str">
        <x:v>orders_factor</x:v>
      </x:c>
      <x:c r="D166" t="n">
        <x:v>0.7</x:v>
      </x:c>
      <x:c r="E166" t="n">
        <x:v>-10.281089066997891</x:v>
      </x:c>
      <x:c r="F166" t="n">
        <x:v>3.0764140536014875</x:v>
      </x:c>
      <x:c r="G166" t="n">
        <x:v>28.65311197808222</x:v>
      </x:c>
    </x:row>
    <x:row r="167">
      <x:c r="A167" t="str">
        <x:v>trade</x:v>
      </x:c>
      <x:c r="B167" t="str">
        <x:v>squeeze</x:v>
      </x:c>
      <x:c r="C167" t="str">
        <x:v>orders_factor</x:v>
      </x:c>
      <x:c r="D167" t="n">
        <x:v>0.85</x:v>
      </x:c>
      <x:c r="E167" t="n">
        <x:v>-11.819296093798641</x:v>
      </x:c>
      <x:c r="F167" t="n">
        <x:v>1.5382070268007375</x:v>
      </x:c>
      <x:c r="G167" t="n">
        <x:v>32.82592168767129</x:v>
      </x:c>
    </x:row>
    <x:row r="168">
      <x:c r="A168" t="str">
        <x:v>trade</x:v>
      </x:c>
      <x:c r="B168" t="str">
        <x:v>squeeze</x:v>
      </x:c>
      <x:c r="C168" t="str">
        <x:v>orders_factor</x:v>
      </x:c>
      <x:c r="D168" t="n">
        <x:v>1</x:v>
      </x:c>
      <x:c r="E168" t="n">
        <x:v>-13.357503120599379</x:v>
      </x:c>
      <x:c r="F168" t="n">
        <x:v>0</x:v>
      </x:c>
      <x:c r="G168" t="n">
        <x:v>36.99873139726028</x:v>
      </x:c>
    </x:row>
    <x:row r="169">
      <x:c r="A169" t="str">
        <x:v>trade</x:v>
      </x:c>
      <x:c r="B169" t="str">
        <x:v>squeeze</x:v>
      </x:c>
      <x:c r="C169" t="str">
        <x:v>orders_factor</x:v>
      </x:c>
      <x:c r="D169" t="n">
        <x:v>1.15</x:v>
      </x:c>
      <x:c r="E169" t="n">
        <x:v>-14.89571014740013</x:v>
      </x:c>
      <x:c r="F169" t="n">
        <x:v>-1.5382070268007517</x:v>
      </x:c>
      <x:c r="G169" t="n">
        <x:v>41.17154110684934</x:v>
      </x:c>
    </x:row>
    <x:row r="170">
      <x:c r="A170" t="str">
        <x:v>trade</x:v>
      </x:c>
      <x:c r="B170" t="str">
        <x:v>squeeze</x:v>
      </x:c>
      <x:c r="C170" t="str">
        <x:v>orders_factor</x:v>
      </x:c>
      <x:c r="D170" t="n">
        <x:v>1.3</x:v>
      </x:c>
      <x:c r="E170" t="n">
        <x:v>-16.433917174200886</x:v>
      </x:c>
      <x:c r="F170" t="n">
        <x:v>-3.076414053601507</x:v>
      </x:c>
      <x:c r="G170" t="n">
        <x:v>45.3443508164384</x:v>
      </x:c>
    </x:row>
    <x:row r="171">
      <x:c r="A171" t="str">
        <x:v>trade</x:v>
      </x:c>
      <x:c r="B171" t="str">
        <x:v>squeeze</x:v>
      </x:c>
      <x:c r="C171" t="str">
        <x:v>price_factor</x:v>
      </x:c>
      <x:c r="D171" t="n">
        <x:v>0.9</x:v>
      </x:c>
      <x:c r="E171" t="n">
        <x:v>-33.532011793460136</x:v>
      </x:c>
      <x:c r="F171" t="n">
        <x:v>-20.174508672860757</x:v>
      </x:c>
      <x:c r="G171" t="n">
        <x:v>112.37380536986322</x:v>
      </x:c>
    </x:row>
    <x:row r="172">
      <x:c r="A172" t="str">
        <x:v>trade</x:v>
      </x:c>
      <x:c r="B172" t="str">
        <x:v>squeeze</x:v>
      </x:c>
      <x:c r="C172" t="str">
        <x:v>price_factor</x:v>
      </x:c>
      <x:c r="D172" t="n">
        <x:v>0.95</x:v>
      </x:c>
      <x:c r="E172" t="n">
        <x:v>-23.44475745702974</x:v>
      </x:c>
      <x:c r="F172" t="n">
        <x:v>-10.087254336430362</x:v>
      </x:c>
      <x:c r="G172" t="n">
        <x:v>74.68626838356167</x:v>
      </x:c>
    </x:row>
    <x:row r="173">
      <x:c r="A173" t="str">
        <x:v>trade</x:v>
      </x:c>
      <x:c r="B173" t="str">
        <x:v>squeeze</x:v>
      </x:c>
      <x:c r="C173" t="str">
        <x:v>price_factor</x:v>
      </x:c>
      <x:c r="D173" t="n">
        <x:v>1</x:v>
      </x:c>
      <x:c r="E173" t="n">
        <x:v>-13.357503120599379</x:v>
      </x:c>
      <x:c r="F173" t="n">
        <x:v>0</x:v>
      </x:c>
      <x:c r="G173" t="n">
        <x:v>36.99873139726028</x:v>
      </x:c>
    </x:row>
    <x:row r="174">
      <x:c r="A174" t="str">
        <x:v>trade</x:v>
      </x:c>
      <x:c r="B174" t="str">
        <x:v>squeeze</x:v>
      </x:c>
      <x:c r="C174" t="str">
        <x:v>price_factor</x:v>
      </x:c>
      <x:c r="D174" t="n">
        <x:v>1.05</x:v>
      </x:c>
      <x:c r="E174" t="n">
        <x:v>-3.6862205386368774</x:v>
      </x:c>
      <x:c r="F174" t="n">
        <x:v>9.671282581962501</x:v>
      </x:c>
      <x:c r="G174" t="n">
        <x:v>6.06931741095891</x:v>
      </x:c>
    </x:row>
    <x:row r="175">
      <x:c r="A175" t="str">
        <x:v>trade</x:v>
      </x:c>
      <x:c r="B175" t="str">
        <x:v>squeeze</x:v>
      </x:c>
      <x:c r="C175" t="str">
        <x:v>price_factor</x:v>
      </x:c>
      <x:c r="D175" t="n">
        <x:v>1.1</x:v>
      </x:c>
      <x:c r="E175" t="n">
        <x:v>3.8526547331904166</x:v>
      </x:c>
      <x:c r="F175" t="n">
        <x:v>17.210157853789795</x:v>
      </x:c>
      <x:c r="G175" t="n">
        <x:v>3.780133539726024</x:v>
      </x:c>
    </x:row>
    <x:row r="176">
      <x:c r="A176" t="str">
        <x:v>trade</x:v>
      </x:c>
      <x:c r="B176" t="str">
        <x:v>squeeze</x:v>
      </x:c>
      <x:c r="C176" t="str">
        <x:v>cost_factor</x:v>
      </x:c>
      <x:c r="D176" t="n">
        <x:v>0.9</x:v>
      </x:c>
      <x:c r="E176" t="n">
        <x:v>4.727747290317698</x:v>
      </x:c>
      <x:c r="F176" t="n">
        <x:v>18.085250410917077</x:v>
      </x:c>
      <x:c r="G176" t="n">
        <x:v>3.2465180679452112</x:v>
      </x:c>
    </x:row>
    <x:row r="177">
      <x:c r="A177" t="str">
        <x:v>trade</x:v>
      </x:c>
      <x:c r="B177" t="str">
        <x:v>squeeze</x:v>
      </x:c>
      <x:c r="C177" t="str">
        <x:v>cost_factor</x:v>
      </x:c>
      <x:c r="D177" t="n">
        <x:v>0.95</x:v>
      </x:c>
      <x:c r="E177" t="n">
        <x:v>-3.2480294155056364</x:v>
      </x:c>
      <x:c r="F177" t="n">
        <x:v>10.109473705093743</x:v>
      </x:c>
      <x:c r="G177" t="n">
        <x:v>5.711564441095891</x:v>
      </x:c>
    </x:row>
    <x:row r="178">
      <x:c r="A178" t="str">
        <x:v>trade</x:v>
      </x:c>
      <x:c r="B178" t="str">
        <x:v>squeeze</x:v>
      </x:c>
      <x:c r="C178" t="str">
        <x:v>cost_factor</x:v>
      </x:c>
      <x:c r="D178" t="n">
        <x:v>1</x:v>
      </x:c>
      <x:c r="E178" t="n">
        <x:v>-13.357503120599379</x:v>
      </x:c>
      <x:c r="F178" t="n">
        <x:v>0</x:v>
      </x:c>
      <x:c r="G178" t="n">
        <x:v>36.99873139726028</x:v>
      </x:c>
    </x:row>
    <x:row r="179">
      <x:c r="A179" t="str">
        <x:v>trade</x:v>
      </x:c>
      <x:c r="B179" t="str">
        <x:v>squeeze</x:v>
      </x:c>
      <x:c r="C179" t="str">
        <x:v>cost_factor</x:v>
      </x:c>
      <x:c r="D179" t="n">
        <x:v>1.05</x:v>
      </x:c>
      <x:c r="E179" t="n">
        <x:v>-23.95749313262997</x:v>
      </x:c>
      <x:c r="F179" t="n">
        <x:v>-10.599990012030592</x:v>
      </x:c>
      <x:c r="G179" t="n">
        <x:v>76.0772049534246</x:v>
      </x:c>
    </x:row>
    <x:row r="180">
      <x:c r="A180" t="str">
        <x:v>trade</x:v>
      </x:c>
      <x:c r="B180" t="str">
        <x:v>squeeze</x:v>
      </x:c>
      <x:c r="C180" t="str">
        <x:v>cost_factor</x:v>
      </x:c>
      <x:c r="D180" t="n">
        <x:v>1.1</x:v>
      </x:c>
      <x:c r="E180" t="n">
        <x:v>-34.5574831446606</x:v>
      </x:c>
      <x:c r="F180" t="n">
        <x:v>-21.199980024061222</x:v>
      </x:c>
      <x:c r="G180" t="n">
        <x:v>115.15567850958904</x:v>
      </x:c>
    </x:row>
    <x:row r="181">
      <x:c r="A181" t="str">
        <x:v>trade</x:v>
      </x:c>
      <x:c r="B181" t="str">
        <x:v>squeeze</x:v>
      </x:c>
      <x:c r="C181" t="str">
        <x:v>capex_factor</x:v>
      </x:c>
      <x:c r="D181" t="n">
        <x:v>0.5</x:v>
      </x:c>
      <x:c r="E181" t="n">
        <x:v>-12.708180042451996</x:v>
      </x:c>
      <x:c r="F181" t="n">
        <x:v>0.6493230781473827</x:v>
      </x:c>
      <x:c r="G181" t="n">
        <x:v>35.558731397260296</x:v>
      </x:c>
    </x:row>
    <x:row r="182">
      <x:c r="A182" t="str">
        <x:v>trade</x:v>
      </x:c>
      <x:c r="B182" t="str">
        <x:v>squeeze</x:v>
      </x:c>
      <x:c r="C182" t="str">
        <x:v>capex_factor</x:v>
      </x:c>
      <x:c r="D182" t="n">
        <x:v>0.75</x:v>
      </x:c>
      <x:c r="E182" t="n">
        <x:v>-13.032841581525686</x:v>
      </x:c>
      <x:c r="F182" t="n">
        <x:v>0.3246615390736931</x:v>
      </x:c>
      <x:c r="G182" t="n">
        <x:v>36.27873139726027</x:v>
      </x:c>
    </x:row>
    <x:row r="183">
      <x:c r="A183" t="str">
        <x:v>trade</x:v>
      </x:c>
      <x:c r="B183" t="str">
        <x:v>squeeze</x:v>
      </x:c>
      <x:c r="C183" t="str">
        <x:v>capex_factor</x:v>
      </x:c>
      <x:c r="D183" t="n">
        <x:v>1</x:v>
      </x:c>
      <x:c r="E183" t="n">
        <x:v>-13.357503120599379</x:v>
      </x:c>
      <x:c r="F183" t="n">
        <x:v>0</x:v>
      </x:c>
      <x:c r="G183" t="n">
        <x:v>36.99873139726028</x:v>
      </x:c>
    </x:row>
    <x:row r="184">
      <x:c r="A184" t="str">
        <x:v>trade</x:v>
      </x:c>
      <x:c r="B184" t="str">
        <x:v>squeeze</x:v>
      </x:c>
      <x:c r="C184" t="str">
        <x:v>capex_factor</x:v>
      </x:c>
      <x:c r="D184" t="n">
        <x:v>1.25</x:v>
      </x:c>
      <x:c r="E184" t="n">
        <x:v>-13.68216465967307</x:v>
      </x:c>
      <x:c r="F184" t="n">
        <x:v>-0.32466153907369133</x:v>
      </x:c>
      <x:c r="G184" t="n">
        <x:v>37.718731397260306</x:v>
      </x:c>
    </x:row>
    <x:row r="185">
      <x:c r="A185" t="str">
        <x:v>trade</x:v>
      </x:c>
      <x:c r="B185" t="str">
        <x:v>squeeze</x:v>
      </x:c>
      <x:c r="C185" t="str">
        <x:v>capex_factor</x:v>
      </x:c>
      <x:c r="D185" t="n">
        <x:v>1.5</x:v>
      </x:c>
      <x:c r="E185" t="n">
        <x:v>-14.006826198746763</x:v>
      </x:c>
      <x:c r="F185" t="n">
        <x:v>-0.6493230781473844</x:v>
      </x:c>
      <x:c r="G185" t="n">
        <x:v>38.438731397260284</x:v>
      </x:c>
    </x:row>
    <x:row r="186">
      <x:c r="A186" t="str">
        <x:v>trade</x:v>
      </x:c>
      <x:c r="B186" t="str">
        <x:v>squeeze</x:v>
      </x:c>
      <x:c r="C186" t="str">
        <x:v>DSO_added_days</x:v>
      </x:c>
      <x:c r="D186" t="n">
        <x:v>-10</x:v>
      </x:c>
      <x:c r="E186" t="n">
        <x:v>-12.809183661504544</x:v>
      </x:c>
      <x:c r="F186" t="n">
        <x:v>0.5483194590948344</x:v>
      </x:c>
      <x:c r="G186" t="n">
        <x:v>36.28701632876712</x:v>
      </x:c>
    </x:row>
    <x:row r="187">
      <x:c r="A187" t="str">
        <x:v>trade</x:v>
      </x:c>
      <x:c r="B187" t="str">
        <x:v>squeeze</x:v>
      </x:c>
      <x:c r="C187" t="str">
        <x:v>DSO_added_days</x:v>
      </x:c>
      <x:c r="D187" t="n">
        <x:v>0</x:v>
      </x:c>
      <x:c r="E187" t="n">
        <x:v>-13.357503120599379</x:v>
      </x:c>
      <x:c r="F187" t="n">
        <x:v>0</x:v>
      </x:c>
      <x:c r="G187" t="n">
        <x:v>36.99873139726028</x:v>
      </x:c>
    </x:row>
    <x:row r="188">
      <x:c r="A188" t="str">
        <x:v>trade</x:v>
      </x:c>
      <x:c r="B188" t="str">
        <x:v>squeeze</x:v>
      </x:c>
      <x:c r="C188" t="str">
        <x:v>DSO_added_days</x:v>
      </x:c>
      <x:c r="D188" t="n">
        <x:v>10</x:v>
      </x:c>
      <x:c r="E188" t="n">
        <x:v>-13.905822579694213</x:v>
      </x:c>
      <x:c r="F188" t="n">
        <x:v>-0.5483194590948344</x:v>
      </x:c>
      <x:c r="G188" t="n">
        <x:v>37.71044646575342</x:v>
      </x:c>
    </x:row>
    <x:row r="189">
      <x:c r="A189" t="str">
        <x:v>trade</x:v>
      </x:c>
      <x:c r="B189" t="str">
        <x:v>squeeze</x:v>
      </x:c>
      <x:c r="C189" t="str">
        <x:v>DSO_added_days</x:v>
      </x:c>
      <x:c r="D189" t="n">
        <x:v>20</x:v>
      </x:c>
      <x:c r="E189" t="n">
        <x:v>-14.45414203878905</x:v>
      </x:c>
      <x:c r="F189" t="n">
        <x:v>-1.0966389181896705</x:v>
      </x:c>
      <x:c r="G189" t="n">
        <x:v>38.42216153424657</x:v>
      </x:c>
    </x:row>
    <x:row r="190">
      <x:c r="A190" t="str">
        <x:v>trade</x:v>
      </x:c>
      <x:c r="B190" t="str">
        <x:v>squeeze</x:v>
      </x:c>
      <x:c r="C190" t="str">
        <x:v>DSO_added_days</x:v>
      </x:c>
      <x:c r="D190" t="n">
        <x:v>40</x:v>
      </x:c>
      <x:c r="E190" t="n">
        <x:v>-15.550780956978718</x:v>
      </x:c>
      <x:c r="F190" t="n">
        <x:v>-2.1932778363793393</x:v>
      </x:c>
      <x:c r="G190" t="n">
        <x:v>39.845591671232874</x:v>
      </x:c>
    </x:row>
    <x:row r="191">
      <x:c r="A191" t="str">
        <x:v>trade</x:v>
      </x:c>
      <x:c r="B191" t="str">
        <x:v>squeeze</x:v>
      </x:c>
      <x:c r="C191" t="str">
        <x:v>DIO_added_days</x:v>
      </x:c>
      <x:c r="D191" t="n">
        <x:v>-10</x:v>
      </x:c>
      <x:c r="E191" t="n">
        <x:v>-12.65188797828946</x:v>
      </x:c>
      <x:c r="F191" t="n">
        <x:v>0.7056151423099184</x:v>
      </x:c>
      <x:c r="G191" t="n">
        <x:v>36.08284756164384</x:v>
      </x:c>
    </x:row>
    <x:row r="192">
      <x:c r="A192" t="str">
        <x:v>trade</x:v>
      </x:c>
      <x:c r="B192" t="str">
        <x:v>squeeze</x:v>
      </x:c>
      <x:c r="C192" t="str">
        <x:v>DIO_added_days</x:v>
      </x:c>
      <x:c r="D192" t="n">
        <x:v>0</x:v>
      </x:c>
      <x:c r="E192" t="n">
        <x:v>-13.357503120599379</x:v>
      </x:c>
      <x:c r="F192" t="n">
        <x:v>0</x:v>
      </x:c>
      <x:c r="G192" t="n">
        <x:v>36.99873139726028</x:v>
      </x:c>
    </x:row>
    <x:row r="193">
      <x:c r="A193" t="str">
        <x:v>trade</x:v>
      </x:c>
      <x:c r="B193" t="str">
        <x:v>squeeze</x:v>
      </x:c>
      <x:c r="C193" t="str">
        <x:v>DIO_added_days</x:v>
      </x:c>
      <x:c r="D193" t="n">
        <x:v>10</x:v>
      </x:c>
      <x:c r="E193" t="n">
        <x:v>-14.063118262909297</x:v>
      </x:c>
      <x:c r="F193" t="n">
        <x:v>-0.7056151423099184</x:v>
      </x:c>
      <x:c r="G193" t="n">
        <x:v>37.91461523287671</x:v>
      </x:c>
    </x:row>
    <x:row r="194">
      <x:c r="A194" t="str">
        <x:v>trade</x:v>
      </x:c>
      <x:c r="B194" t="str">
        <x:v>squeeze</x:v>
      </x:c>
      <x:c r="C194" t="str">
        <x:v>DIO_added_days</x:v>
      </x:c>
      <x:c r="D194" t="n">
        <x:v>20</x:v>
      </x:c>
      <x:c r="E194" t="n">
        <x:v>-14.768733405219217</x:v>
      </x:c>
      <x:c r="F194" t="n">
        <x:v>-1.4112302846198386</x:v>
      </x:c>
      <x:c r="G194" t="n">
        <x:v>38.83049906849315</x:v>
      </x:c>
    </x:row>
    <x:row r="195">
      <x:c r="A195" t="str">
        <x:v>trade</x:v>
      </x:c>
      <x:c r="B195" t="str">
        <x:v>squeeze</x:v>
      </x:c>
      <x:c r="C195" t="str">
        <x:v>DIO_added_days</x:v>
      </x:c>
      <x:c r="D195" t="n">
        <x:v>40</x:v>
      </x:c>
      <x:c r="E195" t="n">
        <x:v>-16.179963689839056</x:v>
      </x:c>
      <x:c r="F195" t="n">
        <x:v>-2.822460569239677</x:v>
      </x:c>
      <x:c r="G195" t="n">
        <x:v>40.66226673972602</x:v>
      </x:c>
    </x:row>
    <x:row r="196">
      <x:c r="A196" t="str">
        <x:v>trade</x:v>
      </x:c>
      <x:c r="B196" t="str">
        <x:v>squeeze</x:v>
      </x:c>
      <x:c r="C196" t="str">
        <x:v>real_hurdle</x:v>
      </x:c>
      <x:c r="D196" t="n">
        <x:v>0.06</x:v>
      </x:c>
      <x:c r="E196" t="n">
        <x:v>-20.619558785381265</x:v>
      </x:c>
      <x:c r="F196" t="n">
        <x:v>-7.262055664781887</x:v>
      </x:c>
      <x:c r="G196" t="n">
        <x:v>36.99873139726028</x:v>
      </x:c>
    </x:row>
    <x:row r="197">
      <x:c r="A197" t="str">
        <x:v>trade</x:v>
      </x:c>
      <x:c r="B197" t="str">
        <x:v>squeeze</x:v>
      </x:c>
      <x:c r="C197" t="str">
        <x:v>real_hurdle</x:v>
      </x:c>
      <x:c r="D197" t="n">
        <x:v>0.08</x:v>
      </x:c>
      <x:c r="E197" t="n">
        <x:v>-18.155030406502604</x:v>
      </x:c>
      <x:c r="F197" t="n">
        <x:v>-4.797527285903225</x:v>
      </x:c>
      <x:c r="G197" t="n">
        <x:v>36.99873139726028</x:v>
      </x:c>
    </x:row>
    <x:row r="198">
      <x:c r="A198" t="str">
        <x:v>trade</x:v>
      </x:c>
      <x:c r="B198" t="str">
        <x:v>squeeze</x:v>
      </x:c>
      <x:c r="C198" t="str">
        <x:v>real_hurdle</x:v>
      </x:c>
      <x:c r="D198" t="n">
        <x:v>0.1</x:v>
      </x:c>
      <x:c r="E198" t="n">
        <x:v>-16.203277775443155</x:v>
      </x:c>
      <x:c r="F198" t="n">
        <x:v>-2.845774654843776</x:v>
      </x:c>
      <x:c r="G198" t="n">
        <x:v>36.99873139726028</x:v>
      </x:c>
    </x:row>
    <x:row r="199">
      <x:c r="A199" t="str">
        <x:v>trade</x:v>
      </x:c>
      <x:c r="B199" t="str">
        <x:v>squeeze</x:v>
      </x:c>
      <x:c r="C199" t="str">
        <x:v>real_hurdle</x:v>
      </x:c>
      <x:c r="D199" t="n">
        <x:v>0.12</x:v>
      </x:c>
      <x:c r="E199" t="n">
        <x:v>-14.635199647253257</x:v>
      </x:c>
      <x:c r="F199" t="n">
        <x:v>-1.2776965266538785</x:v>
      </x:c>
      <x:c r="G199" t="n">
        <x:v>36.99873139726028</x:v>
      </x:c>
    </x:row>
    <x:row r="200">
      <x:c r="A200" t="str">
        <x:v>trade</x:v>
      </x:c>
      <x:c r="B200" t="str">
        <x:v>squeeze</x:v>
      </x:c>
      <x:c r="C200" t="str">
        <x:v>real_hurdle</x:v>
      </x:c>
      <x:c r="D200" t="n">
        <x:v>0.16</x:v>
      </x:c>
      <x:c r="E200" t="n">
        <x:v>-12.302176032182468</x:v>
      </x:c>
      <x:c r="F200" t="n">
        <x:v>1.0553270884169113</x:v>
      </x:c>
      <x:c r="G200" t="n">
        <x:v>36.99873139726028</x:v>
      </x:c>
    </x:row>
    <x:row r="201">
      <x:c r="A201" t="str">
        <x:v>trade</x:v>
      </x:c>
      <x:c r="B201" t="str">
        <x:v>nutrition</x:v>
      </x:c>
      <x:c r="C201" t="str">
        <x:v>orders_factor</x:v>
      </x:c>
      <x:c r="D201" t="n">
        <x:v>0.7</x:v>
      </x:c>
      <x:c r="E201" t="n">
        <x:v>-1.2983832026204758</x:v>
      </x:c>
      <x:c r="F201" t="n">
        <x:v>-0.7550125712011657</x:v>
      </x:c>
      <x:c r="G201" t="n">
        <x:v>3.3232243129632923</x:v>
      </x:c>
    </x:row>
    <x:row r="202">
      <x:c r="A202" t="str">
        <x:v>trade</x:v>
      </x:c>
      <x:c r="B202" t="str">
        <x:v>nutrition</x:v>
      </x:c>
      <x:c r="C202" t="str">
        <x:v>orders_factor</x:v>
      </x:c>
      <x:c r="D202" t="n">
        <x:v>0.85</x:v>
      </x:c>
      <x:c r="E202" t="n">
        <x:v>-0.9203269170198909</x:v>
      </x:c>
      <x:c r="F202" t="n">
        <x:v>-0.3769562856005808</x:v>
      </x:c>
      <x:c r="G202" t="n">
        <x:v>3.697147380026858</x:v>
      </x:c>
    </x:row>
    <x:row r="203">
      <x:c r="A203" t="str">
        <x:v>trade</x:v>
      </x:c>
      <x:c r="B203" t="str">
        <x:v>nutrition</x:v>
      </x:c>
      <x:c r="C203" t="str">
        <x:v>orders_factor</x:v>
      </x:c>
      <x:c r="D203" t="n">
        <x:v>1</x:v>
      </x:c>
      <x:c r="E203" t="n">
        <x:v>-0.5433706314193101</x:v>
      </x:c>
      <x:c r="F203" t="n">
        <x:v>0</x:v>
      </x:c>
      <x:c r="G203" t="n">
        <x:v>4.071070447090416</x:v>
      </x:c>
    </x:row>
    <x:row r="204">
      <x:c r="A204" t="str">
        <x:v>trade</x:v>
      </x:c>
      <x:c r="B204" t="str">
        <x:v>nutrition</x:v>
      </x:c>
      <x:c r="C204" t="str">
        <x:v>orders_factor</x:v>
      </x:c>
      <x:c r="D204" t="n">
        <x:v>1.15</x:v>
      </x:c>
      <x:c r="E204" t="n">
        <x:v>-0.16661674251294678</x:v>
      </x:c>
      <x:c r="F204" t="n">
        <x:v>0.3767538889063633</x:v>
      </x:c>
      <x:c r="G204" t="n">
        <x:v>4.444993514153984</x:v>
      </x:c>
    </x:row>
    <x:row r="205">
      <x:c r="A205" t="str">
        <x:v>trade</x:v>
      </x:c>
      <x:c r="B205" t="str">
        <x:v>nutrition</x:v>
      </x:c>
      <x:c r="C205" t="str">
        <x:v>orders_factor</x:v>
      </x:c>
      <x:c r="D205" t="n">
        <x:v>1.3</x:v>
      </x:c>
      <x:c r="E205" t="n">
        <x:v>0.19548266295662575</x:v>
      </x:c>
      <x:c r="F205" t="n">
        <x:v>0.7388532943759358</x:v>
      </x:c>
      <x:c r="G205" t="n">
        <x:v>4.818916581217543</x:v>
      </x:c>
    </x:row>
    <x:row r="206">
      <x:c r="A206" t="str">
        <x:v>trade</x:v>
      </x:c>
      <x:c r="B206" t="str">
        <x:v>nutrition</x:v>
      </x:c>
      <x:c r="C206" t="str">
        <x:v>price_factor</x:v>
      </x:c>
      <x:c r="D206" t="n">
        <x:v>0.9</x:v>
      </x:c>
      <x:c r="E206" t="n">
        <x:v>-37.389012665405055</x:v>
      </x:c>
      <x:c r="F206" t="n">
        <x:v>-36.84564203398575</x:v>
      </x:c>
      <x:c r="G206" t="n">
        <x:v>100.18019033079884</x:v>
      </x:c>
    </x:row>
    <x:row r="207">
      <x:c r="A207" t="str">
        <x:v>trade</x:v>
      </x:c>
      <x:c r="B207" t="str">
        <x:v>nutrition</x:v>
      </x:c>
      <x:c r="C207" t="str">
        <x:v>price_factor</x:v>
      </x:c>
      <x:c r="D207" t="n">
        <x:v>0.95</x:v>
      </x:c>
      <x:c r="E207" t="n">
        <x:v>-18.431287650094646</x:v>
      </x:c>
      <x:c r="F207" t="n">
        <x:v>-17.887917018675335</x:v>
      </x:c>
      <x:c r="G207" t="n">
        <x:v>46.00643097628239</x:v>
      </x:c>
    </x:row>
    <x:row r="208">
      <x:c r="A208" t="str">
        <x:v>trade</x:v>
      </x:c>
      <x:c r="B208" t="str">
        <x:v>nutrition</x:v>
      </x:c>
      <x:c r="C208" t="str">
        <x:v>price_factor</x:v>
      </x:c>
      <x:c r="D208" t="n">
        <x:v>1</x:v>
      </x:c>
      <x:c r="E208" t="n">
        <x:v>-0.5433706314193101</x:v>
      </x:c>
      <x:c r="F208" t="n">
        <x:v>0</x:v>
      </x:c>
      <x:c r="G208" t="n">
        <x:v>4.071070447090416</x:v>
      </x:c>
    </x:row>
    <x:row r="209">
      <x:c r="A209" t="str">
        <x:v>trade</x:v>
      </x:c>
      <x:c r="B209" t="str">
        <x:v>nutrition</x:v>
      </x:c>
      <x:c r="C209" t="str">
        <x:v>price_factor</x:v>
      </x:c>
      <x:c r="D209" t="n">
        <x:v>1.05</x:v>
      </x:c>
      <x:c r="E209" t="n">
        <x:v>13.651167707323484</x:v>
      </x:c>
      <x:c r="F209" t="n">
        <x:v>14.194538338742795</x:v>
      </x:c>
      <x:c r="G209" t="n">
        <x:v>2.088850520547946</x:v>
      </x:c>
    </x:row>
    <x:row r="210">
      <x:c r="A210" t="str">
        <x:v>trade</x:v>
      </x:c>
      <x:c r="B210" t="str">
        <x:v>nutrition</x:v>
      </x:c>
      <x:c r="C210" t="str">
        <x:v>price_factor</x:v>
      </x:c>
      <x:c r="D210" t="n">
        <x:v>1.1</x:v>
      </x:c>
      <x:c r="E210" t="n">
        <x:v>27.845706046066287</x:v>
      </x:c>
      <x:c r="F210" t="n">
        <x:v>28.389076677485598</x:v>
      </x:c>
      <x:c r="G210" t="n">
        <x:v>1.3584676438356147</x:v>
      </x:c>
    </x:row>
    <x:row r="211">
      <x:c r="A211" t="str">
        <x:v>trade</x:v>
      </x:c>
      <x:c r="B211" t="str">
        <x:v>nutrition</x:v>
      </x:c>
      <x:c r="C211" t="str">
        <x:v>cost_factor</x:v>
      </x:c>
      <x:c r="D211" t="n">
        <x:v>0.9</x:v>
      </x:c>
      <x:c r="E211" t="n">
        <x:v>27.594536786795352</x:v>
      </x:c>
      <x:c r="F211" t="n">
        <x:v>28.137907418214663</x:v>
      </x:c>
      <x:c r="G211" t="n">
        <x:v>1.1958693041095887</x:v>
      </x:c>
    </x:row>
    <x:row r="212">
      <x:c r="A212" t="str">
        <x:v>trade</x:v>
      </x:c>
      <x:c r="B212" t="str">
        <x:v>nutrition</x:v>
      </x:c>
      <x:c r="C212" t="str">
        <x:v>cost_factor</x:v>
      </x:c>
      <x:c r="D212" t="n">
        <x:v>0.95</x:v>
      </x:c>
      <x:c r="E212" t="n">
        <x:v>13.525583077688063</x:v>
      </x:c>
      <x:c r="F212" t="n">
        <x:v>14.068953709107372</x:v>
      </x:c>
      <x:c r="G212" t="n">
        <x:v>2.007551350684929</x:v>
      </x:c>
    </x:row>
    <x:row r="213">
      <x:c r="A213" t="str">
        <x:v>trade</x:v>
      </x:c>
      <x:c r="B213" t="str">
        <x:v>nutrition</x:v>
      </x:c>
      <x:c r="C213" t="str">
        <x:v>cost_factor</x:v>
      </x:c>
      <x:c r="D213" t="n">
        <x:v>1</x:v>
      </x:c>
      <x:c r="E213" t="n">
        <x:v>-0.5433706314193101</x:v>
      </x:c>
      <x:c r="F213" t="n">
        <x:v>0</x:v>
      </x:c>
      <x:c r="G213" t="n">
        <x:v>4.071070447090416</x:v>
      </x:c>
    </x:row>
    <x:row r="214">
      <x:c r="A214" t="str">
        <x:v>trade</x:v>
      </x:c>
      <x:c r="B214" t="str">
        <x:v>nutrition</x:v>
      </x:c>
      <x:c r="C214" t="str">
        <x:v>cost_factor</x:v>
      </x:c>
      <x:c r="D214" t="n">
        <x:v>1.05</x:v>
      </x:c>
      <x:c r="E214" t="n">
        <x:v>-18.210439286927873</x:v>
      </x:c>
      <x:c r="F214" t="n">
        <x:v>-17.66706865550856</x:v>
      </x:c>
      <x:c r="G214" t="n">
        <x:v>45.155809225419794</x:v>
      </x:c>
    </x:row>
    <x:row r="215">
      <x:c r="A215" t="str">
        <x:v>trade</x:v>
      </x:c>
      <x:c r="B215" t="str">
        <x:v>nutrition</x:v>
      </x:c>
      <x:c r="C215" t="str">
        <x:v>cost_factor</x:v>
      </x:c>
      <x:c r="D215" t="n">
        <x:v>1.1</x:v>
      </x:c>
      <x:c r="E215" t="n">
        <x:v>-36.94731593907146</x:v>
      </x:c>
      <x:c r="F215" t="n">
        <x:v>-36.40394530765215</x:v>
      </x:c>
      <x:c r="G215" t="n">
        <x:v>98.08405346809336</x:v>
      </x:c>
    </x:row>
    <x:row r="216">
      <x:c r="A216" t="str">
        <x:v>trade</x:v>
      </x:c>
      <x:c r="B216" t="str">
        <x:v>nutrition</x:v>
      </x:c>
      <x:c r="C216" t="str">
        <x:v>capex_factor</x:v>
      </x:c>
      <x:c r="D216" t="n">
        <x:v>0.5</x:v>
      </x:c>
      <x:c r="E216" t="n">
        <x:v>0.08213012883335569</x:v>
      </x:c>
      <x:c r="F216" t="n">
        <x:v>0.6255007602526658</x:v>
      </x:c>
      <x:c r="G216" t="n">
        <x:v>3.580070447090416</x:v>
      </x:c>
    </x:row>
    <x:row r="217">
      <x:c r="A217" t="str">
        <x:v>trade</x:v>
      </x:c>
      <x:c r="B217" t="str">
        <x:v>nutrition</x:v>
      </x:c>
      <x:c r="C217" t="str">
        <x:v>capex_factor</x:v>
      </x:c>
      <x:c r="D217" t="n">
        <x:v>0.75</x:v>
      </x:c>
      <x:c r="E217" t="n">
        <x:v>-0.23062025129297728</x:v>
      </x:c>
      <x:c r="F217" t="n">
        <x:v>0.3127503801263328</x:v>
      </x:c>
      <x:c r="G217" t="n">
        <x:v>3.825570447090416</x:v>
      </x:c>
    </x:row>
    <x:row r="218">
      <x:c r="A218" t="str">
        <x:v>trade</x:v>
      </x:c>
      <x:c r="B218" t="str">
        <x:v>nutrition</x:v>
      </x:c>
      <x:c r="C218" t="str">
        <x:v>capex_factor</x:v>
      </x:c>
      <x:c r="D218" t="n">
        <x:v>1</x:v>
      </x:c>
      <x:c r="E218" t="n">
        <x:v>-0.5433706314193101</x:v>
      </x:c>
      <x:c r="F218" t="n">
        <x:v>0</x:v>
      </x:c>
      <x:c r="G218" t="n">
        <x:v>4.071070447090416</x:v>
      </x:c>
    </x:row>
    <x:row r="219">
      <x:c r="A219" t="str">
        <x:v>trade</x:v>
      </x:c>
      <x:c r="B219" t="str">
        <x:v>nutrition</x:v>
      </x:c>
      <x:c r="C219" t="str">
        <x:v>capex_factor</x:v>
      </x:c>
      <x:c r="D219" t="n">
        <x:v>1.25</x:v>
      </x:c>
      <x:c r="E219" t="n">
        <x:v>-0.8561210115456432</x:v>
      </x:c>
      <x:c r="F219" t="n">
        <x:v>-0.31275038012633316</x:v>
      </x:c>
      <x:c r="G219" t="n">
        <x:v>4.316570447090417</x:v>
      </x:c>
    </x:row>
    <x:row r="220">
      <x:c r="A220" t="str">
        <x:v>trade</x:v>
      </x:c>
      <x:c r="B220" t="str">
        <x:v>nutrition</x:v>
      </x:c>
      <x:c r="C220" t="str">
        <x:v>capex_factor</x:v>
      </x:c>
      <x:c r="D220" t="n">
        <x:v>1.5</x:v>
      </x:c>
      <x:c r="E220" t="n">
        <x:v>-1.1688713916719764</x:v>
      </x:c>
      <x:c r="F220" t="n">
        <x:v>-0.6255007602526663</x:v>
      </x:c>
      <x:c r="G220" t="n">
        <x:v>4.5620704470904165</x:v>
      </x:c>
    </x:row>
    <x:row r="221">
      <x:c r="A221" t="str">
        <x:v>trade</x:v>
      </x:c>
      <x:c r="B221" t="str">
        <x:v>nutrition</x:v>
      </x:c>
      <x:c r="C221" t="str">
        <x:v>DSO_added_days</x:v>
      </x:c>
      <x:c r="D221" t="n">
        <x:v>-10</x:v>
      </x:c>
      <x:c r="E221" t="n">
        <x:v>0.21680289626087756</x:v>
      </x:c>
      <x:c r="F221" t="n">
        <x:v>0.7601735276801876</x:v>
      </x:c>
      <x:c r="G221" t="n">
        <x:v>3.131482887638362</x:v>
      </x:c>
    </x:row>
    <x:row r="222">
      <x:c r="A222" t="str">
        <x:v>trade</x:v>
      </x:c>
      <x:c r="B222" t="str">
        <x:v>nutrition</x:v>
      </x:c>
      <x:c r="C222" t="str">
        <x:v>DSO_added_days</x:v>
      </x:c>
      <x:c r="D222" t="n">
        <x:v>0</x:v>
      </x:c>
      <x:c r="E222" t="n">
        <x:v>-0.5433706314193101</x:v>
      </x:c>
      <x:c r="F222" t="n">
        <x:v>0</x:v>
      </x:c>
      <x:c r="G222" t="n">
        <x:v>4.071070447090416</x:v>
      </x:c>
    </x:row>
    <x:row r="223">
      <x:c r="A223" t="str">
        <x:v>trade</x:v>
      </x:c>
      <x:c r="B223" t="str">
        <x:v>nutrition</x:v>
      </x:c>
      <x:c r="C223" t="str">
        <x:v>DSO_added_days</x:v>
      </x:c>
      <x:c r="D223" t="n">
        <x:v>10</x:v>
      </x:c>
      <x:c r="E223" t="n">
        <x:v>-1.303544159099498</x:v>
      </x:c>
      <x:c r="F223" t="n">
        <x:v>-0.760173527680188</x:v>
      </x:c>
      <x:c r="G223" t="n">
        <x:v>5.010658006542473</x:v>
      </x:c>
    </x:row>
    <x:row r="224">
      <x:c r="A224" t="str">
        <x:v>trade</x:v>
      </x:c>
      <x:c r="B224" t="str">
        <x:v>nutrition</x:v>
      </x:c>
      <x:c r="C224" t="str">
        <x:v>DSO_added_days</x:v>
      </x:c>
      <x:c r="D224" t="n">
        <x:v>20</x:v>
      </x:c>
      <x:c r="E224" t="n">
        <x:v>-2.063717686779686</x:v>
      </x:c>
      <x:c r="F224" t="n">
        <x:v>-1.520347055360376</x:v>
      </x:c>
      <x:c r="G224" t="n">
        <x:v>5.950245565994527</x:v>
      </x:c>
    </x:row>
    <x:row r="225">
      <x:c r="A225" t="str">
        <x:v>trade</x:v>
      </x:c>
      <x:c r="B225" t="str">
        <x:v>nutrition</x:v>
      </x:c>
      <x:c r="C225" t="str">
        <x:v>DSO_added_days</x:v>
      </x:c>
      <x:c r="D225" t="n">
        <x:v>40</x:v>
      </x:c>
      <x:c r="E225" t="n">
        <x:v>-3.5840647421400607</x:v>
      </x:c>
      <x:c r="F225" t="n">
        <x:v>-3.0406941107207506</x:v>
      </x:c>
      <x:c r="G225" t="n">
        <x:v>7.8294206848986345</x:v>
      </x:c>
    </x:row>
    <x:row r="226">
      <x:c r="A226" t="str">
        <x:v>trade</x:v>
      </x:c>
      <x:c r="B226" t="str">
        <x:v>nutrition</x:v>
      </x:c>
      <x:c r="C226" t="str">
        <x:v>DIO_added_days</x:v>
      </x:c>
      <x:c r="D226" t="n">
        <x:v>-10</x:v>
      </x:c>
      <x:c r="E226" t="n">
        <x:v>0.3878419399889198</x:v>
      </x:c>
      <x:c r="F226" t="n">
        <x:v>0.9312125714082299</x:v>
      </x:c>
      <x:c r="G226" t="n">
        <x:v>2.920075686761648</x:v>
      </x:c>
    </x:row>
    <x:row r="227">
      <x:c r="A227" t="str">
        <x:v>trade</x:v>
      </x:c>
      <x:c r="B227" t="str">
        <x:v>nutrition</x:v>
      </x:c>
      <x:c r="C227" t="str">
        <x:v>DIO_added_days</x:v>
      </x:c>
      <x:c r="D227" t="n">
        <x:v>0</x:v>
      </x:c>
      <x:c r="E227" t="n">
        <x:v>-0.5433706314193101</x:v>
      </x:c>
      <x:c r="F227" t="n">
        <x:v>0</x:v>
      </x:c>
      <x:c r="G227" t="n">
        <x:v>4.071070447090416</x:v>
      </x:c>
    </x:row>
    <x:row r="228">
      <x:c r="A228" t="str">
        <x:v>trade</x:v>
      </x:c>
      <x:c r="B228" t="str">
        <x:v>nutrition</x:v>
      </x:c>
      <x:c r="C228" t="str">
        <x:v>DIO_added_days</x:v>
      </x:c>
      <x:c r="D228" t="n">
        <x:v>10</x:v>
      </x:c>
      <x:c r="E228" t="n">
        <x:v>-1.47458320282754</x:v>
      </x:c>
      <x:c r="F228" t="n">
        <x:v>-0.93121257140823</x:v>
      </x:c>
      <x:c r="G228" t="n">
        <x:v>5.222065207419183</x:v>
      </x:c>
    </x:row>
    <x:row r="229">
      <x:c r="A229" t="str">
        <x:v>trade</x:v>
      </x:c>
      <x:c r="B229" t="str">
        <x:v>nutrition</x:v>
      </x:c>
      <x:c r="C229" t="str">
        <x:v>DIO_added_days</x:v>
      </x:c>
      <x:c r="D229" t="n">
        <x:v>20</x:v>
      </x:c>
      <x:c r="E229" t="n">
        <x:v>-2.4057957742357696</x:v>
      </x:c>
      <x:c r="F229" t="n">
        <x:v>-1.8624251428164595</x:v>
      </x:c>
      <x:c r="G229" t="n">
        <x:v>6.373059967747951</x:v>
      </x:c>
    </x:row>
    <x:row r="230">
      <x:c r="A230" t="str">
        <x:v>trade</x:v>
      </x:c>
      <x:c r="B230" t="str">
        <x:v>nutrition</x:v>
      </x:c>
      <x:c r="C230" t="str">
        <x:v>DIO_added_days</x:v>
      </x:c>
      <x:c r="D230" t="n">
        <x:v>40</x:v>
      </x:c>
      <x:c r="E230" t="n">
        <x:v>-4.26822091705223</x:v>
      </x:c>
      <x:c r="F230" t="n">
        <x:v>-3.72485028563292</x:v>
      </x:c>
      <x:c r="G230" t="n">
        <x:v>8.675049488405486</x:v>
      </x:c>
    </x:row>
    <x:row r="231">
      <x:c r="A231" t="str">
        <x:v>trade</x:v>
      </x:c>
      <x:c r="B231" t="str">
        <x:v>nutrition</x:v>
      </x:c>
      <x:c r="C231" t="str">
        <x:v>real_hurdle</x:v>
      </x:c>
      <x:c r="D231" t="n">
        <x:v>0.06</x:v>
      </x:c>
      <x:c r="E231" t="n">
        <x:v>1.3307270316429514</x:v>
      </x:c>
      <x:c r="F231" t="n">
        <x:v>1.8740976630622614</x:v>
      </x:c>
      <x:c r="G231" t="n">
        <x:v>4.071070447090416</x:v>
      </x:c>
    </x:row>
    <x:row r="232">
      <x:c r="A232" t="str">
        <x:v>trade</x:v>
      </x:c>
      <x:c r="B232" t="str">
        <x:v>nutrition</x:v>
      </x:c>
      <x:c r="C232" t="str">
        <x:v>real_hurdle</x:v>
      </x:c>
      <x:c r="D232" t="n">
        <x:v>0.08</x:v>
      </x:c>
      <x:c r="E232" t="n">
        <x:v>0.22090174402867846</x:v>
      </x:c>
      <x:c r="F232" t="n">
        <x:v>0.7642723754479885</x:v>
      </x:c>
      <x:c r="G232" t="n">
        <x:v>4.071070447090416</x:v>
      </x:c>
    </x:row>
    <x:row r="233">
      <x:c r="A233" t="str">
        <x:v>trade</x:v>
      </x:c>
      <x:c r="B233" t="str">
        <x:v>nutrition</x:v>
      </x:c>
      <x:c r="C233" t="str">
        <x:v>real_hurdle</x:v>
      </x:c>
      <x:c r="D233" t="n">
        <x:v>0.1</x:v>
      </x:c>
      <x:c r="E233" t="n">
        <x:v>-0.5433706314193101</x:v>
      </x:c>
      <x:c r="F233" t="n">
        <x:v>0</x:v>
      </x:c>
      <x:c r="G233" t="n">
        <x:v>4.071070447090416</x:v>
      </x:c>
    </x:row>
    <x:row r="234">
      <x:c r="A234" t="str">
        <x:v>trade</x:v>
      </x:c>
      <x:c r="B234" t="str">
        <x:v>nutrition</x:v>
      </x:c>
      <x:c r="C234" t="str">
        <x:v>real_hurdle</x:v>
      </x:c>
      <x:c r="D234" t="n">
        <x:v>0.12</x:v>
      </x:c>
      <x:c r="E234" t="n">
        <x:v>-1.0778872412040663</x:v>
      </x:c>
      <x:c r="F234" t="n">
        <x:v>-0.5345166097847562</x:v>
      </x:c>
      <x:c r="G234" t="n">
        <x:v>4.071070447090416</x:v>
      </x:c>
    </x:row>
    <x:row r="235">
      <x:c r="A235" t="str">
        <x:v>trade</x:v>
      </x:c>
      <x:c r="B235" t="str">
        <x:v>nutrition</x:v>
      </x:c>
      <x:c r="C235" t="str">
        <x:v>real_hurdle</x:v>
      </x:c>
      <x:c r="D235" t="n">
        <x:v>0.16</x:v>
      </x:c>
      <x:c r="E235" t="n">
        <x:v>-1.728708134004703</x:v>
      </x:c>
      <x:c r="F235" t="n">
        <x:v>-1.185337502585393</x:v>
      </x:c>
      <x:c r="G235" t="n">
        <x:v>4.071070447090416</x:v>
      </x:c>
    </x:row>
    <x:row r="236">
      <x:c r="A236" t="str">
        <x:v>partner</x:v>
      </x:c>
      <x:c r="B236" t="str">
        <x:v>managed</x:v>
      </x:c>
      <x:c r="C236" t="str">
        <x:v>orders_factor</x:v>
      </x:c>
      <x:c r="D236" t="n">
        <x:v>0.7</x:v>
      </x:c>
      <x:c r="E236" t="n">
        <x:v>2.209052387884869</x:v>
      </x:c>
      <x:c r="F236" t="n">
        <x:v>-8.608317976514362</x:v>
      </x:c>
      <x:c r="G236" t="n">
        <x:v>9.597808219178082</x:v>
      </x:c>
    </x:row>
    <x:row r="237">
      <x:c r="A237" t="str">
        <x:v>partner</x:v>
      </x:c>
      <x:c r="B237" t="str">
        <x:v>managed</x:v>
      </x:c>
      <x:c r="C237" t="str">
        <x:v>orders_factor</x:v>
      </x:c>
      <x:c r="D237" t="n">
        <x:v>0.85</x:v>
      </x:c>
      <x:c r="E237" t="n">
        <x:v>6.58599654745112</x:v>
      </x:c>
      <x:c r="F237" t="n">
        <x:v>-4.231373816948111</x:v>
      </x:c>
      <x:c r="G237" t="n">
        <x:v>9.654767123287673</x:v>
      </x:c>
    </x:row>
    <x:row r="238">
      <x:c r="A238" t="str">
        <x:v>partner</x:v>
      </x:c>
      <x:c r="B238" t="str">
        <x:v>managed</x:v>
      </x:c>
      <x:c r="C238" t="str">
        <x:v>orders_factor</x:v>
      </x:c>
      <x:c r="D238" t="n">
        <x:v>1</x:v>
      </x:c>
      <x:c r="E238" t="n">
        <x:v>10.817370364399231</x:v>
      </x:c>
      <x:c r="F238" t="n">
        <x:v>0</x:v>
      </x:c>
      <x:c r="G238" t="n">
        <x:v>9.795726027397262</x:v>
      </x:c>
    </x:row>
    <x:row r="239">
      <x:c r="A239" t="str">
        <x:v>partner</x:v>
      </x:c>
      <x:c r="B239" t="str">
        <x:v>managed</x:v>
      </x:c>
      <x:c r="C239" t="str">
        <x:v>orders_factor</x:v>
      </x:c>
      <x:c r="D239" t="n">
        <x:v>1.15</x:v>
      </x:c>
      <x:c r="E239" t="n">
        <x:v>13.123715280895432</x:v>
      </x:c>
      <x:c r="F239" t="n">
        <x:v>2.306344916496201</x:v>
      </x:c>
      <x:c r="G239" t="n">
        <x:v>9.936684931506846</x:v>
      </x:c>
    </x:row>
    <x:row r="240">
      <x:c r="A240" t="str">
        <x:v>partner</x:v>
      </x:c>
      <x:c r="B240" t="str">
        <x:v>managed</x:v>
      </x:c>
      <x:c r="C240" t="str">
        <x:v>orders_factor</x:v>
      </x:c>
      <x:c r="D240" t="n">
        <x:v>1.3</x:v>
      </x:c>
      <x:c r="E240" t="n">
        <x:v>13.682963320038656</x:v>
      </x:c>
      <x:c r="F240" t="n">
        <x:v>2.865592955639425</x:v>
      </x:c>
      <x:c r="G240" t="n">
        <x:v>10.077643835616438</x:v>
      </x:c>
    </x:row>
    <x:row r="241">
      <x:c r="A241" t="str">
        <x:v>partner</x:v>
      </x:c>
      <x:c r="B241" t="str">
        <x:v>managed</x:v>
      </x:c>
      <x:c r="C241" t="str">
        <x:v>price_factor</x:v>
      </x:c>
      <x:c r="D241" t="n">
        <x:v>0.9</x:v>
      </x:c>
      <x:c r="E241" t="n">
        <x:v>-19.695519900537082</x:v>
      </x:c>
      <x:c r="F241" t="n">
        <x:v>-30.512890264936313</x:v>
      </x:c>
      <x:c r="G241" t="n">
        <x:v>36.73319252776879</x:v>
      </x:c>
    </x:row>
    <x:row r="242">
      <x:c r="A242" t="str">
        <x:v>partner</x:v>
      </x:c>
      <x:c r="B242" t="str">
        <x:v>managed</x:v>
      </x:c>
      <x:c r="C242" t="str">
        <x:v>price_factor</x:v>
      </x:c>
      <x:c r="D242" t="n">
        <x:v>0.95</x:v>
      </x:c>
      <x:c r="E242" t="n">
        <x:v>-3.0957553568584695</x:v>
      </x:c>
      <x:c r="F242" t="n">
        <x:v>-13.9131257212577</x:v>
      </x:c>
      <x:c r="G242" t="n">
        <x:v>11.371134246575343</x:v>
      </x:c>
    </x:row>
    <x:row r="243">
      <x:c r="A243" t="str">
        <x:v>partner</x:v>
      </x:c>
      <x:c r="B243" t="str">
        <x:v>managed</x:v>
      </x:c>
      <x:c r="C243" t="str">
        <x:v>price_factor</x:v>
      </x:c>
      <x:c r="D243" t="n">
        <x:v>1</x:v>
      </x:c>
      <x:c r="E243" t="n">
        <x:v>10.817370364399231</x:v>
      </x:c>
      <x:c r="F243" t="n">
        <x:v>0</x:v>
      </x:c>
      <x:c r="G243" t="n">
        <x:v>9.795726027397262</x:v>
      </x:c>
    </x:row>
    <x:row r="244">
      <x:c r="A244" t="str">
        <x:v>partner</x:v>
      </x:c>
      <x:c r="B244" t="str">
        <x:v>managed</x:v>
      </x:c>
      <x:c r="C244" t="str">
        <x:v>price_factor</x:v>
      </x:c>
      <x:c r="D244" t="n">
        <x:v>1.05</x:v>
      </x:c>
      <x:c r="E244" t="n">
        <x:v>24.71073650639324</x:v>
      </x:c>
      <x:c r="F244" t="n">
        <x:v>13.893366141994008</x:v>
      </x:c>
      <x:c r="G244" t="n">
        <x:v>9.122438356164384</x:v>
      </x:c>
    </x:row>
    <x:row r="245">
      <x:c r="A245" t="str">
        <x:v>partner</x:v>
      </x:c>
      <x:c r="B245" t="str">
        <x:v>managed</x:v>
      </x:c>
      <x:c r="C245" t="str">
        <x:v>price_factor</x:v>
      </x:c>
      <x:c r="D245" t="n">
        <x:v>1.1</x:v>
      </x:c>
      <x:c r="E245" t="n">
        <x:v>38.6041026483873</x:v>
      </x:c>
      <x:c r="F245" t="n">
        <x:v>27.786732283988066</x:v>
      </x:c>
      <x:c r="G245" t="n">
        <x:v>8.449150684931507</x:v>
      </x:c>
    </x:row>
    <x:row r="246">
      <x:c r="A246" t="str">
        <x:v>partner</x:v>
      </x:c>
      <x:c r="B246" t="str">
        <x:v>managed</x:v>
      </x:c>
      <x:c r="C246" t="str">
        <x:v>cost_factor</x:v>
      </x:c>
      <x:c r="D246" t="n">
        <x:v>0.9</x:v>
      </x:c>
      <x:c r="E246" t="n">
        <x:v>35.7046307939024</x:v>
      </x:c>
      <x:c r="F246" t="n">
        <x:v>24.887260429503172</x:v>
      </x:c>
      <x:c r="G246" t="n">
        <x:v>8.355178082191781</x:v>
      </x:c>
    </x:row>
    <x:row r="247">
      <x:c r="A247" t="str">
        <x:v>partner</x:v>
      </x:c>
      <x:c r="B247" t="str">
        <x:v>managed</x:v>
      </x:c>
      <x:c r="C247" t="str">
        <x:v>cost_factor</x:v>
      </x:c>
      <x:c r="D247" t="n">
        <x:v>0.95</x:v>
      </x:c>
      <x:c r="E247" t="n">
        <x:v>23.261000579150835</x:v>
      </x:c>
      <x:c r="F247" t="n">
        <x:v>12.443630214751604</x:v>
      </x:c>
      <x:c r="G247" t="n">
        <x:v>9.075452054794521</x:v>
      </x:c>
    </x:row>
    <x:row r="248">
      <x:c r="A248" t="str">
        <x:v>partner</x:v>
      </x:c>
      <x:c r="B248" t="str">
        <x:v>managed</x:v>
      </x:c>
      <x:c r="C248" t="str">
        <x:v>cost_factor</x:v>
      </x:c>
      <x:c r="D248" t="n">
        <x:v>1</x:v>
      </x:c>
      <x:c r="E248" t="n">
        <x:v>10.817370364399231</x:v>
      </x:c>
      <x:c r="F248" t="n">
        <x:v>0</x:v>
      </x:c>
      <x:c r="G248" t="n">
        <x:v>9.795726027397262</x:v>
      </x:c>
    </x:row>
    <x:row r="249">
      <x:c r="A249" t="str">
        <x:v>partner</x:v>
      </x:c>
      <x:c r="B249" t="str">
        <x:v>managed</x:v>
      </x:c>
      <x:c r="C249" t="str">
        <x:v>cost_factor</x:v>
      </x:c>
      <x:c r="D249" t="n">
        <x:v>1.05</x:v>
      </x:c>
      <x:c r="E249" t="n">
        <x:v>-1.6376257406604013</x:v>
      </x:c>
      <x:c r="F249" t="n">
        <x:v>-12.454996105059632</x:v>
      </x:c>
      <x:c r="G249" t="n">
        <x:v>11.278720000000003</x:v>
      </x:c>
    </x:row>
    <x:row r="250">
      <x:c r="A250" t="str">
        <x:v>partner</x:v>
      </x:c>
      <x:c r="B250" t="str">
        <x:v>managed</x:v>
      </x:c>
      <x:c r="C250" t="str">
        <x:v>cost_factor</x:v>
      </x:c>
      <x:c r="D250" t="n">
        <x:v>1.1</x:v>
      </x:c>
      <x:c r="E250" t="n">
        <x:v>-15.674134321975266</x:v>
      </x:c>
      <x:c r="F250" t="n">
        <x:v>-26.491504686374498</x:v>
      </x:c>
      <x:c r="G250" t="n">
        <x:v>25.130368318402805</x:v>
      </x:c>
    </x:row>
    <x:row r="251">
      <x:c r="A251" t="str">
        <x:v>partner</x:v>
      </x:c>
      <x:c r="B251" t="str">
        <x:v>managed</x:v>
      </x:c>
      <x:c r="C251" t="str">
        <x:v>capex_factor</x:v>
      </x:c>
      <x:c r="D251" t="n">
        <x:v>0.5</x:v>
      </x:c>
      <x:c r="E251" t="n">
        <x:v>15.821376446420556</x:v>
      </x:c>
      <x:c r="F251" t="n">
        <x:v>5.004006082021325</x:v>
      </x:c>
      <x:c r="G251" t="n">
        <x:v>5.817726027397262</x:v>
      </x:c>
    </x:row>
    <x:row r="252">
      <x:c r="A252" t="str">
        <x:v>partner</x:v>
      </x:c>
      <x:c r="B252" t="str">
        <x:v>managed</x:v>
      </x:c>
      <x:c r="C252" t="str">
        <x:v>capex_factor</x:v>
      </x:c>
      <x:c r="D252" t="n">
        <x:v>0.75</x:v>
      </x:c>
      <x:c r="E252" t="n">
        <x:v>13.319373405409893</x:v>
      </x:c>
      <x:c r="F252" t="n">
        <x:v>2.5020030410106617</x:v>
      </x:c>
      <x:c r="G252" t="n">
        <x:v>7.806726027397262</x:v>
      </x:c>
    </x:row>
    <x:row r="253">
      <x:c r="A253" t="str">
        <x:v>partner</x:v>
      </x:c>
      <x:c r="B253" t="str">
        <x:v>managed</x:v>
      </x:c>
      <x:c r="C253" t="str">
        <x:v>capex_factor</x:v>
      </x:c>
      <x:c r="D253" t="n">
        <x:v>1</x:v>
      </x:c>
      <x:c r="E253" t="n">
        <x:v>10.817370364399231</x:v>
      </x:c>
      <x:c r="F253" t="n">
        <x:v>0</x:v>
      </x:c>
      <x:c r="G253" t="n">
        <x:v>9.795726027397262</x:v>
      </x:c>
    </x:row>
    <x:row r="254">
      <x:c r="A254" t="str">
        <x:v>partner</x:v>
      </x:c>
      <x:c r="B254" t="str">
        <x:v>managed</x:v>
      </x:c>
      <x:c r="C254" t="str">
        <x:v>capex_factor</x:v>
      </x:c>
      <x:c r="D254" t="n">
        <x:v>1.25</x:v>
      </x:c>
      <x:c r="E254" t="n">
        <x:v>8.315367323388566</x:v>
      </x:c>
      <x:c r="F254" t="n">
        <x:v>-2.5020030410106653</x:v>
      </x:c>
      <x:c r="G254" t="n">
        <x:v>11.784726027397262</x:v>
      </x:c>
    </x:row>
    <x:row r="255">
      <x:c r="A255" t="str">
        <x:v>partner</x:v>
      </x:c>
      <x:c r="B255" t="str">
        <x:v>managed</x:v>
      </x:c>
      <x:c r="C255" t="str">
        <x:v>capex_factor</x:v>
      </x:c>
      <x:c r="D255" t="n">
        <x:v>1.5</x:v>
      </x:c>
      <x:c r="E255" t="n">
        <x:v>5.81286841460931</x:v>
      </x:c>
      <x:c r="F255" t="n">
        <x:v>-5.004501949789921</x:v>
      </x:c>
      <x:c r="G255" t="n">
        <x:v>13.779726027397263</x:v>
      </x:c>
    </x:row>
    <x:row r="256">
      <x:c r="A256" t="str">
        <x:v>partner</x:v>
      </x:c>
      <x:c r="B256" t="str">
        <x:v>managed</x:v>
      </x:c>
      <x:c r="C256" t="str">
        <x:v>DSO_added_days</x:v>
      </x:c>
      <x:c r="D256" t="n">
        <x:v>-10</x:v>
      </x:c>
      <x:c r="E256" t="n">
        <x:v>11.563401272793278</x:v>
      </x:c>
      <x:c r="F256" t="n">
        <x:v>0.7460309083940473</x:v>
      </x:c>
      <x:c r="G256" t="n">
        <x:v>9.3573698630137</x:v>
      </x:c>
    </x:row>
    <x:row r="257">
      <x:c r="A257" t="str">
        <x:v>partner</x:v>
      </x:c>
      <x:c r="B257" t="str">
        <x:v>managed</x:v>
      </x:c>
      <x:c r="C257" t="str">
        <x:v>DSO_added_days</x:v>
      </x:c>
      <x:c r="D257" t="n">
        <x:v>0</x:v>
      </x:c>
      <x:c r="E257" t="n">
        <x:v>10.817370364399231</x:v>
      </x:c>
      <x:c r="F257" t="n">
        <x:v>0</x:v>
      </x:c>
      <x:c r="G257" t="n">
        <x:v>9.795726027397262</x:v>
      </x:c>
    </x:row>
    <x:row r="258">
      <x:c r="A258" t="str">
        <x:v>partner</x:v>
      </x:c>
      <x:c r="B258" t="str">
        <x:v>managed</x:v>
      </x:c>
      <x:c r="C258" t="str">
        <x:v>DSO_added_days</x:v>
      </x:c>
      <x:c r="D258" t="n">
        <x:v>10</x:v>
      </x:c>
      <x:c r="E258" t="n">
        <x:v>10.071339456005184</x:v>
      </x:c>
      <x:c r="F258" t="n">
        <x:v>-0.7460309083940473</x:v>
      </x:c>
      <x:c r="G258" t="n">
        <x:v>10.234082191780821</x:v>
      </x:c>
    </x:row>
    <x:row r="259">
      <x:c r="A259" t="str">
        <x:v>partner</x:v>
      </x:c>
      <x:c r="B259" t="str">
        <x:v>managed</x:v>
      </x:c>
      <x:c r="C259" t="str">
        <x:v>DSO_added_days</x:v>
      </x:c>
      <x:c r="D259" t="n">
        <x:v>20</x:v>
      </x:c>
      <x:c r="E259" t="n">
        <x:v>9.325308547611137</x:v>
      </x:c>
      <x:c r="F259" t="n">
        <x:v>-1.4920618167880946</x:v>
      </x:c>
      <x:c r="G259" t="n">
        <x:v>10.857895890410962</x:v>
      </x:c>
    </x:row>
    <x:row r="260">
      <x:c r="A260" t="str">
        <x:v>partner</x:v>
      </x:c>
      <x:c r="B260" t="str">
        <x:v>managed</x:v>
      </x:c>
      <x:c r="C260" t="str">
        <x:v>DSO_added_days</x:v>
      </x:c>
      <x:c r="D260" t="n">
        <x:v>40</x:v>
      </x:c>
      <x:c r="E260" t="n">
        <x:v>7.833246730823043</x:v>
      </x:c>
      <x:c r="F260" t="n">
        <x:v>-2.9841236335761883</x:v>
      </x:c>
      <x:c r="G260" t="n">
        <x:v>12.281676712328771</x:v>
      </x:c>
    </x:row>
    <x:row r="261">
      <x:c r="A261" t="str">
        <x:v>partner</x:v>
      </x:c>
      <x:c r="B261" t="str">
        <x:v>managed</x:v>
      </x:c>
      <x:c r="C261" t="str">
        <x:v>DIO_added_days</x:v>
      </x:c>
      <x:c r="D261" t="n">
        <x:v>-10</x:v>
      </x:c>
      <x:c r="E261" t="n">
        <x:v>11.638004363632685</x:v>
      </x:c>
      <x:c r="F261" t="n">
        <x:v>0.8206339992334541</x:v>
      </x:c>
      <x:c r="G261" t="n">
        <x:v>9.313534246575344</x:v>
      </x:c>
    </x:row>
    <x:row r="262">
      <x:c r="A262" t="str">
        <x:v>partner</x:v>
      </x:c>
      <x:c r="B262" t="str">
        <x:v>managed</x:v>
      </x:c>
      <x:c r="C262" t="str">
        <x:v>DIO_added_days</x:v>
      </x:c>
      <x:c r="D262" t="n">
        <x:v>0</x:v>
      </x:c>
      <x:c r="E262" t="n">
        <x:v>10.817370364399231</x:v>
      </x:c>
      <x:c r="F262" t="n">
        <x:v>0</x:v>
      </x:c>
      <x:c r="G262" t="n">
        <x:v>9.795726027397262</x:v>
      </x:c>
    </x:row>
    <x:row r="263">
      <x:c r="A263" t="str">
        <x:v>partner</x:v>
      </x:c>
      <x:c r="B263" t="str">
        <x:v>managed</x:v>
      </x:c>
      <x:c r="C263" t="str">
        <x:v>DIO_added_days</x:v>
      </x:c>
      <x:c r="D263" t="n">
        <x:v>10</x:v>
      </x:c>
      <x:c r="E263" t="n">
        <x:v>9.99673636516578</x:v>
      </x:c>
      <x:c r="F263" t="n">
        <x:v>-0.8206339992334506</x:v>
      </x:c>
      <x:c r="G263" t="n">
        <x:v>10.277917808219179</x:v>
      </x:c>
    </x:row>
    <x:row r="264">
      <x:c r="A264" t="str">
        <x:v>partner</x:v>
      </x:c>
      <x:c r="B264" t="str">
        <x:v>managed</x:v>
      </x:c>
      <x:c r="C264" t="str">
        <x:v>DIO_added_days</x:v>
      </x:c>
      <x:c r="D264" t="n">
        <x:v>20</x:v>
      </x:c>
      <x:c r="E264" t="n">
        <x:v>9.17610236593233</x:v>
      </x:c>
      <x:c r="F264" t="n">
        <x:v>-1.6412679984669012</x:v>
      </x:c>
      <x:c r="G264" t="n">
        <x:v>11.000273972602743</x:v>
      </x:c>
    </x:row>
    <x:row r="265">
      <x:c r="A265" t="str">
        <x:v>partner</x:v>
      </x:c>
      <x:c r="B265" t="str">
        <x:v>managed</x:v>
      </x:c>
      <x:c r="C265" t="str">
        <x:v>DIO_added_days</x:v>
      </x:c>
      <x:c r="D265" t="n">
        <x:v>40</x:v>
      </x:c>
      <x:c r="E265" t="n">
        <x:v>7.534834367465423</x:v>
      </x:c>
      <x:c r="F265" t="n">
        <x:v>-3.2825359969338086</x:v>
      </x:c>
      <x:c r="G265" t="n">
        <x:v>12.56643287671233</x:v>
      </x:c>
    </x:row>
    <x:row r="266">
      <x:c r="A266" t="str">
        <x:v>partner</x:v>
      </x:c>
      <x:c r="B266" t="str">
        <x:v>managed</x:v>
      </x:c>
      <x:c r="C266" t="str">
        <x:v>real_hurdle</x:v>
      </x:c>
      <x:c r="D266" t="n">
        <x:v>0.06</x:v>
      </x:c>
      <x:c r="E266" t="n">
        <x:v>21.307609718469458</x:v>
      </x:c>
      <x:c r="F266" t="n">
        <x:v>10.490239354070226</x:v>
      </x:c>
      <x:c r="G266" t="n">
        <x:v>9.795726027397262</x:v>
      </x:c>
    </x:row>
    <x:row r="267">
      <x:c r="A267" t="str">
        <x:v>partner</x:v>
      </x:c>
      <x:c r="B267" t="str">
        <x:v>managed</x:v>
      </x:c>
      <x:c r="C267" t="str">
        <x:v>real_hurdle</x:v>
      </x:c>
      <x:c r="D267" t="n">
        <x:v>0.08</x:v>
      </x:c>
      <x:c r="E267" t="n">
        <x:v>15.262766666297228</x:v>
      </x:c>
      <x:c r="F267" t="n">
        <x:v>4.445396301897997</x:v>
      </x:c>
      <x:c r="G267" t="n">
        <x:v>9.795726027397262</x:v>
      </x:c>
    </x:row>
    <x:row r="268">
      <x:c r="A268" t="str">
        <x:v>partner</x:v>
      </x:c>
      <x:c r="B268" t="str">
        <x:v>managed</x:v>
      </x:c>
      <x:c r="C268" t="str">
        <x:v>real_hurdle</x:v>
      </x:c>
      <x:c r="D268" t="n">
        <x:v>0.1</x:v>
      </x:c>
      <x:c r="E268" t="n">
        <x:v>10.817370364399231</x:v>
      </x:c>
      <x:c r="F268" t="n">
        <x:v>0</x:v>
      </x:c>
      <x:c r="G268" t="n">
        <x:v>9.795726027397262</x:v>
      </x:c>
    </x:row>
    <x:row r="269">
      <x:c r="A269" t="str">
        <x:v>partner</x:v>
      </x:c>
      <x:c r="B269" t="str">
        <x:v>managed</x:v>
      </x:c>
      <x:c r="C269" t="str">
        <x:v>real_hurdle</x:v>
      </x:c>
      <x:c r="D269" t="n">
        <x:v>0.12</x:v>
      </x:c>
      <x:c r="E269" t="n">
        <x:v>7.4842831111933075</x:v>
      </x:c>
      <x:c r="F269" t="n">
        <x:v>-3.3330872532059237</x:v>
      </x:c>
      <x:c r="G269" t="n">
        <x:v>9.795726027397262</x:v>
      </x:c>
    </x:row>
    <x:row r="270">
      <x:c r="A270" t="str">
        <x:v>partner</x:v>
      </x:c>
      <x:c r="B270" t="str">
        <x:v>managed</x:v>
      </x:c>
      <x:c r="C270" t="str">
        <x:v>real_hurdle</x:v>
      </x:c>
      <x:c r="D270" t="n">
        <x:v>0.16</x:v>
      </x:c>
      <x:c r="E270" t="n">
        <x:v>2.9621862593409043</x:v>
      </x:c>
      <x:c r="F270" t="n">
        <x:v>-7.855184105058327</x:v>
      </x:c>
      <x:c r="G270" t="n">
        <x:v>9.795726027397262</x:v>
      </x:c>
    </x:row>
    <x:row r="271">
      <x:c r="A271" t="str">
        <x:v>partner</x:v>
      </x:c>
      <x:c r="B271" t="str">
        <x:v>integration</x:v>
      </x:c>
      <x:c r="C271" t="str">
        <x:v>orders_factor</x:v>
      </x:c>
      <x:c r="D271" t="n">
        <x:v>0.7</x:v>
      </x:c>
      <x:c r="E271" t="n">
        <x:v>12.319880121781868</x:v>
      </x:c>
      <x:c r="F271" t="n">
        <x:v>-8.273071372555517</x:v>
      </x:c>
      <x:c r="G271" t="n">
        <x:v>9.04731726027397</x:v>
      </x:c>
    </x:row>
    <x:row r="272">
      <x:c r="A272" t="str">
        <x:v>partner</x:v>
      </x:c>
      <x:c r="B272" t="str">
        <x:v>integration</x:v>
      </x:c>
      <x:c r="C272" t="str">
        <x:v>orders_factor</x:v>
      </x:c>
      <x:c r="D272" t="n">
        <x:v>0.85</x:v>
      </x:c>
      <x:c r="E272" t="n">
        <x:v>17.936888355981353</x:v>
      </x:c>
      <x:c r="F272" t="n">
        <x:v>-2.656063138356032</x:v>
      </x:c>
      <x:c r="G272" t="n">
        <x:v>9.09217095890411</x:v>
      </x:c>
    </x:row>
    <x:row r="273">
      <x:c r="A273" t="str">
        <x:v>partner</x:v>
      </x:c>
      <x:c r="B273" t="str">
        <x:v>integration</x:v>
      </x:c>
      <x:c r="C273" t="str">
        <x:v>orders_factor</x:v>
      </x:c>
      <x:c r="D273" t="n">
        <x:v>1</x:v>
      </x:c>
      <x:c r="E273" t="n">
        <x:v>20.592951494337385</x:v>
      </x:c>
      <x:c r="F273" t="n">
        <x:v>0</x:v>
      </x:c>
      <x:c r="G273" t="n">
        <x:v>9.137024657534244</x:v>
      </x:c>
    </x:row>
    <x:row r="274">
      <x:c r="A274" t="str">
        <x:v>partner</x:v>
      </x:c>
      <x:c r="B274" t="str">
        <x:v>integration</x:v>
      </x:c>
      <x:c r="C274" t="str">
        <x:v>orders_factor</x:v>
      </x:c>
      <x:c r="D274" t="n">
        <x:v>1.15</x:v>
      </x:c>
      <x:c r="E274" t="n">
        <x:v>21.35720771092328</x:v>
      </x:c>
      <x:c r="F274" t="n">
        <x:v>0.7642562165858955</x:v>
      </x:c>
      <x:c r="G274" t="n">
        <x:v>9.181878356164379</x:v>
      </x:c>
    </x:row>
    <x:row r="275">
      <x:c r="A275" t="str">
        <x:v>partner</x:v>
      </x:c>
      <x:c r="B275" t="str">
        <x:v>integration</x:v>
      </x:c>
      <x:c r="C275" t="str">
        <x:v>orders_factor</x:v>
      </x:c>
      <x:c r="D275" t="n">
        <x:v>1.3</x:v>
      </x:c>
      <x:c r="E275" t="n">
        <x:v>22.05629797550158</x:v>
      </x:c>
      <x:c r="F275" t="n">
        <x:v>1.4633464811641943</x:v>
      </x:c>
      <x:c r="G275" t="n">
        <x:v>9.226732054794518</x:v>
      </x:c>
    </x:row>
    <x:row r="276">
      <x:c r="A276" t="str">
        <x:v>partner</x:v>
      </x:c>
      <x:c r="B276" t="str">
        <x:v>integration</x:v>
      </x:c>
      <x:c r="C276" t="str">
        <x:v>price_factor</x:v>
      </x:c>
      <x:c r="D276" t="n">
        <x:v>0.9</x:v>
      </x:c>
      <x:c r="E276" t="n">
        <x:v>-13.277214882993228</x:v>
      </x:c>
      <x:c r="F276" t="n">
        <x:v>-33.87016637733061</x:v>
      </x:c>
      <x:c r="G276" t="n">
        <x:v>20.16557788493146</x:v>
      </x:c>
    </x:row>
    <x:row r="277">
      <x:c r="A277" t="str">
        <x:v>partner</x:v>
      </x:c>
      <x:c r="B277" t="str">
        <x:v>integration</x:v>
      </x:c>
      <x:c r="C277" t="str">
        <x:v>price_factor</x:v>
      </x:c>
      <x:c r="D277" t="n">
        <x:v>0.95</x:v>
      </x:c>
      <x:c r="E277" t="n">
        <x:v>4.29228853352443</x:v>
      </x:c>
      <x:c r="F277" t="n">
        <x:v>-16.300662960812954</x:v>
      </x:c>
      <x:c r="G277" t="n">
        <x:v>10.0214645479452</x:v>
      </x:c>
    </x:row>
    <x:row r="278">
      <x:c r="A278" t="str">
        <x:v>partner</x:v>
      </x:c>
      <x:c r="B278" t="str">
        <x:v>integration</x:v>
      </x:c>
      <x:c r="C278" t="str">
        <x:v>price_factor</x:v>
      </x:c>
      <x:c r="D278" t="n">
        <x:v>1</x:v>
      </x:c>
      <x:c r="E278" t="n">
        <x:v>20.592951494337385</x:v>
      </x:c>
      <x:c r="F278" t="n">
        <x:v>0</x:v>
      </x:c>
      <x:c r="G278" t="n">
        <x:v>9.137024657534244</x:v>
      </x:c>
    </x:row>
    <x:row r="279">
      <x:c r="A279" t="str">
        <x:v>partner</x:v>
      </x:c>
      <x:c r="B279" t="str">
        <x:v>integration</x:v>
      </x:c>
      <x:c r="C279" t="str">
        <x:v>price_factor</x:v>
      </x:c>
      <x:c r="D279" t="n">
        <x:v>1.05</x:v>
      </x:c>
      <x:c r="E279" t="n">
        <x:v>36.89118435667379</x:v>
      </x:c>
      <x:c r="F279" t="n">
        <x:v>16.298232862336405</x:v>
      </x:c>
      <x:c r="G279" t="n">
        <x:v>8.370668493150681</x:v>
      </x:c>
    </x:row>
    <x:row r="280">
      <x:c r="A280" t="str">
        <x:v>partner</x:v>
      </x:c>
      <x:c r="B280" t="str">
        <x:v>integration</x:v>
      </x:c>
      <x:c r="C280" t="str">
        <x:v>price_factor</x:v>
      </x:c>
      <x:c r="D280" t="n">
        <x:v>1.1</x:v>
      </x:c>
      <x:c r="E280" t="n">
        <x:v>53.18941721901024</x:v>
      </x:c>
      <x:c r="F280" t="n">
        <x:v>32.59646572467285</x:v>
      </x:c>
      <x:c r="G280" t="n">
        <x:v>7.604312328767118</x:v>
      </x:c>
    </x:row>
    <x:row r="281">
      <x:c r="A281" t="str">
        <x:v>partner</x:v>
      </x:c>
      <x:c r="B281" t="str">
        <x:v>integration</x:v>
      </x:c>
      <x:c r="C281" t="str">
        <x:v>cost_factor</x:v>
      </x:c>
      <x:c r="D281" t="n">
        <x:v>0.9</x:v>
      </x:c>
      <x:c r="E281" t="n">
        <x:v>49.226299901883024</x:v>
      </x:c>
      <x:c r="F281" t="n">
        <x:v>28.63334840754564</x:v>
      </x:c>
      <x:c r="G281" t="n">
        <x:v>7.574409863013701</x:v>
      </x:c>
    </x:row>
    <x:row r="282">
      <x:c r="A282" t="str">
        <x:v>partner</x:v>
      </x:c>
      <x:c r="B282" t="str">
        <x:v>integration</x:v>
      </x:c>
      <x:c r="C282" t="str">
        <x:v>cost_factor</x:v>
      </x:c>
      <x:c r="D282" t="n">
        <x:v>0.95</x:v>
      </x:c>
      <x:c r="E282" t="n">
        <x:v>34.909625698110254</x:v>
      </x:c>
      <x:c r="F282" t="n">
        <x:v>14.31667420377287</x:v>
      </x:c>
      <x:c r="G282" t="n">
        <x:v>8.35571726027397</x:v>
      </x:c>
    </x:row>
    <x:row r="283">
      <x:c r="A283" t="str">
        <x:v>partner</x:v>
      </x:c>
      <x:c r="B283" t="str">
        <x:v>integration</x:v>
      </x:c>
      <x:c r="C283" t="str">
        <x:v>cost_factor</x:v>
      </x:c>
      <x:c r="D283" t="n">
        <x:v>1</x:v>
      </x:c>
      <x:c r="E283" t="n">
        <x:v>20.592951494337385</x:v>
      </x:c>
      <x:c r="F283" t="n">
        <x:v>0</x:v>
      </x:c>
      <x:c r="G283" t="n">
        <x:v>9.137024657534244</x:v>
      </x:c>
    </x:row>
    <x:row r="284">
      <x:c r="A284" t="str">
        <x:v>partner</x:v>
      </x:c>
      <x:c r="B284" t="str">
        <x:v>integration</x:v>
      </x:c>
      <x:c r="C284" t="str">
        <x:v>cost_factor</x:v>
      </x:c>
      <x:c r="D284" t="n">
        <x:v>1.05</x:v>
      </x:c>
      <x:c r="E284" t="n">
        <x:v>6.276277290564507</x:v>
      </x:c>
      <x:c r="F284" t="n">
        <x:v>-14.316674203772877</x:v>
      </x:c>
      <x:c r="G284" t="n">
        <x:v>9.93409656986302</x:v>
      </x:c>
    </x:row>
    <x:row r="285">
      <x:c r="A285" t="str">
        <x:v>partner</x:v>
      </x:c>
      <x:c r="B285" t="str">
        <x:v>integration</x:v>
      </x:c>
      <x:c r="C285" t="str">
        <x:v>cost_factor</x:v>
      </x:c>
      <x:c r="D285" t="n">
        <x:v>1.1</x:v>
      </x:c>
      <x:c r="E285" t="n">
        <x:v>-8.136410468470789</x:v>
      </x:c>
      <x:c r="F285" t="n">
        <x:v>-28.729361962808174</x:v>
      </x:c>
      <x:c r="G285" t="n">
        <x:v>12.621362338630153</x:v>
      </x:c>
    </x:row>
    <x:row r="286">
      <x:c r="A286" t="str">
        <x:v>partner</x:v>
      </x:c>
      <x:c r="B286" t="str">
        <x:v>integration</x:v>
      </x:c>
      <x:c r="C286" t="str">
        <x:v>capex_factor</x:v>
      </x:c>
      <x:c r="D286" t="n">
        <x:v>0.5</x:v>
      </x:c>
      <x:c r="E286" t="n">
        <x:v>25.780304727022255</x:v>
      </x:c>
      <x:c r="F286" t="n">
        <x:v>5.18735323268487</x:v>
      </x:c>
      <x:c r="G286" t="n">
        <x:v>5.159024657534244</x:v>
      </x:c>
    </x:row>
    <x:row r="287">
      <x:c r="A287" t="str">
        <x:v>partner</x:v>
      </x:c>
      <x:c r="B287" t="str">
        <x:v>integration</x:v>
      </x:c>
      <x:c r="C287" t="str">
        <x:v>capex_factor</x:v>
      </x:c>
      <x:c r="D287" t="n">
        <x:v>0.75</x:v>
      </x:c>
      <x:c r="E287" t="n">
        <x:v>23.18662811067982</x:v>
      </x:c>
      <x:c r="F287" t="n">
        <x:v>2.593676616342435</x:v>
      </x:c>
      <x:c r="G287" t="n">
        <x:v>7.148024657534244</x:v>
      </x:c>
    </x:row>
    <x:row r="288">
      <x:c r="A288" t="str">
        <x:v>partner</x:v>
      </x:c>
      <x:c r="B288" t="str">
        <x:v>integration</x:v>
      </x:c>
      <x:c r="C288" t="str">
        <x:v>capex_factor</x:v>
      </x:c>
      <x:c r="D288" t="n">
        <x:v>1</x:v>
      </x:c>
      <x:c r="E288" t="n">
        <x:v>20.592951494337385</x:v>
      </x:c>
      <x:c r="F288" t="n">
        <x:v>0</x:v>
      </x:c>
      <x:c r="G288" t="n">
        <x:v>9.137024657534244</x:v>
      </x:c>
    </x:row>
    <x:row r="289">
      <x:c r="A289" t="str">
        <x:v>partner</x:v>
      </x:c>
      <x:c r="B289" t="str">
        <x:v>integration</x:v>
      </x:c>
      <x:c r="C289" t="str">
        <x:v>capex_factor</x:v>
      </x:c>
      <x:c r="D289" t="n">
        <x:v>1.25</x:v>
      </x:c>
      <x:c r="E289" t="n">
        <x:v>17.999274877994953</x:v>
      </x:c>
      <x:c r="F289" t="n">
        <x:v>-2.5936766163424316</x:v>
      </x:c>
      <x:c r="G289" t="n">
        <x:v>11.126024657534245</x:v>
      </x:c>
    </x:row>
    <x:row r="290">
      <x:c r="A290" t="str">
        <x:v>partner</x:v>
      </x:c>
      <x:c r="B290" t="str">
        <x:v>integration</x:v>
      </x:c>
      <x:c r="C290" t="str">
        <x:v>capex_factor</x:v>
      </x:c>
      <x:c r="D290" t="n">
        <x:v>1.5</x:v>
      </x:c>
      <x:c r="E290" t="n">
        <x:v>15.405598261652518</x:v>
      </x:c>
      <x:c r="F290" t="n">
        <x:v>-5.187353232684867</x:v>
      </x:c>
      <x:c r="G290" t="n">
        <x:v>13.115024657534244</x:v>
      </x:c>
    </x:row>
    <x:row r="291">
      <x:c r="A291" t="str">
        <x:v>partner</x:v>
      </x:c>
      <x:c r="B291" t="str">
        <x:v>integration</x:v>
      </x:c>
      <x:c r="C291" t="str">
        <x:v>DSO_added_days</x:v>
      </x:c>
      <x:c r="D291" t="n">
        <x:v>-10</x:v>
      </x:c>
      <x:c r="E291" t="n">
        <x:v>21.387371759889366</x:v>
      </x:c>
      <x:c r="F291" t="n">
        <x:v>0.794420265551981</x:v>
      </x:c>
      <x:c r="G291" t="n">
        <x:v>8.646065753424654</x:v>
      </x:c>
    </x:row>
    <x:row r="292">
      <x:c r="A292" t="str">
        <x:v>partner</x:v>
      </x:c>
      <x:c r="B292" t="str">
        <x:v>integration</x:v>
      </x:c>
      <x:c r="C292" t="str">
        <x:v>DSO_added_days</x:v>
      </x:c>
      <x:c r="D292" t="n">
        <x:v>0</x:v>
      </x:c>
      <x:c r="E292" t="n">
        <x:v>20.592951494337385</x:v>
      </x:c>
      <x:c r="F292" t="n">
        <x:v>0</x:v>
      </x:c>
      <x:c r="G292" t="n">
        <x:v>9.137024657534244</x:v>
      </x:c>
    </x:row>
    <x:row r="293">
      <x:c r="A293" t="str">
        <x:v>partner</x:v>
      </x:c>
      <x:c r="B293" t="str">
        <x:v>integration</x:v>
      </x:c>
      <x:c r="C293" t="str">
        <x:v>DSO_added_days</x:v>
      </x:c>
      <x:c r="D293" t="n">
        <x:v>10</x:v>
      </x:c>
      <x:c r="E293" t="n">
        <x:v>19.798531228785404</x:v>
      </x:c>
      <x:c r="F293" t="n">
        <x:v>-0.794420265551981</x:v>
      </x:c>
      <x:c r="G293" t="n">
        <x:v>9.627983561643834</x:v>
      </x:c>
    </x:row>
    <x:row r="294">
      <x:c r="A294" t="str">
        <x:v>partner</x:v>
      </x:c>
      <x:c r="B294" t="str">
        <x:v>integration</x:v>
      </x:c>
      <x:c r="C294" t="str">
        <x:v>DSO_added_days</x:v>
      </x:c>
      <x:c r="D294" t="n">
        <x:v>20</x:v>
      </x:c>
      <x:c r="E294" t="n">
        <x:v>19.004110963233423</x:v>
      </x:c>
      <x:c r="F294" t="n">
        <x:v>-1.588840531103962</x:v>
      </x:c>
      <x:c r="G294" t="n">
        <x:v>10.118942465753422</x:v>
      </x:c>
    </x:row>
    <x:row r="295">
      <x:c r="A295" t="str">
        <x:v>partner</x:v>
      </x:c>
      <x:c r="B295" t="str">
        <x:v>integration</x:v>
      </x:c>
      <x:c r="C295" t="str">
        <x:v>DSO_added_days</x:v>
      </x:c>
      <x:c r="D295" t="n">
        <x:v>40</x:v>
      </x:c>
      <x:c r="E295" t="n">
        <x:v>17.41527043212946</x:v>
      </x:c>
      <x:c r="F295" t="n">
        <x:v>-3.177681062207924</x:v>
      </x:c>
      <x:c r="G295" t="n">
        <x:v>11.145330849315066</x:v>
      </x:c>
    </x:row>
    <x:row r="296">
      <x:c r="A296" t="str">
        <x:v>partner</x:v>
      </x:c>
      <x:c r="B296" t="str">
        <x:v>integration</x:v>
      </x:c>
      <x:c r="C296" t="str">
        <x:v>DIO_added_days</x:v>
      </x:c>
      <x:c r="D296" t="n">
        <x:v>-10</x:v>
      </x:c>
      <x:c r="E296" t="n">
        <x:v>21.453705852062956</x:v>
      </x:c>
      <x:c r="F296" t="n">
        <x:v>0.8607543577255719</x:v>
      </x:c>
      <x:c r="G296" t="n">
        <x:v>8.605070684931505</x:v>
      </x:c>
    </x:row>
    <x:row r="297">
      <x:c r="A297" t="str">
        <x:v>partner</x:v>
      </x:c>
      <x:c r="B297" t="str">
        <x:v>integration</x:v>
      </x:c>
      <x:c r="C297" t="str">
        <x:v>DIO_added_days</x:v>
      </x:c>
      <x:c r="D297" t="n">
        <x:v>0</x:v>
      </x:c>
      <x:c r="E297" t="n">
        <x:v>20.592951494337385</x:v>
      </x:c>
      <x:c r="F297" t="n">
        <x:v>0</x:v>
      </x:c>
      <x:c r="G297" t="n">
        <x:v>9.137024657534244</x:v>
      </x:c>
    </x:row>
    <x:row r="298">
      <x:c r="A298" t="str">
        <x:v>partner</x:v>
      </x:c>
      <x:c r="B298" t="str">
        <x:v>integration</x:v>
      </x:c>
      <x:c r="C298" t="str">
        <x:v>DIO_added_days</x:v>
      </x:c>
      <x:c r="D298" t="n">
        <x:v>10</x:v>
      </x:c>
      <x:c r="E298" t="n">
        <x:v>19.732197136611813</x:v>
      </x:c>
      <x:c r="F298" t="n">
        <x:v>-0.8607543577255719</x:v>
      </x:c>
      <x:c r="G298" t="n">
        <x:v>9.668978630136984</x:v>
      </x:c>
    </x:row>
    <x:row r="299">
      <x:c r="A299" t="str">
        <x:v>partner</x:v>
      </x:c>
      <x:c r="B299" t="str">
        <x:v>integration</x:v>
      </x:c>
      <x:c r="C299" t="str">
        <x:v>DIO_added_days</x:v>
      </x:c>
      <x:c r="D299" t="n">
        <x:v>20</x:v>
      </x:c>
      <x:c r="E299" t="n">
        <x:v>18.87144277888624</x:v>
      </x:c>
      <x:c r="F299" t="n">
        <x:v>-1.7215087154511437</x:v>
      </x:c>
      <x:c r="G299" t="n">
        <x:v>10.200932602739723</x:v>
      </x:c>
    </x:row>
    <x:row r="300">
      <x:c r="A300" t="str">
        <x:v>partner</x:v>
      </x:c>
      <x:c r="B300" t="str">
        <x:v>integration</x:v>
      </x:c>
      <x:c r="C300" t="str">
        <x:v>DIO_added_days</x:v>
      </x:c>
      <x:c r="D300" t="n">
        <x:v>40</x:v>
      </x:c>
      <x:c r="E300" t="n">
        <x:v>17.149934063435097</x:v>
      </x:c>
      <x:c r="F300" t="n">
        <x:v>-3.4430174309022874</x:v>
      </x:c>
      <x:c r="G300" t="n">
        <x:v>11.414258498630135</x:v>
      </x:c>
    </x:row>
    <x:row r="301">
      <x:c r="A301" t="str">
        <x:v>partner</x:v>
      </x:c>
      <x:c r="B301" t="str">
        <x:v>integration</x:v>
      </x:c>
      <x:c r="C301" t="str">
        <x:v>real_hurdle</x:v>
      </x:c>
      <x:c r="D301" t="n">
        <x:v>0.06</x:v>
      </x:c>
      <x:c r="E301" t="n">
        <x:v>30.901796327709693</x:v>
      </x:c>
      <x:c r="F301" t="n">
        <x:v>10.308844833372309</x:v>
      </x:c>
      <x:c r="G301" t="n">
        <x:v>9.137024657534244</x:v>
      </x:c>
    </x:row>
    <x:row r="302">
      <x:c r="A302" t="str">
        <x:v>partner</x:v>
      </x:c>
      <x:c r="B302" t="str">
        <x:v>integration</x:v>
      </x:c>
      <x:c r="C302" t="str">
        <x:v>real_hurdle</x:v>
      </x:c>
      <x:c r="D302" t="n">
        <x:v>0.08</x:v>
      </x:c>
      <x:c r="E302" t="n">
        <x:v>23.534283268366462</x:v>
      </x:c>
      <x:c r="F302" t="n">
        <x:v>2.941331774029077</x:v>
      </x:c>
      <x:c r="G302" t="n">
        <x:v>9.137024657534244</x:v>
      </x:c>
    </x:row>
    <x:row r="303">
      <x:c r="A303" t="str">
        <x:v>partner</x:v>
      </x:c>
      <x:c r="B303" t="str">
        <x:v>integration</x:v>
      </x:c>
      <x:c r="C303" t="str">
        <x:v>real_hurdle</x:v>
      </x:c>
      <x:c r="D303" t="n">
        <x:v>0.1</x:v>
      </x:c>
      <x:c r="E303" t="n">
        <x:v>18.039794293120547</x:v>
      </x:c>
      <x:c r="F303" t="n">
        <x:v>-2.5531572012168375</x:v>
      </x:c>
      <x:c r="G303" t="n">
        <x:v>9.137024657534244</x:v>
      </x:c>
    </x:row>
    <x:row r="304">
      <x:c r="A304" t="str">
        <x:v>partner</x:v>
      </x:c>
      <x:c r="B304" t="str">
        <x:v>integration</x:v>
      </x:c>
      <x:c r="C304" t="str">
        <x:v>real_hurdle</x:v>
      </x:c>
      <x:c r="D304" t="n">
        <x:v>0.12</x:v>
      </x:c>
      <x:c r="E304" t="n">
        <x:v>13.861747226566916</x:v>
      </x:c>
      <x:c r="F304" t="n">
        <x:v>-6.731204267770469</x:v>
      </x:c>
      <x:c r="G304" t="n">
        <x:v>9.137024657534244</x:v>
      </x:c>
    </x:row>
    <x:row r="305">
      <x:c r="A305" t="str">
        <x:v>partner</x:v>
      </x:c>
      <x:c r="B305" t="str">
        <x:v>integration</x:v>
      </x:c>
      <x:c r="C305" t="str">
        <x:v>real_hurdle</x:v>
      </x:c>
      <x:c r="D305" t="n">
        <x:v>0.16</x:v>
      </x:c>
      <x:c r="E305" t="n">
        <x:v>8.077947311317622</x:v>
      </x:c>
      <x:c r="F305" t="n">
        <x:v>-12.515004183019762</x:v>
      </x:c>
      <x:c r="G305" t="n">
        <x:v>9.137024657534244</x:v>
      </x:c>
    </x:row>
    <x:row r="306">
      <x:c r="A306" t="str">
        <x:v>partner</x:v>
      </x:c>
      <x:c r="B306" t="str">
        <x:v>fragmented</x:v>
      </x:c>
      <x:c r="C306" t="str">
        <x:v>orders_factor</x:v>
      </x:c>
      <x:c r="D306" t="n">
        <x:v>0.7</x:v>
      </x:c>
      <x:c r="E306" t="n">
        <x:v>-7.721203644059468</x:v>
      </x:c>
      <x:c r="F306" t="n">
        <x:v>-4.1364730569393995</x:v>
      </x:c>
      <x:c r="G306" t="n">
        <x:v>12.229293458739734</x:v>
      </x:c>
    </x:row>
    <x:row r="307">
      <x:c r="A307" t="str">
        <x:v>partner</x:v>
      </x:c>
      <x:c r="B307" t="str">
        <x:v>fragmented</x:v>
      </x:c>
      <x:c r="C307" t="str">
        <x:v>orders_factor</x:v>
      </x:c>
      <x:c r="D307" t="n">
        <x:v>0.85</x:v>
      </x:c>
      <x:c r="E307" t="n">
        <x:v>-5.638890015144</x:v>
      </x:c>
      <x:c r="F307" t="n">
        <x:v>-2.0541594280239313</x:v>
      </x:c>
      <x:c r="G307" t="n">
        <x:v>12.376301466301378</x:v>
      </x:c>
    </x:row>
    <x:row r="308">
      <x:c r="A308" t="str">
        <x:v>partner</x:v>
      </x:c>
      <x:c r="B308" t="str">
        <x:v>fragmented</x:v>
      </x:c>
      <x:c r="C308" t="str">
        <x:v>orders_factor</x:v>
      </x:c>
      <x:c r="D308" t="n">
        <x:v>1</x:v>
      </x:c>
      <x:c r="E308" t="n">
        <x:v>-3.5847305871200685</x:v>
      </x:c>
      <x:c r="F308" t="n">
        <x:v>0</x:v>
      </x:c>
      <x:c r="G308" t="n">
        <x:v>12.709059419178088</x:v>
      </x:c>
    </x:row>
    <x:row r="309">
      <x:c r="A309" t="str">
        <x:v>partner</x:v>
      </x:c>
      <x:c r="B309" t="str">
        <x:v>fragmented</x:v>
      </x:c>
      <x:c r="C309" t="str">
        <x:v>orders_factor</x:v>
      </x:c>
      <x:c r="D309" t="n">
        <x:v>1.15</x:v>
      </x:c>
      <x:c r="E309" t="n">
        <x:v>-1.5382926332214981</x:v>
      </x:c>
      <x:c r="F309" t="n">
        <x:v>2.0464379538985704</x:v>
      </x:c>
      <x:c r="G309" t="n">
        <x:v>13.1322183320548</x:v>
      </x:c>
    </x:row>
    <x:row r="310">
      <x:c r="A310" t="str">
        <x:v>partner</x:v>
      </x:c>
      <x:c r="B310" t="str">
        <x:v>fragmented</x:v>
      </x:c>
      <x:c r="C310" t="str">
        <x:v>orders_factor</x:v>
      </x:c>
      <x:c r="D310" t="n">
        <x:v>1.3</x:v>
      </x:c>
      <x:c r="E310" t="n">
        <x:v>-0.4223452924549811</x:v>
      </x:c>
      <x:c r="F310" t="n">
        <x:v>3.1623852946650874</x:v>
      </x:c>
      <x:c r="G310" t="n">
        <x:v>13.555377244931513</x:v>
      </x:c>
    </x:row>
    <x:row r="311">
      <x:c r="A311" t="str">
        <x:v>partner</x:v>
      </x:c>
      <x:c r="B311" t="str">
        <x:v>fragmented</x:v>
      </x:c>
      <x:c r="C311" t="str">
        <x:v>price_factor</x:v>
      </x:c>
      <x:c r="D311" t="n">
        <x:v>0.9</x:v>
      </x:c>
      <x:c r="E311" t="n">
        <x:v>-28.82865812019065</x:v>
      </x:c>
      <x:c r="F311" t="n">
        <x:v>-25.243927533070583</x:v>
      </x:c>
      <x:c r="G311" t="n">
        <x:v>67.671798374241</x:v>
      </x:c>
    </x:row>
    <x:row r="312">
      <x:c r="A312" t="str">
        <x:v>partner</x:v>
      </x:c>
      <x:c r="B312" t="str">
        <x:v>fragmented</x:v>
      </x:c>
      <x:c r="C312" t="str">
        <x:v>price_factor</x:v>
      </x:c>
      <x:c r="D312" t="n">
        <x:v>0.95</x:v>
      </x:c>
      <x:c r="E312" t="n">
        <x:v>-15.001042320132225</x:v>
      </x:c>
      <x:c r="F312" t="n">
        <x:v>-11.416311733012156</x:v>
      </x:c>
      <x:c r="G312" t="n">
        <x:v>23.041278066106283</x:v>
      </x:c>
    </x:row>
    <x:row r="313">
      <x:c r="A313" t="str">
        <x:v>partner</x:v>
      </x:c>
      <x:c r="B313" t="str">
        <x:v>fragmented</x:v>
      </x:c>
      <x:c r="C313" t="str">
        <x:v>price_factor</x:v>
      </x:c>
      <x:c r="D313" t="n">
        <x:v>1</x:v>
      </x:c>
      <x:c r="E313" t="n">
        <x:v>-3.5847305871200685</x:v>
      </x:c>
      <x:c r="F313" t="n">
        <x:v>0</x:v>
      </x:c>
      <x:c r="G313" t="n">
        <x:v>12.709059419178088</x:v>
      </x:c>
    </x:row>
    <x:row r="314">
      <x:c r="A314" t="str">
        <x:v>partner</x:v>
      </x:c>
      <x:c r="B314" t="str">
        <x:v>fragmented</x:v>
      </x:c>
      <x:c r="C314" t="str">
        <x:v>price_factor</x:v>
      </x:c>
      <x:c r="D314" t="n">
        <x:v>1.05</x:v>
      </x:c>
      <x:c r="E314" t="n">
        <x:v>6.753657303444647</x:v>
      </x:c>
      <x:c r="F314" t="n">
        <x:v>10.338387890564714</x:v>
      </x:c>
      <x:c r="G314" t="n">
        <x:v>11.043184569863016</x:v>
      </x:c>
    </x:row>
    <x:row r="315">
      <x:c r="A315" t="str">
        <x:v>partner</x:v>
      </x:c>
      <x:c r="B315" t="str">
        <x:v>fragmented</x:v>
      </x:c>
      <x:c r="C315" t="str">
        <x:v>price_factor</x:v>
      </x:c>
      <x:c r="D315" t="n">
        <x:v>1.1</x:v>
      </x:c>
      <x:c r="E315" t="n">
        <x:v>17.083320704213477</x:v>
      </x:c>
      <x:c r="F315" t="n">
        <x:v>20.668051291333548</x:v>
      </x:c>
      <x:c r="G315" t="n">
        <x:v>10.327660273972603</x:v>
      </x:c>
    </x:row>
    <x:row r="316">
      <x:c r="A316" t="str">
        <x:v>partner</x:v>
      </x:c>
      <x:c r="B316" t="str">
        <x:v>fragmented</x:v>
      </x:c>
      <x:c r="C316" t="str">
        <x:v>cost_factor</x:v>
      </x:c>
      <x:c r="D316" t="n">
        <x:v>0.9</x:v>
      </x:c>
      <x:c r="E316" t="n">
        <x:v>15.723264704335474</x:v>
      </x:c>
      <x:c r="F316" t="n">
        <x:v>19.30799529145554</x:v>
      </x:c>
      <x:c r="G316" t="n">
        <x:v>10.069609315068497</x:v>
      </x:c>
    </x:row>
    <x:row r="317">
      <x:c r="A317" t="str">
        <x:v>partner</x:v>
      </x:c>
      <x:c r="B317" t="str">
        <x:v>fragmented</x:v>
      </x:c>
      <x:c r="C317" t="str">
        <x:v>cost_factor</x:v>
      </x:c>
      <x:c r="D317" t="n">
        <x:v>0.95</x:v>
      </x:c>
      <x:c r="E317" t="n">
        <x:v>6.073629303505689</x:v>
      </x:c>
      <x:c r="F317" t="n">
        <x:v>9.658359890625757</x:v>
      </x:c>
      <x:c r="G317" t="n">
        <x:v>10.902131598904111</x:v>
      </x:c>
    </x:row>
    <x:row r="318">
      <x:c r="A318" t="str">
        <x:v>partner</x:v>
      </x:c>
      <x:c r="B318" t="str">
        <x:v>fragmented</x:v>
      </x:c>
      <x:c r="C318" t="str">
        <x:v>cost_factor</x:v>
      </x:c>
      <x:c r="D318" t="n">
        <x:v>1</x:v>
      </x:c>
      <x:c r="E318" t="n">
        <x:v>-3.5847305871200685</x:v>
      </x:c>
      <x:c r="F318" t="n">
        <x:v>0</x:v>
      </x:c>
      <x:c r="G318" t="n">
        <x:v>12.709059419178088</x:v>
      </x:c>
    </x:row>
    <x:row r="319">
      <x:c r="A319" t="str">
        <x:v>partner</x:v>
      </x:c>
      <x:c r="B319" t="str">
        <x:v>fragmented</x:v>
      </x:c>
      <x:c r="C319" t="str">
        <x:v>cost_factor</x:v>
      </x:c>
      <x:c r="D319" t="n">
        <x:v>1.05</x:v>
      </x:c>
      <x:c r="E319" t="n">
        <x:v>-13.990054208568125</x:v>
      </x:c>
      <x:c r="F319" t="n">
        <x:v>-10.405323621448057</x:v>
      </x:c>
      <x:c r="G319" t="n">
        <x:v>19.70548156547337</x:v>
      </x:c>
    </x:row>
    <x:row r="320">
      <x:c r="A320" t="str">
        <x:v>partner</x:v>
      </x:c>
      <x:c r="B320" t="str">
        <x:v>fragmented</x:v>
      </x:c>
      <x:c r="C320" t="str">
        <x:v>cost_factor</x:v>
      </x:c>
      <x:c r="D320" t="n">
        <x:v>1.1</x:v>
      </x:c>
      <x:c r="E320" t="n">
        <x:v>-26.806681897062543</x:v>
      </x:c>
      <x:c r="F320" t="n">
        <x:v>-23.221951309942476</x:v>
      </x:c>
      <x:c r="G320" t="n">
        <x:v>59.85834105436062</x:v>
      </x:c>
    </x:row>
    <x:row r="321">
      <x:c r="A321" t="str">
        <x:v>partner</x:v>
      </x:c>
      <x:c r="B321" t="str">
        <x:v>fragmented</x:v>
      </x:c>
      <x:c r="C321" t="str">
        <x:v>capex_factor</x:v>
      </x:c>
      <x:c r="D321" t="n">
        <x:v>0.5</x:v>
      </x:c>
      <x:c r="E321" t="n">
        <x:v>1.1299230902557627</x:v>
      </x:c>
      <x:c r="F321" t="n">
        <x:v>4.714653677375831</x:v>
      </x:c>
      <x:c r="G321" t="n">
        <x:v>8.755059419178089</x:v>
      </x:c>
    </x:row>
    <x:row r="322">
      <x:c r="A322" t="str">
        <x:v>partner</x:v>
      </x:c>
      <x:c r="B322" t="str">
        <x:v>fragmented</x:v>
      </x:c>
      <x:c r="C322" t="str">
        <x:v>capex_factor</x:v>
      </x:c>
      <x:c r="D322" t="n">
        <x:v>0.75</x:v>
      </x:c>
      <x:c r="E322" t="n">
        <x:v>-1.2268871667995005</x:v>
      </x:c>
      <x:c r="F322" t="n">
        <x:v>2.357843420320568</x:v>
      </x:c>
      <x:c r="G322" t="n">
        <x:v>10.73205941917809</x:v>
      </x:c>
    </x:row>
    <x:row r="323">
      <x:c r="A323" t="str">
        <x:v>partner</x:v>
      </x:c>
      <x:c r="B323" t="str">
        <x:v>fragmented</x:v>
      </x:c>
      <x:c r="C323" t="str">
        <x:v>capex_factor</x:v>
      </x:c>
      <x:c r="D323" t="n">
        <x:v>1</x:v>
      </x:c>
      <x:c r="E323" t="n">
        <x:v>-3.5847305871200685</x:v>
      </x:c>
      <x:c r="F323" t="n">
        <x:v>0</x:v>
      </x:c>
      <x:c r="G323" t="n">
        <x:v>12.709059419178088</x:v>
      </x:c>
    </x:row>
    <x:row r="324">
      <x:c r="A324" t="str">
        <x:v>partner</x:v>
      </x:c>
      <x:c r="B324" t="str">
        <x:v>fragmented</x:v>
      </x:c>
      <x:c r="C324" t="str">
        <x:v>capex_factor</x:v>
      </x:c>
      <x:c r="D324" t="n">
        <x:v>1.25</x:v>
      </x:c>
      <x:c r="E324" t="n">
        <x:v>-5.944297449496032</x:v>
      </x:c>
      <x:c r="F324" t="n">
        <x:v>-2.3595668623759636</x:v>
      </x:c>
      <x:c r="G324" t="n">
        <x:v>14.70623701917809</x:v>
      </x:c>
    </x:row>
    <x:row r="325">
      <x:c r="A325" t="str">
        <x:v>partner</x:v>
      </x:c>
      <x:c r="B325" t="str">
        <x:v>fragmented</x:v>
      </x:c>
      <x:c r="C325" t="str">
        <x:v>capex_factor</x:v>
      </x:c>
      <x:c r="D325" t="n">
        <x:v>1.5</x:v>
      </x:c>
      <x:c r="E325" t="n">
        <x:v>-8.310938473679577</x:v>
      </x:c>
      <x:c r="F325" t="n">
        <x:v>-4.726207886559509</x:v>
      </x:c>
      <x:c r="G325" t="n">
        <x:v>16.786237019178092</x:v>
      </x:c>
    </x:row>
    <x:row r="326">
      <x:c r="A326" t="str">
        <x:v>partner</x:v>
      </x:c>
      <x:c r="B326" t="str">
        <x:v>fragmented</x:v>
      </x:c>
      <x:c r="C326" t="str">
        <x:v>DSO_added_days</x:v>
      </x:c>
      <x:c r="D326" t="n">
        <x:v>-10</x:v>
      </x:c>
      <x:c r="E326" t="n">
        <x:v>-2.9279553987192397</x:v>
      </x:c>
      <x:c r="F326" t="n">
        <x:v>0.6567751884008288</x:v>
      </x:c>
      <x:c r="G326" t="n">
        <x:v>12.049294816438362</x:v>
      </x:c>
    </x:row>
    <x:row r="327">
      <x:c r="A327" t="str">
        <x:v>partner</x:v>
      </x:c>
      <x:c r="B327" t="str">
        <x:v>fragmented</x:v>
      </x:c>
      <x:c r="C327" t="str">
        <x:v>DSO_added_days</x:v>
      </x:c>
      <x:c r="D327" t="n">
        <x:v>0</x:v>
      </x:c>
      <x:c r="E327" t="n">
        <x:v>-3.5847305871200685</x:v>
      </x:c>
      <x:c r="F327" t="n">
        <x:v>0</x:v>
      </x:c>
      <x:c r="G327" t="n">
        <x:v>12.709059419178088</x:v>
      </x:c>
    </x:row>
    <x:row r="328">
      <x:c r="A328" t="str">
        <x:v>partner</x:v>
      </x:c>
      <x:c r="B328" t="str">
        <x:v>fragmented</x:v>
      </x:c>
      <x:c r="C328" t="str">
        <x:v>DSO_added_days</x:v>
      </x:c>
      <x:c r="D328" t="n">
        <x:v>10</x:v>
      </x:c>
      <x:c r="E328" t="n">
        <x:v>-4.241505775520897</x:v>
      </x:c>
      <x:c r="F328" t="n">
        <x:v>-0.6567751884008288</x:v>
      </x:c>
      <x:c r="G328" t="n">
        <x:v>13.403120477534255</x:v>
      </x:c>
    </x:row>
    <x:row r="329">
      <x:c r="A329" t="str">
        <x:v>partner</x:v>
      </x:c>
      <x:c r="B329" t="str">
        <x:v>fragmented</x:v>
      </x:c>
      <x:c r="C329" t="str">
        <x:v>DSO_added_days</x:v>
      </x:c>
      <x:c r="D329" t="n">
        <x:v>20</x:v>
      </x:c>
      <x:c r="E329" t="n">
        <x:v>-4.898280963921726</x:v>
      </x:c>
      <x:c r="F329" t="n">
        <x:v>-1.3135503768016576</x:v>
      </x:c>
      <x:c r="G329" t="n">
        <x:v>14.231949759726037</x:v>
      </x:c>
    </x:row>
    <x:row r="330">
      <x:c r="A330" t="str">
        <x:v>partner</x:v>
      </x:c>
      <x:c r="B330" t="str">
        <x:v>fragmented</x:v>
      </x:c>
      <x:c r="C330" t="str">
        <x:v>DSO_added_days</x:v>
      </x:c>
      <x:c r="D330" t="n">
        <x:v>40</x:v>
      </x:c>
      <x:c r="E330" t="n">
        <x:v>-6.211831340723383</x:v>
      </x:c>
      <x:c r="F330" t="n">
        <x:v>-2.6271007536033144</x:v>
      </x:c>
      <x:c r="G330" t="n">
        <x:v>15.889608324109597</x:v>
      </x:c>
    </x:row>
    <x:row r="331">
      <x:c r="A331" t="str">
        <x:v>partner</x:v>
      </x:c>
      <x:c r="B331" t="str">
        <x:v>fragmented</x:v>
      </x:c>
      <x:c r="C331" t="str">
        <x:v>DIO_added_days</x:v>
      </x:c>
      <x:c r="D331" t="n">
        <x:v>-10</x:v>
      </x:c>
      <x:c r="E331" t="n">
        <x:v>-2.841437897939515</x:v>
      </x:c>
      <x:c r="F331" t="n">
        <x:v>0.7432926891805534</x:v>
      </x:c>
      <x:c r="G331" t="n">
        <x:v>11.962383517808224</x:v>
      </x:c>
    </x:row>
    <x:row r="332">
      <x:c r="A332" t="str">
        <x:v>partner</x:v>
      </x:c>
      <x:c r="B332" t="str">
        <x:v>fragmented</x:v>
      </x:c>
      <x:c r="C332" t="str">
        <x:v>DIO_added_days</x:v>
      </x:c>
      <x:c r="D332" t="n">
        <x:v>0</x:v>
      </x:c>
      <x:c r="E332" t="n">
        <x:v>-3.5847305871200685</x:v>
      </x:c>
      <x:c r="F332" t="n">
        <x:v>0</x:v>
      </x:c>
      <x:c r="G332" t="n">
        <x:v>12.709059419178088</x:v>
      </x:c>
    </x:row>
    <x:row r="333">
      <x:c r="A333" t="str">
        <x:v>partner</x:v>
      </x:c>
      <x:c r="B333" t="str">
        <x:v>fragmented</x:v>
      </x:c>
      <x:c r="C333" t="str">
        <x:v>DIO_added_days</x:v>
      </x:c>
      <x:c r="D333" t="n">
        <x:v>10</x:v>
      </x:c>
      <x:c r="E333" t="n">
        <x:v>-4.328023276300622</x:v>
      </x:c>
      <x:c r="F333" t="n">
        <x:v>-0.7432926891805538</x:v>
      </x:c>
      <x:c r="G333" t="n">
        <x:v>13.512302796438366</x:v>
      </x:c>
    </x:row>
    <x:row r="334">
      <x:c r="A334" t="str">
        <x:v>partner</x:v>
      </x:c>
      <x:c r="B334" t="str">
        <x:v>fragmented</x:v>
      </x:c>
      <x:c r="C334" t="str">
        <x:v>DIO_added_days</x:v>
      </x:c>
      <x:c r="D334" t="n">
        <x:v>20</x:v>
      </x:c>
      <x:c r="E334" t="n">
        <x:v>-5.071315965481175</x:v>
      </x:c>
      <x:c r="F334" t="n">
        <x:v>-1.4865853783611067</x:v>
      </x:c>
      <x:c r="G334" t="n">
        <x:v>14.450314397534259</x:v>
      </x:c>
    </x:row>
    <x:row r="335">
      <x:c r="A335" t="str">
        <x:v>partner</x:v>
      </x:c>
      <x:c r="B335" t="str">
        <x:v>fragmented</x:v>
      </x:c>
      <x:c r="C335" t="str">
        <x:v>DIO_added_days</x:v>
      </x:c>
      <x:c r="D335" t="n">
        <x:v>40</x:v>
      </x:c>
      <x:c r="E335" t="n">
        <x:v>-6.557901343842281</x:v>
      </x:c>
      <x:c r="F335" t="n">
        <x:v>-2.9731707567222125</x:v>
      </x:c>
      <x:c r="G335" t="n">
        <x:v>16.326337599726035</x:v>
      </x:c>
    </x:row>
    <x:row r="336">
      <x:c r="A336" t="str">
        <x:v>partner</x:v>
      </x:c>
      <x:c r="B336" t="str">
        <x:v>fragmented</x:v>
      </x:c>
      <x:c r="C336" t="str">
        <x:v>real_hurdle</x:v>
      </x:c>
      <x:c r="D336" t="n">
        <x:v>0.06</x:v>
      </x:c>
      <x:c r="E336" t="n">
        <x:v>3.356751950777414</x:v>
      </x:c>
      <x:c r="F336" t="n">
        <x:v>6.941482537897483</x:v>
      </x:c>
      <x:c r="G336" t="n">
        <x:v>12.709059419178088</x:v>
      </x:c>
    </x:row>
    <x:row r="337">
      <x:c r="A337" t="str">
        <x:v>partner</x:v>
      </x:c>
      <x:c r="B337" t="str">
        <x:v>fragmented</x:v>
      </x:c>
      <x:c r="C337" t="str">
        <x:v>real_hurdle</x:v>
      </x:c>
      <x:c r="D337" t="n">
        <x:v>0.08</x:v>
      </x:c>
      <x:c r="E337" t="n">
        <x:v>0.2488355016378021</x:v>
      </x:c>
      <x:c r="F337" t="n">
        <x:v>3.8335660887578706</x:v>
      </x:c>
      <x:c r="G337" t="n">
        <x:v>12.709059419178088</x:v>
      </x:c>
    </x:row>
    <x:row r="338">
      <x:c r="A338" t="str">
        <x:v>partner</x:v>
      </x:c>
      <x:c r="B338" t="str">
        <x:v>fragmented</x:v>
      </x:c>
      <x:c r="C338" t="str">
        <x:v>real_hurdle</x:v>
      </x:c>
      <x:c r="D338" t="n">
        <x:v>0.1</x:v>
      </x:c>
      <x:c r="E338" t="n">
        <x:v>-1.969972158402853</x:v>
      </x:c>
      <x:c r="F338" t="n">
        <x:v>1.6147584287172156</x:v>
      </x:c>
      <x:c r="G338" t="n">
        <x:v>12.709059419178088</x:v>
      </x:c>
    </x:row>
    <x:row r="339">
      <x:c r="A339" t="str">
        <x:v>partner</x:v>
      </x:c>
      <x:c r="B339" t="str">
        <x:v>fragmented</x:v>
      </x:c>
      <x:c r="C339" t="str">
        <x:v>real_hurdle</x:v>
      </x:c>
      <x:c r="D339" t="n">
        <x:v>0.12</x:v>
      </x:c>
      <x:c r="E339" t="n">
        <x:v>-3.5847305871200685</x:v>
      </x:c>
      <x:c r="F339" t="n">
        <x:v>0</x:v>
      </x:c>
      <x:c r="G339" t="n">
        <x:v>12.709059419178088</x:v>
      </x:c>
    </x:row>
    <x:row r="340">
      <x:c r="A340" t="str">
        <x:v>partner</x:v>
      </x:c>
      <x:c r="B340" t="str">
        <x:v>fragmented</x:v>
      </x:c>
      <x:c r="C340" t="str">
        <x:v>real_hurdle</x:v>
      </x:c>
      <x:c r="D340" t="n">
        <x:v>0.16</x:v>
      </x:c>
      <x:c r="E340" t="n">
        <x:v>-5.6817949864588435</x:v>
      </x:c>
      <x:c r="F340" t="n">
        <x:v>-2.097064399338775</x:v>
      </x:c>
      <x:c r="G340" t="n">
        <x:v>12.709059419178088</x:v>
      </x:c>
    </x:row>
    <x:row r="341">
      <x:c r="A341" t="str">
        <x:v>partner</x:v>
      </x:c>
      <x:c r="B341" t="str">
        <x:v>physical</x:v>
      </x:c>
      <x:c r="C341" t="str">
        <x:v>orders_factor</x:v>
      </x:c>
      <x:c r="D341" t="n">
        <x:v>0.7</x:v>
      </x:c>
      <x:c r="E341" t="n">
        <x:v>-18.73563412117095</x:v>
      </x:c>
      <x:c r="F341" t="n">
        <x:v>-1.3406327043892468</x:v>
      </x:c>
      <x:c r="G341" t="n">
        <x:v>36.13118997405738</x:v>
      </x:c>
    </x:row>
    <x:row r="342">
      <x:c r="A342" t="str">
        <x:v>partner</x:v>
      </x:c>
      <x:c r="B342" t="str">
        <x:v>physical</x:v>
      </x:c>
      <x:c r="C342" t="str">
        <x:v>orders_factor</x:v>
      </x:c>
      <x:c r="D342" t="n">
        <x:v>0.85</x:v>
      </x:c>
      <x:c r="E342" t="n">
        <x:v>-18.065317768976325</x:v>
      </x:c>
      <x:c r="F342" t="n">
        <x:v>-0.6703163521946216</x:v>
      </x:c>
      <x:c r="G342" t="n">
        <x:v>31.83930211135539</x:v>
      </x:c>
    </x:row>
    <x:row r="343">
      <x:c r="A343" t="str">
        <x:v>partner</x:v>
      </x:c>
      <x:c r="B343" t="str">
        <x:v>physical</x:v>
      </x:c>
      <x:c r="C343" t="str">
        <x:v>orders_factor</x:v>
      </x:c>
      <x:c r="D343" t="n">
        <x:v>1</x:v>
      </x:c>
      <x:c r="E343" t="n">
        <x:v>-17.395001416781703</x:v>
      </x:c>
      <x:c r="F343" t="n">
        <x:v>0</x:v>
      </x:c>
      <x:c r="G343" t="n">
        <x:v>27.95674091083143</x:v>
      </x:c>
    </x:row>
    <x:row r="344">
      <x:c r="A344" t="str">
        <x:v>partner</x:v>
      </x:c>
      <x:c r="B344" t="str">
        <x:v>physical</x:v>
      </x:c>
      <x:c r="C344" t="str">
        <x:v>orders_factor</x:v>
      </x:c>
      <x:c r="D344" t="n">
        <x:v>1.15</x:v>
      </x:c>
      <x:c r="E344" t="n">
        <x:v>-16.814589910996478</x:v>
      </x:c>
      <x:c r="F344" t="n">
        <x:v>0.580411505785225</x:v>
      </x:c>
      <x:c r="G344" t="n">
        <x:v>24.854316532474325</x:v>
      </x:c>
    </x:row>
    <x:row r="345">
      <x:c r="A345" t="str">
        <x:v>partner</x:v>
      </x:c>
      <x:c r="B345" t="str">
        <x:v>physical</x:v>
      </x:c>
      <x:c r="C345" t="str">
        <x:v>orders_factor</x:v>
      </x:c>
      <x:c r="D345" t="n">
        <x:v>1.3</x:v>
      </x:c>
      <x:c r="E345" t="n">
        <x:v>-16.711959781098813</x:v>
      </x:c>
      <x:c r="F345" t="n">
        <x:v>0.6830416356828906</x:v>
      </x:c>
      <x:c r="G345" t="n">
        <x:v>24.5265291747943</x:v>
      </x:c>
    </x:row>
    <x:row r="346">
      <x:c r="A346" t="str">
        <x:v>partner</x:v>
      </x:c>
      <x:c r="B346" t="str">
        <x:v>physical</x:v>
      </x:c>
      <x:c r="C346" t="str">
        <x:v>price_factor</x:v>
      </x:c>
      <x:c r="D346" t="n">
        <x:v>0.9</x:v>
      </x:c>
      <x:c r="E346" t="n">
        <x:v>-43.01555740764262</x:v>
      </x:c>
      <x:c r="F346" t="n">
        <x:v>-25.620555990860915</x:v>
      </x:c>
      <x:c r="G346" t="n">
        <x:v>112.05063948322508</x:v>
      </x:c>
    </x:row>
    <x:row r="347">
      <x:c r="A347" t="str">
        <x:v>partner</x:v>
      </x:c>
      <x:c r="B347" t="str">
        <x:v>physical</x:v>
      </x:c>
      <x:c r="C347" t="str">
        <x:v>price_factor</x:v>
      </x:c>
      <x:c r="D347" t="n">
        <x:v>0.95</x:v>
      </x:c>
      <x:c r="E347" t="n">
        <x:v>-30.205279412212168</x:v>
      </x:c>
      <x:c r="F347" t="n">
        <x:v>-12.810277995430464</x:v>
      </x:c>
      <x:c r="G347" t="n">
        <x:v>69.79902686593924</x:v>
      </x:c>
    </x:row>
    <x:row r="348">
      <x:c r="A348" t="str">
        <x:v>partner</x:v>
      </x:c>
      <x:c r="B348" t="str">
        <x:v>physical</x:v>
      </x:c>
      <x:c r="C348" t="str">
        <x:v>price_factor</x:v>
      </x:c>
      <x:c r="D348" t="n">
        <x:v>1</x:v>
      </x:c>
      <x:c r="E348" t="n">
        <x:v>-17.395001416781703</x:v>
      </x:c>
      <x:c r="F348" t="n">
        <x:v>0</x:v>
      </x:c>
      <x:c r="G348" t="n">
        <x:v>27.95674091083143</x:v>
      </x:c>
    </x:row>
    <x:row r="349">
      <x:c r="A349" t="str">
        <x:v>partner</x:v>
      </x:c>
      <x:c r="B349" t="str">
        <x:v>physical</x:v>
      </x:c>
      <x:c r="C349" t="str">
        <x:v>price_factor</x:v>
      </x:c>
      <x:c r="D349" t="n">
        <x:v>1.05</x:v>
      </x:c>
      <x:c r="E349" t="n">
        <x:v>-6.455419942593999</x:v>
      </x:c>
      <x:c r="F349" t="n">
        <x:v>10.939581474187705</x:v>
      </x:c>
      <x:c r="G349" t="n">
        <x:v>14.653196421109573</x:v>
      </x:c>
    </x:row>
    <x:row r="350">
      <x:c r="A350" t="str">
        <x:v>partner</x:v>
      </x:c>
      <x:c r="B350" t="str">
        <x:v>physical</x:v>
      </x:c>
      <x:c r="C350" t="str">
        <x:v>price_factor</x:v>
      </x:c>
      <x:c r="D350" t="n">
        <x:v>1.1</x:v>
      </x:c>
      <x:c r="E350" t="n">
        <x:v>3.1213322437404525</x:v>
      </x:c>
      <x:c r="F350" t="n">
        <x:v>20.516333660522157</x:v>
      </x:c>
      <x:c r="G350" t="n">
        <x:v>12.737449801643823</x:v>
      </x:c>
    </x:row>
    <x:row r="351">
      <x:c r="A351" t="str">
        <x:v>partner</x:v>
      </x:c>
      <x:c r="B351" t="str">
        <x:v>physical</x:v>
      </x:c>
      <x:c r="C351" t="str">
        <x:v>cost_factor</x:v>
      </x:c>
      <x:c r="D351" t="n">
        <x:v>0.9</x:v>
      </x:c>
      <x:c r="E351" t="n">
        <x:v>2.968641441499627</x:v>
      </x:c>
      <x:c r="F351" t="n">
        <x:v>20.36364285828133</x:v>
      </x:c>
      <x:c r="G351" t="n">
        <x:v>12.15823451178082</x:v>
      </x:c>
    </x:row>
    <x:row r="352">
      <x:c r="A352" t="str">
        <x:v>partner</x:v>
      </x:c>
      <x:c r="B352" t="str">
        <x:v>physical</x:v>
      </x:c>
      <x:c r="C352" t="str">
        <x:v>cost_factor</x:v>
      </x:c>
      <x:c r="D352" t="n">
        <x:v>0.95</x:v>
      </x:c>
      <x:c r="E352" t="n">
        <x:v>-6.534898616309144</x:v>
      </x:c>
      <x:c r="F352" t="n">
        <x:v>10.860102800472559</x:v>
      </x:c>
      <x:c r="G352" t="n">
        <x:v>14.329280477164374</x:v>
      </x:c>
    </x:row>
    <x:row r="353">
      <x:c r="A353" t="str">
        <x:v>partner</x:v>
      </x:c>
      <x:c r="B353" t="str">
        <x:v>physical</x:v>
      </x:c>
      <x:c r="C353" t="str">
        <x:v>cost_factor</x:v>
      </x:c>
      <x:c r="D353" t="n">
        <x:v>1</x:v>
      </x:c>
      <x:c r="E353" t="n">
        <x:v>-17.395001416781703</x:v>
      </x:c>
      <x:c r="F353" t="n">
        <x:v>0</x:v>
      </x:c>
      <x:c r="G353" t="n">
        <x:v>27.95674091083143</x:v>
      </x:c>
    </x:row>
    <x:row r="354">
      <x:c r="A354" t="str">
        <x:v>partner</x:v>
      </x:c>
      <x:c r="B354" t="str">
        <x:v>physical</x:v>
      </x:c>
      <x:c r="C354" t="str">
        <x:v>cost_factor</x:v>
      </x:c>
      <x:c r="D354" t="n">
        <x:v>1.05</x:v>
      </x:c>
      <x:c r="E354" t="n">
        <x:v>-29.981840628147335</x:v>
      </x:c>
      <x:c r="F354" t="n">
        <x:v>-12.586839211365632</x:v>
      </x:c>
      <x:c r="G354" t="n">
        <x:v>68.3683975783721</x:v>
      </x:c>
    </x:row>
    <x:row r="355">
      <x:c r="A355" t="str">
        <x:v>partner</x:v>
      </x:c>
      <x:c r="B355" t="str">
        <x:v>physical</x:v>
      </x:c>
      <x:c r="C355" t="str">
        <x:v>cost_factor</x:v>
      </x:c>
      <x:c r="D355" t="n">
        <x:v>1.1</x:v>
      </x:c>
      <x:c r="E355" t="n">
        <x:v>-42.568679839512924</x:v>
      </x:c>
      <x:c r="F355" t="n">
        <x:v>-25.17367842273122</x:v>
      </x:c>
      <x:c r="G355" t="n">
        <x:v>109.1893809080906</x:v>
      </x:c>
    </x:row>
    <x:row r="356">
      <x:c r="A356" t="str">
        <x:v>partner</x:v>
      </x:c>
      <x:c r="B356" t="str">
        <x:v>physical</x:v>
      </x:c>
      <x:c r="C356" t="str">
        <x:v>capex_factor</x:v>
      </x:c>
      <x:c r="D356" t="n">
        <x:v>0.5</x:v>
      </x:c>
      <x:c r="E356" t="n">
        <x:v>-11.874878855066653</x:v>
      </x:c>
      <x:c r="F356" t="n">
        <x:v>5.52012256171505</x:v>
      </x:c>
      <x:c r="G356" t="n">
        <x:v>16.676740910831416</x:v>
      </x:c>
    </x:row>
    <x:row r="357">
      <x:c r="A357" t="str">
        <x:v>partner</x:v>
      </x:c>
      <x:c r="B357" t="str">
        <x:v>physical</x:v>
      </x:c>
      <x:c r="C357" t="str">
        <x:v>capex_factor</x:v>
      </x:c>
      <x:c r="D357" t="n">
        <x:v>0.75</x:v>
      </x:c>
      <x:c r="E357" t="n">
        <x:v>-14.634940135924179</x:v>
      </x:c>
      <x:c r="F357" t="n">
        <x:v>2.7600612808575242</x:v>
      </x:c>
      <x:c r="G357" t="n">
        <x:v>22.316740910831424</x:v>
      </x:c>
    </x:row>
    <x:row r="358">
      <x:c r="A358" t="str">
        <x:v>partner</x:v>
      </x:c>
      <x:c r="B358" t="str">
        <x:v>physical</x:v>
      </x:c>
      <x:c r="C358" t="str">
        <x:v>capex_factor</x:v>
      </x:c>
      <x:c r="D358" t="n">
        <x:v>1</x:v>
      </x:c>
      <x:c r="E358" t="n">
        <x:v>-17.395001416781703</x:v>
      </x:c>
      <x:c r="F358" t="n">
        <x:v>0</x:v>
      </x:c>
      <x:c r="G358" t="n">
        <x:v>27.95674091083143</x:v>
      </x:c>
    </x:row>
    <x:row r="359">
      <x:c r="A359" t="str">
        <x:v>partner</x:v>
      </x:c>
      <x:c r="B359" t="str">
        <x:v>physical</x:v>
      </x:c>
      <x:c r="C359" t="str">
        <x:v>capex_factor</x:v>
      </x:c>
      <x:c r="D359" t="n">
        <x:v>1.25</x:v>
      </x:c>
      <x:c r="E359" t="n">
        <x:v>-20.15506269763923</x:v>
      </x:c>
      <x:c r="F359" t="n">
        <x:v>-2.7600612808575278</x:v>
      </x:c>
      <x:c r="G359" t="n">
        <x:v>33.596740910831414</x:v>
      </x:c>
    </x:row>
    <x:row r="360">
      <x:c r="A360" t="str">
        <x:v>partner</x:v>
      </x:c>
      <x:c r="B360" t="str">
        <x:v>physical</x:v>
      </x:c>
      <x:c r="C360" t="str">
        <x:v>capex_factor</x:v>
      </x:c>
      <x:c r="D360" t="n">
        <x:v>1.5</x:v>
      </x:c>
      <x:c r="E360" t="n">
        <x:v>-22.91512397849676</x:v>
      </x:c>
      <x:c r="F360" t="n">
        <x:v>-5.5201225617150556</x:v>
      </x:c>
      <x:c r="G360" t="n">
        <x:v>39.236740910831436</x:v>
      </x:c>
    </x:row>
    <x:row r="361">
      <x:c r="A361" t="str">
        <x:v>partner</x:v>
      </x:c>
      <x:c r="B361" t="str">
        <x:v>physical</x:v>
      </x:c>
      <x:c r="C361" t="str">
        <x:v>DSO_added_days</x:v>
      </x:c>
      <x:c r="D361" t="n">
        <x:v>-10</x:v>
      </x:c>
      <x:c r="E361" t="n">
        <x:v>-16.78509864567273</x:v>
      </x:c>
      <x:c r="F361" t="n">
        <x:v>0.609902771108974</x:v>
      </x:c>
      <x:c r="G361" t="n">
        <x:v>27.13752273086784</x:v>
      </x:c>
    </x:row>
    <x:row r="362">
      <x:c r="A362" t="str">
        <x:v>partner</x:v>
      </x:c>
      <x:c r="B362" t="str">
        <x:v>physical</x:v>
      </x:c>
      <x:c r="C362" t="str">
        <x:v>DSO_added_days</x:v>
      </x:c>
      <x:c r="D362" t="n">
        <x:v>0</x:v>
      </x:c>
      <x:c r="E362" t="n">
        <x:v>-17.395001416781703</x:v>
      </x:c>
      <x:c r="F362" t="n">
        <x:v>0</x:v>
      </x:c>
      <x:c r="G362" t="n">
        <x:v>27.95674091083143</x:v>
      </x:c>
    </x:row>
    <x:row r="363">
      <x:c r="A363" t="str">
        <x:v>partner</x:v>
      </x:c>
      <x:c r="B363" t="str">
        <x:v>physical</x:v>
      </x:c>
      <x:c r="C363" t="str">
        <x:v>DSO_added_days</x:v>
      </x:c>
      <x:c r="D363" t="n">
        <x:v>10</x:v>
      </x:c>
      <x:c r="E363" t="n">
        <x:v>-18.00490418789068</x:v>
      </x:c>
      <x:c r="F363" t="n">
        <x:v>-0.6099027711089775</x:v>
      </x:c>
      <x:c r="G363" t="n">
        <x:v>28.775959090795023</x:v>
      </x:c>
    </x:row>
    <x:row r="364">
      <x:c r="A364" t="str">
        <x:v>partner</x:v>
      </x:c>
      <x:c r="B364" t="str">
        <x:v>physical</x:v>
      </x:c>
      <x:c r="C364" t="str">
        <x:v>DSO_added_days</x:v>
      </x:c>
      <x:c r="D364" t="n">
        <x:v>20</x:v>
      </x:c>
      <x:c r="E364" t="n">
        <x:v>-18.614806958999655</x:v>
      </x:c>
      <x:c r="F364" t="n">
        <x:v>-1.2198055422179515</x:v>
      </x:c>
      <x:c r="G364" t="n">
        <x:v>29.595177270758615</x:v>
      </x:c>
    </x:row>
    <x:row r="365">
      <x:c r="A365" t="str">
        <x:v>partner</x:v>
      </x:c>
      <x:c r="B365" t="str">
        <x:v>physical</x:v>
      </x:c>
      <x:c r="C365" t="str">
        <x:v>DSO_added_days</x:v>
      </x:c>
      <x:c r="D365" t="n">
        <x:v>40</x:v>
      </x:c>
      <x:c r="E365" t="n">
        <x:v>-19.834612501217602</x:v>
      </x:c>
      <x:c r="F365" t="n">
        <x:v>-2.4396110844358994</x:v>
      </x:c>
      <x:c r="G365" t="n">
        <x:v>31.233613630685788</x:v>
      </x:c>
    </x:row>
    <x:row r="366">
      <x:c r="A366" t="str">
        <x:v>partner</x:v>
      </x:c>
      <x:c r="B366" t="str">
        <x:v>physical</x:v>
      </x:c>
      <x:c r="C366" t="str">
        <x:v>DIO_added_days</x:v>
      </x:c>
      <x:c r="D366" t="n">
        <x:v>-10</x:v>
      </x:c>
      <x:c r="E366" t="n">
        <x:v>-16.667145751260147</x:v>
      </x:c>
      <x:c r="F366" t="n">
        <x:v>0.727855665521556</x:v>
      </x:c>
      <x:c r="G366" t="n">
        <x:v>26.979089026252243</x:v>
      </x:c>
    </x:row>
    <x:row r="367">
      <x:c r="A367" t="str">
        <x:v>partner</x:v>
      </x:c>
      <x:c r="B367" t="str">
        <x:v>physical</x:v>
      </x:c>
      <x:c r="C367" t="str">
        <x:v>DIO_added_days</x:v>
      </x:c>
      <x:c r="D367" t="n">
        <x:v>0</x:v>
      </x:c>
      <x:c r="E367" t="n">
        <x:v>-17.395001416781703</x:v>
      </x:c>
      <x:c r="F367" t="n">
        <x:v>0</x:v>
      </x:c>
      <x:c r="G367" t="n">
        <x:v>27.95674091083143</x:v>
      </x:c>
    </x:row>
    <x:row r="368">
      <x:c r="A368" t="str">
        <x:v>partner</x:v>
      </x:c>
      <x:c r="B368" t="str">
        <x:v>physical</x:v>
      </x:c>
      <x:c r="C368" t="str">
        <x:v>DIO_added_days</x:v>
      </x:c>
      <x:c r="D368" t="n">
        <x:v>10</x:v>
      </x:c>
      <x:c r="E368" t="n">
        <x:v>-18.122857082303266</x:v>
      </x:c>
      <x:c r="F368" t="n">
        <x:v>-0.7278556655215631</x:v>
      </x:c>
      <x:c r="G368" t="n">
        <x:v>28.93439279541063</x:v>
      </x:c>
    </x:row>
    <x:row r="369">
      <x:c r="A369" t="str">
        <x:v>partner</x:v>
      </x:c>
      <x:c r="B369" t="str">
        <x:v>physical</x:v>
      </x:c>
      <x:c r="C369" t="str">
        <x:v>DIO_added_days</x:v>
      </x:c>
      <x:c r="D369" t="n">
        <x:v>20</x:v>
      </x:c>
      <x:c r="E369" t="n">
        <x:v>-18.850712747824822</x:v>
      </x:c>
      <x:c r="F369" t="n">
        <x:v>-1.4557113310431191</x:v>
      </x:c>
      <x:c r="G369" t="n">
        <x:v>29.912044679989805</x:v>
      </x:c>
    </x:row>
    <x:row r="370">
      <x:c r="A370" t="str">
        <x:v>partner</x:v>
      </x:c>
      <x:c r="B370" t="str">
        <x:v>physical</x:v>
      </x:c>
      <x:c r="C370" t="str">
        <x:v>DIO_added_days</x:v>
      </x:c>
      <x:c r="D370" t="n">
        <x:v>40</x:v>
      </x:c>
      <x:c r="E370" t="n">
        <x:v>-20.30642407886794</x:v>
      </x:c>
      <x:c r="F370" t="n">
        <x:v>-2.9114226620862382</x:v>
      </x:c>
      <x:c r="G370" t="n">
        <x:v>31.867348449148196</x:v>
      </x:c>
    </x:row>
    <x:row r="371">
      <x:c r="A371" t="str">
        <x:v>partner</x:v>
      </x:c>
      <x:c r="B371" t="str">
        <x:v>physical</x:v>
      </x:c>
      <x:c r="C371" t="str">
        <x:v>real_hurdle</x:v>
      </x:c>
      <x:c r="D371" t="n">
        <x:v>0.06</x:v>
      </x:c>
      <x:c r="E371" t="n">
        <x:v>-18.836436208826417</x:v>
      </x:c>
      <x:c r="F371" t="n">
        <x:v>-1.4414347920447135</x:v>
      </x:c>
      <x:c r="G371" t="n">
        <x:v>27.95674091083143</x:v>
      </x:c>
    </x:row>
    <x:row r="372">
      <x:c r="A372" t="str">
        <x:v>partner</x:v>
      </x:c>
      <x:c r="B372" t="str">
        <x:v>physical</x:v>
      </x:c>
      <x:c r="C372" t="str">
        <x:v>real_hurdle</x:v>
      </x:c>
      <x:c r="D372" t="n">
        <x:v>0.08</x:v>
      </x:c>
      <x:c r="E372" t="n">
        <x:v>-18.38544556085616</x:v>
      </x:c>
      <x:c r="F372" t="n">
        <x:v>-0.9904441440744556</x:v>
      </x:c>
      <x:c r="G372" t="n">
        <x:v>27.95674091083143</x:v>
      </x:c>
    </x:row>
    <x:row r="373">
      <x:c r="A373" t="str">
        <x:v>partner</x:v>
      </x:c>
      <x:c r="B373" t="str">
        <x:v>physical</x:v>
      </x:c>
      <x:c r="C373" t="str">
        <x:v>real_hurdle</x:v>
      </x:c>
      <x:c r="D373" t="n">
        <x:v>0.1</x:v>
      </x:c>
      <x:c r="E373" t="n">
        <x:v>-17.88943134565877</x:v>
      </x:c>
      <x:c r="F373" t="n">
        <x:v>-0.49442992887706794</x:v>
      </x:c>
      <x:c r="G373" t="n">
        <x:v>27.95674091083143</x:v>
      </x:c>
    </x:row>
    <x:row r="374">
      <x:c r="A374" t="str">
        <x:v>partner</x:v>
      </x:c>
      <x:c r="B374" t="str">
        <x:v>physical</x:v>
      </x:c>
      <x:c r="C374" t="str">
        <x:v>real_hurdle</x:v>
      </x:c>
      <x:c r="D374" t="n">
        <x:v>0.12</x:v>
      </x:c>
      <x:c r="E374" t="n">
        <x:v>-17.395001416781703</x:v>
      </x:c>
      <x:c r="F374" t="n">
        <x:v>0</x:v>
      </x:c>
      <x:c r="G374" t="n">
        <x:v>27.95674091083143</x:v>
      </x:c>
    </x:row>
    <x:row r="375">
      <x:c r="A375" t="str">
        <x:v>partner</x:v>
      </x:c>
      <x:c r="B375" t="str">
        <x:v>physical</x:v>
      </x:c>
      <x:c r="C375" t="str">
        <x:v>real_hurdle</x:v>
      </x:c>
      <x:c r="D375" t="n">
        <x:v>0.16</x:v>
      </x:c>
      <x:c r="E375" t="n">
        <x:v>-16.485177833056504</x:v>
      </x:c>
      <x:c r="F375" t="n">
        <x:v>0.9098235837251991</x:v>
      </x:c>
      <x:c r="G375" t="n">
        <x:v>27.95674091083143</x:v>
      </x:c>
    </x:row>
    <x:row r="376">
      <x:c r="A376" t="str">
        <x:v>partner</x:v>
      </x:c>
      <x:c r="B376" t="str">
        <x:v>squeeze</x:v>
      </x:c>
      <x:c r="C376" t="str">
        <x:v>orders_factor</x:v>
      </x:c>
      <x:c r="D376" t="n">
        <x:v>0.7</x:v>
      </x:c>
      <x:c r="E376" t="n">
        <x:v>-12.369897066357398</x:v>
      </x:c>
      <x:c r="F376" t="n">
        <x:v>-2.544948367749008</x:v>
      </x:c>
      <x:c r="G376" t="n">
        <x:v>19.487363463013793</x:v>
      </x:c>
    </x:row>
    <x:row r="377">
      <x:c r="A377" t="str">
        <x:v>partner</x:v>
      </x:c>
      <x:c r="B377" t="str">
        <x:v>squeeze</x:v>
      </x:c>
      <x:c r="C377" t="str">
        <x:v>orders_factor</x:v>
      </x:c>
      <x:c r="D377" t="n">
        <x:v>0.85</x:v>
      </x:c>
      <x:c r="E377" t="n">
        <x:v>-10.938648333134752</x:v>
      </x:c>
      <x:c r="F377" t="n">
        <x:v>-1.1136996345263626</x:v>
      </x:c>
      <x:c r="G377" t="n">
        <x:v>14.21318134794524</x:v>
      </x:c>
    </x:row>
    <x:row r="378">
      <x:c r="A378" t="str">
        <x:v>partner</x:v>
      </x:c>
      <x:c r="B378" t="str">
        <x:v>squeeze</x:v>
      </x:c>
      <x:c r="C378" t="str">
        <x:v>orders_factor</x:v>
      </x:c>
      <x:c r="D378" t="n">
        <x:v>1</x:v>
      </x:c>
      <x:c r="E378" t="n">
        <x:v>-9.82494869860839</x:v>
      </x:c>
      <x:c r="F378" t="n">
        <x:v>0</x:v>
      </x:c>
      <x:c r="G378" t="n">
        <x:v>14.232439232876722</x:v>
      </x:c>
    </x:row>
    <x:row r="379">
      <x:c r="A379" t="str">
        <x:v>partner</x:v>
      </x:c>
      <x:c r="B379" t="str">
        <x:v>squeeze</x:v>
      </x:c>
      <x:c r="C379" t="str">
        <x:v>orders_factor</x:v>
      </x:c>
      <x:c r="D379" t="n">
        <x:v>1.15</x:v>
      </x:c>
      <x:c r="E379" t="n">
        <x:v>-8.936628484753196</x:v>
      </x:c>
      <x:c r="F379" t="n">
        <x:v>0.8883202138551933</x:v>
      </x:c>
      <x:c r="G379" t="n">
        <x:v>14.581642317808232</x:v>
      </x:c>
    </x:row>
    <x:row r="380">
      <x:c r="A380" t="str">
        <x:v>partner</x:v>
      </x:c>
      <x:c r="B380" t="str">
        <x:v>squeeze</x:v>
      </x:c>
      <x:c r="C380" t="str">
        <x:v>orders_factor</x:v>
      </x:c>
      <x:c r="D380" t="n">
        <x:v>1.3</x:v>
      </x:c>
      <x:c r="E380" t="n">
        <x:v>-8.066947317017199</x:v>
      </x:c>
      <x:c r="F380" t="n">
        <x:v>1.7580013815911908</x:v>
      </x:c>
      <x:c r="G380" t="n">
        <x:v>15.089117402739737</x:v>
      </x:c>
    </x:row>
    <x:row r="381">
      <x:c r="A381" t="str">
        <x:v>partner</x:v>
      </x:c>
      <x:c r="B381" t="str">
        <x:v>squeeze</x:v>
      </x:c>
      <x:c r="C381" t="str">
        <x:v>price_factor</x:v>
      </x:c>
      <x:c r="D381" t="n">
        <x:v>0.9</x:v>
      </x:c>
      <x:c r="E381" t="n">
        <x:v>-29.59966035390865</x:v>
      </x:c>
      <x:c r="F381" t="n">
        <x:v>-19.77471165530026</x:v>
      </x:c>
      <x:c r="G381" t="n">
        <x:v>78.99851594520567</x:v>
      </x:c>
    </x:row>
    <x:row r="382">
      <x:c r="A382" t="str">
        <x:v>partner</x:v>
      </x:c>
      <x:c r="B382" t="str">
        <x:v>squeeze</x:v>
      </x:c>
      <x:c r="C382" t="str">
        <x:v>price_factor</x:v>
      </x:c>
      <x:c r="D382" t="n">
        <x:v>0.95</x:v>
      </x:c>
      <x:c r="E382" t="n">
        <x:v>-19.55352997691036</x:v>
      </x:c>
      <x:c r="F382" t="n">
        <x:v>-9.728581278301972</x:v>
      </x:c>
      <x:c r="G382" t="n">
        <x:v>41.3643575890412</x:v>
      </x:c>
    </x:row>
    <x:row r="383">
      <x:c r="A383" t="str">
        <x:v>partner</x:v>
      </x:c>
      <x:c r="B383" t="str">
        <x:v>squeeze</x:v>
      </x:c>
      <x:c r="C383" t="str">
        <x:v>price_factor</x:v>
      </x:c>
      <x:c r="D383" t="n">
        <x:v>1</x:v>
      </x:c>
      <x:c r="E383" t="n">
        <x:v>-9.82494869860839</x:v>
      </x:c>
      <x:c r="F383" t="n">
        <x:v>0</x:v>
      </x:c>
      <x:c r="G383" t="n">
        <x:v>14.232439232876722</x:v>
      </x:c>
    </x:row>
    <x:row r="384">
      <x:c r="A384" t="str">
        <x:v>partner</x:v>
      </x:c>
      <x:c r="B384" t="str">
        <x:v>squeeze</x:v>
      </x:c>
      <x:c r="C384" t="str">
        <x:v>price_factor</x:v>
      </x:c>
      <x:c r="D384" t="n">
        <x:v>1.05</x:v>
      </x:c>
      <x:c r="E384" t="n">
        <x:v>-2.264429203193612</x:v>
      </x:c>
      <x:c r="F384" t="n">
        <x:v>7.560519495414778</x:v>
      </x:c>
      <x:c r="G384" t="n">
        <x:v>12.071744301369872</x:v>
      </x:c>
    </x:row>
    <x:row r="385">
      <x:c r="A385" t="str">
        <x:v>partner</x:v>
      </x:c>
      <x:c r="B385" t="str">
        <x:v>squeeze</x:v>
      </x:c>
      <x:c r="C385" t="str">
        <x:v>price_factor</x:v>
      </x:c>
      <x:c r="D385" t="n">
        <x:v>1.1</x:v>
      </x:c>
      <x:c r="E385" t="n">
        <x:v>5.2334810042461966</x:v>
      </x:c>
      <x:c r="F385" t="n">
        <x:v>15.058429702854585</x:v>
      </x:c>
      <x:c r="G385" t="n">
        <x:v>10.766657260273973</x:v>
      </x:c>
    </x:row>
    <x:row r="386">
      <x:c r="A386" t="str">
        <x:v>partner</x:v>
      </x:c>
      <x:c r="B386" t="str">
        <x:v>squeeze</x:v>
      </x:c>
      <x:c r="C386" t="str">
        <x:v>cost_factor</x:v>
      </x:c>
      <x:c r="D386" t="n">
        <x:v>0.9</x:v>
      </x:c>
      <x:c r="E386" t="n">
        <x:v>4.664532092942719</x:v>
      </x:c>
      <x:c r="F386" t="n">
        <x:v>14.48948079155111</x:v>
      </x:c>
      <x:c r="G386" t="n">
        <x:v>10.477893698630139</x:v>
      </x:c>
    </x:row>
    <x:row r="387">
      <x:c r="A387" t="str">
        <x:v>partner</x:v>
      </x:c>
      <x:c r="B387" t="str">
        <x:v>squeeze</x:v>
      </x:c>
      <x:c r="C387" t="str">
        <x:v>cost_factor</x:v>
      </x:c>
      <x:c r="D387" t="n">
        <x:v>0.95</x:v>
      </x:c>
      <x:c r="E387" t="n">
        <x:v>-2.5505555209567157</x:v>
      </x:c>
      <x:c r="F387" t="n">
        <x:v>7.274393177651675</x:v>
      </x:c>
      <x:c r="G387" t="n">
        <x:v>11.886735452054793</x:v>
      </x:c>
    </x:row>
    <x:row r="388">
      <x:c r="A388" t="str">
        <x:v>partner</x:v>
      </x:c>
      <x:c r="B388" t="str">
        <x:v>squeeze</x:v>
      </x:c>
      <x:c r="C388" t="str">
        <x:v>cost_factor</x:v>
      </x:c>
      <x:c r="D388" t="n">
        <x:v>1</x:v>
      </x:c>
      <x:c r="E388" t="n">
        <x:v>-9.82494869860839</x:v>
      </x:c>
      <x:c r="F388" t="n">
        <x:v>0</x:v>
      </x:c>
      <x:c r="G388" t="n">
        <x:v>14.232439232876722</x:v>
      </x:c>
    </x:row>
    <x:row r="389">
      <x:c r="A389" t="str">
        <x:v>partner</x:v>
      </x:c>
      <x:c r="B389" t="str">
        <x:v>squeeze</x:v>
      </x:c>
      <x:c r="C389" t="str">
        <x:v>cost_factor</x:v>
      </x:c>
      <x:c r="D389" t="n">
        <x:v>1.05</x:v>
      </x:c>
      <x:c r="E389" t="n">
        <x:v>-19.07644706583612</x:v>
      </x:c>
      <x:c r="F389" t="n">
        <x:v>-9.25149836722773</x:v>
      </x:c>
      <x:c r="G389" t="n">
        <x:v>38.886867550684904</x:v>
      </x:c>
    </x:row>
    <x:row r="390">
      <x:c r="A390" t="str">
        <x:v>partner</x:v>
      </x:c>
      <x:c r="B390" t="str">
        <x:v>squeeze</x:v>
      </x:c>
      <x:c r="C390" t="str">
        <x:v>cost_factor</x:v>
      </x:c>
      <x:c r="D390" t="n">
        <x:v>1.1</x:v>
      </x:c>
      <x:c r="E390" t="n">
        <x:v>-28.64549453176019</x:v>
      </x:c>
      <x:c r="F390" t="n">
        <x:v>-18.820545833151797</x:v>
      </x:c>
      <x:c r="G390" t="n">
        <x:v>74.04353586849325</x:v>
      </x:c>
    </x:row>
    <x:row r="391">
      <x:c r="A391" t="str">
        <x:v>partner</x:v>
      </x:c>
      <x:c r="B391" t="str">
        <x:v>squeeze</x:v>
      </x:c>
      <x:c r="C391" t="str">
        <x:v>capex_factor</x:v>
      </x:c>
      <x:c r="D391" t="n">
        <x:v>0.5</x:v>
      </x:c>
      <x:c r="E391" t="n">
        <x:v>-5.298408817464585</x:v>
      </x:c>
      <x:c r="F391" t="n">
        <x:v>4.526539881143805</x:v>
      </x:c>
      <x:c r="G391" t="n">
        <x:v>10.146167232876719</x:v>
      </x:c>
    </x:row>
    <x:row r="392">
      <x:c r="A392" t="str">
        <x:v>partner</x:v>
      </x:c>
      <x:c r="B392" t="str">
        <x:v>squeeze</x:v>
      </x:c>
      <x:c r="C392" t="str">
        <x:v>capex_factor</x:v>
      </x:c>
      <x:c r="D392" t="n">
        <x:v>0.75</x:v>
      </x:c>
      <x:c r="E392" t="n">
        <x:v>-7.552547563871496</x:v>
      </x:c>
      <x:c r="F392" t="n">
        <x:v>2.272401134736894</x:v>
      </x:c>
      <x:c r="G392" t="n">
        <x:v>12.112439232876724</x:v>
      </x:c>
    </x:row>
    <x:row r="393">
      <x:c r="A393" t="str">
        <x:v>partner</x:v>
      </x:c>
      <x:c r="B393" t="str">
        <x:v>squeeze</x:v>
      </x:c>
      <x:c r="C393" t="str">
        <x:v>capex_factor</x:v>
      </x:c>
      <x:c r="D393" t="n">
        <x:v>1</x:v>
      </x:c>
      <x:c r="E393" t="n">
        <x:v>-9.82494869860839</x:v>
      </x:c>
      <x:c r="F393" t="n">
        <x:v>0</x:v>
      </x:c>
      <x:c r="G393" t="n">
        <x:v>14.232439232876722</x:v>
      </x:c>
    </x:row>
    <x:row r="394">
      <x:c r="A394" t="str">
        <x:v>partner</x:v>
      </x:c>
      <x:c r="B394" t="str">
        <x:v>squeeze</x:v>
      </x:c>
      <x:c r="C394" t="str">
        <x:v>capex_factor</x:v>
      </x:c>
      <x:c r="D394" t="n">
        <x:v>1.25</x:v>
      </x:c>
      <x:c r="E394" t="n">
        <x:v>-12.180186903554201</x:v>
      </x:c>
      <x:c r="F394" t="n">
        <x:v>-2.3552382049458114</x:v>
      </x:c>
      <x:c r="G394" t="n">
        <x:v>16.35243923287672</x:v>
      </x:c>
    </x:row>
    <x:row r="395">
      <x:c r="A395" t="str">
        <x:v>partner</x:v>
      </x:c>
      <x:c r="B395" t="str">
        <x:v>squeeze</x:v>
      </x:c>
      <x:c r="C395" t="str">
        <x:v>capex_factor</x:v>
      </x:c>
      <x:c r="D395" t="n">
        <x:v>1.5</x:v>
      </x:c>
      <x:c r="E395" t="n">
        <x:v>-14.70198422509118</x:v>
      </x:c>
      <x:c r="F395" t="n">
        <x:v>-4.877035526482791</x:v>
      </x:c>
      <x:c r="G395" t="n">
        <x:v>19.244919232876747</x:v>
      </x:c>
    </x:row>
    <x:row r="396">
      <x:c r="A396" t="str">
        <x:v>partner</x:v>
      </x:c>
      <x:c r="B396" t="str">
        <x:v>squeeze</x:v>
      </x:c>
      <x:c r="C396" t="str">
        <x:v>DSO_added_days</x:v>
      </x:c>
      <x:c r="D396" t="n">
        <x:v>-10</x:v>
      </x:c>
      <x:c r="E396" t="n">
        <x:v>-9.276629239513555</x:v>
      </x:c>
      <x:c r="F396" t="n">
        <x:v>0.5483194590948344</x:v>
      </x:c>
      <x:c r="G396" t="n">
        <x:v>13.520724164383571</x:v>
      </x:c>
    </x:row>
    <x:row r="397">
      <x:c r="A397" t="str">
        <x:v>partner</x:v>
      </x:c>
      <x:c r="B397" t="str">
        <x:v>squeeze</x:v>
      </x:c>
      <x:c r="C397" t="str">
        <x:v>DSO_added_days</x:v>
      </x:c>
      <x:c r="D397" t="n">
        <x:v>0</x:v>
      </x:c>
      <x:c r="E397" t="n">
        <x:v>-9.82494869860839</x:v>
      </x:c>
      <x:c r="F397" t="n">
        <x:v>0</x:v>
      </x:c>
      <x:c r="G397" t="n">
        <x:v>14.232439232876722</x:v>
      </x:c>
    </x:row>
    <x:row r="398">
      <x:c r="A398" t="str">
        <x:v>partner</x:v>
      </x:c>
      <x:c r="B398" t="str">
        <x:v>squeeze</x:v>
      </x:c>
      <x:c r="C398" t="str">
        <x:v>DSO_added_days</x:v>
      </x:c>
      <x:c r="D398" t="n">
        <x:v>10</x:v>
      </x:c>
      <x:c r="E398" t="n">
        <x:v>-10.373268157703226</x:v>
      </x:c>
      <x:c r="F398" t="n">
        <x:v>-0.5483194590948361</x:v>
      </x:c>
      <x:c r="G398" t="n">
        <x:v>14.944154301369872</x:v>
      </x:c>
    </x:row>
    <x:row r="399">
      <x:c r="A399" t="str">
        <x:v>partner</x:v>
      </x:c>
      <x:c r="B399" t="str">
        <x:v>squeeze</x:v>
      </x:c>
      <x:c r="C399" t="str">
        <x:v>DSO_added_days</x:v>
      </x:c>
      <x:c r="D399" t="n">
        <x:v>20</x:v>
      </x:c>
      <x:c r="E399" t="n">
        <x:v>-10.92158761679806</x:v>
      </x:c>
      <x:c r="F399" t="n">
        <x:v>-1.0966389181896705</x:v>
      </x:c>
      <x:c r="G399" t="n">
        <x:v>15.655869369863026</x:v>
      </x:c>
    </x:row>
    <x:row r="400">
      <x:c r="A400" t="str">
        <x:v>partner</x:v>
      </x:c>
      <x:c r="B400" t="str">
        <x:v>squeeze</x:v>
      </x:c>
      <x:c r="C400" t="str">
        <x:v>DSO_added_days</x:v>
      </x:c>
      <x:c r="D400" t="n">
        <x:v>40</x:v>
      </x:c>
      <x:c r="E400" t="n">
        <x:v>-12.018226534987729</x:v>
      </x:c>
      <x:c r="F400" t="n">
        <x:v>-2.1932778363793393</x:v>
      </x:c>
      <x:c r="G400" t="n">
        <x:v>17.079299506849324</x:v>
      </x:c>
    </x:row>
    <x:row r="401">
      <x:c r="A401" t="str">
        <x:v>partner</x:v>
      </x:c>
      <x:c r="B401" t="str">
        <x:v>squeeze</x:v>
      </x:c>
      <x:c r="C401" t="str">
        <x:v>DIO_added_days</x:v>
      </x:c>
      <x:c r="D401" t="n">
        <x:v>-10</x:v>
      </x:c>
      <x:c r="E401" t="n">
        <x:v>-9.191335101432138</x:v>
      </x:c>
      <x:c r="F401" t="n">
        <x:v>0.633613597176252</x:v>
      </x:c>
      <x:c r="G401" t="n">
        <x:v>13.41001293150686</x:v>
      </x:c>
    </x:row>
    <x:row r="402">
      <x:c r="A402" t="str">
        <x:v>partner</x:v>
      </x:c>
      <x:c r="B402" t="str">
        <x:v>squeeze</x:v>
      </x:c>
      <x:c r="C402" t="str">
        <x:v>DIO_added_days</x:v>
      </x:c>
      <x:c r="D402" t="n">
        <x:v>0</x:v>
      </x:c>
      <x:c r="E402" t="n">
        <x:v>-9.82494869860839</x:v>
      </x:c>
      <x:c r="F402" t="n">
        <x:v>0</x:v>
      </x:c>
      <x:c r="G402" t="n">
        <x:v>14.232439232876722</x:v>
      </x:c>
    </x:row>
    <x:row r="403">
      <x:c r="A403" t="str">
        <x:v>partner</x:v>
      </x:c>
      <x:c r="B403" t="str">
        <x:v>squeeze</x:v>
      </x:c>
      <x:c r="C403" t="str">
        <x:v>DIO_added_days</x:v>
      </x:c>
      <x:c r="D403" t="n">
        <x:v>10</x:v>
      </x:c>
      <x:c r="E403" t="n">
        <x:v>-10.458562295784642</x:v>
      </x:c>
      <x:c r="F403" t="n">
        <x:v>-0.633613597176252</x:v>
      </x:c>
      <x:c r="G403" t="n">
        <x:v>15.054865534246584</x:v>
      </x:c>
    </x:row>
    <x:row r="404">
      <x:c r="A404" t="str">
        <x:v>partner</x:v>
      </x:c>
      <x:c r="B404" t="str">
        <x:v>squeeze</x:v>
      </x:c>
      <x:c r="C404" t="str">
        <x:v>DIO_added_days</x:v>
      </x:c>
      <x:c r="D404" t="n">
        <x:v>20</x:v>
      </x:c>
      <x:c r="E404" t="n">
        <x:v>-11.092175892960897</x:v>
      </x:c>
      <x:c r="F404" t="n">
        <x:v>-1.2672271943525075</x:v>
      </x:c>
      <x:c r="G404" t="n">
        <x:v>15.877291835616447</x:v>
      </x:c>
    </x:row>
    <x:row r="405">
      <x:c r="A405" t="str">
        <x:v>partner</x:v>
      </x:c>
      <x:c r="B405" t="str">
        <x:v>squeeze</x:v>
      </x:c>
      <x:c r="C405" t="str">
        <x:v>DIO_added_days</x:v>
      </x:c>
      <x:c r="D405" t="n">
        <x:v>40</x:v>
      </x:c>
      <x:c r="E405" t="n">
        <x:v>-12.359403087313407</x:v>
      </x:c>
      <x:c r="F405" t="n">
        <x:v>-2.534454388705017</x:v>
      </x:c>
      <x:c r="G405" t="n">
        <x:v>17.52214443835618</x:v>
      </x:c>
    </x:row>
    <x:row r="406">
      <x:c r="A406" t="str">
        <x:v>partner</x:v>
      </x:c>
      <x:c r="B406" t="str">
        <x:v>squeeze</x:v>
      </x:c>
      <x:c r="C406" t="str">
        <x:v>real_hurdle</x:v>
      </x:c>
      <x:c r="D406" t="n">
        <x:v>0.06</x:v>
      </x:c>
      <x:c r="E406" t="n">
        <x:v>-6.960692657071915</x:v>
      </x:c>
      <x:c r="F406" t="n">
        <x:v>2.864256041536475</x:v>
      </x:c>
      <x:c r="G406" t="n">
        <x:v>14.232439232876722</x:v>
      </x:c>
    </x:row>
    <x:row r="407">
      <x:c r="A407" t="str">
        <x:v>partner</x:v>
      </x:c>
      <x:c r="B407" t="str">
        <x:v>squeeze</x:v>
      </x:c>
      <x:c r="C407" t="str">
        <x:v>real_hurdle</x:v>
      </x:c>
      <x:c r="D407" t="n">
        <x:v>0.08</x:v>
      </x:c>
      <x:c r="E407" t="n">
        <x:v>-8.14748590325096</x:v>
      </x:c>
      <x:c r="F407" t="n">
        <x:v>1.67746279535743</x:v>
      </x:c>
      <x:c r="G407" t="n">
        <x:v>14.232439232876722</x:v>
      </x:c>
    </x:row>
    <x:row r="408">
      <x:c r="A408" t="str">
        <x:v>partner</x:v>
      </x:c>
      <x:c r="B408" t="str">
        <x:v>squeeze</x:v>
      </x:c>
      <x:c r="C408" t="str">
        <x:v>real_hurdle</x:v>
      </x:c>
      <x:c r="D408" t="n">
        <x:v>0.1</x:v>
      </x:c>
      <x:c r="E408" t="n">
        <x:v>-8.93668335829177</x:v>
      </x:c>
      <x:c r="F408" t="n">
        <x:v>0.8882653403166199</x:v>
      </x:c>
      <x:c r="G408" t="n">
        <x:v>14.232439232876722</x:v>
      </x:c>
    </x:row>
    <x:row r="409">
      <x:c r="A409" t="str">
        <x:v>partner</x:v>
      </x:c>
      <x:c r="B409" t="str">
        <x:v>squeeze</x:v>
      </x:c>
      <x:c r="C409" t="str">
        <x:v>real_hurdle</x:v>
      </x:c>
      <x:c r="D409" t="n">
        <x:v>0.12</x:v>
      </x:c>
      <x:c r="E409" t="n">
        <x:v>-9.466822021793615</x:v>
      </x:c>
      <x:c r="F409" t="n">
        <x:v>0.3581266768147753</x:v>
      </x:c>
      <x:c r="G409" t="n">
        <x:v>14.232439232876722</x:v>
      </x:c>
    </x:row>
    <x:row r="410">
      <x:c r="A410" t="str">
        <x:v>partner</x:v>
      </x:c>
      <x:c r="B410" t="str">
        <x:v>squeeze</x:v>
      </x:c>
      <x:c r="C410" t="str">
        <x:v>real_hurdle</x:v>
      </x:c>
      <x:c r="D410" t="n">
        <x:v>0.16</x:v>
      </x:c>
      <x:c r="E410" t="n">
        <x:v>-10.066662642306486</x:v>
      </x:c>
      <x:c r="F410" t="n">
        <x:v>-0.2417139436980964</x:v>
      </x:c>
      <x:c r="G410" t="n">
        <x:v>14.232439232876722</x:v>
      </x:c>
    </x:row>
    <x:row r="411">
      <x:c r="A411" t="str">
        <x:v>partner</x:v>
      </x:c>
      <x:c r="B411" t="str">
        <x:v>nutrition</x:v>
      </x:c>
      <x:c r="C411" t="str">
        <x:v>orders_factor</x:v>
      </x:c>
      <x:c r="D411" t="n">
        <x:v>0.7</x:v>
      </x:c>
      <x:c r="E411" t="n">
        <x:v>1.4477923935917225</x:v>
      </x:c>
      <x:c r="F411" t="n">
        <x:v>-8.62331204436957</x:v>
      </x:c>
      <x:c r="G411" t="n">
        <x:v>10.156058208000003</x:v>
      </x:c>
    </x:row>
    <x:row r="412">
      <x:c r="A412" t="str">
        <x:v>partner</x:v>
      </x:c>
      <x:c r="B412" t="str">
        <x:v>nutrition</x:v>
      </x:c>
      <x:c r="C412" t="str">
        <x:v>orders_factor</x:v>
      </x:c>
      <x:c r="D412" t="n">
        <x:v>0.85</x:v>
      </x:c>
      <x:c r="E412" t="n">
        <x:v>5.766317379904673</x:v>
      </x:c>
      <x:c r="F412" t="n">
        <x:v>-4.304787058056619</x:v>
      </x:c>
      <x:c r="G412" t="n">
        <x:v>10.228927824000001</x:v>
      </x:c>
    </x:row>
    <x:row r="413">
      <x:c r="A413" t="str">
        <x:v>partner</x:v>
      </x:c>
      <x:c r="B413" t="str">
        <x:v>nutrition</x:v>
      </x:c>
      <x:c r="C413" t="str">
        <x:v>orders_factor</x:v>
      </x:c>
      <x:c r="D413" t="n">
        <x:v>1</x:v>
      </x:c>
      <x:c r="E413" t="n">
        <x:v>10.071104437961292</x:v>
      </x:c>
      <x:c r="F413" t="n">
        <x:v>0</x:v>
      </x:c>
      <x:c r="G413" t="n">
        <x:v>10.38084</x:v>
      </x:c>
    </x:row>
    <x:row r="414">
      <x:c r="A414" t="str">
        <x:v>partner</x:v>
      </x:c>
      <x:c r="B414" t="str">
        <x:v>nutrition</x:v>
      </x:c>
      <x:c r="C414" t="str">
        <x:v>orders_factor</x:v>
      </x:c>
      <x:c r="D414" t="n">
        <x:v>1.15</x:v>
      </x:c>
      <x:c r="E414" t="n">
        <x:v>12.539858843824021</x:v>
      </x:c>
      <x:c r="F414" t="n">
        <x:v>2.468754405862729</x:v>
      </x:c>
      <x:c r="G414" t="n">
        <x:v>10.601466000000006</x:v>
      </x:c>
    </x:row>
    <x:row r="415">
      <x:c r="A415" t="str">
        <x:v>partner</x:v>
      </x:c>
      <x:c r="B415" t="str">
        <x:v>nutrition</x:v>
      </x:c>
      <x:c r="C415" t="str">
        <x:v>orders_factor</x:v>
      </x:c>
      <x:c r="D415" t="n">
        <x:v>1.3</x:v>
      </x:c>
      <x:c r="E415" t="n">
        <x:v>13.073670992884875</x:v>
      </x:c>
      <x:c r="F415" t="n">
        <x:v>3.0025665549235825</x:v>
      </x:c>
      <x:c r="G415" t="n">
        <x:v>10.822092000000001</x:v>
      </x:c>
    </x:row>
    <x:row r="416">
      <x:c r="A416" t="str">
        <x:v>partner</x:v>
      </x:c>
      <x:c r="B416" t="str">
        <x:v>nutrition</x:v>
      </x:c>
      <x:c r="C416" t="str">
        <x:v>price_factor</x:v>
      </x:c>
      <x:c r="D416" t="n">
        <x:v>0.9</x:v>
      </x:c>
      <x:c r="E416" t="n">
        <x:v>-21.051527067046106</x:v>
      </x:c>
      <x:c r="F416" t="n">
        <x:v>-31.122631505007398</x:v>
      </x:c>
      <x:c r="G416" t="n">
        <x:v>39.41489967126269</x:v>
      </x:c>
    </x:row>
    <x:row r="417">
      <x:c r="A417" t="str">
        <x:v>partner</x:v>
      </x:c>
      <x:c r="B417" t="str">
        <x:v>nutrition</x:v>
      </x:c>
      <x:c r="C417" t="str">
        <x:v>price_factor</x:v>
      </x:c>
      <x:c r="D417" t="n">
        <x:v>0.95</x:v>
      </x:c>
      <x:c r="E417" t="n">
        <x:v>-4.082129442361415</x:v>
      </x:c>
      <x:c r="F417" t="n">
        <x:v>-14.153233880322707</x:v>
      </x:c>
      <x:c r="G417" t="n">
        <x:v>12.300299726027394</x:v>
      </x:c>
    </x:row>
    <x:row r="418">
      <x:c r="A418" t="str">
        <x:v>partner</x:v>
      </x:c>
      <x:c r="B418" t="str">
        <x:v>nutrition</x:v>
      </x:c>
      <x:c r="C418" t="str">
        <x:v>price_factor</x:v>
      </x:c>
      <x:c r="D418" t="n">
        <x:v>1</x:v>
      </x:c>
      <x:c r="E418" t="n">
        <x:v>10.071104437961292</x:v>
      </x:c>
      <x:c r="F418" t="n">
        <x:v>0</x:v>
      </x:c>
      <x:c r="G418" t="n">
        <x:v>10.38084</x:v>
      </x:c>
    </x:row>
    <x:row r="419">
      <x:c r="A419" t="str">
        <x:v>partner</x:v>
      </x:c>
      <x:c r="B419" t="str">
        <x:v>nutrition</x:v>
      </x:c>
      <x:c r="C419" t="str">
        <x:v>price_factor</x:v>
      </x:c>
      <x:c r="D419" t="n">
        <x:v>1.05</x:v>
      </x:c>
      <x:c r="E419" t="n">
        <x:v>24.205120464039112</x:v>
      </x:c>
      <x:c r="F419" t="n">
        <x:v>14.13401602607782</x:v>
      </x:c>
      <x:c r="G419" t="n">
        <x:v>9.684997397260272</x:v>
      </x:c>
    </x:row>
    <x:row r="420">
      <x:c r="A420" t="str">
        <x:v>partner</x:v>
      </x:c>
      <x:c r="B420" t="str">
        <x:v>nutrition</x:v>
      </x:c>
      <x:c r="C420" t="str">
        <x:v>price_factor</x:v>
      </x:c>
      <x:c r="D420" t="n">
        <x:v>1.1</x:v>
      </x:c>
      <x:c r="E420" t="n">
        <x:v>38.339136490116935</x:v>
      </x:c>
      <x:c r="F420" t="n">
        <x:v>28.268032052155643</x:v>
      </x:c>
      <x:c r="G420" t="n">
        <x:v>8.989154794520545</x:v>
      </x:c>
    </x:row>
    <x:row r="421">
      <x:c r="A421" t="str">
        <x:v>partner</x:v>
      </x:c>
      <x:c r="B421" t="str">
        <x:v>nutrition</x:v>
      </x:c>
      <x:c r="C421" t="str">
        <x:v>cost_factor</x:v>
      </x:c>
      <x:c r="D421" t="n">
        <x:v>0.9</x:v>
      </x:c>
      <x:c r="E421" t="n">
        <x:v>35.46527521217741</x:v>
      </x:c>
      <x:c r="F421" t="n">
        <x:v>25.394170774216118</x:v>
      </x:c>
      <x:c r="G421" t="n">
        <x:v>8.842070794520549</x:v>
      </x:c>
    </x:row>
    <x:row r="422">
      <x:c r="A422" t="str">
        <x:v>partner</x:v>
      </x:c>
      <x:c r="B422" t="str">
        <x:v>nutrition</x:v>
      </x:c>
      <x:c r="C422" t="str">
        <x:v>cost_factor</x:v>
      </x:c>
      <x:c r="D422" t="n">
        <x:v>0.95</x:v>
      </x:c>
      <x:c r="E422" t="n">
        <x:v>22.768189825069385</x:v>
      </x:c>
      <x:c r="F422" t="n">
        <x:v>12.697085387108093</x:v>
      </x:c>
      <x:c r="G422" t="n">
        <x:v>9.611455397260272</x:v>
      </x:c>
    </x:row>
    <x:row r="423">
      <x:c r="A423" t="str">
        <x:v>partner</x:v>
      </x:c>
      <x:c r="B423" t="str">
        <x:v>nutrition</x:v>
      </x:c>
      <x:c r="C423" t="str">
        <x:v>cost_factor</x:v>
      </x:c>
      <x:c r="D423" t="n">
        <x:v>1</x:v>
      </x:c>
      <x:c r="E423" t="n">
        <x:v>10.071104437961292</x:v>
      </x:c>
      <x:c r="F423" t="n">
        <x:v>0</x:v>
      </x:c>
      <x:c r="G423" t="n">
        <x:v>10.38084</x:v>
      </x:c>
    </x:row>
    <x:row r="424">
      <x:c r="A424" t="str">
        <x:v>partner</x:v>
      </x:c>
      <x:c r="B424" t="str">
        <x:v>nutrition</x:v>
      </x:c>
      <x:c r="C424" t="str">
        <x:v>cost_factor</x:v>
      </x:c>
      <x:c r="D424" t="n">
        <x:v>1.05</x:v>
      </x:c>
      <x:c r="E424" t="n">
        <x:v>-2.636399337726779</x:v>
      </x:c>
      <x:c r="F424" t="n">
        <x:v>-12.707503775688071</x:v>
      </x:c>
      <x:c r="G424" t="n">
        <x:v>12.242138510027393</x:v>
      </x:c>
    </x:row>
    <x:row r="425">
      <x:c r="A425" t="str">
        <x:v>partner</x:v>
      </x:c>
      <x:c r="B425" t="str">
        <x:v>nutrition</x:v>
      </x:c>
      <x:c r="C425" t="str">
        <x:v>cost_factor</x:v>
      </x:c>
      <x:c r="D425" t="n">
        <x:v>1.1</x:v>
      </x:c>
      <x:c r="E425" t="n">
        <x:v>-17.034784915974825</x:v>
      </x:c>
      <x:c r="F425" t="n">
        <x:v>-27.105889353936117</x:v>
      </x:c>
      <x:c r="G425" t="n">
        <x:v>27.59463125278813</x:v>
      </x:c>
    </x:row>
    <x:row r="426">
      <x:c r="A426" t="str">
        <x:v>partner</x:v>
      </x:c>
      <x:c r="B426" t="str">
        <x:v>nutrition</x:v>
      </x:c>
      <x:c r="C426" t="str">
        <x:v>capex_factor</x:v>
      </x:c>
      <x:c r="D426" t="n">
        <x:v>0.5</x:v>
      </x:c>
      <x:c r="E426" t="n">
        <x:v>15.075110519982617</x:v>
      </x:c>
      <x:c r="F426" t="n">
        <x:v>5.004006082021325</x:v>
      </x:c>
      <x:c r="G426" t="n">
        <x:v>6.402839999999999</x:v>
      </x:c>
    </x:row>
    <x:row r="427">
      <x:c r="A427" t="str">
        <x:v>partner</x:v>
      </x:c>
      <x:c r="B427" t="str">
        <x:v>nutrition</x:v>
      </x:c>
      <x:c r="C427" t="str">
        <x:v>capex_factor</x:v>
      </x:c>
      <x:c r="D427" t="n">
        <x:v>0.75</x:v>
      </x:c>
      <x:c r="E427" t="n">
        <x:v>12.573107478971954</x:v>
      </x:c>
      <x:c r="F427" t="n">
        <x:v>2.5020030410106617</x:v>
      </x:c>
      <x:c r="G427" t="n">
        <x:v>8.391839999999998</x:v>
      </x:c>
    </x:row>
    <x:row r="428">
      <x:c r="A428" t="str">
        <x:v>partner</x:v>
      </x:c>
      <x:c r="B428" t="str">
        <x:v>nutrition</x:v>
      </x:c>
      <x:c r="C428" t="str">
        <x:v>capex_factor</x:v>
      </x:c>
      <x:c r="D428" t="n">
        <x:v>1</x:v>
      </x:c>
      <x:c r="E428" t="n">
        <x:v>10.071104437961292</x:v>
      </x:c>
      <x:c r="F428" t="n">
        <x:v>0</x:v>
      </x:c>
      <x:c r="G428" t="n">
        <x:v>10.38084</x:v>
      </x:c>
    </x:row>
    <x:row r="429">
      <x:c r="A429" t="str">
        <x:v>partner</x:v>
      </x:c>
      <x:c r="B429" t="str">
        <x:v>nutrition</x:v>
      </x:c>
      <x:c r="C429" t="str">
        <x:v>capex_factor</x:v>
      </x:c>
      <x:c r="D429" t="n">
        <x:v>1.25</x:v>
      </x:c>
      <x:c r="E429" t="n">
        <x:v>7.569101396950629</x:v>
      </x:c>
      <x:c r="F429" t="n">
        <x:v>-2.5020030410106635</x:v>
      </x:c>
      <x:c r="G429" t="n">
        <x:v>12.36984</x:v>
      </x:c>
    </x:row>
    <x:row r="430">
      <x:c r="A430" t="str">
        <x:v>partner</x:v>
      </x:c>
      <x:c r="B430" t="str">
        <x:v>nutrition</x:v>
      </x:c>
      <x:c r="C430" t="str">
        <x:v>capex_factor</x:v>
      </x:c>
      <x:c r="D430" t="n">
        <x:v>1.5</x:v>
      </x:c>
      <x:c r="E430" t="n">
        <x:v>5.067098355939965</x:v>
      </x:c>
      <x:c r="F430" t="n">
        <x:v>-5.004006082021327</x:v>
      </x:c>
      <x:c r="G430" t="n">
        <x:v>14.358839999999999</x:v>
      </x:c>
    </x:row>
    <x:row r="431">
      <x:c r="A431" t="str">
        <x:v>partner</x:v>
      </x:c>
      <x:c r="B431" t="str">
        <x:v>nutrition</x:v>
      </x:c>
      <x:c r="C431" t="str">
        <x:v>DSO_added_days</x:v>
      </x:c>
      <x:c r="D431" t="n">
        <x:v>-10</x:v>
      </x:c>
      <x:c r="E431" t="n">
        <x:v>10.831078878312017</x:v>
      </x:c>
      <x:c r="F431" t="n">
        <x:v>0.7599744403507245</x:v>
      </x:c>
      <x:c r="G431" t="n">
        <x:v>9.920303013698629</x:v>
      </x:c>
    </x:row>
    <x:row r="432">
      <x:c r="A432" t="str">
        <x:v>partner</x:v>
      </x:c>
      <x:c r="B432" t="str">
        <x:v>nutrition</x:v>
      </x:c>
      <x:c r="C432" t="str">
        <x:v>DSO_added_days</x:v>
      </x:c>
      <x:c r="D432" t="n">
        <x:v>0</x:v>
      </x:c>
      <x:c r="E432" t="n">
        <x:v>10.071104437961292</x:v>
      </x:c>
      <x:c r="F432" t="n">
        <x:v>0</x:v>
      </x:c>
      <x:c r="G432" t="n">
        <x:v>10.38084</x:v>
      </x:c>
    </x:row>
    <x:row r="433">
      <x:c r="A433" t="str">
        <x:v>partner</x:v>
      </x:c>
      <x:c r="B433" t="str">
        <x:v>nutrition</x:v>
      </x:c>
      <x:c r="C433" t="str">
        <x:v>DSO_added_days</x:v>
      </x:c>
      <x:c r="D433" t="n">
        <x:v>10</x:v>
      </x:c>
      <x:c r="E433" t="n">
        <x:v>9.311129997610564</x:v>
      </x:c>
      <x:c r="F433" t="n">
        <x:v>-0.759974440350728</x:v>
      </x:c>
      <x:c r="G433" t="n">
        <x:v>11.04602520986301</x:v>
      </x:c>
    </x:row>
    <x:row r="434">
      <x:c r="A434" t="str">
        <x:v>partner</x:v>
      </x:c>
      <x:c r="B434" t="str">
        <x:v>nutrition</x:v>
      </x:c>
      <x:c r="C434" t="str">
        <x:v>DSO_added_days</x:v>
      </x:c>
      <x:c r="D434" t="n">
        <x:v>20</x:v>
      </x:c>
      <x:c r="E434" t="n">
        <x:v>8.55115555725984</x:v>
      </x:c>
      <x:c r="F434" t="n">
        <x:v>-1.5199488807014525</x:v>
      </x:c>
      <x:c r="G434" t="n">
        <x:v>11.790252979726024</x:v>
      </x:c>
    </x:row>
    <x:row r="435">
      <x:c r="A435" t="str">
        <x:v>partner</x:v>
      </x:c>
      <x:c r="B435" t="str">
        <x:v>nutrition</x:v>
      </x:c>
      <x:c r="C435" t="str">
        <x:v>DSO_added_days</x:v>
      </x:c>
      <x:c r="D435" t="n">
        <x:v>40</x:v>
      </x:c>
      <x:c r="E435" t="n">
        <x:v>7.03120667655839</x:v>
      </x:c>
      <x:c r="F435" t="n">
        <x:v>-3.0398977614029024</x:v>
      </x:c>
      <x:c r="G435" t="n">
        <x:v>13.278708519452053</x:v>
      </x:c>
    </x:row>
    <x:row r="436">
      <x:c r="A436" t="str">
        <x:v>partner</x:v>
      </x:c>
      <x:c r="B436" t="str">
        <x:v>nutrition</x:v>
      </x:c>
      <x:c r="C436" t="str">
        <x:v>DIO_added_days</x:v>
      </x:c>
      <x:c r="D436" t="n">
        <x:v>-10</x:v>
      </x:c>
      <x:c r="E436" t="n">
        <x:v>10.907076322347088</x:v>
      </x:c>
      <x:c r="F436" t="n">
        <x:v>0.8359718843857955</x:v>
      </x:c>
      <x:c r="G436" t="n">
        <x:v>9.874249315068493</x:v>
      </x:c>
    </x:row>
    <x:row r="437">
      <x:c r="A437" t="str">
        <x:v>partner</x:v>
      </x:c>
      <x:c r="B437" t="str">
        <x:v>nutrition</x:v>
      </x:c>
      <x:c r="C437" t="str">
        <x:v>DIO_added_days</x:v>
      </x:c>
      <x:c r="D437" t="n">
        <x:v>0</x:v>
      </x:c>
      <x:c r="E437" t="n">
        <x:v>10.071104437961292</x:v>
      </x:c>
      <x:c r="F437" t="n">
        <x:v>0</x:v>
      </x:c>
      <x:c r="G437" t="n">
        <x:v>10.38084</x:v>
      </x:c>
    </x:row>
    <x:row r="438">
      <x:c r="A438" t="str">
        <x:v>partner</x:v>
      </x:c>
      <x:c r="B438" t="str">
        <x:v>nutrition</x:v>
      </x:c>
      <x:c r="C438" t="str">
        <x:v>DIO_added_days</x:v>
      </x:c>
      <x:c r="D438" t="n">
        <x:v>10</x:v>
      </x:c>
      <x:c r="E438" t="n">
        <x:v>9.235132553575493</x:v>
      </x:c>
      <x:c r="F438" t="n">
        <x:v>-0.8359718843857991</x:v>
      </x:c>
      <x:c r="G438" t="n">
        <x:v>11.120447986849314</x:v>
      </x:c>
    </x:row>
    <x:row r="439">
      <x:c r="A439" t="str">
        <x:v>partner</x:v>
      </x:c>
      <x:c r="B439" t="str">
        <x:v>nutrition</x:v>
      </x:c>
      <x:c r="C439" t="str">
        <x:v>DIO_added_days</x:v>
      </x:c>
      <x:c r="D439" t="n">
        <x:v>20</x:v>
      </x:c>
      <x:c r="E439" t="n">
        <x:v>8.399160669189694</x:v>
      </x:c>
      <x:c r="F439" t="n">
        <x:v>-1.6719437687715981</x:v>
      </x:c>
      <x:c r="G439" t="n">
        <x:v>11.939098533698626</x:v>
      </x:c>
    </x:row>
    <x:row r="440">
      <x:c r="A440" t="str">
        <x:v>partner</x:v>
      </x:c>
      <x:c r="B440" t="str">
        <x:v>nutrition</x:v>
      </x:c>
      <x:c r="C440" t="str">
        <x:v>DIO_added_days</x:v>
      </x:c>
      <x:c r="D440" t="n">
        <x:v>40</x:v>
      </x:c>
      <x:c r="E440" t="n">
        <x:v>6.727216900418099</x:v>
      </x:c>
      <x:c r="F440" t="n">
        <x:v>-3.3438875375431936</x:v>
      </x:c>
      <x:c r="G440" t="n">
        <x:v>13.576399627397258</x:v>
      </x:c>
    </x:row>
    <x:row r="441">
      <x:c r="A441" t="str">
        <x:v>partner</x:v>
      </x:c>
      <x:c r="B441" t="str">
        <x:v>nutrition</x:v>
      </x:c>
      <x:c r="C441" t="str">
        <x:v>real_hurdle</x:v>
      </x:c>
      <x:c r="D441" t="n">
        <x:v>0.06</x:v>
      </x:c>
      <x:c r="E441" t="n">
        <x:v>20.583270195424664</x:v>
      </x:c>
      <x:c r="F441" t="n">
        <x:v>10.512165757463372</x:v>
      </x:c>
      <x:c r="G441" t="n">
        <x:v>10.38084</x:v>
      </x:c>
    </x:row>
    <x:row r="442">
      <x:c r="A442" t="str">
        <x:v>partner</x:v>
      </x:c>
      <x:c r="B442" t="str">
        <x:v>nutrition</x:v>
      </x:c>
      <x:c r="C442" t="str">
        <x:v>real_hurdle</x:v>
      </x:c>
      <x:c r="D442" t="n">
        <x:v>0.08</x:v>
      </x:c>
      <x:c r="E442" t="n">
        <x:v>14.517849303279064</x:v>
      </x:c>
      <x:c r="F442" t="n">
        <x:v>4.446744865317772</x:v>
      </x:c>
      <x:c r="G442" t="n">
        <x:v>10.38084</x:v>
      </x:c>
    </x:row>
    <x:row r="443">
      <x:c r="A443" t="str">
        <x:v>partner</x:v>
      </x:c>
      <x:c r="B443" t="str">
        <x:v>nutrition</x:v>
      </x:c>
      <x:c r="C443" t="str">
        <x:v>real_hurdle</x:v>
      </x:c>
      <x:c r="D443" t="n">
        <x:v>0.1</x:v>
      </x:c>
      <x:c r="E443" t="n">
        <x:v>10.071104437961292</x:v>
      </x:c>
      <x:c r="F443" t="n">
        <x:v>0</x:v>
      </x:c>
      <x:c r="G443" t="n">
        <x:v>10.38084</x:v>
      </x:c>
    </x:row>
    <x:row r="444">
      <x:c r="A444" t="str">
        <x:v>partner</x:v>
      </x:c>
      <x:c r="B444" t="str">
        <x:v>nutrition</x:v>
      </x:c>
      <x:c r="C444" t="str">
        <x:v>real_hurdle</x:v>
      </x:c>
      <x:c r="D444" t="n">
        <x:v>0.12</x:v>
      </x:c>
      <x:c r="E444" t="n">
        <x:v>6.746423490157045</x:v>
      </x:c>
      <x:c r="F444" t="n">
        <x:v>-3.3246809478042474</x:v>
      </x:c>
      <x:c r="G444" t="n">
        <x:v>10.38084</x:v>
      </x:c>
    </x:row>
    <x:row r="445">
      <x:c r="A445" t="str">
        <x:v>partner</x:v>
      </x:c>
      <x:c r="B445" t="str">
        <x:v>nutrition</x:v>
      </x:c>
      <x:c r="C445" t="str">
        <x:v>real_hurdle</x:v>
      </x:c>
      <x:c r="D445" t="n">
        <x:v>0.16</x:v>
      </x:c>
      <x:c r="E445" t="n">
        <x:v>2.2521847112710205</x:v>
      </x:c>
      <x:c r="F445" t="n">
        <x:v>-7.818919726690272</x:v>
      </x:c>
      <x:c r="G445" t="n">
        <x:v>10.38084</x:v>
      </x:c>
    </x:row>
    <x:row r="446">
      <x:c r="A446" t="str">
        <x:v>plant</x:v>
      </x:c>
      <x:c r="B446" t="str">
        <x:v>managed</x:v>
      </x:c>
      <x:c r="C446" t="str">
        <x:v>orders_factor</x:v>
      </x:c>
      <x:c r="D446" t="n">
        <x:v>0.7</x:v>
      </x:c>
      <x:c r="E446" t="n">
        <x:v>-13.077306385462172</x:v>
      </x:c>
      <x:c r="F446" t="n">
        <x:v>-11.277364444986741</x:v>
      </x:c>
      <x:c r="G446" t="n">
        <x:v>22.886871232876715</x:v>
      </x:c>
    </x:row>
    <x:row r="447">
      <x:c r="A447" t="str">
        <x:v>plant</x:v>
      </x:c>
      <x:c r="B447" t="str">
        <x:v>managed</x:v>
      </x:c>
      <x:c r="C447" t="str">
        <x:v>orders_factor</x:v>
      </x:c>
      <x:c r="D447" t="n">
        <x:v>0.85</x:v>
      </x:c>
      <x:c r="E447" t="n">
        <x:v>-7.365718702420116</x:v>
      </x:c>
      <x:c r="F447" t="n">
        <x:v>-5.565776761944685</x:v>
      </x:c>
      <x:c r="G447" t="n">
        <x:v>22.539726027397258</x:v>
      </x:c>
    </x:row>
    <x:row r="448">
      <x:c r="A448" t="str">
        <x:v>plant</x:v>
      </x:c>
      <x:c r="B448" t="str">
        <x:v>managed</x:v>
      </x:c>
      <x:c r="C448" t="str">
        <x:v>orders_factor</x:v>
      </x:c>
      <x:c r="D448" t="n">
        <x:v>1</x:v>
      </x:c>
      <x:c r="E448" t="n">
        <x:v>-1.7999419404754313</x:v>
      </x:c>
      <x:c r="F448" t="n">
        <x:v>0</x:v>
      </x:c>
      <x:c r="G448" t="n">
        <x:v>22.564383561643837</x:v>
      </x:c>
    </x:row>
    <x:row r="449">
      <x:c r="A449" t="str">
        <x:v>plant</x:v>
      </x:c>
      <x:c r="B449" t="str">
        <x:v>managed</x:v>
      </x:c>
      <x:c r="C449" t="str">
        <x:v>orders_factor</x:v>
      </x:c>
      <x:c r="D449" t="n">
        <x:v>1.15</x:v>
      </x:c>
      <x:c r="E449" t="n">
        <x:v>3.7432828697583123</x:v>
      </x:c>
      <x:c r="F449" t="n">
        <x:v>5.543224810233744</x:v>
      </x:c>
      <x:c r="G449" t="n">
        <x:v>22.589041095890412</x:v>
      </x:c>
    </x:row>
    <x:row r="450">
      <x:c r="A450" t="str">
        <x:v>plant</x:v>
      </x:c>
      <x:c r="B450" t="str">
        <x:v>managed</x:v>
      </x:c>
      <x:c r="C450" t="str">
        <x:v>orders_factor</x:v>
      </x:c>
      <x:c r="D450" t="n">
        <x:v>1.3</x:v>
      </x:c>
      <x:c r="E450" t="n">
        <x:v>8.605569990864364</x:v>
      </x:c>
      <x:c r="F450" t="n">
        <x:v>10.405511931339795</x:v>
      </x:c>
      <x:c r="G450" t="n">
        <x:v>22.613698630136987</x:v>
      </x:c>
    </x:row>
    <x:row r="451">
      <x:c r="A451" t="str">
        <x:v>plant</x:v>
      </x:c>
      <x:c r="B451" t="str">
        <x:v>managed</x:v>
      </x:c>
      <x:c r="C451" t="str">
        <x:v>price_factor</x:v>
      </x:c>
      <x:c r="D451" t="n">
        <x:v>0.9</x:v>
      </x:c>
      <x:c r="E451" t="n">
        <x:v>-34.21741544857935</x:v>
      </x:c>
      <x:c r="F451" t="n">
        <x:v>-32.417473508103924</x:v>
      </x:c>
      <x:c r="G451" t="n">
        <x:v>59.560473155675375</x:v>
      </x:c>
    </x:row>
    <x:row r="452">
      <x:c r="A452" t="str">
        <x:v>plant</x:v>
      </x:c>
      <x:c r="B452" t="str">
        <x:v>managed</x:v>
      </x:c>
      <x:c r="C452" t="str">
        <x:v>price_factor</x:v>
      </x:c>
      <x:c r="D452" t="n">
        <x:v>0.95</x:v>
      </x:c>
      <x:c r="E452" t="n">
        <x:v>-16.112477996755963</x:v>
      </x:c>
      <x:c r="F452" t="n">
        <x:v>-14.312536056280532</x:v>
      </x:c>
      <x:c r="G452" t="n">
        <x:v>24.566378082191783</x:v>
      </x:c>
    </x:row>
    <x:row r="453">
      <x:c r="A453" t="str">
        <x:v>plant</x:v>
      </x:c>
      <x:c r="B453" t="str">
        <x:v>managed</x:v>
      </x:c>
      <x:c r="C453" t="str">
        <x:v>price_factor</x:v>
      </x:c>
      <x:c r="D453" t="n">
        <x:v>1</x:v>
      </x:c>
      <x:c r="E453" t="n">
        <x:v>-1.7999419404754313</x:v>
      </x:c>
      <x:c r="F453" t="n">
        <x:v>0</x:v>
      </x:c>
      <x:c r="G453" t="n">
        <x:v>22.564383561643837</x:v>
      </x:c>
    </x:row>
    <x:row r="454">
      <x:c r="A454" t="str">
        <x:v>plant</x:v>
      </x:c>
      <x:c r="B454" t="str">
        <x:v>managed</x:v>
      </x:c>
      <x:c r="C454" t="str">
        <x:v>price_factor</x:v>
      </x:c>
      <x:c r="D454" t="n">
        <x:v>1.05</x:v>
      </x:c>
      <x:c r="E454" t="n">
        <x:v>12.185321759344927</x:v>
      </x:c>
      <x:c r="F454" t="n">
        <x:v>13.985263699820358</x:v>
      </x:c>
      <x:c r="G454" t="n">
        <x:v>21.64109589041096</x:v>
      </x:c>
    </x:row>
    <x:row r="455">
      <x:c r="A455" t="str">
        <x:v>plant</x:v>
      </x:c>
      <x:c r="B455" t="str">
        <x:v>managed</x:v>
      </x:c>
      <x:c r="C455" t="str">
        <x:v>price_factor</x:v>
      </x:c>
      <x:c r="D455" t="n">
        <x:v>1.1</x:v>
      </x:c>
      <x:c r="E455" t="n">
        <x:v>26.146092596655947</x:v>
      </x:c>
      <x:c r="F455" t="n">
        <x:v>27.94603453713138</x:v>
      </x:c>
      <x:c r="G455" t="n">
        <x:v>20.95780821917808</x:v>
      </x:c>
    </x:row>
    <x:row r="456">
      <x:c r="A456" t="str">
        <x:v>plant</x:v>
      </x:c>
      <x:c r="B456" t="str">
        <x:v>managed</x:v>
      </x:c>
      <x:c r="C456" t="str">
        <x:v>cost_factor</x:v>
      </x:c>
      <x:c r="D456" t="n">
        <x:v>0.9</x:v>
      </x:c>
      <x:c r="E456" t="n">
        <x:v>22.459913171451227</x:v>
      </x:c>
      <x:c r="F456" t="n">
        <x:v>24.259855111926658</x:v>
      </x:c>
      <x:c r="G456" t="n">
        <x:v>20.8663698630137</x:v>
      </x:c>
    </x:row>
    <x:row r="457">
      <x:c r="A457" t="str">
        <x:v>plant</x:v>
      </x:c>
      <x:c r="B457" t="str">
        <x:v>managed</x:v>
      </x:c>
      <x:c r="C457" t="str">
        <x:v>cost_factor</x:v>
      </x:c>
      <x:c r="D457" t="n">
        <x:v>0.95</x:v>
      </x:c>
      <x:c r="E457" t="n">
        <x:v>10.33913287318887</x:v>
      </x:c>
      <x:c r="F457" t="n">
        <x:v>12.139074813664301</x:v>
      </x:c>
      <x:c r="G457" t="n">
        <x:v>21.632876712328766</x:v>
      </x:c>
    </x:row>
    <x:row r="458">
      <x:c r="A458" t="str">
        <x:v>plant</x:v>
      </x:c>
      <x:c r="B458" t="str">
        <x:v>managed</x:v>
      </x:c>
      <x:c r="C458" t="str">
        <x:v>cost_factor</x:v>
      </x:c>
      <x:c r="D458" t="n">
        <x:v>1</x:v>
      </x:c>
      <x:c r="E458" t="n">
        <x:v>-1.7999419404754313</x:v>
      </x:c>
      <x:c r="F458" t="n">
        <x:v>0</x:v>
      </x:c>
      <x:c r="G458" t="n">
        <x:v>22.564383561643837</x:v>
      </x:c>
    </x:row>
    <x:row r="459">
      <x:c r="A459" t="str">
        <x:v>plant</x:v>
      </x:c>
      <x:c r="B459" t="str">
        <x:v>managed</x:v>
      </x:c>
      <x:c r="C459" t="str">
        <x:v>cost_factor</x:v>
      </x:c>
      <x:c r="D459" t="n">
        <x:v>1.05</x:v>
      </x:c>
      <x:c r="E459" t="n">
        <x:v>-14.086003306323693</x:v>
      </x:c>
      <x:c r="F459" t="n">
        <x:v>-12.286061365848262</x:v>
      </x:c>
      <x:c r="G459" t="n">
        <x:v>24.429726027397265</x:v>
      </x:c>
    </x:row>
    <x:row r="460">
      <x:c r="A460" t="str">
        <x:v>plant</x:v>
      </x:c>
      <x:c r="B460" t="str">
        <x:v>managed</x:v>
      </x:c>
      <x:c r="C460" t="str">
        <x:v>cost_factor</x:v>
      </x:c>
      <x:c r="D460" t="n">
        <x:v>1.1</x:v>
      </x:c>
      <x:c r="E460" t="n">
        <x:v>-29.122122528269028</x:v>
      </x:c>
      <x:c r="F460" t="n">
        <x:v>-27.322180587793596</x:v>
      </x:c>
      <x:c r="G460" t="n">
        <x:v>46.45165861729528</x:v>
      </x:c>
    </x:row>
    <x:row r="461">
      <x:c r="A461" t="str">
        <x:v>plant</x:v>
      </x:c>
      <x:c r="B461" t="str">
        <x:v>managed</x:v>
      </x:c>
      <x:c r="C461" t="str">
        <x:v>capex_factor</x:v>
      </x:c>
      <x:c r="D461" t="n">
        <x:v>0.5</x:v>
      </x:c>
      <x:c r="E461" t="n">
        <x:v>10.73580579650876</x:v>
      </x:c>
      <x:c r="F461" t="n">
        <x:v>12.535747736984192</x:v>
      </x:c>
      <x:c r="G461" t="n">
        <x:v>12.364383561643836</x:v>
      </x:c>
    </x:row>
    <x:row r="462">
      <x:c r="A462" t="str">
        <x:v>plant</x:v>
      </x:c>
      <x:c r="B462" t="str">
        <x:v>managed</x:v>
      </x:c>
      <x:c r="C462" t="str">
        <x:v>capex_factor</x:v>
      </x:c>
      <x:c r="D462" t="n">
        <x:v>0.75</x:v>
      </x:c>
      <x:c r="E462" t="n">
        <x:v>4.470261003899463</x:v>
      </x:c>
      <x:c r="F462" t="n">
        <x:v>6.270202944374894</x:v>
      </x:c>
      <x:c r="G462" t="n">
        <x:v>17.464383561643835</x:v>
      </x:c>
    </x:row>
    <x:row r="463">
      <x:c r="A463" t="str">
        <x:v>plant</x:v>
      </x:c>
      <x:c r="B463" t="str">
        <x:v>managed</x:v>
      </x:c>
      <x:c r="C463" t="str">
        <x:v>capex_factor</x:v>
      </x:c>
      <x:c r="D463" t="n">
        <x:v>1</x:v>
      </x:c>
      <x:c r="E463" t="n">
        <x:v>-1.7999419404754313</x:v>
      </x:c>
      <x:c r="F463" t="n">
        <x:v>0</x:v>
      </x:c>
      <x:c r="G463" t="n">
        <x:v>22.564383561643837</x:v>
      </x:c>
    </x:row>
    <x:row r="464">
      <x:c r="A464" t="str">
        <x:v>plant</x:v>
      </x:c>
      <x:c r="B464" t="str">
        <x:v>managed</x:v>
      </x:c>
      <x:c r="C464" t="str">
        <x:v>capex_factor</x:v>
      </x:c>
      <x:c r="D464" t="n">
        <x:v>1.25</x:v>
      </x:c>
      <x:c r="E464" t="n">
        <x:v>-8.084833089207947</x:v>
      </x:c>
      <x:c r="F464" t="n">
        <x:v>-6.284891148732516</x:v>
      </x:c>
      <x:c r="G464" t="n">
        <x:v>27.664383561643834</x:v>
      </x:c>
    </x:row>
    <x:row r="465">
      <x:c r="A465" t="str">
        <x:v>plant</x:v>
      </x:c>
      <x:c r="B465" t="str">
        <x:v>managed</x:v>
      </x:c>
      <x:c r="C465" t="str">
        <x:v>capex_factor</x:v>
      </x:c>
      <x:c r="D465" t="n">
        <x:v>1.5</x:v>
      </x:c>
      <x:c r="E465" t="n">
        <x:v>-14.396266990702015</x:v>
      </x:c>
      <x:c r="F465" t="n">
        <x:v>-12.596325050226584</x:v>
      </x:c>
      <x:c r="G465" t="n">
        <x:v>32.76438356164384</x:v>
      </x:c>
    </x:row>
    <x:row r="466">
      <x:c r="A466" t="str">
        <x:v>plant</x:v>
      </x:c>
      <x:c r="B466" t="str">
        <x:v>managed</x:v>
      </x:c>
      <x:c r="C466" t="str">
        <x:v>DSO_added_days</x:v>
      </x:c>
      <x:c r="D466" t="n">
        <x:v>-10</x:v>
      </x:c>
      <x:c r="E466" t="n">
        <x:v>-1.050281597462421</x:v>
      </x:c>
      <x:c r="F466" t="n">
        <x:v>0.7496603430130104</x:v>
      </x:c>
      <x:c r="G466" t="n">
        <x:v>22.126027397260273</x:v>
      </x:c>
    </x:row>
    <x:row r="467">
      <x:c r="A467" t="str">
        <x:v>plant</x:v>
      </x:c>
      <x:c r="B467" t="str">
        <x:v>managed</x:v>
      </x:c>
      <x:c r="C467" t="str">
        <x:v>DSO_added_days</x:v>
      </x:c>
      <x:c r="D467" t="n">
        <x:v>0</x:v>
      </x:c>
      <x:c r="E467" t="n">
        <x:v>-1.7999419404754313</x:v>
      </x:c>
      <x:c r="F467" t="n">
        <x:v>0</x:v>
      </x:c>
      <x:c r="G467" t="n">
        <x:v>22.564383561643837</x:v>
      </x:c>
    </x:row>
    <x:row r="468">
      <x:c r="A468" t="str">
        <x:v>plant</x:v>
      </x:c>
      <x:c r="B468" t="str">
        <x:v>managed</x:v>
      </x:c>
      <x:c r="C468" t="str">
        <x:v>DSO_added_days</x:v>
      </x:c>
      <x:c r="D468" t="n">
        <x:v>10</x:v>
      </x:c>
      <x:c r="E468" t="n">
        <x:v>-2.549602283488438</x:v>
      </x:c>
      <x:c r="F468" t="n">
        <x:v>-0.7496603430130069</x:v>
      </x:c>
      <x:c r="G468" t="n">
        <x:v>23.002739726027396</x:v>
      </x:c>
    </x:row>
    <x:row r="469">
      <x:c r="A469" t="str">
        <x:v>plant</x:v>
      </x:c>
      <x:c r="B469" t="str">
        <x:v>managed</x:v>
      </x:c>
      <x:c r="C469" t="str">
        <x:v>DSO_added_days</x:v>
      </x:c>
      <x:c r="D469" t="n">
        <x:v>20</x:v>
      </x:c>
      <x:c r="E469" t="n">
        <x:v>-3.299262626501447</x:v>
      </x:c>
      <x:c r="F469" t="n">
        <x:v>-1.4993206860260155</x:v>
      </x:c>
      <x:c r="G469" t="n">
        <x:v>23.490739726027403</x:v>
      </x:c>
    </x:row>
    <x:row r="470">
      <x:c r="A470" t="str">
        <x:v>plant</x:v>
      </x:c>
      <x:c r="B470" t="str">
        <x:v>managed</x:v>
      </x:c>
      <x:c r="C470" t="str">
        <x:v>DSO_added_days</x:v>
      </x:c>
      <x:c r="D470" t="n">
        <x:v>40</x:v>
      </x:c>
      <x:c r="E470" t="n">
        <x:v>-4.798583312527465</x:v>
      </x:c>
      <x:c r="F470" t="n">
        <x:v>-2.9986413720520337</x:v>
      </x:c>
      <x:c r="G470" t="n">
        <x:v>24.914520547945212</x:v>
      </x:c>
    </x:row>
    <x:row r="471">
      <x:c r="A471" t="str">
        <x:v>plant</x:v>
      </x:c>
      <x:c r="B471" t="str">
        <x:v>managed</x:v>
      </x:c>
      <x:c r="C471" t="str">
        <x:v>DIO_added_days</x:v>
      </x:c>
      <x:c r="D471" t="n">
        <x:v>-10</x:v>
      </x:c>
      <x:c r="E471" t="n">
        <x:v>-1.0034278260241098</x:v>
      </x:c>
      <x:c r="F471" t="n">
        <x:v>0.7965141144513215</x:v>
      </x:c>
      <x:c r="G471" t="n">
        <x:v>22.0986301369863</x:v>
      </x:c>
    </x:row>
    <x:row r="472">
      <x:c r="A472" t="str">
        <x:v>plant</x:v>
      </x:c>
      <x:c r="B472" t="str">
        <x:v>managed</x:v>
      </x:c>
      <x:c r="C472" t="str">
        <x:v>DIO_added_days</x:v>
      </x:c>
      <x:c r="D472" t="n">
        <x:v>0</x:v>
      </x:c>
      <x:c r="E472" t="n">
        <x:v>-1.7999419404754313</x:v>
      </x:c>
      <x:c r="F472" t="n">
        <x:v>0</x:v>
      </x:c>
      <x:c r="G472" t="n">
        <x:v>22.564383561643837</x:v>
      </x:c>
    </x:row>
    <x:row r="473">
      <x:c r="A473" t="str">
        <x:v>plant</x:v>
      </x:c>
      <x:c r="B473" t="str">
        <x:v>managed</x:v>
      </x:c>
      <x:c r="C473" t="str">
        <x:v>DIO_added_days</x:v>
      </x:c>
      <x:c r="D473" t="n">
        <x:v>10</x:v>
      </x:c>
      <x:c r="E473" t="n">
        <x:v>-2.596456054926751</x:v>
      </x:c>
      <x:c r="F473" t="n">
        <x:v>-0.7965141144513197</x:v>
      </x:c>
      <x:c r="G473" t="n">
        <x:v>23.030136986301372</x:v>
      </x:c>
    </x:row>
    <x:row r="474">
      <x:c r="A474" t="str">
        <x:v>plant</x:v>
      </x:c>
      <x:c r="B474" t="str">
        <x:v>managed</x:v>
      </x:c>
      <x:c r="C474" t="str">
        <x:v>DIO_added_days</x:v>
      </x:c>
      <x:c r="D474" t="n">
        <x:v>20</x:v>
      </x:c>
      <x:c r="E474" t="n">
        <x:v>-3.3929701693780725</x:v>
      </x:c>
      <x:c r="F474" t="n">
        <x:v>-1.5930282289026412</x:v>
      </x:c>
      <x:c r="G474" t="n">
        <x:v>23.579726027397264</x:v>
      </x:c>
    </x:row>
    <x:row r="475">
      <x:c r="A475" t="str">
        <x:v>plant</x:v>
      </x:c>
      <x:c r="B475" t="str">
        <x:v>managed</x:v>
      </x:c>
      <x:c r="C475" t="str">
        <x:v>DIO_added_days</x:v>
      </x:c>
      <x:c r="D475" t="n">
        <x:v>40</x:v>
      </x:c>
      <x:c r="E475" t="n">
        <x:v>-4.985998398280716</x:v>
      </x:c>
      <x:c r="F475" t="n">
        <x:v>-3.186056457805285</x:v>
      </x:c>
      <x:c r="G475" t="n">
        <x:v>25.092493150684938</x:v>
      </x:c>
    </x:row>
    <x:row r="476">
      <x:c r="A476" t="str">
        <x:v>plant</x:v>
      </x:c>
      <x:c r="B476" t="str">
        <x:v>managed</x:v>
      </x:c>
      <x:c r="C476" t="str">
        <x:v>real_hurdle</x:v>
      </x:c>
      <x:c r="D476" t="n">
        <x:v>0.06</x:v>
      </x:c>
      <x:c r="E476" t="n">
        <x:v>7.815187907859411</x:v>
      </x:c>
      <x:c r="F476" t="n">
        <x:v>9.615129848334842</x:v>
      </x:c>
      <x:c r="G476" t="n">
        <x:v>22.564383561643837</x:v>
      </x:c>
    </x:row>
    <x:row r="477">
      <x:c r="A477" t="str">
        <x:v>plant</x:v>
      </x:c>
      <x:c r="B477" t="str">
        <x:v>managed</x:v>
      </x:c>
      <x:c r="C477" t="str">
        <x:v>real_hurdle</x:v>
      </x:c>
      <x:c r="D477" t="n">
        <x:v>0.08</x:v>
      </x:c>
      <x:c r="E477" t="n">
        <x:v>2.2574666922401203</x:v>
      </x:c>
      <x:c r="F477" t="n">
        <x:v>4.057408632715552</x:v>
      </x:c>
      <x:c r="G477" t="n">
        <x:v>22.564383561643837</x:v>
      </x:c>
    </x:row>
    <x:row r="478">
      <x:c r="A478" t="str">
        <x:v>plant</x:v>
      </x:c>
      <x:c r="B478" t="str">
        <x:v>managed</x:v>
      </x:c>
      <x:c r="C478" t="str">
        <x:v>real_hurdle</x:v>
      </x:c>
      <x:c r="D478" t="n">
        <x:v>0.1</x:v>
      </x:c>
      <x:c r="E478" t="n">
        <x:v>-1.7999419404754313</x:v>
      </x:c>
      <x:c r="F478" t="n">
        <x:v>0</x:v>
      </x:c>
      <x:c r="G478" t="n">
        <x:v>22.564383561643837</x:v>
      </x:c>
    </x:row>
    <x:row r="479">
      <x:c r="A479" t="str">
        <x:v>plant</x:v>
      </x:c>
      <x:c r="B479" t="str">
        <x:v>managed</x:v>
      </x:c>
      <x:c r="C479" t="str">
        <x:v>real_hurdle</x:v>
      </x:c>
      <x:c r="D479" t="n">
        <x:v>0.12</x:v>
      </x:c>
      <x:c r="E479" t="n">
        <x:v>-4.822253150590053</x:v>
      </x:c>
      <x:c r="F479" t="n">
        <x:v>-3.022311210114622</x:v>
      </x:c>
      <x:c r="G479" t="n">
        <x:v>22.564383561643837</x:v>
      </x:c>
    </x:row>
    <x:row r="480">
      <x:c r="A480" t="str">
        <x:v>plant</x:v>
      </x:c>
      <x:c r="B480" t="str">
        <x:v>managed</x:v>
      </x:c>
      <x:c r="C480" t="str">
        <x:v>real_hurdle</x:v>
      </x:c>
      <x:c r="D480" t="n">
        <x:v>0.16</x:v>
      </x:c>
      <x:c r="E480" t="n">
        <x:v>-8.888714189098355</x:v>
      </x:c>
      <x:c r="F480" t="n">
        <x:v>-7.088772248622924</x:v>
      </x:c>
      <x:c r="G480" t="n">
        <x:v>22.564383561643837</x:v>
      </x:c>
    </x:row>
    <x:row r="481">
      <x:c r="A481" t="str">
        <x:v>plant</x:v>
      </x:c>
      <x:c r="B481" t="str">
        <x:v>integration</x:v>
      </x:c>
      <x:c r="C481" t="str">
        <x:v>orders_factor</x:v>
      </x:c>
      <x:c r="D481" t="n">
        <x:v>0.7</x:v>
      </x:c>
      <x:c r="E481" t="n">
        <x:v>-2.002353999854673</x:v>
      </x:c>
      <x:c r="F481" t="n">
        <x:v>-15.88181578062862</x:v>
      </x:c>
      <x:c r="G481" t="n">
        <x:v>21.91811397260274</x:v>
      </x:c>
    </x:row>
    <x:row r="482">
      <x:c r="A482" t="str">
        <x:v>plant</x:v>
      </x:c>
      <x:c r="B482" t="str">
        <x:v>integration</x:v>
      </x:c>
      <x:c r="C482" t="str">
        <x:v>orders_factor</x:v>
      </x:c>
      <x:c r="D482" t="n">
        <x:v>0.85</x:v>
      </x:c>
      <x:c r="E482" t="n">
        <x:v>6.264682556980858</x:v>
      </x:c>
      <x:c r="F482" t="n">
        <x:v>-7.614779223793089</x:v>
      </x:c>
      <x:c r="G482" t="n">
        <x:v>21.82342410958904</x:v>
      </x:c>
    </x:row>
    <x:row r="483">
      <x:c r="A483" t="str">
        <x:v>plant</x:v>
      </x:c>
      <x:c r="B483" t="str">
        <x:v>integration</x:v>
      </x:c>
      <x:c r="C483" t="str">
        <x:v>orders_factor</x:v>
      </x:c>
      <x:c r="D483" t="n">
        <x:v>1</x:v>
      </x:c>
      <x:c r="E483" t="n">
        <x:v>13.879461780773948</x:v>
      </x:c>
      <x:c r="F483" t="n">
        <x:v>0</x:v>
      </x:c>
      <x:c r="G483" t="n">
        <x:v>21.728734246575343</x:v>
      </x:c>
    </x:row>
    <x:row r="484">
      <x:c r="A484" t="str">
        <x:v>plant</x:v>
      </x:c>
      <x:c r="B484" t="str">
        <x:v>integration</x:v>
      </x:c>
      <x:c r="C484" t="str">
        <x:v>orders_factor</x:v>
      </x:c>
      <x:c r="D484" t="n">
        <x:v>1.15</x:v>
      </x:c>
      <x:c r="E484" t="n">
        <x:v>18.64169796733259</x:v>
      </x:c>
      <x:c r="F484" t="n">
        <x:v>4.762236186558642</x:v>
      </x:c>
      <x:c r="G484" t="n">
        <x:v>21.68215438356164</x:v>
      </x:c>
    </x:row>
    <x:row r="485">
      <x:c r="A485" t="str">
        <x:v>plant</x:v>
      </x:c>
      <x:c r="B485" t="str">
        <x:v>integration</x:v>
      </x:c>
      <x:c r="C485" t="str">
        <x:v>orders_factor</x:v>
      </x:c>
      <x:c r="D485" t="n">
        <x:v>1.3</x:v>
      </x:c>
      <x:c r="E485" t="n">
        <x:v>20.710802884544677</x:v>
      </x:c>
      <x:c r="F485" t="n">
        <x:v>6.831341103770729</x:v>
      </x:c>
      <x:c r="G485" t="n">
        <x:v>21.724174520547944</x:v>
      </x:c>
    </x:row>
    <x:row r="486">
      <x:c r="A486" t="str">
        <x:v>plant</x:v>
      </x:c>
      <x:c r="B486" t="str">
        <x:v>integration</x:v>
      </x:c>
      <x:c r="C486" t="str">
        <x:v>price_factor</x:v>
      </x:c>
      <x:c r="D486" t="n">
        <x:v>0.9</x:v>
      </x:c>
      <x:c r="E486" t="n">
        <x:v>-24.725680729013078</x:v>
      </x:c>
      <x:c r="F486" t="n">
        <x:v>-38.60514250978703</x:v>
      </x:c>
      <x:c r="G486" t="n">
        <x:v>34.913170006146075</x:v>
      </x:c>
    </x:row>
    <x:row r="487">
      <x:c r="A487" t="str">
        <x:v>plant</x:v>
      </x:c>
      <x:c r="B487" t="str">
        <x:v>integration</x:v>
      </x:c>
      <x:c r="C487" t="str">
        <x:v>price_factor</x:v>
      </x:c>
      <x:c r="D487" t="n">
        <x:v>0.95</x:v>
      </x:c>
      <x:c r="E487" t="n">
        <x:v>-4.380070554255447</x:v>
      </x:c>
      <x:c r="F487" t="n">
        <x:v>-18.259532335029395</x:v>
      </x:c>
      <x:c r="G487" t="n">
        <x:v>22.875148273972595</x:v>
      </x:c>
    </x:row>
    <x:row r="488">
      <x:c r="A488" t="str">
        <x:v>plant</x:v>
      </x:c>
      <x:c r="B488" t="str">
        <x:v>integration</x:v>
      </x:c>
      <x:c r="C488" t="str">
        <x:v>price_factor</x:v>
      </x:c>
      <x:c r="D488" t="n">
        <x:v>1</x:v>
      </x:c>
      <x:c r="E488" t="n">
        <x:v>13.879461780773948</x:v>
      </x:c>
      <x:c r="F488" t="n">
        <x:v>0</x:v>
      </x:c>
      <x:c r="G488" t="n">
        <x:v>21.728734246575343</x:v>
      </x:c>
    </x:row>
    <x:row r="489">
      <x:c r="A489" t="str">
        <x:v>plant</x:v>
      </x:c>
      <x:c r="B489" t="str">
        <x:v>integration</x:v>
      </x:c>
      <x:c r="C489" t="str">
        <x:v>price_factor</x:v>
      </x:c>
      <x:c r="D489" t="n">
        <x:v>1.05</x:v>
      </x:c>
      <x:c r="E489" t="n">
        <x:v>32.09833161347733</x:v>
      </x:c>
      <x:c r="F489" t="n">
        <x:v>18.21886983270338</x:v>
      </x:c>
      <x:c r="G489" t="n">
        <x:v>20.87377808219178</x:v>
      </x:c>
    </x:row>
    <x:row r="490">
      <x:c r="A490" t="str">
        <x:v>plant</x:v>
      </x:c>
      <x:c r="B490" t="str">
        <x:v>integration</x:v>
      </x:c>
      <x:c r="C490" t="str">
        <x:v>price_factor</x:v>
      </x:c>
      <x:c r="D490" t="n">
        <x:v>1.1</x:v>
      </x:c>
      <x:c r="E490" t="n">
        <x:v>50.310489889914464</x:v>
      </x:c>
      <x:c r="F490" t="n">
        <x:v>36.43102810914051</x:v>
      </x:c>
      <x:c r="G490" t="n">
        <x:v>20.107421917808214</x:v>
      </x:c>
    </x:row>
    <x:row r="491">
      <x:c r="A491" t="str">
        <x:v>plant</x:v>
      </x:c>
      <x:c r="B491" t="str">
        <x:v>integration</x:v>
      </x:c>
      <x:c r="C491" t="str">
        <x:v>cost_factor</x:v>
      </x:c>
      <x:c r="D491" t="n">
        <x:v>0.9</x:v>
      </x:c>
      <x:c r="E491" t="n">
        <x:v>44.884276737940525</x:v>
      </x:c>
      <x:c r="F491" t="n">
        <x:v>31.004814957166577</x:v>
      </x:c>
      <x:c r="G491" t="n">
        <x:v>20.079408493150684</x:v>
      </x:c>
    </x:row>
    <x:row r="492">
      <x:c r="A492" t="str">
        <x:v>plant</x:v>
      </x:c>
      <x:c r="B492" t="str">
        <x:v>integration</x:v>
      </x:c>
      <x:c r="C492" t="str">
        <x:v>cost_factor</x:v>
      </x:c>
      <x:c r="D492" t="n">
        <x:v>0.95</x:v>
      </x:c>
      <x:c r="E492" t="n">
        <x:v>29.385225037490407</x:v>
      </x:c>
      <x:c r="F492" t="n">
        <x:v>15.50576325671646</x:v>
      </x:c>
      <x:c r="G492" t="n">
        <x:v>20.85977136986301</x:v>
      </x:c>
    </x:row>
    <x:row r="493">
      <x:c r="A493" t="str">
        <x:v>plant</x:v>
      </x:c>
      <x:c r="B493" t="str">
        <x:v>integration</x:v>
      </x:c>
      <x:c r="C493" t="str">
        <x:v>cost_factor</x:v>
      </x:c>
      <x:c r="D493" t="n">
        <x:v>1</x:v>
      </x:c>
      <x:c r="E493" t="n">
        <x:v>13.879461780773948</x:v>
      </x:c>
      <x:c r="F493" t="n">
        <x:v>0</x:v>
      </x:c>
      <x:c r="G493" t="n">
        <x:v>21.728734246575343</x:v>
      </x:c>
    </x:row>
    <x:row r="494">
      <x:c r="A494" t="str">
        <x:v>plant</x:v>
      </x:c>
      <x:c r="B494" t="str">
        <x:v>integration</x:v>
      </x:c>
      <x:c r="C494" t="str">
        <x:v>cost_factor</x:v>
      </x:c>
      <x:c r="D494" t="n">
        <x:v>1.05</x:v>
      </x:c>
      <x:c r="E494" t="n">
        <x:v>-1.6528320408950776</x:v>
      </x:c>
      <x:c r="F494" t="n">
        <x:v>-15.532293821669025</x:v>
      </x:c>
      <x:c r="G494" t="n">
        <x:v>22.74352712328767</x:v>
      </x:c>
    </x:row>
    <x:row r="495">
      <x:c r="A495" t="str">
        <x:v>plant</x:v>
      </x:c>
      <x:c r="B495" t="str">
        <x:v>integration</x:v>
      </x:c>
      <x:c r="C495" t="str">
        <x:v>cost_factor</x:v>
      </x:c>
      <x:c r="D495" t="n">
        <x:v>1.1</x:v>
      </x:c>
      <x:c r="E495" t="n">
        <x:v>-17.710935935745916</x:v>
      </x:c>
      <x:c r="F495" t="n">
        <x:v>-31.590397716519863</x:v>
      </x:c>
      <x:c r="G495" t="n">
        <x:v>26.328646947607965</x:v>
      </x:c>
    </x:row>
    <x:row r="496">
      <x:c r="A496" t="str">
        <x:v>plant</x:v>
      </x:c>
      <x:c r="B496" t="str">
        <x:v>integration</x:v>
      </x:c>
      <x:c r="C496" t="str">
        <x:v>capex_factor</x:v>
      </x:c>
      <x:c r="D496" t="n">
        <x:v>0.5</x:v>
      </x:c>
      <x:c r="E496" t="n">
        <x:v>26.85455641875243</x:v>
      </x:c>
      <x:c r="F496" t="n">
        <x:v>12.975094637978483</x:v>
      </x:c>
      <x:c r="G496" t="n">
        <x:v>11.695134246575341</x:v>
      </x:c>
    </x:row>
    <x:row r="497">
      <x:c r="A497" t="str">
        <x:v>plant</x:v>
      </x:c>
      <x:c r="B497" t="str">
        <x:v>integration</x:v>
      </x:c>
      <x:c r="C497" t="str">
        <x:v>capex_factor</x:v>
      </x:c>
      <x:c r="D497" t="n">
        <x:v>0.75</x:v>
      </x:c>
      <x:c r="E497" t="n">
        <x:v>20.370364877896346</x:v>
      </x:c>
      <x:c r="F497" t="n">
        <x:v>6.490903097122398</x:v>
      </x:c>
      <x:c r="G497" t="n">
        <x:v>16.66763424657534</x:v>
      </x:c>
    </x:row>
    <x:row r="498">
      <x:c r="A498" t="str">
        <x:v>plant</x:v>
      </x:c>
      <x:c r="B498" t="str">
        <x:v>integration</x:v>
      </x:c>
      <x:c r="C498" t="str">
        <x:v>capex_factor</x:v>
      </x:c>
      <x:c r="D498" t="n">
        <x:v>1</x:v>
      </x:c>
      <x:c r="E498" t="n">
        <x:v>13.879461780773948</x:v>
      </x:c>
      <x:c r="F498" t="n">
        <x:v>0</x:v>
      </x:c>
      <x:c r="G498" t="n">
        <x:v>21.728734246575343</x:v>
      </x:c>
    </x:row>
    <x:row r="499">
      <x:c r="A499" t="str">
        <x:v>plant</x:v>
      </x:c>
      <x:c r="B499" t="str">
        <x:v>integration</x:v>
      </x:c>
      <x:c r="C499" t="str">
        <x:v>capex_factor</x:v>
      </x:c>
      <x:c r="D499" t="n">
        <x:v>1.25</x:v>
      </x:c>
      <x:c r="E499" t="n">
        <x:v>7.385611961995139</x:v>
      </x:c>
      <x:c r="F499" t="n">
        <x:v>-6.493849818778809</x:v>
      </x:c>
      <x:c r="G499" t="n">
        <x:v>26.82873424657534</x:v>
      </x:c>
    </x:row>
    <x:row r="500">
      <x:c r="A500" t="str">
        <x:v>plant</x:v>
      </x:c>
      <x:c r="B500" t="str">
        <x:v>integration</x:v>
      </x:c>
      <x:c r="C500" t="str">
        <x:v>capex_factor</x:v>
      </x:c>
      <x:c r="D500" t="n">
        <x:v>1.5</x:v>
      </x:c>
      <x:c r="E500" t="n">
        <x:v>0.8834987298101353</x:v>
      </x:c>
      <x:c r="F500" t="n">
        <x:v>-12.995963050963812</x:v>
      </x:c>
      <x:c r="G500" t="n">
        <x:v>31.92873424657534</x:v>
      </x:c>
    </x:row>
    <x:row r="501">
      <x:c r="A501" t="str">
        <x:v>plant</x:v>
      </x:c>
      <x:c r="B501" t="str">
        <x:v>integration</x:v>
      </x:c>
      <x:c r="C501" t="str">
        <x:v>DSO_added_days</x:v>
      </x:c>
      <x:c r="D501" t="n">
        <x:v>-10</x:v>
      </x:c>
      <x:c r="E501" t="n">
        <x:v>14.767455971643763</x:v>
      </x:c>
      <x:c r="F501" t="n">
        <x:v>0.887994190869815</x:v>
      </x:c>
      <x:c r="G501" t="n">
        <x:v>21.237775342465753</x:v>
      </x:c>
    </x:row>
    <x:row r="502">
      <x:c r="A502" t="str">
        <x:v>plant</x:v>
      </x:c>
      <x:c r="B502" t="str">
        <x:v>integration</x:v>
      </x:c>
      <x:c r="C502" t="str">
        <x:v>DSO_added_days</x:v>
      </x:c>
      <x:c r="D502" t="n">
        <x:v>0</x:v>
      </x:c>
      <x:c r="E502" t="n">
        <x:v>13.879461780773948</x:v>
      </x:c>
      <x:c r="F502" t="n">
        <x:v>0</x:v>
      </x:c>
      <x:c r="G502" t="n">
        <x:v>21.728734246575343</x:v>
      </x:c>
    </x:row>
    <x:row r="503">
      <x:c r="A503" t="str">
        <x:v>plant</x:v>
      </x:c>
      <x:c r="B503" t="str">
        <x:v>integration</x:v>
      </x:c>
      <x:c r="C503" t="str">
        <x:v>DSO_added_days</x:v>
      </x:c>
      <x:c r="D503" t="n">
        <x:v>10</x:v>
      </x:c>
      <x:c r="E503" t="n">
        <x:v>12.991467589904133</x:v>
      </x:c>
      <x:c r="F503" t="n">
        <x:v>-0.887994190869815</x:v>
      </x:c>
      <x:c r="G503" t="n">
        <x:v>22.219693150684932</x:v>
      </x:c>
    </x:row>
    <x:row r="504">
      <x:c r="A504" t="str">
        <x:v>plant</x:v>
      </x:c>
      <x:c r="B504" t="str">
        <x:v>integration</x:v>
      </x:c>
      <x:c r="C504" t="str">
        <x:v>DSO_added_days</x:v>
      </x:c>
      <x:c r="D504" t="n">
        <x:v>20</x:v>
      </x:c>
      <x:c r="E504" t="n">
        <x:v>12.103473399034321</x:v>
      </x:c>
      <x:c r="F504" t="n">
        <x:v>-1.7759883817396265</x:v>
      </x:c>
      <x:c r="G504" t="n">
        <x:v>22.71065205479452</x:v>
      </x:c>
    </x:row>
    <x:row r="505">
      <x:c r="A505" t="str">
        <x:v>plant</x:v>
      </x:c>
      <x:c r="B505" t="str">
        <x:v>integration</x:v>
      </x:c>
      <x:c r="C505" t="str">
        <x:v>DSO_added_days</x:v>
      </x:c>
      <x:c r="D505" t="n">
        <x:v>40</x:v>
      </x:c>
      <x:c r="E505" t="n">
        <x:v>10.327485017294691</x:v>
      </x:c>
      <x:c r="F505" t="n">
        <x:v>-3.5519767634792565</x:v>
      </x:c>
      <x:c r="G505" t="n">
        <x:v>23.6925698630137</x:v>
      </x:c>
    </x:row>
    <x:row r="506">
      <x:c r="A506" t="str">
        <x:v>plant</x:v>
      </x:c>
      <x:c r="B506" t="str">
        <x:v>integration</x:v>
      </x:c>
      <x:c r="C506" t="str">
        <x:v>DIO_added_days</x:v>
      </x:c>
      <x:c r="D506" t="n">
        <x:v>-10</x:v>
      </x:c>
      <x:c r="E506" t="n">
        <x:v>14.808803201156138</x:v>
      </x:c>
      <x:c r="F506" t="n">
        <x:v>0.9293414203821904</x:v>
      </x:c>
      <x:c r="G506" t="n">
        <x:v>21.21491506849315</x:v>
      </x:c>
    </x:row>
    <x:row r="507">
      <x:c r="A507" t="str">
        <x:v>plant</x:v>
      </x:c>
      <x:c r="B507" t="str">
        <x:v>integration</x:v>
      </x:c>
      <x:c r="C507" t="str">
        <x:v>DIO_added_days</x:v>
      </x:c>
      <x:c r="D507" t="n">
        <x:v>0</x:v>
      </x:c>
      <x:c r="E507" t="n">
        <x:v>13.879461780773948</x:v>
      </x:c>
      <x:c r="F507" t="n">
        <x:v>0</x:v>
      </x:c>
      <x:c r="G507" t="n">
        <x:v>21.728734246575343</x:v>
      </x:c>
    </x:row>
    <x:row r="508">
      <x:c r="A508" t="str">
        <x:v>plant</x:v>
      </x:c>
      <x:c r="B508" t="str">
        <x:v>integration</x:v>
      </x:c>
      <x:c r="C508" t="str">
        <x:v>DIO_added_days</x:v>
      </x:c>
      <x:c r="D508" t="n">
        <x:v>10</x:v>
      </x:c>
      <x:c r="E508" t="n">
        <x:v>12.950120360391761</x:v>
      </x:c>
      <x:c r="F508" t="n">
        <x:v>-0.9293414203821868</x:v>
      </x:c>
      <x:c r="G508" t="n">
        <x:v>22.242553424657533</x:v>
      </x:c>
    </x:row>
    <x:row r="509">
      <x:c r="A509" t="str">
        <x:v>plant</x:v>
      </x:c>
      <x:c r="B509" t="str">
        <x:v>integration</x:v>
      </x:c>
      <x:c r="C509" t="str">
        <x:v>DIO_added_days</x:v>
      </x:c>
      <x:c r="D509" t="n">
        <x:v>20</x:v>
      </x:c>
      <x:c r="E509" t="n">
        <x:v>12.02077894000957</x:v>
      </x:c>
      <x:c r="F509" t="n">
        <x:v>-1.8586828407643772</x:v>
      </x:c>
      <x:c r="G509" t="n">
        <x:v>22.756372602739724</x:v>
      </x:c>
    </x:row>
    <x:row r="510">
      <x:c r="A510" t="str">
        <x:v>plant</x:v>
      </x:c>
      <x:c r="B510" t="str">
        <x:v>integration</x:v>
      </x:c>
      <x:c r="C510" t="str">
        <x:v>DIO_added_days</x:v>
      </x:c>
      <x:c r="D510" t="n">
        <x:v>40</x:v>
      </x:c>
      <x:c r="E510" t="n">
        <x:v>10.16209609924519</x:v>
      </x:c>
      <x:c r="F510" t="n">
        <x:v>-3.717365681528758</x:v>
      </x:c>
      <x:c r="G510" t="n">
        <x:v>23.805873972602736</x:v>
      </x:c>
    </x:row>
    <x:row r="511">
      <x:c r="A511" t="str">
        <x:v>plant</x:v>
      </x:c>
      <x:c r="B511" t="str">
        <x:v>integration</x:v>
      </x:c>
      <x:c r="C511" t="str">
        <x:v>real_hurdle</x:v>
      </x:c>
      <x:c r="D511" t="n">
        <x:v>0.06</x:v>
      </x:c>
      <x:c r="E511" t="n">
        <x:v>26.585995931405606</x:v>
      </x:c>
      <x:c r="F511" t="n">
        <x:v>12.706534150631658</x:v>
      </x:c>
      <x:c r="G511" t="n">
        <x:v>21.728734246575343</x:v>
      </x:c>
    </x:row>
    <x:row r="512">
      <x:c r="A512" t="str">
        <x:v>plant</x:v>
      </x:c>
      <x:c r="B512" t="str">
        <x:v>integration</x:v>
      </x:c>
      <x:c r="C512" t="str">
        <x:v>real_hurdle</x:v>
      </x:c>
      <x:c r="D512" t="n">
        <x:v>0.08</x:v>
      </x:c>
      <x:c r="E512" t="n">
        <x:v>17.48004937623481</x:v>
      </x:c>
      <x:c r="F512" t="n">
        <x:v>3.600587595460862</x:v>
      </x:c>
      <x:c r="G512" t="n">
        <x:v>21.728734246575343</x:v>
      </x:c>
    </x:row>
    <x:row r="513">
      <x:c r="A513" t="str">
        <x:v>plant</x:v>
      </x:c>
      <x:c r="B513" t="str">
        <x:v>integration</x:v>
      </x:c>
      <x:c r="C513" t="str">
        <x:v>real_hurdle</x:v>
      </x:c>
      <x:c r="D513" t="n">
        <x:v>0.1</x:v>
      </x:c>
      <x:c r="E513" t="n">
        <x:v>10.773803846150056</x:v>
      </x:c>
      <x:c r="F513" t="n">
        <x:v>-3.105657934623892</x:v>
      </x:c>
      <x:c r="G513" t="n">
        <x:v>21.728734246575343</x:v>
      </x:c>
    </x:row>
    <x:row r="514">
      <x:c r="A514" t="str">
        <x:v>plant</x:v>
      </x:c>
      <x:c r="B514" t="str">
        <x:v>integration</x:v>
      </x:c>
      <x:c r="C514" t="str">
        <x:v>real_hurdle</x:v>
      </x:c>
      <x:c r="D514" t="n">
        <x:v>0.12</x:v>
      </x:c>
      <x:c r="E514" t="n">
        <x:v>5.739084131686511</x:v>
      </x:c>
      <x:c r="F514" t="n">
        <x:v>-8.140377649087437</x:v>
      </x:c>
      <x:c r="G514" t="n">
        <x:v>21.728734246575343</x:v>
      </x:c>
    </x:row>
    <x:row r="515">
      <x:c r="A515" t="str">
        <x:v>plant</x:v>
      </x:c>
      <x:c r="B515" t="str">
        <x:v>integration</x:v>
      </x:c>
      <x:c r="C515" t="str">
        <x:v>real_hurdle</x:v>
      </x:c>
      <x:c r="D515" t="n">
        <x:v>0.16</x:v>
      </x:c>
      <x:c r="E515" t="n">
        <x:v>-1.1025752703114602</x:v>
      </x:c>
      <x:c r="F515" t="n">
        <x:v>-14.982037051085408</x:v>
      </x:c>
      <x:c r="G515" t="n">
        <x:v>21.728734246575343</x:v>
      </x:c>
    </x:row>
    <x:row r="516">
      <x:c r="A516" t="str">
        <x:v>plant</x:v>
      </x:c>
      <x:c r="B516" t="str">
        <x:v>fragmented</x:v>
      </x:c>
      <x:c r="C516" t="str">
        <x:v>orders_factor</x:v>
      </x:c>
      <x:c r="D516" t="n">
        <x:v>0.7</x:v>
      </x:c>
      <x:c r="E516" t="n">
        <x:v>-25.087225657873333</x:v>
      </x:c>
      <x:c r="F516" t="n">
        <x:v>-7.883278008287512</x:v>
      </x:c>
      <x:c r="G516" t="n">
        <x:v>39.32458454914031</x:v>
      </x:c>
    </x:row>
    <x:row r="517">
      <x:c r="A517" t="str">
        <x:v>plant</x:v>
      </x:c>
      <x:c r="B517" t="str">
        <x:v>fragmented</x:v>
      </x:c>
      <x:c r="C517" t="str">
        <x:v>orders_factor</x:v>
      </x:c>
      <x:c r="D517" t="n">
        <x:v>0.85</x:v>
      </x:c>
      <x:c r="E517" t="n">
        <x:v>-20.851162829892477</x:v>
      </x:c>
      <x:c r="F517" t="n">
        <x:v>-3.647215180306656</x:v>
      </x:c>
      <x:c r="G517" t="n">
        <x:v>28.02286987428027</x:v>
      </x:c>
    </x:row>
    <x:row r="518">
      <x:c r="A518" t="str">
        <x:v>plant</x:v>
      </x:c>
      <x:c r="B518" t="str">
        <x:v>fragmented</x:v>
      </x:c>
      <x:c r="C518" t="str">
        <x:v>orders_factor</x:v>
      </x:c>
      <x:c r="D518" t="n">
        <x:v>1</x:v>
      </x:c>
      <x:c r="E518" t="n">
        <x:v>-17.20394764958582</x:v>
      </x:c>
      <x:c r="F518" t="n">
        <x:v>0</x:v>
      </x:c>
      <x:c r="G518" t="n">
        <x:v>25.97873621917809</x:v>
      </x:c>
    </x:row>
    <x:row r="519">
      <x:c r="A519" t="str">
        <x:v>plant</x:v>
      </x:c>
      <x:c r="B519" t="str">
        <x:v>fragmented</x:v>
      </x:c>
      <x:c r="C519" t="str">
        <x:v>orders_factor</x:v>
      </x:c>
      <x:c r="D519" t="n">
        <x:v>1.15</x:v>
      </x:c>
      <x:c r="E519" t="n">
        <x:v>-14.164372468136067</x:v>
      </x:c>
      <x:c r="F519" t="n">
        <x:v>3.039575181449754</x:v>
      </x:c>
      <x:c r="G519" t="n">
        <x:v>26.0955466520548</x:v>
      </x:c>
    </x:row>
    <x:row r="520">
      <x:c r="A520" t="str">
        <x:v>plant</x:v>
      </x:c>
      <x:c r="B520" t="str">
        <x:v>fragmented</x:v>
      </x:c>
      <x:c r="C520" t="str">
        <x:v>orders_factor</x:v>
      </x:c>
      <x:c r="D520" t="n">
        <x:v>1.3</x:v>
      </x:c>
      <x:c r="E520" t="n">
        <x:v>-11.210593434633985</x:v>
      </x:c>
      <x:c r="F520" t="n">
        <x:v>5.993354214951836</x:v>
      </x:c>
      <x:c r="G520" t="n">
        <x:v>26.212357084931504</x:v>
      </x:c>
    </x:row>
    <x:row r="521">
      <x:c r="A521" t="str">
        <x:v>plant</x:v>
      </x:c>
      <x:c r="B521" t="str">
        <x:v>fragmented</x:v>
      </x:c>
      <x:c r="C521" t="str">
        <x:v>price_factor</x:v>
      </x:c>
      <x:c r="D521" t="n">
        <x:v>0.9</x:v>
      </x:c>
      <x:c r="E521" t="n">
        <x:v>-44.270331602028534</x:v>
      </x:c>
      <x:c r="F521" t="n">
        <x:v>-27.066383952442713</x:v>
      </x:c>
      <x:c r="G521" t="n">
        <x:v>95.93490650634996</x:v>
      </x:c>
    </x:row>
    <x:row r="522">
      <x:c r="A522" t="str">
        <x:v>plant</x:v>
      </x:c>
      <x:c r="B522" t="str">
        <x:v>fragmented</x:v>
      </x:c>
      <x:c r="C522" t="str">
        <x:v>price_factor</x:v>
      </x:c>
      <x:c r="D522" t="n">
        <x:v>0.95</x:v>
      </x:c>
      <x:c r="E522" t="n">
        <x:v>-30.442715801970113</x:v>
      </x:c>
      <x:c r="F522" t="n">
        <x:v>-13.238768152384292</x:v>
      </x:c>
      <x:c r="G522" t="n">
        <x:v>51.68375743467838</x:v>
      </x:c>
    </x:row>
    <x:row r="523">
      <x:c r="A523" t="str">
        <x:v>plant</x:v>
      </x:c>
      <x:c r="B523" t="str">
        <x:v>fragmented</x:v>
      </x:c>
      <x:c r="C523" t="str">
        <x:v>price_factor</x:v>
      </x:c>
      <x:c r="D523" t="n">
        <x:v>1</x:v>
      </x:c>
      <x:c r="E523" t="n">
        <x:v>-17.20394764958582</x:v>
      </x:c>
      <x:c r="F523" t="n">
        <x:v>0</x:v>
      </x:c>
      <x:c r="G523" t="n">
        <x:v>25.97873621917809</x:v>
      </x:c>
    </x:row>
    <x:row r="524">
      <x:c r="A524" t="str">
        <x:v>plant</x:v>
      </x:c>
      <x:c r="B524" t="str">
        <x:v>fragmented</x:v>
      </x:c>
      <x:c r="C524" t="str">
        <x:v>price_factor</x:v>
      </x:c>
      <x:c r="D524" t="n">
        <x:v>1.05</x:v>
      </x:c>
      <x:c r="E524" t="n">
        <x:v>-6.702097979333128</x:v>
      </x:c>
      <x:c r="F524" t="n">
        <x:v>10.501849670252692</x:v>
      </x:c>
      <x:c r="G524" t="n">
        <x:v>23.714409369863013</x:v>
      </x:c>
    </x:row>
    <x:row r="525">
      <x:c r="A525" t="str">
        <x:v>plant</x:v>
      </x:c>
      <x:c r="B525" t="str">
        <x:v>fragmented</x:v>
      </x:c>
      <x:c r="C525" t="str">
        <x:v>price_factor</x:v>
      </x:c>
      <x:c r="D525" t="n">
        <x:v>1.1</x:v>
      </x:c>
      <x:c r="E525" t="n">
        <x:v>3.6499506255173326</x:v>
      </x:c>
      <x:c r="F525" t="n">
        <x:v>20.853898275103155</x:v>
      </x:c>
      <x:c r="G525" t="n">
        <x:v>22.8782602739726</x:v>
      </x:c>
    </x:row>
    <x:row r="526">
      <x:c r="A526" t="str">
        <x:v>plant</x:v>
      </x:c>
      <x:c r="B526" t="str">
        <x:v>fragmented</x:v>
      </x:c>
      <x:c r="C526" t="str">
        <x:v>cost_factor</x:v>
      </x:c>
      <x:c r="D526" t="n">
        <x:v>0.9</x:v>
      </x:c>
      <x:c r="E526" t="n">
        <x:v>1.6981424305325863</x:v>
      </x:c>
      <x:c r="F526" t="n">
        <x:v>18.902090080118406</x:v>
      </x:c>
      <x:c r="G526" t="n">
        <x:v>22.683749315068496</x:v>
      </x:c>
    </x:row>
    <x:row r="527">
      <x:c r="A527" t="str">
        <x:v>plant</x:v>
      </x:c>
      <x:c r="B527" t="str">
        <x:v>fragmented</x:v>
      </x:c>
      <x:c r="C527" t="str">
        <x:v>cost_factor</x:v>
      </x:c>
      <x:c r="D527" t="n">
        <x:v>0.95</x:v>
      </x:c>
      <x:c r="E527" t="n">
        <x:v>-7.683533241411857</x:v>
      </x:c>
      <x:c r="F527" t="n">
        <x:v>9.520414408173963</x:v>
      </x:c>
      <x:c r="G527" t="n">
        <x:v>23.663652558904122</x:v>
      </x:c>
    </x:row>
    <x:row r="528">
      <x:c r="A528" t="str">
        <x:v>plant</x:v>
      </x:c>
      <x:c r="B528" t="str">
        <x:v>fragmented</x:v>
      </x:c>
      <x:c r="C528" t="str">
        <x:v>cost_factor</x:v>
      </x:c>
      <x:c r="D528" t="n">
        <x:v>1</x:v>
      </x:c>
      <x:c r="E528" t="n">
        <x:v>-17.20394764958582</x:v>
      </x:c>
      <x:c r="F528" t="n">
        <x:v>0</x:v>
      </x:c>
      <x:c r="G528" t="n">
        <x:v>25.97873621917809</x:v>
      </x:c>
    </x:row>
    <x:row r="529">
      <x:c r="A529" t="str">
        <x:v>plant</x:v>
      </x:c>
      <x:c r="B529" t="str">
        <x:v>fragmented</x:v>
      </x:c>
      <x:c r="C529" t="str">
        <x:v>cost_factor</x:v>
      </x:c>
      <x:c r="D529" t="n">
        <x:v>1.05</x:v>
      </x:c>
      <x:c r="E529" t="n">
        <x:v>-29.03069485930981</x:v>
      </x:c>
      <x:c r="F529" t="n">
        <x:v>-11.82674720972399</x:v>
      </x:c>
      <x:c r="G529" t="n">
        <x:v>47.16408490247406</x:v>
      </x:c>
    </x:row>
    <x:row r="530">
      <x:c r="A530" t="str">
        <x:v>plant</x:v>
      </x:c>
      <x:c r="B530" t="str">
        <x:v>fragmented</x:v>
      </x:c>
      <x:c r="C530" t="str">
        <x:v>cost_factor</x:v>
      </x:c>
      <x:c r="D530" t="n">
        <x:v>1.1</x:v>
      </x:c>
      <x:c r="E530" t="n">
        <x:v>-41.44628971670804</x:v>
      </x:c>
      <x:c r="F530" t="n">
        <x:v>-24.242342067122216</x:v>
      </x:c>
      <x:c r="G530" t="n">
        <x:v>85.37975999968056</x:v>
      </x:c>
    </x:row>
    <x:row r="531">
      <x:c r="A531" t="str">
        <x:v>plant</x:v>
      </x:c>
      <x:c r="B531" t="str">
        <x:v>fragmented</x:v>
      </x:c>
      <x:c r="C531" t="str">
        <x:v>capex_factor</x:v>
      </x:c>
      <x:c r="D531" t="n">
        <x:v>0.5</x:v>
      </x:c>
      <x:c r="E531" t="n">
        <x:v>-5.272057420809576</x:v>
      </x:c>
      <x:c r="F531" t="n">
        <x:v>11.931890228776245</x:v>
      </x:c>
      <x:c r="G531" t="n">
        <x:v>15.578736219178085</x:v>
      </x:c>
    </x:row>
    <x:row r="532">
      <x:c r="A532" t="str">
        <x:v>plant</x:v>
      </x:c>
      <x:c r="B532" t="str">
        <x:v>fragmented</x:v>
      </x:c>
      <x:c r="C532" t="str">
        <x:v>capex_factor</x:v>
      </x:c>
      <x:c r="D532" t="n">
        <x:v>0.75</x:v>
      </x:c>
      <x:c r="E532" t="n">
        <x:v>-11.196452269569228</x:v>
      </x:c>
      <x:c r="F532" t="n">
        <x:v>6.007495380016593</x:v>
      </x:c>
      <x:c r="G532" t="n">
        <x:v>20.778736219178086</x:v>
      </x:c>
    </x:row>
    <x:row r="533">
      <x:c r="A533" t="str">
        <x:v>plant</x:v>
      </x:c>
      <x:c r="B533" t="str">
        <x:v>fragmented</x:v>
      </x:c>
      <x:c r="C533" t="str">
        <x:v>capex_factor</x:v>
      </x:c>
      <x:c r="D533" t="n">
        <x:v>1</x:v>
      </x:c>
      <x:c r="E533" t="n">
        <x:v>-17.20394764958582</x:v>
      </x:c>
      <x:c r="F533" t="n">
        <x:v>0</x:v>
      </x:c>
      <x:c r="G533" t="n">
        <x:v>25.97873621917809</x:v>
      </x:c>
    </x:row>
    <x:row r="534">
      <x:c r="A534" t="str">
        <x:v>plant</x:v>
      </x:c>
      <x:c r="B534" t="str">
        <x:v>fragmented</x:v>
      </x:c>
      <x:c r="C534" t="str">
        <x:v>capex_factor</x:v>
      </x:c>
      <x:c r="D534" t="n">
        <x:v>1.25</x:v>
      </x:c>
      <x:c r="E534" t="n">
        <x:v>-23.581891781785444</x:v>
      </x:c>
      <x:c r="F534" t="n">
        <x:v>-6.377944132199623</x:v>
      </x:c>
      <x:c r="G534" t="n">
        <x:v>31.521023381506193</x:v>
      </x:c>
    </x:row>
    <x:row r="535">
      <x:c r="A535" t="str">
        <x:v>plant</x:v>
      </x:c>
      <x:c r="B535" t="str">
        <x:v>fragmented</x:v>
      </x:c>
      <x:c r="C535" t="str">
        <x:v>capex_factor</x:v>
      </x:c>
      <x:c r="D535" t="n">
        <x:v>1.5</x:v>
      </x:c>
      <x:c r="E535" t="n">
        <x:v>-30.415406406199267</x:v>
      </x:c>
      <x:c r="F535" t="n">
        <x:v>-13.211458756613446</x:v>
      </x:c>
      <x:c r="G535" t="n">
        <x:v>41.12102338150619</x:v>
      </x:c>
    </x:row>
    <x:row r="536">
      <x:c r="A536" t="str">
        <x:v>plant</x:v>
      </x:c>
      <x:c r="B536" t="str">
        <x:v>fragmented</x:v>
      </x:c>
      <x:c r="C536" t="str">
        <x:v>DSO_added_days</x:v>
      </x:c>
      <x:c r="D536" t="n">
        <x:v>-10</x:v>
      </x:c>
      <x:c r="E536" t="n">
        <x:v>-16.547172461184992</x:v>
      </x:c>
      <x:c r="F536" t="n">
        <x:v>0.6567751884008288</x:v>
      </x:c>
      <x:c r="G536" t="n">
        <x:v>25.31897161643836</x:v>
      </x:c>
    </x:row>
    <x:row r="537">
      <x:c r="A537" t="str">
        <x:v>plant</x:v>
      </x:c>
      <x:c r="B537" t="str">
        <x:v>fragmented</x:v>
      </x:c>
      <x:c r="C537" t="str">
        <x:v>DSO_added_days</x:v>
      </x:c>
      <x:c r="D537" t="n">
        <x:v>0</x:v>
      </x:c>
      <x:c r="E537" t="n">
        <x:v>-17.20394764958582</x:v>
      </x:c>
      <x:c r="F537" t="n">
        <x:v>0</x:v>
      </x:c>
      <x:c r="G537" t="n">
        <x:v>25.97873621917809</x:v>
      </x:c>
    </x:row>
    <x:row r="538">
      <x:c r="A538" t="str">
        <x:v>plant</x:v>
      </x:c>
      <x:c r="B538" t="str">
        <x:v>fragmented</x:v>
      </x:c>
      <x:c r="C538" t="str">
        <x:v>DSO_added_days</x:v>
      </x:c>
      <x:c r="D538" t="n">
        <x:v>10</x:v>
      </x:c>
      <x:c r="E538" t="n">
        <x:v>-17.86072283798665</x:v>
      </x:c>
      <x:c r="F538" t="n">
        <x:v>-0.6567751884008288</x:v>
      </x:c>
      <x:c r="G538" t="n">
        <x:v>26.638500821917813</x:v>
      </x:c>
    </x:row>
    <x:row r="539">
      <x:c r="A539" t="str">
        <x:v>plant</x:v>
      </x:c>
      <x:c r="B539" t="str">
        <x:v>fragmented</x:v>
      </x:c>
      <x:c r="C539" t="str">
        <x:v>DSO_added_days</x:v>
      </x:c>
      <x:c r="D539" t="n">
        <x:v>20</x:v>
      </x:c>
      <x:c r="E539" t="n">
        <x:v>-18.517498026387475</x:v>
      </x:c>
      <x:c r="F539" t="n">
        <x:v>-1.313550376801654</x:v>
      </x:c>
      <x:c r="G539" t="n">
        <x:v>27.29826542465754</x:v>
      </x:c>
    </x:row>
    <x:row r="540">
      <x:c r="A540" t="str">
        <x:v>plant</x:v>
      </x:c>
      <x:c r="B540" t="str">
        <x:v>fragmented</x:v>
      </x:c>
      <x:c r="C540" t="str">
        <x:v>DSO_added_days</x:v>
      </x:c>
      <x:c r="D540" t="n">
        <x:v>40</x:v>
      </x:c>
      <x:c r="E540" t="n">
        <x:v>-19.831048403189133</x:v>
      </x:c>
      <x:c r="F540" t="n">
        <x:v>-2.6271007536033117</x:v>
      </x:c>
      <x:c r="G540" t="n">
        <x:v>28.918343754109596</x:v>
      </x:c>
    </x:row>
    <x:row r="541">
      <x:c r="A541" t="str">
        <x:v>plant</x:v>
      </x:c>
      <x:c r="B541" t="str">
        <x:v>fragmented</x:v>
      </x:c>
      <x:c r="C541" t="str">
        <x:v>DIO_added_days</x:v>
      </x:c>
      <x:c r="D541" t="n">
        <x:v>-10</x:v>
      </x:c>
      <x:c r="E541" t="n">
        <x:v>-16.485994483900058</x:v>
      </x:c>
      <x:c r="F541" t="n">
        <x:v>0.7179531656857634</x:v>
      </x:c>
      <x:c r="G541" t="n">
        <x:v>25.257515178082194</x:v>
      </x:c>
    </x:row>
    <x:row r="542">
      <x:c r="A542" t="str">
        <x:v>plant</x:v>
      </x:c>
      <x:c r="B542" t="str">
        <x:v>fragmented</x:v>
      </x:c>
      <x:c r="C542" t="str">
        <x:v>DIO_added_days</x:v>
      </x:c>
      <x:c r="D542" t="n">
        <x:v>0</x:v>
      </x:c>
      <x:c r="E542" t="n">
        <x:v>-17.20394764958582</x:v>
      </x:c>
      <x:c r="F542" t="n">
        <x:v>0</x:v>
      </x:c>
      <x:c r="G542" t="n">
        <x:v>25.97873621917809</x:v>
      </x:c>
    </x:row>
    <x:row r="543">
      <x:c r="A543" t="str">
        <x:v>plant</x:v>
      </x:c>
      <x:c r="B543" t="str">
        <x:v>fragmented</x:v>
      </x:c>
      <x:c r="C543" t="str">
        <x:v>DIO_added_days</x:v>
      </x:c>
      <x:c r="D543" t="n">
        <x:v>10</x:v>
      </x:c>
      <x:c r="E543" t="n">
        <x:v>-17.92190081527158</x:v>
      </x:c>
      <x:c r="F543" t="n">
        <x:v>-0.7179531656857598</x:v>
      </x:c>
      <x:c r="G543" t="n">
        <x:v>26.699957260273976</x:v>
      </x:c>
    </x:row>
    <x:row r="544">
      <x:c r="A544" t="str">
        <x:v>plant</x:v>
      </x:c>
      <x:c r="B544" t="str">
        <x:v>fragmented</x:v>
      </x:c>
      <x:c r="C544" t="str">
        <x:v>DIO_added_days</x:v>
      </x:c>
      <x:c r="D544" t="n">
        <x:v>20</x:v>
      </x:c>
      <x:c r="E544" t="n">
        <x:v>-18.639853980957344</x:v>
      </x:c>
      <x:c r="F544" t="n">
        <x:v>-1.4359063313715232</x:v>
      </x:c>
      <x:c r="G544" t="n">
        <x:v>27.421178301369867</x:v>
      </x:c>
    </x:row>
    <x:row r="545">
      <x:c r="A545" t="str">
        <x:v>plant</x:v>
      </x:c>
      <x:c r="B545" t="str">
        <x:v>fragmented</x:v>
      </x:c>
      <x:c r="C545" t="str">
        <x:v>DIO_added_days</x:v>
      </x:c>
      <x:c r="D545" t="n">
        <x:v>40</x:v>
      </x:c>
      <x:c r="E545" t="n">
        <x:v>-20.075760312328867</x:v>
      </x:c>
      <x:c r="F545" t="n">
        <x:v>-2.8718126627430465</x:v>
      </x:c>
      <x:c r="G545" t="n">
        <x:v>29.227162356849323</x:v>
      </x:c>
    </x:row>
    <x:row r="546">
      <x:c r="A546" t="str">
        <x:v>plant</x:v>
      </x:c>
      <x:c r="B546" t="str">
        <x:v>fragmented</x:v>
      </x:c>
      <x:c r="C546" t="str">
        <x:v>real_hurdle</x:v>
      </x:c>
      <x:c r="D546" t="n">
        <x:v>0.06</x:v>
      </x:c>
      <x:c r="E546" t="n">
        <x:v>-12.60688340784211</x:v>
      </x:c>
      <x:c r="F546" t="n">
        <x:v>4.597064241743711</x:v>
      </x:c>
      <x:c r="G546" t="n">
        <x:v>25.97873621917809</x:v>
      </x:c>
    </x:row>
    <x:row r="547">
      <x:c r="A547" t="str">
        <x:v>plant</x:v>
      </x:c>
      <x:c r="B547" t="str">
        <x:v>fragmented</x:v>
      </x:c>
      <x:c r="C547" t="str">
        <x:v>real_hurdle</x:v>
      </x:c>
      <x:c r="D547" t="n">
        <x:v>0.08</x:v>
      </x:c>
      <x:c r="E547" t="n">
        <x:v>-14.703498886019233</x:v>
      </x:c>
      <x:c r="F547" t="n">
        <x:v>2.500448763566588</x:v>
      </x:c>
      <x:c r="G547" t="n">
        <x:v>25.97873621917809</x:v>
      </x:c>
    </x:row>
    <x:row r="548">
      <x:c r="A548" t="str">
        <x:v>plant</x:v>
      </x:c>
      <x:c r="B548" t="str">
        <x:v>fragmented</x:v>
      </x:c>
      <x:c r="C548" t="str">
        <x:v>real_hurdle</x:v>
      </x:c>
      <x:c r="D548" t="n">
        <x:v>0.1</x:v>
      </x:c>
      <x:c r="E548" t="n">
        <x:v>-16.1652106969822</x:v>
      </x:c>
      <x:c r="F548" t="n">
        <x:v>1.038736952603621</x:v>
      </x:c>
      <x:c r="G548" t="n">
        <x:v>25.97873621917809</x:v>
      </x:c>
    </x:row>
    <x:row r="549">
      <x:c r="A549" t="str">
        <x:v>plant</x:v>
      </x:c>
      <x:c r="B549" t="str">
        <x:v>fragmented</x:v>
      </x:c>
      <x:c r="C549" t="str">
        <x:v>real_hurdle</x:v>
      </x:c>
      <x:c r="D549" t="n">
        <x:v>0.12</x:v>
      </x:c>
      <x:c r="E549" t="n">
        <x:v>-17.20394764958582</x:v>
      </x:c>
      <x:c r="F549" t="n">
        <x:v>0</x:v>
      </x:c>
      <x:c r="G549" t="n">
        <x:v>25.97873621917809</x:v>
      </x:c>
    </x:row>
    <x:row r="550">
      <x:c r="A550" t="str">
        <x:v>plant</x:v>
      </x:c>
      <x:c r="B550" t="str">
        <x:v>fragmented</x:v>
      </x:c>
      <x:c r="C550" t="str">
        <x:v>real_hurdle</x:v>
      </x:c>
      <x:c r="D550" t="n">
        <x:v>0.16</x:v>
      </x:c>
      <x:c r="E550" t="n">
        <x:v>-18.50520220761276</x:v>
      </x:c>
      <x:c r="F550" t="n">
        <x:v>-1.3012545580269403</x:v>
      </x:c>
      <x:c r="G550" t="n">
        <x:v>25.97873621917809</x:v>
      </x:c>
    </x:row>
    <x:row r="551">
      <x:c r="A551" t="str">
        <x:v>plant</x:v>
      </x:c>
      <x:c r="B551" t="str">
        <x:v>physical</x:v>
      </x:c>
      <x:c r="C551" t="str">
        <x:v>orders_factor</x:v>
      </x:c>
      <x:c r="D551" t="n">
        <x:v>0.7</x:v>
      </x:c>
      <x:c r="E551" t="n">
        <x:v>-36.996464394201595</x:v>
      </x:c>
      <x:c r="F551" t="n">
        <x:v>-3.7043007309094804</x:v>
      </x:c>
      <x:c r="G551" t="n">
        <x:v>73.95444401996158</x:v>
      </x:c>
    </x:row>
    <x:row r="552">
      <x:c r="A552" t="str">
        <x:v>plant</x:v>
      </x:c>
      <x:c r="B552" t="str">
        <x:v>physical</x:v>
      </x:c>
      <x:c r="C552" t="str">
        <x:v>orders_factor</x:v>
      </x:c>
      <x:c r="D552" t="n">
        <x:v>0.85</x:v>
      </x:c>
      <x:c r="E552" t="n">
        <x:v>-35.144314028746855</x:v>
      </x:c>
      <x:c r="F552" t="n">
        <x:v>-1.8521503654547402</x:v>
      </x:c>
      <x:c r="G552" t="n">
        <x:v>65.63039630995335</x:v>
      </x:c>
    </x:row>
    <x:row r="553">
      <x:c r="A553" t="str">
        <x:v>plant</x:v>
      </x:c>
      <x:c r="B553" t="str">
        <x:v>physical</x:v>
      </x:c>
      <x:c r="C553" t="str">
        <x:v>orders_factor</x:v>
      </x:c>
      <x:c r="D553" t="n">
        <x:v>1</x:v>
      </x:c>
      <x:c r="E553" t="n">
        <x:v>-33.292163663292115</x:v>
      </x:c>
      <x:c r="F553" t="n">
        <x:v>0</x:v>
      </x:c>
      <x:c r="G553" t="n">
        <x:v>57.89763621465281</x:v>
      </x:c>
    </x:row>
    <x:row r="554">
      <x:c r="A554" t="str">
        <x:v>plant</x:v>
      </x:c>
      <x:c r="B554" t="str">
        <x:v>physical</x:v>
      </x:c>
      <x:c r="C554" t="str">
        <x:v>orders_factor</x:v>
      </x:c>
      <x:c r="D554" t="n">
        <x:v>1.15</x:v>
      </x:c>
      <x:c r="E554" t="n">
        <x:v>-31.44001329783737</x:v>
      </x:c>
      <x:c r="F554" t="n">
        <x:v>1.8521503654547438</x:v>
      </x:c>
      <x:c r="G554" t="n">
        <x:v>50.87728164685077</x:v>
      </x:c>
    </x:row>
    <x:row r="555">
      <x:c r="A555" t="str">
        <x:v>plant</x:v>
      </x:c>
      <x:c r="B555" t="str">
        <x:v>physical</x:v>
      </x:c>
      <x:c r="C555" t="str">
        <x:v>orders_factor</x:v>
      </x:c>
      <x:c r="D555" t="n">
        <x:v>1.3</x:v>
      </x:c>
      <x:c r="E555" t="n">
        <x:v>-29.587862932382635</x:v>
      </x:c>
      <x:c r="F555" t="n">
        <x:v>3.7043007309094804</x:v>
      </x:c>
      <x:c r="G555" t="n">
        <x:v>43.856927079048695</x:v>
      </x:c>
    </x:row>
    <x:row r="556">
      <x:c r="A556" t="str">
        <x:v>plant</x:v>
      </x:c>
      <x:c r="B556" t="str">
        <x:v>physical</x:v>
      </x:c>
      <x:c r="C556" t="str">
        <x:v>price_factor</x:v>
      </x:c>
      <x:c r="D556" t="n">
        <x:v>0.9</x:v>
      </x:c>
      <x:c r="E556" t="n">
        <x:v>-58.91271965415302</x:v>
      </x:c>
      <x:c r="F556" t="n">
        <x:v>-25.620555990860908</x:v>
      </x:c>
      <x:c r="G556" t="n">
        <x:v>141.80957383451678</x:v>
      </x:c>
    </x:row>
    <x:row r="557">
      <x:c r="A557" t="str">
        <x:v>plant</x:v>
      </x:c>
      <x:c r="B557" t="str">
        <x:v>physical</x:v>
      </x:c>
      <x:c r="C557" t="str">
        <x:v>price_factor</x:v>
      </x:c>
      <x:c r="D557" t="n">
        <x:v>0.95</x:v>
      </x:c>
      <x:c r="E557" t="n">
        <x:v>-46.10244165872257</x:v>
      </x:c>
      <x:c r="F557" t="n">
        <x:v>-12.810277995430454</x:v>
      </x:c>
      <x:c r="G557" t="n">
        <x:v>99.55796121723094</x:v>
      </x:c>
    </x:row>
    <x:row r="558">
      <x:c r="A558" t="str">
        <x:v>plant</x:v>
      </x:c>
      <x:c r="B558" t="str">
        <x:v>physical</x:v>
      </x:c>
      <x:c r="C558" t="str">
        <x:v>price_factor</x:v>
      </x:c>
      <x:c r="D558" t="n">
        <x:v>1</x:v>
      </x:c>
      <x:c r="E558" t="n">
        <x:v>-33.292163663292115</x:v>
      </x:c>
      <x:c r="F558" t="n">
        <x:v>0</x:v>
      </x:c>
      <x:c r="G558" t="n">
        <x:v>57.89763621465281</x:v>
      </x:c>
    </x:row>
    <x:row r="559">
      <x:c r="A559" t="str">
        <x:v>plant</x:v>
      </x:c>
      <x:c r="B559" t="str">
        <x:v>physical</x:v>
      </x:c>
      <x:c r="C559" t="str">
        <x:v>price_factor</x:v>
      </x:c>
      <x:c r="D559" t="n">
        <x:v>1.05</x:v>
      </x:c>
      <x:c r="E559" t="n">
        <x:v>-20.655203610791418</x:v>
      </x:c>
      <x:c r="F559" t="n">
        <x:v>12.636960052500697</x:v>
      </x:c>
      <x:c r="G559" t="n">
        <x:v>27.987819543917787</x:v>
      </x:c>
    </x:row>
    <x:row r="560">
      <x:c r="A560" t="str">
        <x:v>plant</x:v>
      </x:c>
      <x:c r="B560" t="str">
        <x:v>physical</x:v>
      </x:c>
      <x:c r="C560" t="str">
        <x:v>price_factor</x:v>
      </x:c>
      <x:c r="D560" t="n">
        <x:v>1.1</x:v>
      </x:c>
      <x:c r="E560" t="n">
        <x:v>-10.687699168389022</x:v>
      </x:c>
      <x:c r="F560" t="n">
        <x:v>22.60446449490309</x:v>
      </x:c>
      <x:c r="G560" t="n">
        <x:v>25.618763598904092</x:v>
      </x:c>
    </x:row>
    <x:row r="561">
      <x:c r="A561" t="str">
        <x:v>plant</x:v>
      </x:c>
      <x:c r="B561" t="str">
        <x:v>physical</x:v>
      </x:c>
      <x:c r="C561" t="str">
        <x:v>cost_factor</x:v>
      </x:c>
      <x:c r="D561" t="n">
        <x:v>0.9</x:v>
      </x:c>
      <x:c r="E561" t="n">
        <x:v>-11.427603199365015</x:v>
      </x:c>
      <x:c r="F561" t="n">
        <x:v>21.8645604639271</x:v>
      </x:c>
      <x:c r="G561" t="n">
        <x:v>25.18027324931506</x:v>
      </x:c>
    </x:row>
    <x:row r="562">
      <x:c r="A562" t="str">
        <x:v>plant</x:v>
      </x:c>
      <x:c r="B562" t="str">
        <x:v>physical</x:v>
      </x:c>
      <x:c r="C562" t="str">
        <x:v>cost_factor</x:v>
      </x:c>
      <x:c r="D562" t="n">
        <x:v>0.95</x:v>
      </x:c>
      <x:c r="E562" t="n">
        <x:v>-21.165182326811237</x:v>
      </x:c>
      <x:c r="F562" t="n">
        <x:v>12.126981336480878</x:v>
      </x:c>
      <x:c r="G562" t="n">
        <x:v>28.172895254394025</x:v>
      </x:c>
    </x:row>
    <x:row r="563">
      <x:c r="A563" t="str">
        <x:v>plant</x:v>
      </x:c>
      <x:c r="B563" t="str">
        <x:v>physical</x:v>
      </x:c>
      <x:c r="C563" t="str">
        <x:v>cost_factor</x:v>
      </x:c>
      <x:c r="D563" t="n">
        <x:v>1</x:v>
      </x:c>
      <x:c r="E563" t="n">
        <x:v>-33.292163663292115</x:v>
      </x:c>
      <x:c r="F563" t="n">
        <x:v>0</x:v>
      </x:c>
      <x:c r="G563" t="n">
        <x:v>57.89763621465281</x:v>
      </x:c>
    </x:row>
    <x:row r="564">
      <x:c r="A564" t="str">
        <x:v>plant</x:v>
      </x:c>
      <x:c r="B564" t="str">
        <x:v>physical</x:v>
      </x:c>
      <x:c r="C564" t="str">
        <x:v>cost_factor</x:v>
      </x:c>
      <x:c r="D564" t="n">
        <x:v>1.05</x:v>
      </x:c>
      <x:c r="E564" t="n">
        <x:v>-45.485058203571</x:v>
      </x:c>
      <x:c r="F564" t="n">
        <x:v>-12.192894540278886</x:v>
      </x:c>
      <x:c r="G564" t="n">
        <x:v>96.78327864722826</x:v>
      </x:c>
    </x:row>
    <x:row r="565">
      <x:c r="A565" t="str">
        <x:v>plant</x:v>
      </x:c>
      <x:c r="B565" t="str">
        <x:v>physical</x:v>
      </x:c>
      <x:c r="C565" t="str">
        <x:v>cost_factor</x:v>
      </x:c>
      <x:c r="D565" t="n">
        <x:v>1.1</x:v>
      </x:c>
      <x:c r="E565" t="n">
        <x:v>-57.677952743849936</x:v>
      </x:c>
      <x:c r="F565" t="n">
        <x:v>-24.38578908055782</x:v>
      </x:c>
      <x:c r="G565" t="n">
        <x:v>136.26020869451153</x:v>
      </x:c>
    </x:row>
    <x:row r="566">
      <x:c r="A566" t="str">
        <x:v>plant</x:v>
      </x:c>
      <x:c r="B566" t="str">
        <x:v>physical</x:v>
      </x:c>
      <x:c r="C566" t="str">
        <x:v>capex_factor</x:v>
      </x:c>
      <x:c r="D566" t="n">
        <x:v>0.5</x:v>
      </x:c>
      <x:c r="E566" t="n">
        <x:v>-19.49185725900448</x:v>
      </x:c>
      <x:c r="F566" t="n">
        <x:v>13.800306404287635</x:v>
      </x:c>
      <x:c r="G566" t="n">
        <x:v>29.697636214652793</x:v>
      </x:c>
    </x:row>
    <x:row r="567">
      <x:c r="A567" t="str">
        <x:v>plant</x:v>
      </x:c>
      <x:c r="B567" t="str">
        <x:v>physical</x:v>
      </x:c>
      <x:c r="C567" t="str">
        <x:v>capex_factor</x:v>
      </x:c>
      <x:c r="D567" t="n">
        <x:v>0.75</x:v>
      </x:c>
      <x:c r="E567" t="n">
        <x:v>-26.392010461148296</x:v>
      </x:c>
      <x:c r="F567" t="n">
        <x:v>6.900153202143819</x:v>
      </x:c>
      <x:c r="G567" t="n">
        <x:v>43.797636214652826</x:v>
      </x:c>
    </x:row>
    <x:row r="568">
      <x:c r="A568" t="str">
        <x:v>plant</x:v>
      </x:c>
      <x:c r="B568" t="str">
        <x:v>physical</x:v>
      </x:c>
      <x:c r="C568" t="str">
        <x:v>capex_factor</x:v>
      </x:c>
      <x:c r="D568" t="n">
        <x:v>1</x:v>
      </x:c>
      <x:c r="E568" t="n">
        <x:v>-33.292163663292115</x:v>
      </x:c>
      <x:c r="F568" t="n">
        <x:v>0</x:v>
      </x:c>
      <x:c r="G568" t="n">
        <x:v>57.89763621465281</x:v>
      </x:c>
    </x:row>
    <x:row r="569">
      <x:c r="A569" t="str">
        <x:v>plant</x:v>
      </x:c>
      <x:c r="B569" t="str">
        <x:v>physical</x:v>
      </x:c>
      <x:c r="C569" t="str">
        <x:v>capex_factor</x:v>
      </x:c>
      <x:c r="D569" t="n">
        <x:v>1.25</x:v>
      </x:c>
      <x:c r="E569" t="n">
        <x:v>-40.19231686543593</x:v>
      </x:c>
      <x:c r="F569" t="n">
        <x:v>-6.900153202143812</x:v>
      </x:c>
      <x:c r="G569" t="n">
        <x:v>71.9976362146528</x:v>
      </x:c>
    </x:row>
    <x:row r="570">
      <x:c r="A570" t="str">
        <x:v>plant</x:v>
      </x:c>
      <x:c r="B570" t="str">
        <x:v>physical</x:v>
      </x:c>
      <x:c r="C570" t="str">
        <x:v>capex_factor</x:v>
      </x:c>
      <x:c r="D570" t="n">
        <x:v>1.5</x:v>
      </x:c>
      <x:c r="E570" t="n">
        <x:v>-47.09247006757974</x:v>
      </x:c>
      <x:c r="F570" t="n">
        <x:v>-13.800306404287625</x:v>
      </x:c>
      <x:c r="G570" t="n">
        <x:v>86.1106811755894</x:v>
      </x:c>
    </x:row>
    <x:row r="571">
      <x:c r="A571" t="str">
        <x:v>plant</x:v>
      </x:c>
      <x:c r="B571" t="str">
        <x:v>physical</x:v>
      </x:c>
      <x:c r="C571" t="str">
        <x:v>DSO_added_days</x:v>
      </x:c>
      <x:c r="D571" t="n">
        <x:v>-10</x:v>
      </x:c>
      <x:c r="E571" t="n">
        <x:v>-32.68226089218314</x:v>
      </x:c>
      <x:c r="F571" t="n">
        <x:v>0.6099027711089775</x:v>
      </x:c>
      <x:c r="G571" t="n">
        <x:v>57.07841803468921</x:v>
      </x:c>
    </x:row>
    <x:row r="572">
      <x:c r="A572" t="str">
        <x:v>plant</x:v>
      </x:c>
      <x:c r="B572" t="str">
        <x:v>physical</x:v>
      </x:c>
      <x:c r="C572" t="str">
        <x:v>DSO_added_days</x:v>
      </x:c>
      <x:c r="D572" t="n">
        <x:v>0</x:v>
      </x:c>
      <x:c r="E572" t="n">
        <x:v>-33.292163663292115</x:v>
      </x:c>
      <x:c r="F572" t="n">
        <x:v>0</x:v>
      </x:c>
      <x:c r="G572" t="n">
        <x:v>57.89763621465281</x:v>
      </x:c>
    </x:row>
    <x:row r="573">
      <x:c r="A573" t="str">
        <x:v>plant</x:v>
      </x:c>
      <x:c r="B573" t="str">
        <x:v>physical</x:v>
      </x:c>
      <x:c r="C573" t="str">
        <x:v>DSO_added_days</x:v>
      </x:c>
      <x:c r="D573" t="n">
        <x:v>10</x:v>
      </x:c>
      <x:c r="E573" t="n">
        <x:v>-33.902066434401085</x:v>
      </x:c>
      <x:c r="F573" t="n">
        <x:v>-0.6099027711089704</x:v>
      </x:c>
      <x:c r="G573" t="n">
        <x:v>58.716854394616405</x:v>
      </x:c>
    </x:row>
    <x:row r="574">
      <x:c r="A574" t="str">
        <x:v>plant</x:v>
      </x:c>
      <x:c r="B574" t="str">
        <x:v>physical</x:v>
      </x:c>
      <x:c r="C574" t="str">
        <x:v>DSO_added_days</x:v>
      </x:c>
      <x:c r="D574" t="n">
        <x:v>20</x:v>
      </x:c>
      <x:c r="E574" t="n">
        <x:v>-34.511969205510056</x:v>
      </x:c>
      <x:c r="F574" t="n">
        <x:v>-1.2198055422179408</x:v>
      </x:c>
      <x:c r="G574" t="n">
        <x:v>59.536072574580004</x:v>
      </x:c>
    </x:row>
    <x:row r="575">
      <x:c r="A575" t="str">
        <x:v>plant</x:v>
      </x:c>
      <x:c r="B575" t="str">
        <x:v>physical</x:v>
      </x:c>
      <x:c r="C575" t="str">
        <x:v>DSO_added_days</x:v>
      </x:c>
      <x:c r="D575" t="n">
        <x:v>40</x:v>
      </x:c>
      <x:c r="E575" t="n">
        <x:v>-35.73177474772801</x:v>
      </x:c>
      <x:c r="F575" t="n">
        <x:v>-2.439611084435896</x:v>
      </x:c>
      <x:c r="G575" t="n">
        <x:v>61.17450893450717</x:v>
      </x:c>
    </x:row>
    <x:row r="576">
      <x:c r="A576" t="str">
        <x:v>plant</x:v>
      </x:c>
      <x:c r="B576" t="str">
        <x:v>physical</x:v>
      </x:c>
      <x:c r="C576" t="str">
        <x:v>DIO_added_days</x:v>
      </x:c>
      <x:c r="D576" t="n">
        <x:v>-10</x:v>
      </x:c>
      <x:c r="E576" t="n">
        <x:v>-32.58912125909515</x:v>
      </x:c>
      <x:c r="F576" t="n">
        <x:v>0.7030424041969638</x:v>
      </x:c>
      <x:c r="G576" t="n">
        <x:v>56.95331337159337</x:v>
      </x:c>
    </x:row>
    <x:row r="577">
      <x:c r="A577" t="str">
        <x:v>plant</x:v>
      </x:c>
      <x:c r="B577" t="str">
        <x:v>physical</x:v>
      </x:c>
      <x:c r="C577" t="str">
        <x:v>DIO_added_days</x:v>
      </x:c>
      <x:c r="D577" t="n">
        <x:v>0</x:v>
      </x:c>
      <x:c r="E577" t="n">
        <x:v>-33.292163663292115</x:v>
      </x:c>
      <x:c r="F577" t="n">
        <x:v>0</x:v>
      </x:c>
      <x:c r="G577" t="n">
        <x:v>57.89763621465281</x:v>
      </x:c>
    </x:row>
    <x:row r="578">
      <x:c r="A578" t="str">
        <x:v>plant</x:v>
      </x:c>
      <x:c r="B578" t="str">
        <x:v>physical</x:v>
      </x:c>
      <x:c r="C578" t="str">
        <x:v>DIO_added_days</x:v>
      </x:c>
      <x:c r="D578" t="n">
        <x:v>10</x:v>
      </x:c>
      <x:c r="E578" t="n">
        <x:v>-33.99520606748907</x:v>
      </x:c>
      <x:c r="F578" t="n">
        <x:v>-0.7030424041969567</x:v>
      </x:c>
      <x:c r="G578" t="n">
        <x:v>58.84195905771226</x:v>
      </x:c>
    </x:row>
    <x:row r="579">
      <x:c r="A579" t="str">
        <x:v>plant</x:v>
      </x:c>
      <x:c r="B579" t="str">
        <x:v>physical</x:v>
      </x:c>
      <x:c r="C579" t="str">
        <x:v>DIO_added_days</x:v>
      </x:c>
      <x:c r="D579" t="n">
        <x:v>20</x:v>
      </x:c>
      <x:c r="E579" t="n">
        <x:v>-34.69824847168603</x:v>
      </x:c>
      <x:c r="F579" t="n">
        <x:v>-1.4060848083939135</x:v>
      </x:c>
      <x:c r="G579" t="n">
        <x:v>59.786281900771705</x:v>
      </x:c>
    </x:row>
    <x:row r="580">
      <x:c r="A580" t="str">
        <x:v>plant</x:v>
      </x:c>
      <x:c r="B580" t="str">
        <x:v>physical</x:v>
      </x:c>
      <x:c r="C580" t="str">
        <x:v>DIO_added_days</x:v>
      </x:c>
      <x:c r="D580" t="n">
        <x:v>40</x:v>
      </x:c>
      <x:c r="E580" t="n">
        <x:v>-36.104333280079956</x:v>
      </x:c>
      <x:c r="F580" t="n">
        <x:v>-2.812169616787841</x:v>
      </x:c>
      <x:c r="G580" t="n">
        <x:v>61.6749275868906</x:v>
      </x:c>
    </x:row>
    <x:row r="581">
      <x:c r="A581" t="str">
        <x:v>plant</x:v>
      </x:c>
      <x:c r="B581" t="str">
        <x:v>physical</x:v>
      </x:c>
      <x:c r="C581" t="str">
        <x:v>real_hurdle</x:v>
      </x:c>
      <x:c r="D581" t="n">
        <x:v>0.06</x:v>
      </x:c>
      <x:c r="E581" t="n">
        <x:v>-38.52134894301748</x:v>
      </x:c>
      <x:c r="F581" t="n">
        <x:v>-5.229185279725364</x:v>
      </x:c>
      <x:c r="G581" t="n">
        <x:v>57.89763621465281</x:v>
      </x:c>
    </x:row>
    <x:row r="582">
      <x:c r="A582" t="str">
        <x:v>plant</x:v>
      </x:c>
      <x:c r="B582" t="str">
        <x:v>physical</x:v>
      </x:c>
      <x:c r="C582" t="str">
        <x:v>real_hurdle</x:v>
      </x:c>
      <x:c r="D582" t="n">
        <x:v>0.08</x:v>
      </x:c>
      <x:c r="E582" t="n">
        <x:v>-36.451764505102716</x:v>
      </x:c>
      <x:c r="F582" t="n">
        <x:v>-3.159600841810601</x:v>
      </x:c>
      <x:c r="G582" t="n">
        <x:v>57.89763621465281</x:v>
      </x:c>
    </x:row>
    <x:row r="583">
      <x:c r="A583" t="str">
        <x:v>plant</x:v>
      </x:c>
      <x:c r="B583" t="str">
        <x:v>physical</x:v>
      </x:c>
      <x:c r="C583" t="str">
        <x:v>real_hurdle</x:v>
      </x:c>
      <x:c r="D583" t="n">
        <x:v>0.1</x:v>
      </x:c>
      <x:c r="E583" t="n">
        <x:v>-34.73041412383521</x:v>
      </x:c>
      <x:c r="F583" t="n">
        <x:v>-1.4382504605430952</x:v>
      </x:c>
      <x:c r="G583" t="n">
        <x:v>57.89763621465281</x:v>
      </x:c>
    </x:row>
    <x:row r="584">
      <x:c r="A584" t="str">
        <x:v>plant</x:v>
      </x:c>
      <x:c r="B584" t="str">
        <x:v>physical</x:v>
      </x:c>
      <x:c r="C584" t="str">
        <x:v>real_hurdle</x:v>
      </x:c>
      <x:c r="D584" t="n">
        <x:v>0.12</x:v>
      </x:c>
      <x:c r="E584" t="n">
        <x:v>-33.292163663292115</x:v>
      </x:c>
      <x:c r="F584" t="n">
        <x:v>0</x:v>
      </x:c>
      <x:c r="G584" t="n">
        <x:v>57.89763621465281</x:v>
      </x:c>
    </x:row>
    <x:row r="585">
      <x:c r="A585" t="str">
        <x:v>plant</x:v>
      </x:c>
      <x:c r="B585" t="str">
        <x:v>physical</x:v>
      </x:c>
      <x:c r="C585" t="str">
        <x:v>real_hurdle</x:v>
      </x:c>
      <x:c r="D585" t="n">
        <x:v>0.16</x:v>
      </x:c>
      <x:c r="E585" t="n">
        <x:v>-31.054109362032257</x:v>
      </x:c>
      <x:c r="F585" t="n">
        <x:v>2.238054301259858</x:v>
      </x:c>
      <x:c r="G585" t="n">
        <x:v>57.89763621465281</x:v>
      </x:c>
    </x:row>
    <x:row r="586">
      <x:c r="A586" t="str">
        <x:v>plant</x:v>
      </x:c>
      <x:c r="B586" t="str">
        <x:v>squeeze</x:v>
      </x:c>
      <x:c r="C586" t="str">
        <x:v>orders_factor</x:v>
      </x:c>
      <x:c r="D586" t="n">
        <x:v>0.7</x:v>
      </x:c>
      <x:c r="E586" t="n">
        <x:v>-29.58827380133495</x:v>
      </x:c>
      <x:c r="F586" t="n">
        <x:v>-4.636198689838885</x:v>
      </x:c>
      <x:c r="G586" t="n">
        <x:v>57.091892821917824</x:v>
      </x:c>
    </x:row>
    <x:row r="587">
      <x:c r="A587" t="str">
        <x:v>plant</x:v>
      </x:c>
      <x:c r="B587" t="str">
        <x:v>squeeze</x:v>
      </x:c>
      <x:c r="C587" t="str">
        <x:v>orders_factor</x:v>
      </x:c>
      <x:c r="D587" t="n">
        <x:v>0.85</x:v>
      </x:c>
      <x:c r="E587" t="n">
        <x:v>-27.270174456415504</x:v>
      </x:c>
      <x:c r="F587" t="n">
        <x:v>-2.318099344919439</x:v>
      </x:c>
      <x:c r="G587" t="n">
        <x:v>47.54885271232884</x:v>
      </x:c>
    </x:row>
    <x:row r="588">
      <x:c r="A588" t="str">
        <x:v>plant</x:v>
      </x:c>
      <x:c r="B588" t="str">
        <x:v>squeeze</x:v>
      </x:c>
      <x:c r="C588" t="str">
        <x:v>orders_factor</x:v>
      </x:c>
      <x:c r="D588" t="n">
        <x:v>1</x:v>
      </x:c>
      <x:c r="E588" t="n">
        <x:v>-24.952075111496065</x:v>
      </x:c>
      <x:c r="F588" t="n">
        <x:v>0</x:v>
      </x:c>
      <x:c r="G588" t="n">
        <x:v>38.204532602739775</x:v>
      </x:c>
    </x:row>
    <x:row r="589">
      <x:c r="A589" t="str">
        <x:v>plant</x:v>
      </x:c>
      <x:c r="B589" t="str">
        <x:v>squeeze</x:v>
      </x:c>
      <x:c r="C589" t="str">
        <x:v>orders_factor</x:v>
      </x:c>
      <x:c r="D589" t="n">
        <x:v>1.15</x:v>
      </x:c>
      <x:c r="E589" t="n">
        <x:v>-22.633975766576647</x:v>
      </x:c>
      <x:c r="F589" t="n">
        <x:v>2.3180993449194176</x:v>
      </x:c>
      <x:c r="G589" t="n">
        <x:v>29.84341249315076</x:v>
      </x:c>
    </x:row>
    <x:row r="590">
      <x:c r="A590" t="str">
        <x:v>plant</x:v>
      </x:c>
      <x:c r="B590" t="str">
        <x:v>squeeze</x:v>
      </x:c>
      <x:c r="C590" t="str">
        <x:v>orders_factor</x:v>
      </x:c>
      <x:c r="D590" t="n">
        <x:v>1.3</x:v>
      </x:c>
      <x:c r="E590" t="n">
        <x:v>-20.50763619581125</x:v>
      </x:c>
      <x:c r="F590" t="n">
        <x:v>4.444438915684813</x:v>
      </x:c>
      <x:c r="G590" t="n">
        <x:v>27.873012383561644</x:v>
      </x:c>
    </x:row>
    <x:row r="591">
      <x:c r="A591" t="str">
        <x:v>plant</x:v>
      </x:c>
      <x:c r="B591" t="str">
        <x:v>squeeze</x:v>
      </x:c>
      <x:c r="C591" t="str">
        <x:v>price_factor</x:v>
      </x:c>
      <x:c r="D591" t="n">
        <x:v>0.9</x:v>
      </x:c>
      <x:c r="E591" t="n">
        <x:v>-45.0443358654926</x:v>
      </x:c>
      <x:c r="F591" t="n">
        <x:v>-20.092260753996534</x:v>
      </x:c>
      <x:c r="G591" t="n">
        <x:v>110.54244931506871</x:v>
      </x:c>
    </x:row>
    <x:row r="592">
      <x:c r="A592" t="str">
        <x:v>plant</x:v>
      </x:c>
      <x:c r="B592" t="str">
        <x:v>squeeze</x:v>
      </x:c>
      <x:c r="C592" t="str">
        <x:v>price_factor</x:v>
      </x:c>
      <x:c r="D592" t="n">
        <x:v>0.95</x:v>
      </x:c>
      <x:c r="E592" t="n">
        <x:v>-34.998205488494314</x:v>
      </x:c>
      <x:c r="F592" t="n">
        <x:v>-10.04613037699825</x:v>
      </x:c>
      <x:c r="G592" t="n">
        <x:v>72.9082909589042</x:v>
      </x:c>
    </x:row>
    <x:row r="593">
      <x:c r="A593" t="str">
        <x:v>plant</x:v>
      </x:c>
      <x:c r="B593" t="str">
        <x:v>squeeze</x:v>
      </x:c>
      <x:c r="C593" t="str">
        <x:v>price_factor</x:v>
      </x:c>
      <x:c r="D593" t="n">
        <x:v>1</x:v>
      </x:c>
      <x:c r="E593" t="n">
        <x:v>-24.952075111496065</x:v>
      </x:c>
      <x:c r="F593" t="n">
        <x:v>0</x:v>
      </x:c>
      <x:c r="G593" t="n">
        <x:v>38.204532602739775</x:v>
      </x:c>
    </x:row>
    <x:row r="594">
      <x:c r="A594" t="str">
        <x:v>plant</x:v>
      </x:c>
      <x:c r="B594" t="str">
        <x:v>squeeze</x:v>
      </x:c>
      <x:c r="C594" t="str">
        <x:v>price_factor</x:v>
      </x:c>
      <x:c r="D594" t="n">
        <x:v>1.05</x:v>
      </x:c>
      <x:c r="E594" t="n">
        <x:v>-15.819647958490442</x:v>
      </x:c>
      <x:c r="F594" t="n">
        <x:v>9.132427153005622</x:v>
      </x:c>
      <x:c r="G594" t="n">
        <x:v>25.152915397260276</x:v>
      </x:c>
    </x:row>
    <x:row r="595">
      <x:c r="A595" t="str">
        <x:v>plant</x:v>
      </x:c>
      <x:c r="B595" t="str">
        <x:v>squeeze</x:v>
      </x:c>
      <x:c r="C595" t="str">
        <x:v>price_factor</x:v>
      </x:c>
      <x:c r="D595" t="n">
        <x:v>1.1</x:v>
      </x:c>
      <x:c r="E595" t="n">
        <x:v>-8.244205566087782</x:v>
      </x:c>
      <x:c r="F595" t="n">
        <x:v>16.707869545408283</x:v>
      </x:c>
      <x:c r="G595" t="n">
        <x:v>23.47550794520548</x:v>
      </x:c>
    </x:row>
    <x:row r="596">
      <x:c r="A596" t="str">
        <x:v>plant</x:v>
      </x:c>
      <x:c r="B596" t="str">
        <x:v>squeeze</x:v>
      </x:c>
      <x:c r="C596" t="str">
        <x:v>cost_factor</x:v>
      </x:c>
      <x:c r="D596" t="n">
        <x:v>0.9</x:v>
      </x:c>
      <x:c r="E596" t="n">
        <x:v>-9.249118496587654</x:v>
      </x:c>
      <x:c r="F596" t="n">
        <x:v>15.70295661490841</x:v>
      </x:c>
      <x:c r="G596" t="n">
        <x:v>23.235169315068493</x:v>
      </x:c>
    </x:row>
    <x:row r="597">
      <x:c r="A597" t="str">
        <x:v>plant</x:v>
      </x:c>
      <x:c r="B597" t="str">
        <x:v>squeeze</x:v>
      </x:c>
      <x:c r="C597" t="str">
        <x:v>cost_factor</x:v>
      </x:c>
      <x:c r="D597" t="n">
        <x:v>0.95</x:v>
      </x:c>
      <x:c r="E597" t="n">
        <x:v>-16.34522410342226</x:v>
      </x:c>
      <x:c r="F597" t="n">
        <x:v>8.606851008073804</x:v>
      </x:c>
      <x:c r="G597" t="n">
        <x:v>25.047564493150684</x:v>
      </x:c>
    </x:row>
    <x:row r="598">
      <x:c r="A598" t="str">
        <x:v>plant</x:v>
      </x:c>
      <x:c r="B598" t="str">
        <x:v>squeeze</x:v>
      </x:c>
      <x:c r="C598" t="str">
        <x:v>cost_factor</x:v>
      </x:c>
      <x:c r="D598" t="n">
        <x:v>1</x:v>
      </x:c>
      <x:c r="E598" t="n">
        <x:v>-24.952075111496065</x:v>
      </x:c>
      <x:c r="F598" t="n">
        <x:v>0</x:v>
      </x:c>
      <x:c r="G598" t="n">
        <x:v>38.204532602739775</x:v>
      </x:c>
    </x:row>
    <x:row r="599">
      <x:c r="A599" t="str">
        <x:v>plant</x:v>
      </x:c>
      <x:c r="B599" t="str">
        <x:v>squeeze</x:v>
      </x:c>
      <x:c r="C599" t="str">
        <x:v>cost_factor</x:v>
      </x:c>
      <x:c r="D599" t="n">
        <x:v>1.05</x:v>
      </x:c>
      <x:c r="E599" t="n">
        <x:v>-34.22550570685451</x:v>
      </x:c>
      <x:c r="F599" t="n">
        <x:v>-9.273430595358448</x:v>
      </x:c>
      <x:c r="G599" t="n">
        <x:v>69.27199758904123</x:v>
      </x:c>
    </x:row>
    <x:row r="600">
      <x:c r="A600" t="str">
        <x:v>plant</x:v>
      </x:c>
      <x:c r="B600" t="str">
        <x:v>squeeze</x:v>
      </x:c>
      <x:c r="C600" t="str">
        <x:v>cost_factor</x:v>
      </x:c>
      <x:c r="D600" t="n">
        <x:v>1.1</x:v>
      </x:c>
      <x:c r="E600" t="n">
        <x:v>-43.498936302212954</x:v>
      </x:c>
      <x:c r="F600" t="n">
        <x:v>-18.54686119071689</x:v>
      </x:c>
      <x:c r="G600" t="n">
        <x:v>103.2698625753425</x:v>
      </x:c>
    </x:row>
    <x:row r="601">
      <x:c r="A601" t="str">
        <x:v>plant</x:v>
      </x:c>
      <x:c r="B601" t="str">
        <x:v>squeeze</x:v>
      </x:c>
      <x:c r="C601" t="str">
        <x:v>capex_factor</x:v>
      </x:c>
      <x:c r="D601" t="n">
        <x:v>0.5</x:v>
      </x:c>
      <x:c r="E601" t="n">
        <x:v>-12.179444004480251</x:v>
      </x:c>
      <x:c r="F601" t="n">
        <x:v>12.772631107015814</x:v>
      </x:c>
      <x:c r="G601" t="n">
        <x:v>17.18693260273973</x:v>
      </x:c>
    </x:row>
    <x:row r="602">
      <x:c r="A602" t="str">
        <x:v>plant</x:v>
      </x:c>
      <x:c r="B602" t="str">
        <x:v>squeeze</x:v>
      </x:c>
      <x:c r="C602" t="str">
        <x:v>capex_factor</x:v>
      </x:c>
      <x:c r="D602" t="n">
        <x:v>0.75</x:v>
      </x:c>
      <x:c r="E602" t="n">
        <x:v>-18.458844330022238</x:v>
      </x:c>
      <x:c r="F602" t="n">
        <x:v>6.493230781473827</x:v>
      </x:c>
      <x:c r="G602" t="n">
        <x:v>24.372532602739746</x:v>
      </x:c>
    </x:row>
    <x:row r="603">
      <x:c r="A603" t="str">
        <x:v>plant</x:v>
      </x:c>
      <x:c r="B603" t="str">
        <x:v>squeeze</x:v>
      </x:c>
      <x:c r="C603" t="str">
        <x:v>capex_factor</x:v>
      </x:c>
      <x:c r="D603" t="n">
        <x:v>1</x:v>
      </x:c>
      <x:c r="E603" t="n">
        <x:v>-24.952075111496065</x:v>
      </x:c>
      <x:c r="F603" t="n">
        <x:v>0</x:v>
      </x:c>
      <x:c r="G603" t="n">
        <x:v>38.204532602739775</x:v>
      </x:c>
    </x:row>
    <x:row r="604">
      <x:c r="A604" t="str">
        <x:v>plant</x:v>
      </x:c>
      <x:c r="B604" t="str">
        <x:v>squeeze</x:v>
      </x:c>
      <x:c r="C604" t="str">
        <x:v>capex_factor</x:v>
      </x:c>
      <x:c r="D604" t="n">
        <x:v>1.25</x:v>
      </x:c>
      <x:c r="E604" t="n">
        <x:v>-31.445305892969902</x:v>
      </x:c>
      <x:c r="F604" t="n">
        <x:v>-6.493230781473837</x:v>
      </x:c>
      <x:c r="G604" t="n">
        <x:v>52.304532602739805</x:v>
      </x:c>
    </x:row>
    <x:row r="605">
      <x:c r="A605" t="str">
        <x:v>plant</x:v>
      </x:c>
      <x:c r="B605" t="str">
        <x:v>squeeze</x:v>
      </x:c>
      <x:c r="C605" t="str">
        <x:v>capex_factor</x:v>
      </x:c>
      <x:c r="D605" t="n">
        <x:v>1.5</x:v>
      </x:c>
      <x:c r="E605" t="n">
        <x:v>-37.93853667444373</x:v>
      </x:c>
      <x:c r="F605" t="n">
        <x:v>-12.986461562947667</x:v>
      </x:c>
      <x:c r="G605" t="n">
        <x:v>66.40453260273983</x:v>
      </x:c>
    </x:row>
    <x:row r="606">
      <x:c r="A606" t="str">
        <x:v>plant</x:v>
      </x:c>
      <x:c r="B606" t="str">
        <x:v>squeeze</x:v>
      </x:c>
      <x:c r="C606" t="str">
        <x:v>DSO_added_days</x:v>
      </x:c>
      <x:c r="D606" t="n">
        <x:v>-10</x:v>
      </x:c>
      <x:c r="E606" t="n">
        <x:v>-24.40375565240123</x:v>
      </x:c>
      <x:c r="F606" t="n">
        <x:v>0.5483194590948344</x:v>
      </x:c>
      <x:c r="G606" t="n">
        <x:v>37.49281753424663</x:v>
      </x:c>
    </x:row>
    <x:row r="607">
      <x:c r="A607" t="str">
        <x:v>plant</x:v>
      </x:c>
      <x:c r="B607" t="str">
        <x:v>squeeze</x:v>
      </x:c>
      <x:c r="C607" t="str">
        <x:v>DSO_added_days</x:v>
      </x:c>
      <x:c r="D607" t="n">
        <x:v>0</x:v>
      </x:c>
      <x:c r="E607" t="n">
        <x:v>-24.952075111496065</x:v>
      </x:c>
      <x:c r="F607" t="n">
        <x:v>0</x:v>
      </x:c>
      <x:c r="G607" t="n">
        <x:v>38.204532602739775</x:v>
      </x:c>
    </x:row>
    <x:row r="608">
      <x:c r="A608" t="str">
        <x:v>plant</x:v>
      </x:c>
      <x:c r="B608" t="str">
        <x:v>squeeze</x:v>
      </x:c>
      <x:c r="C608" t="str">
        <x:v>DSO_added_days</x:v>
      </x:c>
      <x:c r="D608" t="n">
        <x:v>10</x:v>
      </x:c>
      <x:c r="E608" t="n">
        <x:v>-25.5003945705909</x:v>
      </x:c>
      <x:c r="F608" t="n">
        <x:v>-0.5483194590948344</x:v>
      </x:c>
      <x:c r="G608" t="n">
        <x:v>38.916247671232924</x:v>
      </x:c>
    </x:row>
    <x:row r="609">
      <x:c r="A609" t="str">
        <x:v>plant</x:v>
      </x:c>
      <x:c r="B609" t="str">
        <x:v>squeeze</x:v>
      </x:c>
      <x:c r="C609" t="str">
        <x:v>DSO_added_days</x:v>
      </x:c>
      <x:c r="D609" t="n">
        <x:v>20</x:v>
      </x:c>
      <x:c r="E609" t="n">
        <x:v>-26.048714029685737</x:v>
      </x:c>
      <x:c r="F609" t="n">
        <x:v>-1.0966389181896723</x:v>
      </x:c>
      <x:c r="G609" t="n">
        <x:v>39.62796273972609</x:v>
      </x:c>
    </x:row>
    <x:row r="610">
      <x:c r="A610" t="str">
        <x:v>plant</x:v>
      </x:c>
      <x:c r="B610" t="str">
        <x:v>squeeze</x:v>
      </x:c>
      <x:c r="C610" t="str">
        <x:v>DSO_added_days</x:v>
      </x:c>
      <x:c r="D610" t="n">
        <x:v>40</x:v>
      </x:c>
      <x:c r="E610" t="n">
        <x:v>-27.145352947875402</x:v>
      </x:c>
      <x:c r="F610" t="n">
        <x:v>-2.1932778363793375</x:v>
      </x:c>
      <x:c r="G610" t="n">
        <x:v>41.051392876712384</x:v>
      </x:c>
    </x:row>
    <x:row r="611">
      <x:c r="A611" t="str">
        <x:v>plant</x:v>
      </x:c>
      <x:c r="B611" t="str">
        <x:v>squeeze</x:v>
      </x:c>
      <x:c r="C611" t="str">
        <x:v>DIO_added_days</x:v>
      </x:c>
      <x:c r="D611" t="n">
        <x:v>-10</x:v>
      </x:c>
      <x:c r="E611" t="n">
        <x:v>-24.340061977859914</x:v>
      </x:c>
      <x:c r="F611" t="n">
        <x:v>0.6120131336361503</x:v>
      </x:c>
      <x:c r="G611" t="n">
        <x:v>37.41014356164389</x:v>
      </x:c>
    </x:row>
    <x:row r="612">
      <x:c r="A612" t="str">
        <x:v>plant</x:v>
      </x:c>
      <x:c r="B612" t="str">
        <x:v>squeeze</x:v>
      </x:c>
      <x:c r="C612" t="str">
        <x:v>DIO_added_days</x:v>
      </x:c>
      <x:c r="D612" t="n">
        <x:v>0</x:v>
      </x:c>
      <x:c r="E612" t="n">
        <x:v>-24.952075111496065</x:v>
      </x:c>
      <x:c r="F612" t="n">
        <x:v>0</x:v>
      </x:c>
      <x:c r="G612" t="n">
        <x:v>38.204532602739775</x:v>
      </x:c>
    </x:row>
    <x:row r="613">
      <x:c r="A613" t="str">
        <x:v>plant</x:v>
      </x:c>
      <x:c r="B613" t="str">
        <x:v>squeeze</x:v>
      </x:c>
      <x:c r="C613" t="str">
        <x:v>DIO_added_days</x:v>
      </x:c>
      <x:c r="D613" t="n">
        <x:v>10</x:v>
      </x:c>
      <x:c r="E613" t="n">
        <x:v>-25.56408824513222</x:v>
      </x:c>
      <x:c r="F613" t="n">
        <x:v>-0.6120131336361538</x:v>
      </x:c>
      <x:c r="G613" t="n">
        <x:v>38.99892164383567</x:v>
      </x:c>
    </x:row>
    <x:row r="614">
      <x:c r="A614" t="str">
        <x:v>plant</x:v>
      </x:c>
      <x:c r="B614" t="str">
        <x:v>squeeze</x:v>
      </x:c>
      <x:c r="C614" t="str">
        <x:v>DIO_added_days</x:v>
      </x:c>
      <x:c r="D614" t="n">
        <x:v>20</x:v>
      </x:c>
      <x:c r="E614" t="n">
        <x:v>-26.176101378768372</x:v>
      </x:c>
      <x:c r="F614" t="n">
        <x:v>-1.2240262672723077</x:v>
      </x:c>
      <x:c r="G614" t="n">
        <x:v>39.793310684931555</x:v>
      </x:c>
    </x:row>
    <x:row r="615">
      <x:c r="A615" t="str">
        <x:v>plant</x:v>
      </x:c>
      <x:c r="B615" t="str">
        <x:v>squeeze</x:v>
      </x:c>
      <x:c r="C615" t="str">
        <x:v>DIO_added_days</x:v>
      </x:c>
      <x:c r="D615" t="n">
        <x:v>40</x:v>
      </x:c>
      <x:c r="E615" t="n">
        <x:v>-27.40012764604068</x:v>
      </x:c>
      <x:c r="F615" t="n">
        <x:v>-2.4480525345446154</x:v>
      </x:c>
      <x:c r="G615" t="n">
        <x:v>41.38208876712334</x:v>
      </x:c>
    </x:row>
    <x:row r="616">
      <x:c r="A616" t="str">
        <x:v>plant</x:v>
      </x:c>
      <x:c r="B616" t="str">
        <x:v>squeeze</x:v>
      </x:c>
      <x:c r="C616" t="str">
        <x:v>real_hurdle</x:v>
      </x:c>
      <x:c r="D616" t="n">
        <x:v>0.06</x:v>
      </x:c>
      <x:c r="E616" t="n">
        <x:v>-26.585461532520227</x:v>
      </x:c>
      <x:c r="F616" t="n">
        <x:v>-1.6333864210241629</x:v>
      </x:c>
      <x:c r="G616" t="n">
        <x:v>38.204532602739775</x:v>
      </x:c>
    </x:row>
    <x:row r="617">
      <x:c r="A617" t="str">
        <x:v>plant</x:v>
      </x:c>
      <x:c r="B617" t="str">
        <x:v>squeeze</x:v>
      </x:c>
      <x:c r="C617" t="str">
        <x:v>real_hurdle</x:v>
      </x:c>
      <x:c r="D617" t="n">
        <x:v>0.08</x:v>
      </x:c>
      <x:c r="E617" t="n">
        <x:v>-26.163709575799153</x:v>
      </x:c>
      <x:c r="F617" t="n">
        <x:v>-1.2116344643030885</x:v>
      </x:c>
      <x:c r="G617" t="n">
        <x:v>38.204532602739775</x:v>
      </x:c>
    </x:row>
    <x:row r="618">
      <x:c r="A618" t="str">
        <x:v>plant</x:v>
      </x:c>
      <x:c r="B618" t="str">
        <x:v>squeeze</x:v>
      </x:c>
      <x:c r="C618" t="str">
        <x:v>real_hurdle</x:v>
      </x:c>
      <x:c r="D618" t="n">
        <x:v>0.1</x:v>
      </x:c>
      <x:c r="E618" t="n">
        <x:v>-25.735724694737733</x:v>
      </x:c>
      <x:c r="F618" t="n">
        <x:v>-0.7836495832416688</x:v>
      </x:c>
      <x:c r="G618" t="n">
        <x:v>38.204532602739775</x:v>
      </x:c>
    </x:row>
    <x:row r="619">
      <x:c r="A619" t="str">
        <x:v>plant</x:v>
      </x:c>
      <x:c r="B619" t="str">
        <x:v>squeeze</x:v>
      </x:c>
      <x:c r="C619" t="str">
        <x:v>real_hurdle</x:v>
      </x:c>
      <x:c r="D619" t="n">
        <x:v>0.12</x:v>
      </x:c>
      <x:c r="E619" t="n">
        <x:v>-25.328442217722305</x:v>
      </x:c>
      <x:c r="F619" t="n">
        <x:v>-0.37636710622624037</x:v>
      </x:c>
      <x:c r="G619" t="n">
        <x:v>38.204532602739775</x:v>
      </x:c>
    </x:row>
    <x:row r="620">
      <x:c r="A620" t="str">
        <x:v>plant</x:v>
      </x:c>
      <x:c r="B620" t="str">
        <x:v>squeeze</x:v>
      </x:c>
      <x:c r="C620" t="str">
        <x:v>real_hurdle</x:v>
      </x:c>
      <x:c r="D620" t="n">
        <x:v>0.16</x:v>
      </x:c>
      <x:c r="E620" t="n">
        <x:v>-24.608616114445404</x:v>
      </x:c>
      <x:c r="F620" t="n">
        <x:v>0.34345899705066074</x:v>
      </x:c>
      <x:c r="G620" t="n">
        <x:v>38.204532602739775</x:v>
      </x:c>
    </x:row>
    <x:row r="621">
      <x:c r="A621" t="str">
        <x:v>plant</x:v>
      </x:c>
      <x:c r="B621" t="str">
        <x:v>nutrition</x:v>
      </x:c>
      <x:c r="C621" t="str">
        <x:v>orders_factor</x:v>
      </x:c>
      <x:c r="D621" t="n">
        <x:v>0.7</x:v>
      </x:c>
      <x:c r="E621" t="n">
        <x:v>-14.073134813621415</x:v>
      </x:c>
      <x:c r="F621" t="n">
        <x:v>-11.19487069528821</x:v>
      </x:c>
      <x:c r="G621" t="n">
        <x:v>23.56633921095891</x:v>
      </x:c>
    </x:row>
    <x:row r="622">
      <x:c r="A622" t="str">
        <x:v>plant</x:v>
      </x:c>
      <x:c r="B622" t="str">
        <x:v>nutrition</x:v>
      </x:c>
      <x:c r="C622" t="str">
        <x:v>orders_factor</x:v>
      </x:c>
      <x:c r="D622" t="n">
        <x:v>0.85</x:v>
      </x:c>
      <x:c r="E622" t="n">
        <x:v>-8.402999181066129</x:v>
      </x:c>
      <x:c r="F622" t="n">
        <x:v>-5.524735062732924</x:v>
      </x:c>
      <x:c r="G622" t="n">
        <x:v>23.250554756164384</x:v>
      </x:c>
    </x:row>
    <x:row r="623">
      <x:c r="A623" t="str">
        <x:v>plant</x:v>
      </x:c>
      <x:c r="B623" t="str">
        <x:v>nutrition</x:v>
      </x:c>
      <x:c r="C623" t="str">
        <x:v>orders_factor</x:v>
      </x:c>
      <x:c r="D623" t="n">
        <x:v>1</x:v>
      </x:c>
      <x:c r="E623" t="n">
        <x:v>-2.8782641183332043</x:v>
      </x:c>
      <x:c r="F623" t="n">
        <x:v>0</x:v>
      </x:c>
      <x:c r="G623" t="n">
        <x:v>23.1676301369863</x:v>
      </x:c>
    </x:row>
    <x:row r="624">
      <x:c r="A624" t="str">
        <x:v>plant</x:v>
      </x:c>
      <x:c r="B624" t="str">
        <x:v>nutrition</x:v>
      </x:c>
      <x:c r="C624" t="str">
        <x:v>orders_factor</x:v>
      </x:c>
      <x:c r="D624" t="n">
        <x:v>1.15</x:v>
      </x:c>
      <x:c r="E624" t="n">
        <x:v>2.6232491162117526</x:v>
      </x:c>
      <x:c r="F624" t="n">
        <x:v>5.501513234544957</x:v>
      </x:c>
      <x:c r="G624" t="n">
        <x:v>23.264774657534254</x:v>
      </x:c>
    </x:row>
    <x:row r="625">
      <x:c r="A625" t="str">
        <x:v>plant</x:v>
      </x:c>
      <x:c r="B625" t="str">
        <x:v>nutrition</x:v>
      </x:c>
      <x:c r="C625" t="str">
        <x:v>orders_factor</x:v>
      </x:c>
      <x:c r="D625" t="n">
        <x:v>1.3</x:v>
      </x:c>
      <x:c r="E625" t="n">
        <x:v>7.906244642757343</x:v>
      </x:c>
      <x:c r="F625" t="n">
        <x:v>10.784508761090548</x:v>
      </x:c>
      <x:c r="G625" t="n">
        <x:v>23.361919178082193</x:v>
      </x:c>
    </x:row>
    <x:row r="626">
      <x:c r="A626" t="str">
        <x:v>plant</x:v>
      </x:c>
      <x:c r="B626" t="str">
        <x:v>nutrition</x:v>
      </x:c>
      <x:c r="C626" t="str">
        <x:v>price_factor</x:v>
      </x:c>
      <x:c r="D626" t="n">
        <x:v>0.9</x:v>
      </x:c>
      <x:c r="E626" t="n">
        <x:v>-35.86022619045839</x:v>
      </x:c>
      <x:c r="F626" t="n">
        <x:v>-32.981962072125185</x:v>
      </x:c>
      <x:c r="G626" t="n">
        <x:v>63.04582438143157</x:v>
      </x:c>
    </x:row>
    <x:row r="627">
      <x:c r="A627" t="str">
        <x:v>plant</x:v>
      </x:c>
      <x:c r="B627" t="str">
        <x:v>nutrition</x:v>
      </x:c>
      <x:c r="C627" t="str">
        <x:v>price_factor</x:v>
      </x:c>
      <x:c r="D627" t="n">
        <x:v>0.95</x:v>
      </x:c>
      <x:c r="E627" t="n">
        <x:v>-17.376051525961767</x:v>
      </x:c>
      <x:c r="F627" t="n">
        <x:v>-14.497787407628563</x:v>
      </x:c>
      <x:c r="G627" t="n">
        <x:v>25.534294347397257</x:v>
      </x:c>
    </x:row>
    <x:row r="628">
      <x:c r="A628" t="str">
        <x:v>plant</x:v>
      </x:c>
      <x:c r="B628" t="str">
        <x:v>nutrition</x:v>
      </x:c>
      <x:c r="C628" t="str">
        <x:v>price_factor</x:v>
      </x:c>
      <x:c r="D628" t="n">
        <x:v>1</x:v>
      </x:c>
      <x:c r="E628" t="n">
        <x:v>-2.8782641183332043</x:v>
      </x:c>
      <x:c r="F628" t="n">
        <x:v>0</x:v>
      </x:c>
      <x:c r="G628" t="n">
        <x:v>23.1676301369863</x:v>
      </x:c>
    </x:row>
    <x:row r="629">
      <x:c r="A629" t="str">
        <x:v>plant</x:v>
      </x:c>
      <x:c r="B629" t="str">
        <x:v>nutrition</x:v>
      </x:c>
      <x:c r="C629" t="str">
        <x:v>price_factor</x:v>
      </x:c>
      <x:c r="D629" t="n">
        <x:v>1.05</x:v>
      </x:c>
      <x:c r="E629" t="n">
        <x:v>11.282249770822308</x:v>
      </x:c>
      <x:c r="F629" t="n">
        <x:v>14.160513889155512</x:v>
      </x:c>
      <x:c r="G629" t="n">
        <x:v>22.219737534246576</x:v>
      </x:c>
    </x:row>
    <x:row r="630">
      <x:c r="A630" t="str">
        <x:v>plant</x:v>
      </x:c>
      <x:c r="B630" t="str">
        <x:v>nutrition</x:v>
      </x:c>
      <x:c r="C630" t="str">
        <x:v>price_factor</x:v>
      </x:c>
      <x:c r="D630" t="n">
        <x:v>1.1</x:v>
      </x:c>
      <x:c r="E630" t="n">
        <x:v>25.419775094989085</x:v>
      </x:c>
      <x:c r="F630" t="n">
        <x:v>28.29803921332229</x:v>
      </x:c>
      <x:c r="G630" t="n">
        <x:v>21.523894931506845</x:v>
      </x:c>
    </x:row>
    <x:row r="631">
      <x:c r="A631" t="str">
        <x:v>plant</x:v>
      </x:c>
      <x:c r="B631" t="str">
        <x:v>nutrition</x:v>
      </x:c>
      <x:c r="C631" t="str">
        <x:v>cost_factor</x:v>
      </x:c>
      <x:c r="D631" t="n">
        <x:v>0.9</x:v>
      </x:c>
      <x:c r="E631" t="n">
        <x:v>21.76005024641436</x:v>
      </x:c>
      <x:c r="F631" t="n">
        <x:v>24.638314364747565</x:v>
      </x:c>
      <x:c r="G631" t="n">
        <x:v>21.380336917808215</x:v>
      </x:c>
    </x:row>
    <x:row r="632">
      <x:c r="A632" t="str">
        <x:v>plant</x:v>
      </x:c>
      <x:c r="B632" t="str">
        <x:v>nutrition</x:v>
      </x:c>
      <x:c r="C632" t="str">
        <x:v>cost_factor</x:v>
      </x:c>
      <x:c r="D632" t="n">
        <x:v>0.95</x:v>
      </x:c>
      <x:c r="E632" t="n">
        <x:v>9.450007387857262</x:v>
      </x:c>
      <x:c r="F632" t="n">
        <x:v>12.328271506190466</x:v>
      </x:c>
      <x:c r="G632" t="n">
        <x:v>22.17675602739726</x:v>
      </x:c>
    </x:row>
    <x:row r="633">
      <x:c r="A633" t="str">
        <x:v>plant</x:v>
      </x:c>
      <x:c r="B633" t="str">
        <x:v>nutrition</x:v>
      </x:c>
      <x:c r="C633" t="str">
        <x:v>cost_factor</x:v>
      </x:c>
      <x:c r="D633" t="n">
        <x:v>1</x:v>
      </x:c>
      <x:c r="E633" t="n">
        <x:v>-2.8782641183332043</x:v>
      </x:c>
      <x:c r="F633" t="n">
        <x:v>0</x:v>
      </x:c>
      <x:c r="G633" t="n">
        <x:v>23.1676301369863</x:v>
      </x:c>
    </x:row>
    <x:row r="634">
      <x:c r="A634" t="str">
        <x:v>plant</x:v>
      </x:c>
      <x:c r="B634" t="str">
        <x:v>nutrition</x:v>
      </x:c>
      <x:c r="C634" t="str">
        <x:v>cost_factor</x:v>
      </x:c>
      <x:c r="D634" t="n">
        <x:v>1.05</x:v>
      </x:c>
      <x:c r="E634" t="n">
        <x:v>-15.348936268584076</x:v>
      </x:c>
      <x:c r="F634" t="n">
        <x:v>-12.470672150250872</x:v>
      </x:c>
      <x:c r="G634" t="n">
        <x:v>25.429032862465746</x:v>
      </x:c>
    </x:row>
    <x:row r="635">
      <x:c r="A635" t="str">
        <x:v>plant</x:v>
      </x:c>
      <x:c r="B635" t="str">
        <x:v>nutrition</x:v>
      </x:c>
      <x:c r="C635" t="str">
        <x:v>cost_factor</x:v>
      </x:c>
      <x:c r="D635" t="n">
        <x:v>1.1</x:v>
      </x:c>
      <x:c r="E635" t="n">
        <x:v>-30.771545338913473</x:v>
      </x:c>
      <x:c r="F635" t="n">
        <x:v>-27.89328122058027</x:v>
      </x:c>
      <x:c r="G635" t="n">
        <x:v>49.626504744041156</x:v>
      </x:c>
    </x:row>
    <x:row r="636">
      <x:c r="A636" t="str">
        <x:v>plant</x:v>
      </x:c>
      <x:c r="B636" t="str">
        <x:v>nutrition</x:v>
      </x:c>
      <x:c r="C636" t="str">
        <x:v>capex_factor</x:v>
      </x:c>
      <x:c r="D636" t="n">
        <x:v>0.5</x:v>
      </x:c>
      <x:c r="E636" t="n">
        <x:v>9.65473965170884</x:v>
      </x:c>
      <x:c r="F636" t="n">
        <x:v>12.533003770042045</x:v>
      </x:c>
      <x:c r="G636" t="n">
        <x:v>13.021047501369859</x:v>
      </x:c>
    </x:row>
    <x:row r="637">
      <x:c r="A637" t="str">
        <x:v>plant</x:v>
      </x:c>
      <x:c r="B637" t="str">
        <x:v>nutrition</x:v>
      </x:c>
      <x:c r="C637" t="str">
        <x:v>capex_factor</x:v>
      </x:c>
      <x:c r="D637" t="n">
        <x:v>0.75</x:v>
      </x:c>
      <x:c r="E637" t="n">
        <x:v>3.389438660752438</x:v>
      </x:c>
      <x:c r="F637" t="n">
        <x:v>6.267702779085642</x:v>
      </x:c>
      <x:c r="G637" t="n">
        <x:v>18.0676301369863</x:v>
      </x:c>
    </x:row>
    <x:row r="638">
      <x:c r="A638" t="str">
        <x:v>plant</x:v>
      </x:c>
      <x:c r="B638" t="str">
        <x:v>nutrition</x:v>
      </x:c>
      <x:c r="C638" t="str">
        <x:v>capex_factor</x:v>
      </x:c>
      <x:c r="D638" t="n">
        <x:v>1</x:v>
      </x:c>
      <x:c r="E638" t="n">
        <x:v>-2.8782641183332043</x:v>
      </x:c>
      <x:c r="F638" t="n">
        <x:v>0</x:v>
      </x:c>
      <x:c r="G638" t="n">
        <x:v>23.1676301369863</x:v>
      </x:c>
    </x:row>
    <x:row r="639">
      <x:c r="A639" t="str">
        <x:v>plant</x:v>
      </x:c>
      <x:c r="B639" t="str">
        <x:v>nutrition</x:v>
      </x:c>
      <x:c r="C639" t="str">
        <x:v>capex_factor</x:v>
      </x:c>
      <x:c r="D639" t="n">
        <x:v>1.25</x:v>
      </x:c>
      <x:c r="E639" t="n">
        <x:v>-9.163155267065722</x:v>
      </x:c>
      <x:c r="F639" t="n">
        <x:v>-6.284891148732518</x:v>
      </x:c>
      <x:c r="G639" t="n">
        <x:v>28.267630136986302</x:v>
      </x:c>
    </x:row>
    <x:row r="640">
      <x:c r="A640" t="str">
        <x:v>plant</x:v>
      </x:c>
      <x:c r="B640" t="str">
        <x:v>nutrition</x:v>
      </x:c>
      <x:c r="C640" t="str">
        <x:v>capex_factor</x:v>
      </x:c>
      <x:c r="D640" t="n">
        <x:v>1.5</x:v>
      </x:c>
      <x:c r="E640" t="n">
        <x:v>-15.465883121624342</x:v>
      </x:c>
      <x:c r="F640" t="n">
        <x:v>-12.587619003291138</x:v>
      </x:c>
      <x:c r="G640" t="n">
        <x:v>33.3676301369863</x:v>
      </x:c>
    </x:row>
    <x:row r="641">
      <x:c r="A641" t="str">
        <x:v>plant</x:v>
      </x:c>
      <x:c r="B641" t="str">
        <x:v>nutrition</x:v>
      </x:c>
      <x:c r="C641" t="str">
        <x:v>DSO_added_days</x:v>
      </x:c>
      <x:c r="D641" t="n">
        <x:v>-10</x:v>
      </x:c>
      <x:c r="E641" t="n">
        <x:v>-2.118090590653015</x:v>
      </x:c>
      <x:c r="F641" t="n">
        <x:v>0.7601735276801893</x:v>
      </x:c>
      <x:c r="G641" t="n">
        <x:v>22.70709315068493</x:v>
      </x:c>
    </x:row>
    <x:row r="642">
      <x:c r="A642" t="str">
        <x:v>plant</x:v>
      </x:c>
      <x:c r="B642" t="str">
        <x:v>nutrition</x:v>
      </x:c>
      <x:c r="C642" t="str">
        <x:v>DSO_added_days</x:v>
      </x:c>
      <x:c r="D642" t="n">
        <x:v>0</x:v>
      </x:c>
      <x:c r="E642" t="n">
        <x:v>-2.8782641183332043</x:v>
      </x:c>
      <x:c r="F642" t="n">
        <x:v>0</x:v>
      </x:c>
      <x:c r="G642" t="n">
        <x:v>23.1676301369863</x:v>
      </x:c>
    </x:row>
    <x:row r="643">
      <x:c r="A643" t="str">
        <x:v>plant</x:v>
      </x:c>
      <x:c r="B643" t="str">
        <x:v>nutrition</x:v>
      </x:c>
      <x:c r="C643" t="str">
        <x:v>DSO_added_days</x:v>
      </x:c>
      <x:c r="D643" t="n">
        <x:v>10</x:v>
      </x:c>
      <x:c r="E643" t="n">
        <x:v>-3.63843764601339</x:v>
      </x:c>
      <x:c r="F643" t="n">
        <x:v>-0.7601735276801858</x:v>
      </x:c>
      <x:c r="G643" t="n">
        <x:v>23.678998071232872</x:v>
      </x:c>
    </x:row>
    <x:row r="644">
      <x:c r="A644" t="str">
        <x:v>plant</x:v>
      </x:c>
      <x:c r="B644" t="str">
        <x:v>nutrition</x:v>
      </x:c>
      <x:c r="C644" t="str">
        <x:v>DSO_added_days</x:v>
      </x:c>
      <x:c r="D644" t="n">
        <x:v>20</x:v>
      </x:c>
      <x:c r="E644" t="n">
        <x:v>-4.398611173693579</x:v>
      </x:c>
      <x:c r="F644" t="n">
        <x:v>-1.520347055360375</x:v>
      </x:c>
      <x:c r="G644" t="n">
        <x:v>24.423225841095885</x:v>
      </x:c>
    </x:row>
    <x:row r="645">
      <x:c r="A645" t="str">
        <x:v>plant</x:v>
      </x:c>
      <x:c r="B645" t="str">
        <x:v>nutrition</x:v>
      </x:c>
      <x:c r="C645" t="str">
        <x:v>DSO_added_days</x:v>
      </x:c>
      <x:c r="D645" t="n">
        <x:v>40</x:v>
      </x:c>
      <x:c r="E645" t="n">
        <x:v>-5.918958229053954</x:v>
      </x:c>
      <x:c r="F645" t="n">
        <x:v>-3.04069411072075</x:v>
      </x:c>
      <x:c r="G645" t="n">
        <x:v>25.911681380821914</x:v>
      </x:c>
    </x:row>
    <x:row r="646">
      <x:c r="A646" t="str">
        <x:v>plant</x:v>
      </x:c>
      <x:c r="B646" t="str">
        <x:v>nutrition</x:v>
      </x:c>
      <x:c r="C646" t="str">
        <x:v>DIO_added_days</x:v>
      </x:c>
      <x:c r="D646" t="n">
        <x:v>-10</x:v>
      </x:c>
      <x:c r="E646" t="n">
        <x:v>-2.0705797451730046</x:v>
      </x:c>
      <x:c r="F646" t="n">
        <x:v>0.8076843731601997</x:v>
      </x:c>
      <x:c r="G646" t="n">
        <x:v>22.678309589041096</x:v>
      </x:c>
    </x:row>
    <x:row r="647">
      <x:c r="A647" t="str">
        <x:v>plant</x:v>
      </x:c>
      <x:c r="B647" t="str">
        <x:v>nutrition</x:v>
      </x:c>
      <x:c r="C647" t="str">
        <x:v>DIO_added_days</x:v>
      </x:c>
      <x:c r="D647" t="n">
        <x:v>0</x:v>
      </x:c>
      <x:c r="E647" t="n">
        <x:v>-2.8782641183332043</x:v>
      </x:c>
      <x:c r="F647" t="n">
        <x:v>0</x:v>
      </x:c>
      <x:c r="G647" t="n">
        <x:v>23.1676301369863</x:v>
      </x:c>
    </x:row>
    <x:row r="648">
      <x:c r="A648" t="str">
        <x:v>plant</x:v>
      </x:c>
      <x:c r="B648" t="str">
        <x:v>nutrition</x:v>
      </x:c>
      <x:c r="C648" t="str">
        <x:v>DIO_added_days</x:v>
      </x:c>
      <x:c r="D648" t="n">
        <x:v>10</x:v>
      </x:c>
      <x:c r="E648" t="n">
        <x:v>-3.685948491493402</x:v>
      </x:c>
      <x:c r="F648" t="n">
        <x:v>-0.8076843731601979</x:v>
      </x:c>
      <x:c r="G648" t="n">
        <x:v>23.72551230684931</x:v>
      </x:c>
    </x:row>
    <x:row r="649">
      <x:c r="A649" t="str">
        <x:v>plant</x:v>
      </x:c>
      <x:c r="B649" t="str">
        <x:v>nutrition</x:v>
      </x:c>
      <x:c r="C649" t="str">
        <x:v>DIO_added_days</x:v>
      </x:c>
      <x:c r="D649" t="n">
        <x:v>20</x:v>
      </x:c>
      <x:c r="E649" t="n">
        <x:v>-4.493632864653603</x:v>
      </x:c>
      <x:c r="F649" t="n">
        <x:v>-1.6153687463203985</x:v>
      </x:c>
      <x:c r="G649" t="n">
        <x:v>24.516254312328762</x:v>
      </x:c>
    </x:row>
    <x:row r="650">
      <x:c r="A650" t="str">
        <x:v>plant</x:v>
      </x:c>
      <x:c r="B650" t="str">
        <x:v>nutrition</x:v>
      </x:c>
      <x:c r="C650" t="str">
        <x:v>DIO_added_days</x:v>
      </x:c>
      <x:c r="D650" t="n">
        <x:v>40</x:v>
      </x:c>
      <x:c r="E650" t="n">
        <x:v>-6.109001610974001</x:v>
      </x:c>
      <x:c r="F650" t="n">
        <x:v>-3.230737492640797</x:v>
      </x:c>
      <x:c r="G650" t="n">
        <x:v>26.09773832328767</x:v>
      </x:c>
    </x:row>
    <x:row r="651">
      <x:c r="A651" t="str">
        <x:v>plant</x:v>
      </x:c>
      <x:c r="B651" t="str">
        <x:v>nutrition</x:v>
      </x:c>
      <x:c r="C651" t="str">
        <x:v>real_hurdle</x:v>
      </x:c>
      <x:c r="D651" t="n">
        <x:v>0.06</x:v>
      </x:c>
      <x:c r="E651" t="n">
        <x:v>6.433213073128357</x:v>
      </x:c>
      <x:c r="F651" t="n">
        <x:v>9.311477191461561</x:v>
      </x:c>
      <x:c r="G651" t="n">
        <x:v>23.1676301369863</x:v>
      </x:c>
    </x:row>
    <x:row r="652">
      <x:c r="A652" t="str">
        <x:v>plant</x:v>
      </x:c>
      <x:c r="B652" t="str">
        <x:v>nutrition</x:v>
      </x:c>
      <x:c r="C652" t="str">
        <x:v>real_hurdle</x:v>
      </x:c>
      <x:c r="D652" t="n">
        <x:v>0.08</x:v>
      </x:c>
      <x:c r="E652" t="n">
        <x:v>1.050290659850603</x:v>
      </x:c>
      <x:c r="F652" t="n">
        <x:v>3.9285547781838073</x:v>
      </x:c>
      <x:c r="G652" t="n">
        <x:v>23.1676301369863</x:v>
      </x:c>
    </x:row>
    <x:row r="653">
      <x:c r="A653" t="str">
        <x:v>plant</x:v>
      </x:c>
      <x:c r="B653" t="str">
        <x:v>nutrition</x:v>
      </x:c>
      <x:c r="C653" t="str">
        <x:v>real_hurdle</x:v>
      </x:c>
      <x:c r="D653" t="n">
        <x:v>0.1</x:v>
      </x:c>
      <x:c r="E653" t="n">
        <x:v>-2.8782641183332043</x:v>
      </x:c>
      <x:c r="F653" t="n">
        <x:v>0</x:v>
      </x:c>
      <x:c r="G653" t="n">
        <x:v>23.1676301369863</x:v>
      </x:c>
    </x:row>
    <x:row r="654">
      <x:c r="A654" t="str">
        <x:v>plant</x:v>
      </x:c>
      <x:c r="B654" t="str">
        <x:v>nutrition</x:v>
      </x:c>
      <x:c r="C654" t="str">
        <x:v>real_hurdle</x:v>
      </x:c>
      <x:c r="D654" t="n">
        <x:v>0.12</x:v>
      </x:c>
      <x:c r="E654" t="n">
        <x:v>-5.804039933717191</x:v>
      </x:c>
      <x:c r="F654" t="n">
        <x:v>-2.925775815383987</x:v>
      </x:c>
      <x:c r="G654" t="n">
        <x:v>23.1676301369863</x:v>
      </x:c>
    </x:row>
    <x:row r="655">
      <x:c r="A655" t="str">
        <x:v>plant</x:v>
      </x:c>
      <x:c r="B655" t="str">
        <x:v>nutrition</x:v>
      </x:c>
      <x:c r="C655" t="str">
        <x:v>real_hurdle</x:v>
      </x:c>
      <x:c r="D655" t="n">
        <x:v>0.16</x:v>
      </x:c>
      <x:c r="E655" t="n">
        <x:v>-9.739683544391404</x:v>
      </x:c>
      <x:c r="F655" t="n">
        <x:v>-6.8614194260582</x:v>
      </x:c>
      <x:c r="G655" t="n">
        <x:v>23.1676301369863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</x:cols>
  <x:sheetData>
    <x:row r="1" ht="42" customHeight="1">
      <x:c r="A1" s="5" t="str">
        <x:v>Simulation / v1.1.0</x:v>
      </x:c>
      <x:c r="B1" s="2"/>
      <x:c r="C1" s="2"/>
      <x:c r="D1" s="2"/>
      <x:c r="E1" s="2"/>
      <x:c r="F1" s="2"/>
      <x:c r="G1" s="2"/>
    </x:row>
    <x:row r="2" ht="42" customHeight="1">
      <x:c r="A2" s="2" t="str">
        <x:v>Public evidence + chosen examples; no Olam internal investment valuation</x:v>
      </x:c>
      <x:c r="B2" s="2"/>
      <x:c r="C2" s="2"/>
      <x:c r="D2" s="2"/>
      <x:c r="E2" s="2"/>
      <x:c r="F2" s="2"/>
      <x:c r="G2" s="2"/>
    </x:row>
    <x:row r="3" ht="32" customHeight="1">
      <x:c r="A3" s="4" t="str">
        <x:v>Runs</x:v>
      </x:c>
      <x:c r="B3" s="4" t="str">
        <x:v>p10 NPV</x:v>
      </x:c>
      <x:c r="C3" s="4" t="str">
        <x:v>p50 NPV</x:v>
      </x:c>
      <x:c r="D3" s="4" t="str">
        <x:v>p90 NPV</x:v>
      </x:c>
      <x:c r="E3" s="4" t="str">
        <x:v>Loss VaR95</x:v>
      </x:c>
      <x:c r="F3" s="4" t="str">
        <x:v>Loss CVaR95</x:v>
      </x:c>
      <x:c r="G3" s="4" t="str">
        <x:v>Status</x:v>
      </x:c>
    </x:row>
    <x:row r="4" ht="44" customHeight="1">
      <x:c r="A4" s="2" t="n">
        <x:v>2500</x:v>
      </x:c>
      <x:c r="B4" s="2" t="n">
        <x:v>-18.906832371713023</x:v>
      </x:c>
      <x:c r="C4" s="2" t="n">
        <x:v>-1.6547747253083456</x:v>
      </x:c>
      <x:c r="D4" s="2" t="n">
        <x:v>21.524399860093865</x:v>
      </x:c>
      <x:c r="E4" s="2" t="n">
        <x:v>24.100939258727312</x:v>
      </x:c>
      <x:c r="F4" s="2" t="n">
        <x:v>29.141724356900287</x:v>
      </x:c>
      <x:c r="G4" s="2" t="str">
        <x:v>Cached chosen generator; seed 20261008</x:v>
      </x:c>
    </x:row>
    <x:row r="5" ht="44" customHeight="1">
      <x:c r="A5" s="2" t="n">
        <x:v>5000</x:v>
      </x:c>
      <x:c r="B5" s="2" t="n">
        <x:v>-19.164751548616387</x:v>
      </x:c>
      <x:c r="C5" s="2" t="n">
        <x:v>-1.8860735098864962</x:v>
      </x:c>
      <x:c r="D5" s="2" t="n">
        <x:v>21.472661493946738</x:v>
      </x:c>
      <x:c r="E5" s="2" t="n">
        <x:v>24.163714722217883</x:v>
      </x:c>
      <x:c r="F5" s="2" t="n">
        <x:v>28.984594740217727</x:v>
      </x:c>
      <x:c r="G5" s="2" t="str">
        <x:v>Cached chosen generator; seed 20261008</x:v>
      </x:c>
    </x:row>
    <x:row r="6" ht="44" customHeight="1">
      <x:c r="A6" s="2" t="n">
        <x:v>10000</x:v>
      </x:c>
      <x:c r="B6" s="2" t="n">
        <x:v>-19.270312655889544</x:v>
      </x:c>
      <x:c r="C6" s="2" t="n">
        <x:v>-1.6547747253083456</x:v>
      </x:c>
      <x:c r="D6" s="2" t="n">
        <x:v>21.484353235769948</x:v>
      </x:c>
      <x:c r="E6" s="2" t="n">
        <x:v>24.54454163430493</x:v>
      </x:c>
      <x:c r="F6" s="2" t="n">
        <x:v>29.251547633706362</x:v>
      </x:c>
      <x:c r="G6" s="2" t="str">
        <x:v>Cached chosen generator; seed 20261008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</x:cols>
  <x:sheetData>
    <x:row r="1" ht="42" customHeight="1">
      <x:c r="A1" s="5" t="str">
        <x:v>Portfolio / v1.1.0</x:v>
      </x:c>
      <x:c r="B1" s="2"/>
      <x:c r="C1" s="2"/>
      <x:c r="D1" s="2"/>
      <x:c r="E1" s="2"/>
      <x:c r="F1" s="2"/>
      <x:c r="G1" s="2"/>
      <x:c r="H1" s="2"/>
    </x:row>
    <x:row r="2" ht="42" customHeight="1">
      <x:c r="A2" s="2" t="str">
        <x:v>Public evidence + chosen examples; no Olam internal investment valuation</x:v>
      </x:c>
      <x:c r="B2" s="2"/>
      <x:c r="C2" s="2"/>
      <x:c r="D2" s="2"/>
      <x:c r="E2" s="2"/>
      <x:c r="F2" s="2"/>
      <x:c r="G2" s="2"/>
      <x:c r="H2" s="2"/>
    </x:row>
    <x:row r="3" ht="32" customHeight="1">
      <x:c r="A3" s="4" t="str">
        <x:v>Action</x:v>
      </x:c>
      <x:c r="B3" s="4" t="str">
        <x:v>managed</x:v>
      </x:c>
      <x:c r="C3" s="4" t="str">
        <x:v>integration</x:v>
      </x:c>
      <x:c r="D3" s="4" t="str">
        <x:v>fragmented</x:v>
      </x:c>
      <x:c r="E3" s="4" t="str">
        <x:v>physical</x:v>
      </x:c>
      <x:c r="F3" s="4" t="str">
        <x:v>squeeze</x:v>
      </x:c>
      <x:c r="G3" s="4" t="str">
        <x:v>nutrition</x:v>
      </x:c>
      <x:c r="H3" s="4" t="str">
        <x:v>Worst regret</x:v>
      </x:c>
    </x:row>
    <x:row r="4" ht="44" customHeight="1">
      <x:c r="A4" s="2" t="str">
        <x:v>Wait</x:v>
      </x:c>
      <x:c r="B4" s="2" t="n">
        <x:v>0</x:v>
      </x:c>
      <x:c r="C4" s="2" t="n">
        <x:v>0</x:v>
      </x:c>
      <x:c r="D4" s="2" t="n">
        <x:v>0</x:v>
      </x:c>
      <x:c r="E4" s="2" t="n">
        <x:v>0</x:v>
      </x:c>
      <x:c r="F4" s="2" t="n">
        <x:v>0</x:v>
      </x:c>
      <x:c r="G4" s="2" t="n">
        <x:v>0</x:v>
      </x:c>
      <x:c r="H4" s="2" t="n">
        <x:v>14</x:v>
      </x:c>
    </x:row>
    <x:row r="5" ht="44" customHeight="1">
      <x:c r="A5" s="2" t="str">
        <x:v>Large owned plant</x:v>
      </x:c>
      <x:c r="B5" s="2" t="n">
        <x:v>9</x:v>
      </x:c>
      <x:c r="C5" s="2" t="n">
        <x:v>14</x:v>
      </x:c>
      <x:c r="D5" s="2" t="n">
        <x:v>-2</x:v>
      </x:c>
      <x:c r="E5" s="2" t="n">
        <x:v>-8</x:v>
      </x:c>
      <x:c r="F5" s="2" t="n">
        <x:v>-4</x:v>
      </x:c>
      <x:c r="G5" s="2" t="n">
        <x:v>3</x:v>
      </x:c>
      <x:c r="H5" s="2" t="n">
        <x:v>8</x:v>
      </x:c>
    </x:row>
    <x:row r="6" ht="44" customHeight="1">
      <x:c r="A6" s="2" t="str">
        <x:v>Partner processing</x:v>
      </x:c>
      <x:c r="B6" s="2" t="n">
        <x:v>6</x:v>
      </x:c>
      <x:c r="C6" s="2" t="n">
        <x:v>10</x:v>
      </x:c>
      <x:c r="D6" s="2" t="n">
        <x:v>2</x:v>
      </x:c>
      <x:c r="E6" s="2" t="n">
        <x:v>-1</x:v>
      </x:c>
      <x:c r="F6" s="2" t="n">
        <x:v>1</x:v>
      </x:c>
      <x:c r="G6" s="2" t="n">
        <x:v>5</x:v>
      </x:c>
      <x:c r="H6" s="2" t="n">
        <x:v>4</x:v>
      </x:c>
    </x:row>
    <x:row r="7" ht="44" customHeight="1">
      <x:c r="A7" s="2" t="str">
        <x:v>Capped contracted trade</x:v>
      </x:c>
      <x:c r="B7" s="2" t="n">
        <x:v>4</x:v>
      </x:c>
      <x:c r="C7" s="2" t="n">
        <x:v>7</x:v>
      </x:c>
      <x:c r="D7" s="2" t="n">
        <x:v>1</x:v>
      </x:c>
      <x:c r="E7" s="2" t="n">
        <x:v>0</x:v>
      </x:c>
      <x:c r="F7" s="2" t="n">
        <x:v>2</x:v>
      </x:c>
      <x:c r="G7" s="2" t="n">
        <x:v>4</x:v>
      </x:c>
      <x:c r="H7" s="2" t="n">
        <x:v>7</x:v>
      </x:c>
    </x:row>
    <x:row r="12">
      <x:c r="A12" t="str">
        <x:v>Relaxed linear optimum</x:v>
      </x:c>
      <x:c r="B12" t="n">
        <x:v>6.818181818181818</x:v>
      </x:c>
      <x:c r="C12" t="n">
        <x:v>11.09090909090909</x:v>
      </x:c>
      <x:c r="D12" t="n">
        <x:v>0.9090909090909085</x:v>
      </x:c>
      <x:c r="E12" t="n">
        <x:v>-2.9090909090909096</x:v>
      </x:c>
      <x:c r="F12" t="n">
        <x:v>-0.3636363636363642</x:v>
      </x:c>
      <x:c r="G12" t="n">
        <x:v>4.454545454545454</x:v>
      </x:c>
      <x:c r="H12" t="n">
        <x:v>2.90909090909091</x:v>
      </x:c>
    </x:row>
    <x:row r="14">
      <x:c r="A14" t="str">
        <x:v>Relaxed owned / partner weights</x:v>
      </x:c>
      <x:c r="B14" t="str">
        <x:v>27.27% /72.73%</x:v>
      </x:c>
    </x:row>
    <x:row r="15">
      <x:c r="A15" t="str">
        <x:v>Feasibility limitation</x:v>
      </x:c>
      <x:c r="B15" t="str">
        <x:v>Linear scalability only; actual lumpy assets may not permit split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</x:cols>
  <x:sheetData>
    <x:row r="1" ht="42" customHeight="1">
      <x:c r="A1" s="5" t="str">
        <x:v>Marketing Pilots / v1.1.0</x:v>
      </x:c>
      <x:c r="B1" s="2"/>
      <x:c r="C1" s="2"/>
    </x:row>
    <x:row r="2" ht="42" customHeight="1">
      <x:c r="A2" s="2" t="str">
        <x:v>Public evidence + chosen examples; no Olam internal investment valuation</x:v>
      </x:c>
      <x:c r="B2" s="2"/>
      <x:c r="C2" s="2"/>
    </x:row>
    <x:row r="3" ht="32" customHeight="1">
      <x:c r="A3" s="4" t="str">
        <x:v>Phase</x:v>
      </x:c>
      <x:c r="B3" s="4" t="str">
        <x:v>Deliverable</x:v>
      </x:c>
      <x:c r="C3" s="4" t="str">
        <x:v>Economic test</x:v>
      </x:c>
    </x:row>
    <x:row r="4" ht="44" customHeight="1">
      <x:c r="A4" s="2" t="str">
        <x:v>1–15</x:v>
      </x:c>
      <x:c r="B4" s="2" t="str">
        <x:v>Baseline/data</x:v>
      </x:c>
      <x:c r="C4" s="2" t="str">
        <x:v>Finance reconciliation</x:v>
      </x:c>
    </x:row>
    <x:row r="5" ht="44" customHeight="1">
      <x:c r="A5" s="2" t="str">
        <x:v>16–30</x:v>
      </x:c>
      <x:c r="B5" s="2" t="str">
        <x:v>Counterfactual/power</x:v>
      </x:c>
      <x:c r="C5" s="2" t="str">
        <x:v>Variance, clusters, minimum economic effect</x:v>
      </x:c>
    </x:row>
    <x:row r="6" ht="44" customHeight="1">
      <x:c r="A6" s="2" t="str">
        <x:v>31–60</x:v>
      </x:c>
      <x:c r="B6" s="2" t="str">
        <x:v>Execute</x:v>
      </x:c>
      <x:c r="C6" s="2" t="str">
        <x:v>Compliance, paid orders, service, cash</x:v>
      </x:c>
    </x:row>
    <x:row r="7" ht="44" customHeight="1">
      <x:c r="A7" s="2" t="str">
        <x:v>61–75</x:v>
      </x:c>
      <x:c r="B7" s="2" t="str">
        <x:v>Repeat/transfer</x:v>
      </x:c>
      <x:c r="C7" s="2" t="str">
        <x:v>Sustained contribution and local cash</x:v>
      </x:c>
    </x:row>
    <x:row r="8" ht="44" customHeight="1">
      <x:c r="A8" s="2" t="str">
        <x:v>76–90</x:v>
      </x:c>
      <x:c r="B8" s="2" t="str">
        <x:v>Decision</x:v>
      </x:c>
      <x:c r="C8" s="2" t="str">
        <x:v>Expand/resize/wait/stop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</x:cols>
  <x:sheetData>
    <x:row r="1" ht="42" customHeight="1">
      <x:c r="A1" s="5" t="str">
        <x:v>Information Value / v1.1.0</x:v>
      </x:c>
      <x:c r="B1" s="2"/>
      <x:c r="C1" s="2"/>
    </x:row>
    <x:row r="2" ht="42" customHeight="1">
      <x:c r="A2" s="2" t="str">
        <x:v>Public evidence + chosen examples; no Olam internal investment valuation</x:v>
      </x:c>
      <x:c r="B2" s="2"/>
      <x:c r="C2" s="2"/>
    </x:row>
    <x:row r="3" ht="32" customHeight="1">
      <x:c r="A3" s="4" t="str">
        <x:v>Input</x:v>
      </x:c>
      <x:c r="B3" s="4" t="str">
        <x:v>Value</x:v>
      </x:c>
      <x:c r="C3" s="4" t="str">
        <x:v>Chosen example</x:v>
      </x:c>
    </x:row>
    <x:row r="4" ht="44" customHeight="1">
      <x:c r="A4" s="2" t="str">
        <x:v>Good-state probability</x:v>
      </x:c>
      <x:c r="B4" s="2" t="n">
        <x:v>0.5</x:v>
      </x:c>
      <x:c r="C4" s="2" t="str">
        <x:v>Uncalibrated</x:v>
      </x:c>
    </x:row>
    <x:row r="5" ht="44" customHeight="1">
      <x:c r="A5" s="2" t="str">
        <x:v>Good investment NPV</x:v>
      </x:c>
      <x:c r="B5" s="2" t="n">
        <x:v>10</x:v>
      </x:c>
      <x:c r="C5" s="2" t="str">
        <x:v>USDm</x:v>
      </x:c>
    </x:row>
    <x:row r="6" ht="44" customHeight="1">
      <x:c r="A6" s="2" t="str">
        <x:v>Bad investment NPV</x:v>
      </x:c>
      <x:c r="B6" s="2" t="n">
        <x:v>-8</x:v>
      </x:c>
      <x:c r="C6" s="2" t="str">
        <x:v>USDm</x:v>
      </x:c>
    </x:row>
    <x:row r="7" ht="44" customHeight="1">
      <x:c r="A7" s="2" t="str">
        <x:v>Study cost</x:v>
      </x:c>
      <x:c r="B7" s="2" t="n">
        <x:v>1</x:v>
      </x:c>
      <x:c r="C7" s="2" t="str">
        <x:v>USDm</x:v>
      </x:c>
    </x:row>
    <x:row r="8" ht="44" customHeight="1">
      <x:c r="A8" s="2" t="str">
        <x:v>Delay cost</x:v>
      </x:c>
      <x:c r="B8" s="2" t="n">
        <x:v>0.5</x:v>
      </x:c>
      <x:c r="C8" s="2" t="str">
        <x:v>USDm</x:v>
      </x:c>
    </x:row>
    <x:row r="9" ht="44" customHeight="1">
      <x:c r="A9" s="2" t="str">
        <x:v>Best prior EV</x:v>
      </x:c>
      <x:c r="B9" s="2" t="n">
        <x:f>MAX(0,B4*B5+(1-B4)*B6)</x:f>
        <x:v>1</x:v>
      </x:c>
      <x:c r="C9" s="2" t="str">
        <x:v>Invest versus wait = 0</x:v>
      </x:c>
    </x:row>
    <x:row r="10" ht="44" customHeight="1">
      <x:c r="A10" s="2" t="str">
        <x:v>Perfect information EV</x:v>
      </x:c>
      <x:c r="B10" s="2" t="n">
        <x:f>B4*MAX(0,B5)+(1-B4)*MAX(0,B6)</x:f>
        <x:v>5</x:v>
      </x:c>
      <x:c r="C10" s="2" t="str">
        <x:v>Upper bound</x:v>
      </x:c>
    </x:row>
    <x:row r="11" ht="44" customHeight="1">
      <x:c r="A11" s="2" t="str">
        <x:v>Net information value</x:v>
      </x:c>
      <x:c r="B11" s="2" t="n">
        <x:f>B10-B9-B7-B8</x:f>
        <x:v>2.5</x:v>
      </x:c>
      <x:c r="C11" s="2" t="str">
        <x:v>No double counting</x:v>
      </x:c>
    </x:row>
    <x:row r="13">
      <x:c r="A13" t="str">
        <x:v>Test accuracy</x:v>
      </x:c>
      <x:c r="B13" t="n">
        <x:v>0.8</x:v>
      </x:c>
      <x:c r="C13" t="str">
        <x:v>Chosen symmetric test</x:v>
      </x:c>
    </x:row>
    <x:row r="14">
      <x:c r="A14" t="str">
        <x:v>Signal positive probability</x:v>
      </x:c>
      <x:c r="B14" t="n">
        <x:f>B4*B13+(1-B4)*(1-B13)</x:f>
        <x:v>0.5</x:v>
      </x:c>
      <x:c r="C14" t="str">
        <x:v>Bayes</x:v>
      </x:c>
    </x:row>
    <x:row r="15">
      <x:c r="A15" t="str">
        <x:v>Posterior good | positive</x:v>
      </x:c>
      <x:c r="B15" t="n">
        <x:f>B4*B13/B14</x:f>
        <x:v>0.8</x:v>
      </x:c>
      <x:c r="C15" t="str">
        <x:v>Bayes</x:v>
      </x:c>
    </x:row>
    <x:row r="16">
      <x:c r="A16" t="str">
        <x:v>Posterior good | negative</x:v>
      </x:c>
      <x:c r="B16" t="n">
        <x:f>B4*(1-B13)/(1-B14)</x:f>
        <x:v>0.19999999999999996</x:v>
      </x:c>
      <x:c r="C16" t="str">
        <x:v>Bayes</x:v>
      </x:c>
    </x:row>
    <x:row r="17">
      <x:c r="A17" t="str">
        <x:v>Expected optimal value after study</x:v>
      </x:c>
      <x:c r="B17" t="n">
        <x:f>B14*MAX(0,B15*B5+(1-B15)*B6)+(1-B14)*MAX(0,B16*B5+(1-B16)*B6)</x:f>
        <x:v>3.2</x:v>
      </x:c>
      <x:c r="C17" t="str">
        <x:v>Choose invest/wait after signal</x:v>
      </x:c>
    </x:row>
    <x:row r="18">
      <x:c r="A18" t="str">
        <x:v>Net EVSI</x:v>
      </x:c>
      <x:c r="B18" t="n">
        <x:f>B17-B9-B7-B8</x:f>
        <x:v>0.7000000000000002</x:v>
      </x:c>
      <x:c r="C18" t="str">
        <x:v>Study+delay counted once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</x:cols>
  <x:sheetData>
    <x:row r="1" ht="42" customHeight="1">
      <x:c r="A1" s="5" t="str">
        <x:v>Decision Triggers / v1.1.0</x:v>
      </x:c>
      <x:c r="B1" s="2"/>
      <x:c r="C1" s="2"/>
    </x:row>
    <x:row r="2" ht="42" customHeight="1">
      <x:c r="A2" s="2" t="str">
        <x:v>Public evidence + chosen examples; no Olam internal investment valuation</x:v>
      </x:c>
      <x:c r="B2" s="2"/>
      <x:c r="C2" s="2"/>
    </x:row>
    <x:row r="3" ht="32" customHeight="1">
      <x:c r="A3" s="4" t="str">
        <x:v>Gate</x:v>
      </x:c>
      <x:c r="B3" s="4" t="str">
        <x:v>Owner</x:v>
      </x:c>
      <x:c r="C3" s="4" t="str">
        <x:v>Required release</x:v>
      </x:c>
    </x:row>
    <x:row r="4" ht="44" customHeight="1">
      <x:c r="A4" s="2" t="str">
        <x:v>G0 perimeter</x:v>
      </x:c>
      <x:c r="B4" s="2" t="str">
        <x:v>Strategy / Finance</x:v>
      </x:c>
      <x:c r="C4" s="2" t="str">
        <x:v>Right entity, period and currency</x:v>
      </x:c>
    </x:row>
    <x:row r="5" ht="44" customHeight="1">
      <x:c r="A5" s="2" t="str">
        <x:v>G1 access</x:v>
      </x:c>
      <x:c r="B5" s="2" t="str">
        <x:v>Legal</x:v>
      </x:c>
      <x:c r="C5" s="2" t="str">
        <x:v>HS, sanctions, rights and licensing</x:v>
      </x:c>
    </x:row>
    <x:row r="6" ht="44" customHeight="1">
      <x:c r="A6" s="2" t="str">
        <x:v>G2 customer</x:v>
      </x:c>
      <x:c r="B6" s="2" t="str">
        <x:v>Marketing</x:v>
      </x:c>
      <x:c r="C6" s="2" t="str">
        <x:v>Paid repeat and usable output</x:v>
      </x:c>
    </x:row>
    <x:row r="7" ht="44" customHeight="1">
      <x:c r="A7" s="2" t="str">
        <x:v>G3 contribution</x:v>
      </x:c>
      <x:c r="B7" s="2" t="str">
        <x:v>Finance</x:v>
      </x:c>
      <x:c r="C7" s="2" t="str">
        <x:v>Full incremental service / cost</x:v>
      </x:c>
    </x:row>
    <x:row r="8" ht="44" customHeight="1">
      <x:c r="A8" s="2" t="str">
        <x:v>G4 capacity</x:v>
      </x:c>
      <x:c r="B8" s="2" t="str">
        <x:v>Operations</x:v>
      </x:c>
      <x:c r="C8" s="2" t="str">
        <x:v>Yield, uptime, delivered constraints</x:v>
      </x:c>
    </x:row>
    <x:row r="9" ht="44" customHeight="1">
      <x:c r="A9" s="2" t="str">
        <x:v>G5 resilience</x:v>
      </x:c>
      <x:c r="B9" s="2" t="str">
        <x:v>Supply chain</x:v>
      </x:c>
      <x:c r="C9" s="2" t="str">
        <x:v>Common-exposure response</x:v>
      </x:c>
    </x:row>
    <x:row r="10" ht="44" customHeight="1">
      <x:c r="A10" s="2" t="str">
        <x:v>G6 cash</x:v>
      </x:c>
      <x:c r="B10" s="2" t="str">
        <x:v>Treasury</x:v>
      </x:c>
      <x:c r="C10" s="2" t="str">
        <x:v>Seasonal headroom and funded downside</x:v>
      </x:c>
    </x:row>
    <x:row r="11" ht="44" customHeight="1">
      <x:c r="A11" s="2" t="str">
        <x:v>G7 replication</x:v>
      </x:c>
      <x:c r="B11" s="2" t="str">
        <x:v>IC / country</x:v>
      </x:c>
      <x:c r="C11" s="2" t="str">
        <x:v>Transferable validated mechanism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</x:cols>
  <x:sheetData>
    <x:row r="1" ht="42" customHeight="1">
      <x:c r="A1" s="5" t="str">
        <x:v>Chart Data / v1.1.0</x:v>
      </x:c>
      <x:c r="B1" s="2"/>
      <x:c r="C1" s="2"/>
      <x:c r="D1" s="2"/>
      <x:c r="E1" s="2"/>
      <x:c r="F1" s="2"/>
    </x:row>
    <x:row r="2" ht="42" customHeight="1">
      <x:c r="A2" s="2" t="str">
        <x:v>Public evidence + chosen examples; no Olam internal investment valuation</x:v>
      </x:c>
      <x:c r="B2" s="2"/>
      <x:c r="C2" s="2"/>
      <x:c r="D2" s="2"/>
      <x:c r="E2" s="2"/>
      <x:c r="F2" s="2"/>
    </x:row>
    <x:row r="3" ht="32" customHeight="1">
      <x:c r="A3" s="4" t="str">
        <x:v>Slide</x:v>
      </x:c>
      <x:c r="B3" s="4" t="str">
        <x:v>Chart</x:v>
      </x:c>
      <x:c r="C3" s="4" t="str">
        <x:v>Category</x:v>
      </x:c>
      <x:c r="D3" s="4" t="str">
        <x:v>Series1</x:v>
      </x:c>
      <x:c r="E3" s="4" t="str">
        <x:v>Series2</x:v>
      </x:c>
      <x:c r="F3" s="4" t="str">
        <x:v>Series3</x:v>
      </x:c>
    </x:row>
    <x:row r="4" ht="44" customHeight="1">
      <x:c r="A4" s="2" t="n">
        <x:v>7</x:v>
      </x:c>
      <x:c r="B4" s="2" t="str">
        <x:v>UN medium population projection, million</x:v>
      </x:c>
      <x:c r="C4" s="2" t="str">
        <x:v>Nigeria</x:v>
      </x:c>
      <x:c r="D4" s="2" t="n">
        <x:v>242.431832</x:v>
      </x:c>
      <x:c r="E4" s="2" t="n">
        <x:v>363.523611</x:v>
      </x:c>
      <x:c r="F4" s="2"/>
    </x:row>
    <x:row r="5" ht="44" customHeight="1">
      <x:c r="A5" s="2" t="n">
        <x:v>7</x:v>
      </x:c>
      <x:c r="B5" s="2" t="str">
        <x:v>UN medium population projection, million</x:v>
      </x:c>
      <x:c r="C5" s="2" t="str">
        <x:v>India</x:v>
      </x:c>
      <x:c r="D5" s="2" t="n">
        <x:v>1476.625576</x:v>
      </x:c>
      <x:c r="E5" s="2" t="n">
        <x:v>1683.220886</x:v>
      </x:c>
      <x:c r="F5" s="2"/>
    </x:row>
    <x:row r="6" ht="44" customHeight="1">
      <x:c r="A6" s="2" t="n">
        <x:v>7</x:v>
      </x:c>
      <x:c r="B6" s="2" t="str">
        <x:v>UN medium population projection, million</x:v>
      </x:c>
      <x:c r="C6" s="2" t="str">
        <x:v>China</x:v>
      </x:c>
      <x:c r="D6" s="2" t="n">
        <x:v>1412.914089</x:v>
      </x:c>
      <x:c r="E6" s="2" t="n">
        <x:v>1249.692538</x:v>
      </x:c>
      <x:c r="F6" s="2"/>
    </x:row>
    <x:row r="7" ht="44" customHeight="1">
      <x:c r="A7" s="2" t="n">
        <x:v>7</x:v>
      </x:c>
      <x:c r="B7" s="2" t="str">
        <x:v>UN medium population projection, million</x:v>
      </x:c>
      <x:c r="C7" s="2" t="str">
        <x:v>Japan</x:v>
      </x:c>
      <x:c r="D7" s="2" t="n">
        <x:v>122.427731</x:v>
      </x:c>
      <x:c r="E7" s="2" t="n">
        <x:v>104.452458</x:v>
      </x:c>
      <x:c r="F7" s="2"/>
    </x:row>
    <x:row r="8" ht="44" customHeight="1">
      <x:c r="A8" s="2" t="n">
        <x:v>16</x:v>
      </x:c>
      <x:c r="B8" s="2" t="str">
        <x:v>Normalized NPV across six worlds, USD million</x:v>
      </x:c>
      <x:c r="C8" s="2" t="str">
        <x:v>Managed transition</x:v>
      </x:c>
      <x:c r="D8" s="2" t="n">
        <x:v>0.357686</x:v>
      </x:c>
      <x:c r="E8" s="2" t="n">
        <x:v>10.81737</x:v>
      </x:c>
      <x:c r="F8" s="2" t="n">
        <x:v>-1.799942</x:v>
      </x:c>
    </x:row>
    <x:row r="9" ht="44" customHeight="1">
      <x:c r="A9" s="2" t="n">
        <x:v>16</x:v>
      </x:c>
      <x:c r="B9" s="2" t="str">
        <x:v>Normalized NPV across six worlds, USD million</x:v>
      </x:c>
      <x:c r="C9" s="2" t="str">
        <x:v>Productive integration</x:v>
      </x:c>
      <x:c r="D9" s="2" t="n">
        <x:v>7.869359</x:v>
      </x:c>
      <x:c r="E9" s="2" t="n">
        <x:v>20.592951</x:v>
      </x:c>
      <x:c r="F9" s="2" t="n">
        <x:v>13.879462</x:v>
      </x:c>
    </x:row>
    <x:row r="10" ht="44" customHeight="1">
      <x:c r="A10" s="2" t="n">
        <x:v>16</x:v>
      </x:c>
      <x:c r="B10" s="2" t="str">
        <x:v>Normalized NPV across six worlds, USD million</x:v>
      </x:c>
      <x:c r="C10" s="2" t="str">
        <x:v>Fragmented trade</x:v>
      </x:c>
      <x:c r="D10" s="2" t="n">
        <x:v>-10.136256</x:v>
      </x:c>
      <x:c r="E10" s="2" t="n">
        <x:v>-3.584731</x:v>
      </x:c>
      <x:c r="F10" s="2" t="n">
        <x:v>-17.203948</x:v>
      </x:c>
    </x:row>
    <x:row r="11" ht="44" customHeight="1">
      <x:c r="A11" s="2" t="n">
        <x:v>16</x:v>
      </x:c>
      <x:c r="B11" s="2" t="str">
        <x:v>Normalized NPV across six worlds, USD million</x:v>
      </x:c>
      <x:c r="C11" s="2" t="str">
        <x:v>Compound physical stress</x:v>
      </x:c>
      <x:c r="D11" s="2" t="n">
        <x:v>-25.56085</x:v>
      </x:c>
      <x:c r="E11" s="2" t="n">
        <x:v>-17.395001</x:v>
      </x:c>
      <x:c r="F11" s="2" t="n">
        <x:v>-33.292164</x:v>
      </x:c>
    </x:row>
    <x:row r="12" ht="44" customHeight="1">
      <x:c r="A12" s="2" t="n">
        <x:v>16</x:v>
      </x:c>
      <x:c r="B12" s="2" t="str">
        <x:v>Normalized NPV across six worlds, USD million</x:v>
      </x:c>
      <x:c r="C12" s="2" t="str">
        <x:v>Affordability and debt squeeze</x:v>
      </x:c>
      <x:c r="D12" s="2" t="n">
        <x:v>-13.357503</x:v>
      </x:c>
      <x:c r="E12" s="2" t="n">
        <x:v>-9.824949</x:v>
      </x:c>
      <x:c r="F12" s="2" t="n">
        <x:v>-24.952075</x:v>
      </x:c>
    </x:row>
    <x:row r="13" ht="44" customHeight="1">
      <x:c r="A13" s="2" t="n">
        <x:v>16</x:v>
      </x:c>
      <x:c r="B13" s="2" t="str">
        <x:v>Normalized NPV across six worlds, USD million</x:v>
      </x:c>
      <x:c r="C13" s="2" t="str">
        <x:v>Nutrition and resource transition</x:v>
      </x:c>
      <x:c r="D13" s="2" t="n">
        <x:v>-0.543371</x:v>
      </x:c>
      <x:c r="E13" s="2" t="n">
        <x:v>10.071104</x:v>
      </x:c>
      <x:c r="F13" s="2" t="n">
        <x:v>-2.878264</x:v>
      </x:c>
    </x:row>
    <x:row r="14" ht="44" customHeight="1">
      <x:c r="A14" s="2" t="n">
        <x:v>97</x:v>
      </x:c>
      <x:c r="B14" s="2" t="str">
        <x:v>Owned managed template: EBITDA / FCFF / capex, USDm</x:v>
      </x:c>
      <x:c r="C14" s="2" t="str">
        <x:v>2027</x:v>
      </x:c>
      <x:c r="D14" s="2" t="n">
        <x:v>1</x:v>
      </x:c>
      <x:c r="E14" s="2" t="n">
        <x:v>-10.564384</x:v>
      </x:c>
      <x:c r="F14" s="2" t="n">
        <x:v>8.4</x:v>
      </x:c>
    </x:row>
    <x:row r="15" ht="44" customHeight="1">
      <x:c r="A15" s="2" t="n">
        <x:v>97</x:v>
      </x:c>
      <x:c r="B15" s="2" t="str">
        <x:v>Owned managed template: EBITDA / FCFF / capex, USDm</x:v>
      </x:c>
      <x:c r="C15" s="2" t="str">
        <x:v>2028</x:v>
      </x:c>
      <x:c r="D15" s="2" t="n">
        <x:v>2.872</x:v>
      </x:c>
      <x:c r="E15" s="2" t="n">
        <x:v>0.497425</x:v>
      </x:c>
      <x:c r="F15" s="2" t="n">
        <x:v>0.4</x:v>
      </x:c>
    </x:row>
    <x:row r="16" ht="44" customHeight="1">
      <x:c r="A16" s="2" t="n">
        <x:v>97</x:v>
      </x:c>
      <x:c r="B16" s="2" t="str">
        <x:v>Owned managed template: EBITDA / FCFF / capex, USDm</x:v>
      </x:c>
      <x:c r="C16" s="2" t="str">
        <x:v>2029</x:v>
      </x:c>
      <x:c r="D16" s="2" t="n">
        <x:v>4.18135</x:v>
      </x:c>
      <x:c r="E16" s="2" t="n">
        <x:v>1.946917</x:v>
      </x:c>
      <x:c r="F16" s="2" t="n">
        <x:v>0.4</x:v>
      </x:c>
    </x:row>
    <x:row r="17" ht="44" customHeight="1">
      <x:c r="A17" s="2" t="n">
        <x:v>97</x:v>
      </x:c>
      <x:c r="B17" s="2" t="str">
        <x:v>Owned managed template: EBITDA / FCFF / capex, USDm</x:v>
      </x:c>
      <x:c r="C17" s="2" t="str">
        <x:v>2036</x:v>
      </x:c>
      <x:c r="D17" s="2" t="n">
        <x:v>4.86034</x:v>
      </x:c>
      <x:c r="E17" s="2" t="n">
        <x:v>3.738315</x:v>
      </x:c>
      <x:c r="F17" s="2" t="n">
        <x:v>0.4</x:v>
      </x:c>
    </x:row>
    <x:row r="18" ht="44" customHeight="1">
      <x:c r="A18" s="2" t="n">
        <x:v>97</x:v>
      </x:c>
      <x:c r="B18" s="2" t="str">
        <x:v>Owned managed template: EBITDA / FCFF / capex, USDm</x:v>
      </x:c>
      <x:c r="C18" s="2" t="str">
        <x:v>2037</x:v>
      </x:c>
      <x:c r="D18" s="2" t="n">
        <x:v>4.911792</x:v>
      </x:c>
      <x:c r="E18" s="2" t="n">
        <x:v>-10.320428</x:v>
      </x:c>
      <x:c r="F18" s="2" t="n">
        <x:v>14.4</x:v>
      </x:c>
    </x:row>
    <x:row r="19" ht="44" customHeight="1">
      <x:c r="A19" s="2" t="n">
        <x:v>97</x:v>
      </x:c>
      <x:c r="B19" s="2" t="str">
        <x:v>Owned managed template: EBITDA / FCFF / capex, USDm</x:v>
      </x:c>
      <x:c r="C19" s="2" t="str">
        <x:v>2046</x:v>
      </x:c>
      <x:c r="D19" s="2" t="n">
        <x:v>5.392582</x:v>
      </x:c>
      <x:c r="E19" s="2" t="n">
        <x:v>4.03639</x:v>
      </x:c>
      <x:c r="F19" s="2" t="n">
        <x:v>0.4</x:v>
      </x:c>
    </x:row>
    <x:row r="20" ht="44" customHeight="1">
      <x:c r="A20" s="2" t="n">
        <x:v>97</x:v>
      </x:c>
      <x:c r="B20" s="2" t="str">
        <x:v>Owned managed template: EBITDA / FCFF / capex, USDm</x:v>
      </x:c>
      <x:c r="C20" s="2" t="str">
        <x:v>2047</x:v>
      </x:c>
      <x:c r="D20" s="2" t="n">
        <x:v>5.448027</x:v>
      </x:c>
      <x:c r="E20" s="2" t="n">
        <x:v>-9.922462</x:v>
      </x:c>
      <x:c r="F20" s="2" t="n">
        <x:v>14.4</x:v>
      </x:c>
    </x:row>
    <x:row r="21" ht="44" customHeight="1">
      <x:c r="A21" s="2" t="n">
        <x:v>97</x:v>
      </x:c>
      <x:c r="B21" s="2" t="str">
        <x:v>Owned managed template: EBITDA / FCFF / capex, USDm</x:v>
      </x:c>
      <x:c r="C21" s="2" t="str">
        <x:v>2051</x:v>
      </x:c>
      <x:c r="D21" s="2" t="n">
        <x:v>5.673994</x:v>
      </x:c>
      <x:c r="E21" s="2" t="n">
        <x:v>11.530277</x:v>
      </x:c>
      <x:c r="F21" s="2" t="n">
        <x:v>0.4</x:v>
      </x:c>
    </x:row>
    <x:row r="22" ht="44" customHeight="1">
      <x:c r="A22" s="2" t="n">
        <x:v>98</x:v>
      </x:c>
      <x:c r="B22" s="2" t="str">
        <x:v>Owned managed NPV at first/last chosen structural input, USDm</x:v>
      </x:c>
      <x:c r="C22" s="2" t="str">
        <x:v>Orders70–130%</x:v>
      </x:c>
      <x:c r="D22" s="2" t="n">
        <x:v>-13.077306</x:v>
      </x:c>
      <x:c r="E22" s="2" t="n">
        <x:v>8.60557</x:v>
      </x:c>
      <x:c r="F22" s="2"/>
    </x:row>
    <x:row r="23" ht="44" customHeight="1">
      <x:c r="A23" s="2" t="n">
        <x:v>98</x:v>
      </x:c>
      <x:c r="B23" s="2" t="str">
        <x:v>Owned managed NPV at first/last chosen structural input, USDm</x:v>
      </x:c>
      <x:c r="C23" s="2" t="str">
        <x:v>Price90–110%</x:v>
      </x:c>
      <x:c r="D23" s="2" t="n">
        <x:v>-34.217415</x:v>
      </x:c>
      <x:c r="E23" s="2" t="n">
        <x:v>26.146093</x:v>
      </x:c>
      <x:c r="F23" s="2"/>
    </x:row>
    <x:row r="24" ht="44" customHeight="1">
      <x:c r="A24" s="2" t="n">
        <x:v>98</x:v>
      </x:c>
      <x:c r="B24" s="2" t="str">
        <x:v>Owned managed NPV at first/last chosen structural input, USDm</x:v>
      </x:c>
      <x:c r="C24" s="2" t="str">
        <x:v>Cost90–110%</x:v>
      </x:c>
      <x:c r="D24" s="2" t="n">
        <x:v>22.459913</x:v>
      </x:c>
      <x:c r="E24" s="2" t="n">
        <x:v>-29.122123</x:v>
      </x:c>
      <x:c r="F24" s="2"/>
    </x:row>
    <x:row r="25" ht="44" customHeight="1">
      <x:c r="A25" s="2" t="n">
        <x:v>98</x:v>
      </x:c>
      <x:c r="B25" s="2" t="str">
        <x:v>Owned managed NPV at first/last chosen structural input, USDm</x:v>
      </x:c>
      <x:c r="C25" s="2" t="str">
        <x:v>Capex50–150%</x:v>
      </x:c>
      <x:c r="D25" s="2" t="n">
        <x:v>10.735806</x:v>
      </x:c>
      <x:c r="E25" s="2" t="n">
        <x:v>-14.396267</x:v>
      </x:c>
      <x:c r="F25" s="2"/>
    </x:row>
    <x:row r="26" ht="44" customHeight="1">
      <x:c r="A26" s="2" t="n">
        <x:v>98</x:v>
      </x:c>
      <x:c r="B26" s="2" t="str">
        <x:v>Owned managed NPV at first/last chosen structural input, USDm</x:v>
      </x:c>
      <x:c r="C26" s="2" t="str">
        <x:v>DSO−10/+40d</x:v>
      </x:c>
      <x:c r="D26" s="2" t="n">
        <x:v>-1.050282</x:v>
      </x:c>
      <x:c r="E26" s="2" t="n">
        <x:v>-4.798583</x:v>
      </x:c>
      <x:c r="F26" s="2"/>
    </x:row>
    <x:row r="27" ht="44" customHeight="1">
      <x:c r="A27" s="2" t="n">
        <x:v>98</x:v>
      </x:c>
      <x:c r="B27" s="2" t="str">
        <x:v>Owned managed NPV at first/last chosen structural input, USDm</x:v>
      </x:c>
      <x:c r="C27" s="2" t="str">
        <x:v>DIO−10/+40d</x:v>
      </x:c>
      <x:c r="D27" s="2" t="n">
        <x:v>-1.003428</x:v>
      </x:c>
      <x:c r="E27" s="2" t="n">
        <x:v>-4.985998</x:v>
      </x:c>
      <x:c r="F27" s="2"/>
    </x:row>
  </x:sheetData>
  <x:mergeCells>
    <x:mergeCell ref="A1:F1"/>
    <x:mergeCell ref="A2:F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3" hidden="0" customWidth="1"/>
    <x:col min="2" max="2" width="50" hidden="0" customWidth="1"/>
    <x:col min="3" max="3" width="50" hidden="0" customWidth="1"/>
    <x:col min="4" max="4" width="50" hidden="0" customWidth="1"/>
    <x:col min="5" max="5" width="50" hidden="0" customWidth="1"/>
    <x:col min="6" max="6" width="23" hidden="0" customWidth="1"/>
    <x:col min="7" max="7" width="23" hidden="0" customWidth="1"/>
    <x:col min="8" max="8" width="40" hidden="0" customWidth="1"/>
    <x:col min="9" max="9" width="40" hidden="0" customWidth="1"/>
    <x:col min="10" max="10" width="40" hidden="0" customWidth="1"/>
    <x:col min="11" max="11" width="40" hidden="0" customWidth="1"/>
    <x:col min="12" max="12" width="40" hidden="0" customWidth="1"/>
    <x:col min="13" max="13" width="40" hidden="0" customWidth="1"/>
  </x:cols>
  <x:sheetData>
    <x:row r="1" ht="42" customHeight="1">
      <x:c r="A1" s="5" t="str">
        <x:v>Calculation Audit / v1.1.0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42" customHeight="1">
      <x:c r="A2" s="2" t="str">
        <x:v>Public evidence + chosen examples; no Olam internal investment valuation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70" customHeight="1">
      <x:c r="A3" s="4" t="str">
        <x:v>ID</x:v>
      </x:c>
      <x:c r="B3" s="4" t="str">
        <x:v>Question</x:v>
      </x:c>
      <x:c r="C3" s="4" t="str">
        <x:v>Formula</x:v>
      </x:c>
      <x:c r="D3" s="4" t="str">
        <x:v>Substitution</x:v>
      </x:c>
      <x:c r="E3" s="4" t="str">
        <x:v>Result</x:v>
      </x:c>
      <x:c r="F3" s="4" t="str">
        <x:v>Units</x:v>
      </x:c>
      <x:c r="G3" s="4" t="str">
        <x:v>Inputs</x:v>
      </x:c>
      <x:c r="H3" s="4" t="str">
        <x:v>Sources</x:v>
      </x:c>
      <x:c r="I3" s="4" t="str">
        <x:v>Assumptions</x:v>
      </x:c>
      <x:c r="J3" s="4" t="str">
        <x:v>Workbook</x:v>
      </x:c>
      <x:c r="K3" s="4" t="str">
        <x:v>Code</x:v>
      </x:c>
      <x:c r="L3" s="4" t="str">
        <x:v>Slide</x:v>
      </x:c>
      <x:c r="M3" s="4" t="str">
        <x:v>Limit</x:v>
      </x:c>
    </x:row>
    <x:row r="4" ht="70" customHeight="1">
      <x:c r="A4" s="2" t="str">
        <x:v>C-E01</x:v>
      </x:c>
      <x:c r="B4" s="2" t="str">
        <x:v>Reported margin</x:v>
      </x:c>
      <x:c r="C4" s="2" t="str">
        <x:v>EBIT / revenue × 100</x:v>
      </x:c>
      <x:c r="D4" s="2" t="str">
        <x:v>703.7 / 28,666 × 100 = 2.4548%</x:v>
      </x:c>
      <x:c r="E4" s="2" t="str">
        <x:v>2.45% derived EBIT margin</x:v>
      </x:c>
      <x:c r="F4" s="2" t="str">
        <x:v>percent EBIT/revenue</x:v>
      </x:c>
      <x:c r="G4" s="2" t="str">
        <x:v>I-E01</x:v>
      </x:c>
      <x:c r="H4" s="2" t="str">
        <x:v>CO_AR</x:v>
      </x:c>
      <x:c r="I4" s="2" t="str"/>
      <x:c r="J4" s="2" t="str">
        <x:v>Calculation_Audit!A4:M248 (locate stable ID in column A); Sources!A:A; Inputs!A:A</x:v>
      </x:c>
      <x:c r="K4" s="2" t="str">
        <x:v>scripts/olam-package.py: examples</x:v>
      </x:c>
      <x:c r="L4" s="2" t="str">
        <x:v>4;39</x:v>
      </x:c>
      <x:c r="M4" s="2" t="str">
        <x:v>Using rounded revenue of USD28.7bn gives 2.4519%; keep the same entity, period and currency.</x:v>
      </x:c>
    </x:row>
    <x:row r="5" ht="70" customHeight="1">
      <x:c r="A5" s="2" t="str">
        <x:v>C-E02</x:v>
      </x:c>
      <x:c r="B5" s="2" t="str">
        <x:v>Demand to delivered sales</x:v>
      </x:c>
      <x:c r="C5" s="2" t="str">
        <x:v>Population × demand per person × access × capture, capped by delivery</x:v>
      </x:c>
      <x:c r="D5" s="2" t="str">
        <x:v>1m people × 0.1t × 50% access × 20% capture = 10,000t orders; min(10,000, 8,000, 7,000) = 7,000t.</x:v>
      </x:c>
      <x:c r="E5" s="2" t="str">
        <x:v>7,000 delivered tonnes</x:v>
      </x:c>
      <x:c r="F5" s="2" t="str">
        <x:v>persons, tonnes/person, fractions, tonnes</x:v>
      </x:c>
      <x:c r="G5" s="2" t="str">
        <x:v>I-E02</x:v>
      </x:c>
      <x:c r="H5" s="2" t="str"/>
      <x:c r="I5" s="2" t="str">
        <x:v>A_EXAMPLE</x:v>
      </x:c>
      <x:c r="J5" s="2" t="str">
        <x:v>Calculation_Audit!A4:M248 (locate stable ID in column A); Sources!A:A; Inputs!A:A</x:v>
      </x:c>
      <x:c r="K5" s="2" t="str">
        <x:v>scripts/olam-package.py: examples</x:v>
      </x:c>
      <x:c r="L5" s="2" t="str">
        <x:v>23;40</x:v>
      </x:c>
      <x:c r="M5" s="2" t="str">
        <x:v>Demand, access and capture are chosen inputs. Unmet orders cannot count as revenue.</x:v>
      </x:c>
    </x:row>
    <x:row r="6" ht="70" customHeight="1">
      <x:c r="A6" s="2" t="str">
        <x:v>C-E03</x:v>
      </x:c>
      <x:c r="B6" s="2" t="str">
        <x:v>Volume, revenue and EBITDA</x:v>
      </x:c>
      <x:c r="C6" s="2" t="str">
        <x:v>Volume × net price; volume × unit cost; contribution less fixed cash cost</x:v>
      </x:c>
      <x:c r="D6" s="2" t="str">
        <x:v>100,000t × USD400/t = USD40m revenue; costs = USD34m; contribution = USD6m; less USD2m fixed cost = USD4m EBITDA.</x:v>
      </x:c>
      <x:c r="E6" s="2" t="str">
        <x:v>USD4m EBITDA</x:v>
      </x:c>
      <x:c r="F6" s="2" t="str">
        <x:v>tonnes, USD/tonne, USD</x:v>
      </x:c>
      <x:c r="G6" s="2" t="str">
        <x:v>I-E03</x:v>
      </x:c>
      <x:c r="H6" s="2" t="str"/>
      <x:c r="I6" s="2" t="str">
        <x:v>A_EXAMPLE</x:v>
      </x:c>
      <x:c r="J6" s="2" t="str">
        <x:v>Calculation_Audit!A4:M248 (locate stable ID in column A); Sources!A:A; Inputs!A:A</x:v>
      </x:c>
      <x:c r="K6" s="2" t="str">
        <x:v>scripts/olam-package.py: examples</x:v>
      </x:c>
      <x:c r="L6" s="2" t="str">
        <x:v>41</x:v>
      </x:c>
      <x:c r="M6" s="2" t="str">
        <x:v>EBITDA omits cash tax, capital spending and working cash. These are chosen saleable-volume and net-price inputs.</x:v>
      </x:c>
    </x:row>
    <x:row r="7" ht="70" customHeight="1">
      <x:c r="A7" s="2" t="str">
        <x:v>C-E04</x:v>
      </x:c>
      <x:c r="B7" s="2" t="str">
        <x:v>Yield and by-products</x:v>
      </x:c>
      <x:c r="C7" s="2" t="str">
        <x:v>Input = main output / yield; output, by-product and loss sum to input</x:v>
      </x:c>
      <x:c r="D7" s="2" t="str">
        <x:v>100,000t output / 90% yield = 111,111t input; 6% by-product = 6,667t; 4% loss = 4,444t.</x:v>
      </x:c>
      <x:c r="E7" s="2" t="str">
        <x:v>111,111 tonnes of input</x:v>
      </x:c>
      <x:c r="F7" s="2" t="str">
        <x:v>tonnes, yield fractions, USD/tonne</x:v>
      </x:c>
      <x:c r="G7" s="2" t="str">
        <x:v>I-E04</x:v>
      </x:c>
      <x:c r="H7" s="2" t="str"/>
      <x:c r="I7" s="2" t="str">
        <x:v>A_EXAMPLE</x:v>
      </x:c>
      <x:c r="J7" s="2" t="str">
        <x:v>Calculation_Audit!A4:M248 (locate stable ID in column A); Sources!A:A; Inputs!A:A</x:v>
      </x:c>
      <x:c r="K7" s="2" t="str">
        <x:v>scripts/olam-package.py: examples</x:v>
      </x:c>
      <x:c r="L7" s="2" t="str">
        <x:v>42</x:v>
      </x:c>
      <x:c r="M7" s="2" t="str">
        <x:v>By-products may earn revenue. Their quality, price and conversion cost need evidence.</x:v>
      </x:c>
    </x:row>
    <x:row r="8" ht="70" customHeight="1">
      <x:c r="A8" s="2" t="str">
        <x:v>C-E05</x:v>
      </x:c>
      <x:c r="B8" s="2" t="str">
        <x:v>Customer cost per usable output</x:v>
      </x:c>
      <x:c r="C8" s="2" t="str">
        <x:v>Purchase and preparation cost / usable output</x:v>
      </x:c>
      <x:c r="D8" s="2" t="str">
        <x:v>Offer A: (USD30 + USD5) / 45kg = USD0.7778/kg. Offer B: (USD32 + USD4) / 48kg = USD0.7500/kg.</x:v>
      </x:c>
      <x:c r="E8" s="2" t="str">
        <x:v>B costs 3.57% less per usable kg</x:v>
      </x:c>
      <x:c r="F8" s="2" t="str">
        <x:v>loaves/bag, money/loaf, money/bag</x:v>
      </x:c>
      <x:c r="G8" s="2" t="str">
        <x:v>I-E05</x:v>
      </x:c>
      <x:c r="H8" s="2" t="str"/>
      <x:c r="I8" s="2" t="str">
        <x:v>A_EXAMPLE</x:v>
      </x:c>
      <x:c r="J8" s="2" t="str">
        <x:v>Calculation_Audit!A4:M248 (locate stable ID in column A); Sources!A:A; Inputs!A:A</x:v>
      </x:c>
      <x:c r="K8" s="2" t="str">
        <x:v>scripts/olam-package.py: examples</x:v>
      </x:c>
      <x:c r="L8" s="2" t="str">
        <x:v>8;21;43</x:v>
      </x:c>
      <x:c r="M8" s="2" t="str">
        <x:v>Chosen flour-like inputs. Paid adoption also depends on cash, trust and availability.</x:v>
      </x:c>
    </x:row>
    <x:row r="9" ht="70" customHeight="1">
      <x:c r="A9" s="2" t="str">
        <x:v>C-E06</x:v>
      </x:c>
      <x:c r="B9" s="2" t="str">
        <x:v>Pack cash and cost per meal</x:v>
      </x:c>
      <x:c r="C9" s="2" t="str">
        <x:v>Cash ticket differs from cost per use; assume 100g dry input per meal</x:v>
      </x:c>
      <x:c r="D9" s="2" t="str">
        <x:v>Small: (₦600 + ₦100 prep) / 5 meals = ₦140/meal. Large: (₦2,000 + ₦400 prep) / 20 meals = ₦120/meal.</x:v>
      </x:c>
      <x:c r="E9" s="2" t="str">
        <x:v>Small cash ticket ₦600; large pack 14.29% cheaper per meal</x:v>
      </x:c>
      <x:c r="F9" s="2" t="str">
        <x:v>kg/pack, money/pack, money/kg</x:v>
      </x:c>
      <x:c r="G9" s="2" t="str">
        <x:v>I-E06</x:v>
      </x:c>
      <x:c r="H9" s="2" t="str"/>
      <x:c r="I9" s="2" t="str">
        <x:v>A_EXAMPLE</x:v>
      </x:c>
      <x:c r="J9" s="2" t="str">
        <x:v>Calculation_Audit!A4:M248 (locate stable ID in column A); Sources!A:A; Inputs!A:A</x:v>
      </x:c>
      <x:c r="K9" s="2" t="str">
        <x:v>scripts/olam-package.py: examples</x:v>
      </x:c>
      <x:c r="L9" s="2" t="str">
        <x:v>8;22;44</x:v>
      </x:c>
      <x:c r="M9" s="2" t="str">
        <x:v>Chosen Nigerian cash units and serving size. The large pack needs more upfront cash.</x:v>
      </x:c>
    </x:row>
    <x:row r="10" ht="70" customHeight="1">
      <x:c r="A10" s="2" t="str">
        <x:v>C-E07</x:v>
      </x:c>
      <x:c r="B10" s="2" t="str">
        <x:v>Percent versus percentage points</x:v>
      </x:c>
      <x:c r="C10" s="2" t="str">
        <x:v>Distinguish absolute percentage-point change from relative percentage change</x:v>
      </x:c>
      <x:c r="D10" s="2" t="str">
        <x:v>10% − 8% = 2 percentage points. Relative increase = (10 − 8) / 8 = 25%.</x:v>
      </x:c>
      <x:c r="E10" s="2" t="str">
        <x:v>2 percentage points; 25% relative increase</x:v>
      </x:c>
      <x:c r="F10" s="2" t="str">
        <x:v>percent and percentage points</x:v>
      </x:c>
      <x:c r="G10" s="2" t="str">
        <x:v>I-E07</x:v>
      </x:c>
      <x:c r="H10" s="2" t="str"/>
      <x:c r="I10" s="2" t="str">
        <x:v>A_EXAMPLE</x:v>
      </x:c>
      <x:c r="J10" s="2" t="str">
        <x:v>Calculation_Audit!A4:M248 (locate stable ID in column A); Sources!A:A; Inputs!A:A</x:v>
      </x:c>
      <x:c r="K10" s="2" t="str">
        <x:v>scripts/olam-package.py: examples</x:v>
      </x:c>
      <x:c r="L10" s="2" t="str">
        <x:v>45</x:v>
      </x:c>
      <x:c r="M10" s="2" t="str">
        <x:v>A margin change is not the same measure as revenue growth.</x:v>
      </x:c>
    </x:row>
    <x:row r="11" ht="70" customHeight="1">
      <x:c r="A11" s="2" t="str">
        <x:v>C-E08</x:v>
      </x:c>
      <x:c r="B11" s="2" t="str">
        <x:v>Profit to free cash</x:v>
      </x:c>
      <x:c r="C11" s="2" t="str">
        <x:v>EBIT less tax, plus D&amp;A, less maintenance/growth capex and change in NWC</x:v>
      </x:c>
      <x:c r="D11" s="2" t="str">
        <x:v>EBITDA 4 − D&amp;A 1 = EBIT 3; tax = 0.75. FCFF = 3 − 0.75 + 1 − 0.6 − 0.4 − 1 = 1.25 (USDm).</x:v>
      </x:c>
      <x:c r="E11" s="2" t="str">
        <x:v>USD1.25m free cash flow</x:v>
      </x:c>
      <x:c r="F11" s="2" t="str">
        <x:v>USDm, years, tax fraction</x:v>
      </x:c>
      <x:c r="G11" s="2" t="str">
        <x:v>I-E08</x:v>
      </x:c>
      <x:c r="H11" s="2" t="str"/>
      <x:c r="I11" s="2" t="str">
        <x:v>A_EXAMPLE</x:v>
      </x:c>
      <x:c r="J11" s="2" t="str">
        <x:v>Calculation_Audit!A4:M248 (locate stable ID in column A); Sources!A:A; Inputs!A:A</x:v>
      </x:c>
      <x:c r="K11" s="2" t="str">
        <x:v>scripts/olam-package.py: examples</x:v>
      </x:c>
      <x:c r="L11" s="2" t="str">
        <x:v>46</x:v>
      </x:c>
      <x:c r="M11" s="2" t="str">
        <x:v>Assume no prior tax losses, 25% tax, USD0.6m maintenance and USD0.4m growth capex.</x:v>
      </x:c>
    </x:row>
    <x:row r="12" ht="70" customHeight="1">
      <x:c r="A12" s="2" t="str">
        <x:v>C-E09</x:v>
      </x:c>
      <x:c r="B12" s="2" t="str">
        <x:v>Working-capital release</x:v>
      </x:c>
      <x:c r="C12" s="2" t="str">
        <x:v>Revenue basis for receivables; cost basis for inventory; DPO unchanged</x:v>
      </x:c>
      <x:c r="D12" s="2" t="str">
        <x:v>AR: USD40m × 5 / 365 = USD0.547945m. Inventory: USD34m × 7 / 365 = USD0.652055m. Total = USD1.20m.</x:v>
      </x:c>
      <x:c r="E12" s="2" t="str">
        <x:v>USD1.20m once-only cash release</x:v>
      </x:c>
      <x:c r="F12" s="2" t="str">
        <x:v>USDm, annual days</x:v>
      </x:c>
      <x:c r="G12" s="2" t="str">
        <x:v>I-E09</x:v>
      </x:c>
      <x:c r="H12" s="2" t="str"/>
      <x:c r="I12" s="2" t="str">
        <x:v>A_EXAMPLE</x:v>
      </x:c>
      <x:c r="J12" s="2" t="str">
        <x:v>Calculation_Audit!A4:M248 (locate stable ID in column A); Sources!A:A; Inputs!A:A</x:v>
      </x:c>
      <x:c r="K12" s="2" t="str">
        <x:v>scripts/olam-package.py: examples</x:v>
      </x:c>
      <x:c r="L12" s="2" t="str">
        <x:v>24;47</x:v>
      </x:c>
      <x:c r="M12" s="2" t="str">
        <x:v>All sales are credit in this example. The transition release is not recurring annual profit.</x:v>
      </x:c>
    </x:row>
    <x:row r="13" ht="70" customHeight="1">
      <x:c r="A13" s="2" t="str">
        <x:v>C-E10</x:v>
      </x:c>
      <x:c r="B13" s="2" t="str">
        <x:v>Inherited Nigeria screen</x:v>
      </x:c>
      <x:c r="C13" s="2" t="str">
        <x:v>Inherited additive uplift and sales-day proxy; ramped three-year DCF</x:v>
      </x:c>
      <x:c r="D13" s="2" t="str">
        <x:v>100 × (2% + 2%) × 8% + 0.7 + 0.6 − 0.4 − 0.45 − 0.30 = 0.47; 100 × 7 / 365 = 1.9178 (NGNbn).</x:v>
      </x:c>
      <x:c r="E13" s="2" t="str">
        <x:v>NPV −NGN2.0645bn; zero-NPV uplift NGN1.9928bn/year</x:v>
      </x:c>
      <x:c r="F13" s="2" t="str">
        <x:v>NGN billion; percent; years</x:v>
      </x:c>
      <x:c r="G13" s="2" t="str">
        <x:v>I-E10</x:v>
      </x:c>
      <x:c r="H13" s="2" t="str">
        <x:v>BASELINE</x:v>
      </x:c>
      <x:c r="I13" s="2" t="str">
        <x:v>A_EXAMPLE</x:v>
      </x:c>
      <x:c r="J13" s="2" t="str">
        <x:v>Calculation_Audit!A4:M248 (locate stable ID in column A); Sources!A:A; Inputs!A:A</x:v>
      </x:c>
      <x:c r="K13" s="2" t="str">
        <x:v>scripts/olam-package.py: examples</x:v>
      </x:c>
      <x:c r="L13" s="2" t="str">
        <x:v>20;48</x:v>
      </x:c>
      <x:c r="M13" s="2" t="str">
        <x:v>NGN4.2bn initial capital; 28% hurdle; 50/80/100% benefit ramp. Tax, replacement and actual cash bases are absent.</x:v>
      </x:c>
    </x:row>
    <x:row r="14" ht="70" customHeight="1">
      <x:c r="A14" s="2" t="str">
        <x:v>C-E11</x:v>
      </x:c>
      <x:c r="B14" s="2" t="str">
        <x:v>FX and commodity interaction</x:v>
      </x:c>
      <x:c r="C14" s="2" t="str">
        <x:v>Local imported cost = USD commodity price × local currency per USD</x:v>
      </x:c>
      <x:c r="D14" s="2" t="str">
        <x:v>USD100 × ₦1,000/USD = ₦100,000. With both factors +10%: USD110 × ₦1,100 = ₦121,000, or +21%.</x:v>
      </x:c>
      <x:c r="E14" s="2" t="str">
        <x:v>21% combined input-cost increase</x:v>
      </x:c>
      <x:c r="F14" s="2" t="str">
        <x:v>money units; FX/input-cost fractions</x:v>
      </x:c>
      <x:c r="G14" s="2" t="str">
        <x:v>I-E11</x:v>
      </x:c>
      <x:c r="H14" s="2" t="str"/>
      <x:c r="I14" s="2" t="str">
        <x:v>A_EXAMPLE</x:v>
      </x:c>
      <x:c r="J14" s="2" t="str">
        <x:v>Calculation_Audit!A4:M248 (locate stable ID in column A); Sources!A:A; Inputs!A:A</x:v>
      </x:c>
      <x:c r="K14" s="2" t="str">
        <x:v>scripts/olam-package.py: examples</x:v>
      </x:c>
      <x:c r="L14" s="2" t="str">
        <x:v>22;49</x:v>
      </x:c>
      <x:c r="M14" s="2" t="str">
        <x:v>Both shocks hit the same procurement base. Hedge effects need documented contracts.</x:v>
      </x:c>
    </x:row>
    <x:row r="15" ht="70" customHeight="1">
      <x:c r="A15" s="2" t="str">
        <x:v>C-E12</x:v>
      </x:c>
      <x:c r="B15" s="2" t="str">
        <x:v>Finite NPV and commissioning</x:v>
      </x:c>
      <x:c r="C15" s="2" t="str">
        <x:v>Discount each dated free cash flow; do not compare only undiscounted totals</x:v>
      </x:c>
      <x:c r="D15" s="2" t="str">
        <x:v>NPV = −5 + 2/1.10 + 2/1.10² + 2/1.10³ = −0.0263 (USDm).</x:v>
      </x:c>
      <x:c r="E15" s="2" t="str">
        <x:v>NPV −USD0.0263m</x:v>
      </x:c>
      <x:c r="F15" s="2" t="str">
        <x:v>USDm, years, annual real rate</x:v>
      </x:c>
      <x:c r="G15" s="2" t="str">
        <x:v>I-E12</x:v>
      </x:c>
      <x:c r="H15" s="2" t="str"/>
      <x:c r="I15" s="2" t="str">
        <x:v>A_EXAMPLE</x:v>
      </x:c>
      <x:c r="J15" s="2" t="str">
        <x:v>Calculation_Audit!A4:M248 (locate stable ID in column A); Sources!A:A; Inputs!A:A</x:v>
      </x:c>
      <x:c r="K15" s="2" t="str">
        <x:v>scripts/olam-package.py: examples</x:v>
      </x:c>
      <x:c r="L15" s="2" t="str">
        <x:v>50</x:v>
      </x:c>
      <x:c r="M15" s="2" t="str">
        <x:v>No terminal value. Staging USD3m now and USD2m in year 1, with cash in years 2–4, gives −USD0.2966m.</x:v>
      </x:c>
    </x:row>
    <x:row r="16" ht="70" customHeight="1">
      <x:c r="A16" s="2" t="str">
        <x:v>C-E13</x:v>
      </x:c>
      <x:c r="B16" s="2" t="str">
        <x:v>Real and nominal consistency</x:v>
      </x:c>
      <x:c r="C16" s="2" t="str">
        <x:v>Consistent inflation of both cash and discount rate preserves NPV</x:v>
      </x:c>
      <x:c r="D16" s="2" t="str">
        <x:v>(1.10 × 1.05) − 1 = 15.5% nominal hurdle. Year 1: 2.10 / 1.155 = 2.00 / 1.10.</x:v>
      </x:c>
      <x:c r="E16" s="2" t="str">
        <x:v>Real and nominal three-year NPVs both −USD0.0263m</x:v>
      </x:c>
      <x:c r="F16" s="2" t="str">
        <x:v>annual nominal/real/inflation fractions</x:v>
      </x:c>
      <x:c r="G16" s="2" t="str">
        <x:v>I-E13</x:v>
      </x:c>
      <x:c r="H16" s="2" t="str"/>
      <x:c r="I16" s="2" t="str">
        <x:v>A_EXAMPLE</x:v>
      </x:c>
      <x:c r="J16" s="2" t="str">
        <x:v>Calculation_Audit!A4:M248 (locate stable ID in column A); Sources!A:A; Inputs!A:A</x:v>
      </x:c>
      <x:c r="K16" s="2" t="str">
        <x:v>scripts/olam-package.py: examples</x:v>
      </x:c>
      <x:c r="L16" s="2" t="str">
        <x:v>51</x:v>
      </x:c>
      <x:c r="M16" s="2" t="str">
        <x:v>Nominal cash grows by 5% inflation and is discounted at 15.5%. Project and currency risk require separate care.</x:v>
      </x:c>
    </x:row>
    <x:row r="17" ht="70" customHeight="1">
      <x:c r="A17" s="2" t="str">
        <x:v>C-E14</x:v>
      </x:c>
      <x:c r="B17" s="2" t="str">
        <x:v>Operating versus investment break-even</x:v>
      </x:c>
      <x:c r="C17" s="2" t="str">
        <x:v>Operating break-even pays fixed cash cost; investment break-even also pays capital</x:v>
      </x:c>
      <x:c r="D17" s="2" t="str">
        <x:v>USD2m / (USD400 − USD340 per tonne) = 33,333t; / 150,000t capacity = 22.22% utilization.</x:v>
      </x:c>
      <x:c r="E17" s="2" t="str">
        <x:v>Operating 33,333t; investment boundary 104,862 initial order tonnes</x:v>
      </x:c>
      <x:c r="F17" s="2" t="str">
        <x:v>tonnes/year; USD/tonne; USDm</x:v>
      </x:c>
      <x:c r="G17" s="2" t="str">
        <x:v>I-E14</x:v>
      </x:c>
      <x:c r="H17" s="2" t="str"/>
      <x:c r="I17" s="2" t="str">
        <x:v>A_EXAMPLE</x:v>
      </x:c>
      <x:c r="J17" s="2" t="str">
        <x:v>Calculation_Audit!A4:M248 (locate stable ID in column A); Sources!A:A; Inputs!A:A</x:v>
      </x:c>
      <x:c r="K17" s="2" t="str">
        <x:v>scripts/olam-package.py: examples</x:v>
      </x:c>
      <x:c r="L17" s="2" t="str">
        <x:v>52</x:v>
      </x:c>
      <x:c r="M17" s="2" t="str">
        <x:v>Full NPV includes ramp, tax, replacement, working cash and the finite horizon.</x:v>
      </x:c>
    </x:row>
    <x:row r="18" ht="70" customHeight="1">
      <x:c r="A18" s="2" t="str">
        <x:v>C-E15</x:v>
      </x:c>
      <x:c r="B18" s="2" t="str">
        <x:v>Scenario weights are not likelihood</x:v>
      </x:c>
      <x:c r="C18" s="2" t="str">
        <x:v>Weighted average = sum of chosen weight × conditional NPV</x:v>
      </x:c>
      <x:c r="D18" s="2" t="str">
        <x:v>Chosen NPVs [10, −8, 2] and weights [0.5, 0.3, 0.2]: 5 − 2.4 + 0.4 = USD3m.</x:v>
      </x:c>
      <x:c r="E18" s="2" t="str">
        <x:v>USD3m judgement-weighted mean</x:v>
      </x:c>
      <x:c r="F18" s="2" t="str">
        <x:v>USDm; chosen scenario weights</x:v>
      </x:c>
      <x:c r="G18" s="2" t="str">
        <x:v>I-E15</x:v>
      </x:c>
      <x:c r="H18" s="2" t="str"/>
      <x:c r="I18" s="2" t="str">
        <x:v>A_EXAMPLE</x:v>
      </x:c>
      <x:c r="J18" s="2" t="str">
        <x:v>Calculation_Audit!A4:M248 (locate stable ID in column A); Sources!A:A; Inputs!A:A</x:v>
      </x:c>
      <x:c r="K18" s="2" t="str">
        <x:v>scripts/olam-package.py: examples</x:v>
      </x:c>
      <x:c r="L18" s="2" t="str">
        <x:v>53</x:v>
      </x:c>
      <x:c r="M18" s="2" t="str">
        <x:v>The central USD10m case is not a calibrated most-likely future. The adverse loss can breach funding.</x:v>
      </x:c>
    </x:row>
    <x:row r="19" ht="70" customHeight="1">
      <x:c r="A19" s="2" t="str">
        <x:v>C-E16</x:v>
      </x:c>
      <x:c r="B19" s="2" t="str">
        <x:v>Loss-tail VaR and CVaR</x:v>
      </x:c>
      <x:c r="C19" s="2" t="str">
        <x:v>Loss = max(0, −NPV); a quantile differs from the mean of a chosen tail</x:v>
      </x:c>
      <x:c r="D19" s="2" t="str">
        <x:v>NPVs [−8, −4, 0, 2, 6] imply losses [0, 0, 0, 4, 8]. Nearest-rank VaR80 = 4; worst-20% CVaR80 = 8 (USDm).</x:v>
      </x:c>
      <x:c r="E19" s="2" t="str">
        <x:v>Loss VaR80 USD4m; tail CVaR80 USD8m</x:v>
      </x:c>
      <x:c r="F19" s="2" t="str">
        <x:v>USDm loss; chosen quantile</x:v>
      </x:c>
      <x:c r="G19" s="2" t="str">
        <x:v>I-E16</x:v>
      </x:c>
      <x:c r="H19" s="2" t="str">
        <x:v>CVAR</x:v>
      </x:c>
      <x:c r="I19" s="2" t="str">
        <x:v>A_EXAMPLE</x:v>
      </x:c>
      <x:c r="J19" s="2" t="str">
        <x:v>Calculation_Audit!A4:M248 (locate stable ID in column A); Sources!A:A; Inputs!A:A</x:v>
      </x:c>
      <x:c r="K19" s="2" t="str">
        <x:v>scripts/olam-package.py: examples</x:v>
      </x:c>
      <x:c r="L19" s="2" t="str">
        <x:v>54</x:v>
      </x:c>
      <x:c r="M19" s="2" t="str">
        <x:v>Declare discrete tie treatment: mean(loss ≥ VaR) would be USD6m here, a different convention.</x:v>
      </x:c>
    </x:row>
    <x:row r="20" ht="70" customHeight="1">
      <x:c r="A20" s="2" t="str">
        <x:v>C-E17</x:v>
      </x:c>
      <x:c r="B20" s="2" t="str">
        <x:v>Common-exposure diversification</x:v>
      </x:c>
      <x:c r="C20" s="2" t="str">
        <x:v>Equal individual average losses can conceal different joint tail exposures</x:v>
      </x:c>
      <x:c r="D20" s="2" t="str">
        <x:v>Each source loses USD10m with chosen probability 0.2. A shared port produces joint loss USD20m with probability 0.2; independent joint probability is 0.04.</x:v>
      </x:c>
      <x:c r="E20" s="2" t="str">
        <x:v>Expected total loss USD4m in both; joint tail differs</x:v>
      </x:c>
      <x:c r="F20" s="2" t="str">
        <x:v>USDm loss; covariance</x:v>
      </x:c>
      <x:c r="G20" s="2" t="str">
        <x:v>I-E17</x:v>
      </x:c>
      <x:c r="H20" s="2" t="str"/>
      <x:c r="I20" s="2" t="str">
        <x:v>A_EXAMPLE</x:v>
      </x:c>
      <x:c r="J20" s="2" t="str">
        <x:v>Calculation_Audit!A4:M248 (locate stable ID in column A); Sources!A:A; Inputs!A:A</x:v>
      </x:c>
      <x:c r="K20" s="2" t="str">
        <x:v>scripts/olam-package.py: examples</x:v>
      </x:c>
      <x:c r="L20" s="2" t="str">
        <x:v>27;55</x:v>
      </x:c>
      <x:c r="M20" s="2" t="str">
        <x:v>Chosen probabilities illustrate dependence. Country flags do not remove a shared crop season or port.</x:v>
      </x:c>
    </x:row>
    <x:row r="21" ht="70" customHeight="1">
      <x:c r="A21" s="2" t="str">
        <x:v>C-E18</x:v>
      </x:c>
      <x:c r="B21" s="2" t="str">
        <x:v>Difference in differences</x:v>
      </x:c>
      <x:c r="C21" s="2" t="str">
        <x:v>Subtract the counterfactual change from the treated change</x:v>
      </x:c>
      <x:c r="D21" s="2" t="str">
        <x:v>Treated sales: 100 → 130. Control: 100 → 110. DiD = (130 − 100) − (110 − 100) = 20.</x:v>
      </x:c>
      <x:c r="E21" s="2" t="str">
        <x:v>20 illustrative incremental eligible sales units</x:v>
      </x:c>
      <x:c r="F21" s="2" t="str">
        <x:v>outcome units; customers; periods</x:v>
      </x:c>
      <x:c r="G21" s="2" t="str">
        <x:v>I-E18</x:v>
      </x:c>
      <x:c r="H21" s="2" t="str">
        <x:v>DID</x:v>
      </x:c>
      <x:c r="I21" s="2" t="str">
        <x:v>A_EXAMPLE</x:v>
      </x:c>
      <x:c r="J21" s="2" t="str">
        <x:v>Calculation_Audit!A4:M248 (locate stable ID in column A); Sources!A:A; Inputs!A:A</x:v>
      </x:c>
      <x:c r="K21" s="2" t="str">
        <x:v>scripts/olam-package.py: examples</x:v>
      </x:c>
      <x:c r="L21" s="2" t="str">
        <x:v>31;56</x:v>
      </x:c>
      <x:c r="M21" s="2" t="str">
        <x:v>Parallel trends and no material spillovers are required. Four chosen means cannot support an estimated interval.</x:v>
      </x:c>
    </x:row>
    <x:row r="22" ht="70" customHeight="1">
      <x:c r="A22" s="2" t="str">
        <x:v>C-E19</x:v>
      </x:c>
      <x:c r="B22" s="2" t="str">
        <x:v>Incremental ROMI</x:v>
      </x:c>
      <x:c r="C22" s="2" t="str">
        <x:v>Net incremental contribution after marketing / marketing spend</x:v>
      </x:c>
      <x:c r="D22" s="2" t="str">
        <x:v>Incremental contribution 120 − service 20 − trade 10 − cannibalisation 10 = 80. Marketing spend 40. Net ROMI = (80 − 40)/40 = 100%.</x:v>
      </x:c>
      <x:c r="E22" s="2" t="str">
        <x:v>100% net ROMI; contribution/spend is 2.0 times</x:v>
      </x:c>
      <x:c r="F22" s="2" t="str">
        <x:v>USDm contribution and marketing spend</x:v>
      </x:c>
      <x:c r="G22" s="2" t="str">
        <x:v>I-E19</x:v>
      </x:c>
      <x:c r="H22" s="2" t="str"/>
      <x:c r="I22" s="2" t="str">
        <x:v>A_EXAMPLE</x:v>
      </x:c>
      <x:c r="J22" s="2" t="str">
        <x:v>Calculation_Audit!A4:M248 (locate stable ID in column A); Sources!A:A; Inputs!A:A</x:v>
      </x:c>
      <x:c r="K22" s="2" t="str">
        <x:v>scripts/olam-package.py: examples</x:v>
      </x:c>
      <x:c r="L22" s="2" t="str">
        <x:v>31;57</x:v>
      </x:c>
      <x:c r="M22" s="2" t="str">
        <x:v>All inputs are chosen currency-thousands. Use a paid-sales counterfactual and full incremental costs.</x:v>
      </x:c>
    </x:row>
    <x:row r="23" ht="70" customHeight="1">
      <x:c r="A23" s="2" t="str">
        <x:v>C-E20</x:v>
      </x:c>
      <x:c r="B23" s="2" t="str">
        <x:v>Decision value of information</x:v>
      </x:c>
      <x:c r="C23" s="2" t="str">
        <x:v>Optimal decision value after information less before information, study and delay costs</x:v>
      </x:c>
      <x:c r="D23" s="2" t="str">
        <x:v>Good state p=0.5: investment NPV 10; bad state p=0.5: −8; wait 0. Best prior EV=1; perfect-information EV=5; less study 1 and delay 0.5 gives net gain 2.5.</x:v>
      </x:c>
      <x:c r="E23" s="2" t="str">
        <x:v>USD2.5m net perfect-information ceiling</x:v>
      </x:c>
      <x:c r="F23" s="2" t="str">
        <x:v>USDm project/study/delay; chosen probability</x:v>
      </x:c>
      <x:c r="G23" s="2" t="str">
        <x:v>I-E20</x:v>
      </x:c>
      <x:c r="H23" s="2" t="str"/>
      <x:c r="I23" s="2" t="str">
        <x:v>A_EXAMPLE</x:v>
      </x:c>
      <x:c r="J23" s="2" t="str">
        <x:v>Calculation_Audit!A4:M248 (locate stable ID in column A); Sources!A:A; Inputs!A:A</x:v>
      </x:c>
      <x:c r="K23" s="2" t="str">
        <x:v>scripts/olam-package.py: examples</x:v>
      </x:c>
      <x:c r="L23" s="2" t="str">
        <x:v>28;58</x:v>
      </x:c>
      <x:c r="M23" s="2" t="str">
        <x:v>A perfect study is an upper bound. Do not add its benefit again to a policy that already includes learning.</x:v>
      </x:c>
    </x:row>
    <x:row r="24" ht="70" customHeight="1">
      <x:c r="A24" s="2" t="str">
        <x:v>C-E21</x:v>
      </x:c>
      <x:c r="B24" s="2" t="str">
        <x:v>Reverse stress</x:v>
      </x:c>
      <x:c r="C24" s="2" t="str">
        <x:v>Solve the full NPV root and monitor the mechanism that moves it</x:v>
      </x:c>
      <x:c r="D24" s="2" t="str">
        <x:v>The managed owned template reaches zero NPV at 104,862 initial annual order tonnes. The current 100,000t base needs 4.86% more initial orders.</x:v>
      </x:c>
      <x:c r="E24" s="2" t="str">
        <x:v>About 4.86% more initial orders needed</x:v>
      </x:c>
      <x:c r="F24" s="2" t="str">
        <x:v>USDm; tonnes; annual rate</x:v>
      </x:c>
      <x:c r="G24" s="2" t="str">
        <x:v>I-E21</x:v>
      </x:c>
      <x:c r="H24" s="2" t="str"/>
      <x:c r="I24" s="2" t="str">
        <x:v>A_EXAMPLE</x:v>
      </x:c>
      <x:c r="J24" s="2" t="str">
        <x:v>Calculation_Audit!A4:M248 (locate stable ID in column A); Sources!A:A; Inputs!A:A</x:v>
      </x:c>
      <x:c r="K24" s="2" t="str">
        <x:v>scripts/olam-package.py: examples</x:v>
      </x:c>
      <x:c r="L24" s="2" t="str">
        <x:v>59</x:v>
      </x:c>
      <x:c r="M24" s="2" t="str">
        <x:v>The threshold depends on cost, hurdle, tax and capacity; volume cannot repair a negative unit contribution.</x:v>
      </x:c>
    </x:row>
    <x:row r="25" ht="70" customHeight="1">
      <x:c r="A25" s="2" t="str">
        <x:v>C-E22</x:v>
      </x:c>
      <x:c r="B25" s="2" t="str">
        <x:v>Size ranking can reverse</x:v>
      </x:c>
      <x:c r="C25" s="2" t="str">
        <x:v>Delivered units × unit contribution less fixed cost, then full cash-flow valuation</x:v>
      </x:c>
      <x:c r="D25" s="2" t="str">
        <x:v>Country A: demand 200kt, capture 50kt, unit contribution USD20, fixed USD0.7m → EBITDA USD0.3m. B: demand 100kt, capture 40kt, contribution USD40 → USD0.9m.</x:v>
      </x:c>
      <x:c r="E25" s="2" t="str">
        <x:v>B has 3 times EBITDA despite half the category size</x:v>
      </x:c>
      <x:c r="F25" s="2" t="str">
        <x:v>USDm payoff; common budget</x:v>
      </x:c>
      <x:c r="G25" s="2" t="str">
        <x:v>I-E22</x:v>
      </x:c>
      <x:c r="H25" s="2" t="str"/>
      <x:c r="I25" s="2" t="str">
        <x:v>A_EXAMPLE</x:v>
      </x:c>
      <x:c r="J25" s="2" t="str">
        <x:v>Calculation_Audit!A4:M248 (locate stable ID in column A); Sources!A:A; Inputs!A:A</x:v>
      </x:c>
      <x:c r="K25" s="2" t="str">
        <x:v>scripts/olam-package.py: examples</x:v>
      </x:c>
      <x:c r="L25" s="2" t="str">
        <x:v>60</x:v>
      </x:c>
      <x:c r="M25" s="2" t="str">
        <x:v>A and B are fictional teaching cases. Chosen capex USD5m vs USD2m and NWC USD2m vs USD0.5m further favour testing B.</x:v>
      </x:c>
    </x:row>
    <x:row r="26" ht="70" customHeight="1">
      <x:c r="A26" s="2" t="str">
        <x:v>C-LEGACY</x:v>
      </x:c>
      <x:c r="B26" s="2" t="str">
        <x:v>C-LEGACY</x:v>
      </x:c>
      <x:c r="C26" s="2" t="str">
        <x:v>Inherited normalized Nigeria arithmetic</x:v>
      </x:c>
      <x:c r="D26" s="2" t="str">
        <x:v>See named executable code and full output JSON</x:v>
      </x:c>
      <x:c r="E26" s="2" t="str">
        <x:v>NGN−2.0645129269bn NPV;1.9927903115bn requiredannualuplift</x:v>
      </x:c>
      <x:c r="F26" s="2" t="str">
        <x:v>NGN billion; finite three-year screen</x:v>
      </x:c>
      <x:c r="G26" s="2" t="str">
        <x:v>I_LEGACY</x:v>
      </x:c>
      <x:c r="H26" s="2" t="str">
        <x:v>BASELINE</x:v>
      </x:c>
      <x:c r="I26" s="2" t="str">
        <x:v>A_TEMPLATE;A_SCENARIO;A_TAX;A_RATE;A_NWC;A_OUTER;A_CAPEX;A_PILOT;A_STRESS;A_EXAMPLE;A_PRIOR;A_LEGACY</x:v>
      </x:c>
      <x:c r="J26" s="2" t="str">
        <x:v>Calculation_Audit!A4:M248 (locate stable ID in column A); Sources!A:A; Inputs!A:A</x:v>
      </x:c>
      <x:c r="K26" s="2" t="str">
        <x:v>src/lib/olamNigeriaDecisionModel.ts</x:v>
      </x:c>
      <x:c r="L26" s="2" t="str">
        <x:v>3;20</x:v>
      </x:c>
      <x:c r="M26" s="2" t="str">
        <x:v>Conditional, not company forecast</x:v>
      </x:c>
    </x:row>
    <x:row r="27" ht="70" customHeight="1">
      <x:c r="A27" s="2" t="str">
        <x:v>C-CPM</x:v>
      </x:c>
      <x:c r="B27" s="2" t="str">
        <x:v>C-CPM</x:v>
      </x:c>
      <x:c r="C27" s="2" t="str">
        <x:v>(35.8−15.5)/35.8</x:v>
      </x:c>
      <x:c r="D27" s="2" t="str">
        <x:v>See named executable code and full output JSON</x:v>
      </x:c>
      <x:c r="E27" s="2" t="str">
        <x:v>56.7039% lowerCPM</x:v>
      </x:c>
      <x:c r="F27" s="2" t="str">
        <x:v>Percentage reduction in self-reported CPM</x:v>
      </x:c>
      <x:c r="G27" s="2" t="str">
        <x:v>I_TEMPLATE;I_SCENARIO</x:v>
      </x:c>
      <x:c r="H27" s="2" t="str">
        <x:v>BASELINE</x:v>
      </x:c>
      <x:c r="I27" s="2" t="str">
        <x:v>A_TEMPLATE;A_SCENARIO;A_TAX;A_RATE;A_NWC;A_OUTER;A_CAPEX;A_PILOT;A_STRESS;A_EXAMPLE;A_PRIOR;A_LEGACY</x:v>
      </x:c>
      <x:c r="J27" s="2" t="str">
        <x:v>Calculation_Audit!A4:M248 (locate stable ID in column A); Sources!A:A; Inputs!A:A</x:v>
      </x:c>
      <x:c r="K27" s="2" t="str">
        <x:v>src/data/resume.ts</x:v>
      </x:c>
      <x:c r="L27" s="2" t="str">
        <x:v>34</x:v>
      </x:c>
      <x:c r="M27" s="2" t="str">
        <x:v>Conditional, not company forecast</x:v>
      </x:c>
    </x:row>
    <x:row r="28" ht="70" customHeight="1">
      <x:c r="A28" s="2" t="str">
        <x:v>C-COVERAGE</x:v>
      </x:c>
      <x:c r="B28" s="2" t="str">
        <x:v>C-COVERAGE</x:v>
      </x:c>
      <x:c r="C28" s="2" t="str">
        <x:v>203×6×7</x:v>
      </x:c>
      <x:c r="D28" s="2" t="str">
        <x:v>{"version": "1.1.0", "cutoff": "2026-10-08T00:04:25+05:30", "data_retrieved_at": "2026-10-07T20:19:48.823839+00:00", "countries": 195, "dossiers": 195, "priority_diligence": 10, "investment_grade_candidates": 0, "threshold_only": 195, "country_scenario_rows": 8526, "countries_with_all_macro_fields": 162, "country_npv_estimates": 0, "population_projection_source": "UN WPP 2024 Medium variant, 2026-2051. These are external projections, not realized population.", "wdi_vintages": {"population": "2026-07-13", "income_ppp": "2026-07-13", "urban": "2026-07-13", "inflation": "2026-07-13", "food_index": "2026-07-13", "food_import_share": "2026-07-13", "food_export_share": "2026-07-13", "imports_usd": "2026-07-13", "exports_usd": "2026-07-13", "cereal_yield": "2026-07-13", "water_stress": "2026-07-13"}, "no_terminal_franchise": true, "country_driver_count": 34, "country_driver_observation_coverage": 6061, "product_decision_units": 203, "priority_product_cases": 18, "audit_date": "2026-10-08", "extended_analysis_run_at": "2026-10-08T02:47:33.622603+00:00"}</x:v>
      </x:c>
      <x:c r="E28" s="2" t="str">
        <x:v>8526 rows;195 countries;18 distinct priority product plans;34 driver series</x:v>
      </x:c>
      <x:c r="F28" s="2" t="str">
        <x:v>Counts</x:v>
      </x:c>
      <x:c r="G28" s="2" t="str">
        <x:v>I_COVERAGE</x:v>
      </x:c>
      <x:c r="H28" s="2" t="str">
        <x:v>UN_M49;UN_MEMBERS;UN_OBSERVERS;UN_WPP</x:v>
      </x:c>
      <x:c r="I28" s="2" t="str">
        <x:v>A_TEMPLATE;A_SCENARIO;A_TAX;A_RATE;A_NWC;A_OUTER;A_CAPEX;A_PILOT;A_STRESS;A_EXAMPLE;A_PRIOR;A_LEGACY</x:v>
      </x:c>
      <x:c r="J28" s="2" t="str">
        <x:v>Calculation_Audit!A4:M248 (locate stable ID in column A); Sources!A:A; Inputs!A:A</x:v>
      </x:c>
      <x:c r="K28" s="2" t="str">
        <x:v>scripts/olam-analyse.py</x:v>
      </x:c>
      <x:c r="L28" s="2" t="str">
        <x:v>12</x:v>
      </x:c>
      <x:c r="M28" s="2" t="str">
        <x:v>Conditional, not company forecast</x:v>
      </x:c>
    </x:row>
    <x:row r="29" ht="70" customHeight="1">
      <x:c r="A29" s="2" t="str">
        <x:v>C-TRADE-NGA</x:v>
      </x:c>
      <x:c r="B29" s="2" t="str">
        <x:v>C-TRADE-NGA</x:v>
      </x:c>
      <x:c r="C29" s="2" t="str">
        <x:v>Read CIFvalue only; noquantitycalculation</x:v>
      </x:c>
      <x:c r="D29" s="2" t="str">
        <x:v>See named executable code and full output JSON</x:v>
      </x:c>
      <x:c r="E29" s="2" t="str">
        <x:v>USD1,047,531,844.083CIF; netweightnull</x:v>
      </x:c>
      <x:c r="F29" s="2" t="str">
        <x:v>Current USD CIF; no tonnes calculation</x:v>
      </x:c>
      <x:c r="G29" s="2" t="str">
        <x:v>I_TEMPLATE;I_SCENARIO</x:v>
      </x:c>
      <x:c r="H29" s="2" t="str">
        <x:v>COMTRADE</x:v>
      </x:c>
      <x:c r="I29" s="2" t="str">
        <x:v>A_TEMPLATE;A_SCENARIO;A_TAX;A_RATE;A_NWC;A_OUTER;A_CAPEX;A_PILOT;A_STRESS;A_EXAMPLE;A_PRIOR;A_LEGACY</x:v>
      </x:c>
      <x:c r="J29" s="2" t="str">
        <x:v>Calculation_Audit!A4:M248 (locate stable ID in column A); Sources!A:A; Inputs!A:A</x:v>
      </x:c>
      <x:c r="K29" s="2" t="str">
        <x:v>scripts/olam-retrieve.py</x:v>
      </x:c>
      <x:c r="L29" s="2" t="str">
        <x:v>10</x:v>
      </x:c>
      <x:c r="M29" s="2" t="str">
        <x:v>Conditional, not company forecast</x:v>
      </x:c>
    </x:row>
    <x:row r="30" ht="70" customHeight="1">
      <x:c r="A30" s="2" t="str">
        <x:v>C-OLS</x:v>
      </x:c>
      <x:c r="B30" s="2" t="str">
        <x:v>C-OLS</x:v>
      </x:c>
      <x:c r="C30" s="2" t="str">
        <x:v>Laggedgrowth OLS;countryclusterCR1;holdout</x:v>
      </x:c>
      <x:c r="D30" s="2" t="str">
        <x:v>See named executable code and full output JSON</x:v>
      </x:c>
      <x:c r="E30" s="2" t="str">
        <x:v>train2856;holdout680;MAE.04829868</x:v>
      </x:c>
      <x:c r="F30" s="2" t="str">
        <x:v>Annual log growth; coefficient units specified by lagged predictor</x:v>
      </x:c>
      <x:c r="G30" s="2" t="str">
        <x:v>I_OLS</x:v>
      </x:c>
      <x:c r="H30" s="2" t="str">
        <x:v>WB_food_index;WB_income_ppp;WB_urban;WB_cereal_yield</x:v>
      </x:c>
      <x:c r="I30" s="2" t="str">
        <x:v>A_TEMPLATE;A_SCENARIO;A_TAX;A_RATE;A_NWC;A_OUTER;A_CAPEX;A_PILOT;A_STRESS;A_EXAMPLE;A_PRIOR;A_LEGACY</x:v>
      </x:c>
      <x:c r="J30" s="2" t="str">
        <x:v>Calculation_Audit!A4:M248 (locate stable ID in column A); Sources!A:A; Inputs!A:A</x:v>
      </x:c>
      <x:c r="K30" s="2" t="str">
        <x:v>scripts/olam-analyse.py</x:v>
      </x:c>
      <x:c r="L30" s="2" t="str">
        <x:v>30;66;67</x:v>
      </x:c>
      <x:c r="M30" s="2" t="str">
        <x:v>Conditional, not company forecast</x:v>
      </x:c>
    </x:row>
    <x:row r="31" ht="70" customHeight="1">
      <x:c r="A31" s="2" t="str">
        <x:v>C-STRESS</x:v>
      </x:c>
      <x:c r="B31" s="2" t="str">
        <x:v>C-STRESS</x:v>
      </x:c>
      <x:c r="C31" s="2" t="str">
        <x:v>10,000chosenlatentfactordraws;fullcash</x:v>
      </x:c>
      <x:c r="D31" s="2" t="str">
        <x:v>See named executable code and full output JSON</x:v>
      </x:c>
      <x:c r="E31" s="2" t="str">
        <x:v>{"p10_npv": -19.270312655889544, "median_npv": -1.6547747253083456, "p90_npv": 21.484353235769948, "loss_VaR95": 24.54454163430493, "loss_CVaR95": 29.251547633706362}</x:v>
      </x:c>
      <x:c r="F31" s="2" t="str">
        <x:v>Real2026USD million; chosen loss quantiles</x:v>
      </x:c>
      <x:c r="G31" s="2" t="str">
        <x:v>I_STRESS;I_TEMPLATE_plant;I_SCENARIO_managed</x:v>
      </x:c>
      <x:c r="H31" s="2" t="str"/>
      <x:c r="I31" s="2" t="str">
        <x:v>A_TEMPLATE;A_SCENARIO;A_TAX;A_RATE;A_NWC;A_OUTER;A_CAPEX;A_PILOT;A_STRESS;A_EXAMPLE;A_PRIOR;A_LEGACY</x:v>
      </x:c>
      <x:c r="J31" s="2" t="str">
        <x:v>Calculation_Audit!A4:M248 (locate stable ID in column A); Sources!A:A; Inputs!A:A</x:v>
      </x:c>
      <x:c r="K31" s="2" t="str">
        <x:v>scripts/olam-analyse.py</x:v>
      </x:c>
      <x:c r="L31" s="2" t="str">
        <x:v>26</x:v>
      </x:c>
      <x:c r="M31" s="2" t="str">
        <x:v>Conditional, not company forecast</x:v>
      </x:c>
    </x:row>
    <x:row r="32" ht="70" customHeight="1">
      <x:c r="A32" s="2" t="str">
        <x:v>C-REGRET</x:v>
      </x:c>
      <x:c r="B32" s="2" t="str">
        <x:v>C-REGRET</x:v>
      </x:c>
      <x:c r="C32" s="2" t="str">
        <x:v>min action max world(bestvalue−actionvalue)</x:v>
      </x:c>
      <x:c r="D32" s="2" t="str">
        <x:v>See named executable code and full output JSON</x:v>
      </x:c>
      <x:c r="E32" s="2" t="str">
        <x:v>Partner chosen;worstregret4 vsowned8</x:v>
      </x:c>
      <x:c r="F32" s="2" t="str">
        <x:v>USD million payoff/regret</x:v>
      </x:c>
      <x:c r="G32" s="2" t="str">
        <x:v>I_REGRET</x:v>
      </x:c>
      <x:c r="H32" s="2" t="str"/>
      <x:c r="I32" s="2" t="str">
        <x:v>A_TEMPLATE;A_SCENARIO;A_TAX;A_RATE;A_NWC;A_OUTER;A_CAPEX;A_PILOT;A_STRESS;A_EXAMPLE;A_PRIOR;A_LEGACY</x:v>
      </x:c>
      <x:c r="J32" s="2" t="str">
        <x:v>Calculation_Audit!A4:M248 (locate stable ID in column A); Sources!A:A; Inputs!A:A</x:v>
      </x:c>
      <x:c r="K32" s="2" t="str">
        <x:v>scripts/olam-analyse.py</x:v>
      </x:c>
      <x:c r="L32" s="2" t="str">
        <x:v>27;28;29</x:v>
      </x:c>
      <x:c r="M32" s="2" t="str">
        <x:v>Conditional, not company forecast</x:v>
      </x:c>
    </x:row>
    <x:row r="33" ht="70" customHeight="1">
      <x:c r="A33" s="2" t="str">
        <x:v>C-SCENARIOS</x:v>
      </x:c>
      <x:c r="B33" s="2" t="str">
        <x:v>C-SCENARIOS</x:v>
      </x:c>
      <x:c r="C33" s="2" t="str">
        <x:v>Chosen coherent driver vectors</x:v>
      </x:c>
      <x:c r="D33" s="2" t="str">
        <x:v>See named executable code and full output JSON</x:v>
      </x:c>
      <x:c r="E33" s="2" t="str">
        <x:v>6worlds,unweighted</x:v>
      </x:c>
      <x:c r="F33" s="2" t="str">
        <x:v>Explicit in output</x:v>
      </x:c>
      <x:c r="G33" s="2" t="str">
        <x:v>I_TEMPLATE;I_SCENARIO</x:v>
      </x:c>
      <x:c r="H33" s="2" t="str"/>
      <x:c r="I33" s="2" t="str">
        <x:v>A_TEMPLATE;A_SCENARIO;A_TAX;A_RATE;A_NWC;A_OUTER;A_CAPEX;A_PILOT;A_STRESS;A_EXAMPLE;A_PRIOR;A_LEGACY</x:v>
      </x:c>
      <x:c r="J33" s="2" t="str">
        <x:v>Calculation_Audit!A4:M248 (locate stable ID in column A); Sources!A:A; Inputs!A:A</x:v>
      </x:c>
      <x:c r="K33" s="2" t="str">
        <x:v>scripts/olam-analyse.py</x:v>
      </x:c>
      <x:c r="L33" s="2" t="str">
        <x:v>15</x:v>
      </x:c>
      <x:c r="M33" s="2" t="str">
        <x:v>Conditional, not company forecast</x:v>
      </x:c>
    </x:row>
    <x:row r="34" ht="70" customHeight="1">
      <x:c r="A34" s="2" t="str">
        <x:v>C-THRESHOLD</x:v>
      </x:c>
      <x:c r="B34" s="2" t="str">
        <x:v>C-THRESHOLD</x:v>
      </x:c>
      <x:c r="C34" s="2" t="str">
        <x:v>Brent rootNPV(order)=0</x:v>
      </x:c>
      <x:c r="D34" s="2" t="str">
        <x:v>See named executable code and full output JSON</x:v>
      </x:c>
      <x:c r="E34" s="2" t="str">
        <x:v>Conditionalroots;nullifcapacitycappedvalue&lt;0</x:v>
      </x:c>
      <x:c r="F34" s="2" t="str">
        <x:v>Explicit in output</x:v>
      </x:c>
      <x:c r="G34" s="2" t="str">
        <x:v>I_TEMPLATE;I_SCENARIO</x:v>
      </x:c>
      <x:c r="H34" s="2" t="str"/>
      <x:c r="I34" s="2" t="str">
        <x:v>A_TEMPLATE;A_SCENARIO;A_TAX;A_RATE;A_NWC;A_OUTER;A_CAPEX;A_PILOT;A_STRESS;A_EXAMPLE;A_PRIOR;A_LEGACY</x:v>
      </x:c>
      <x:c r="J34" s="2" t="str">
        <x:v>Calculation_Audit!A4:M248 (locate stable ID in column A); Sources!A:A; Inputs!A:A</x:v>
      </x:c>
      <x:c r="K34" s="2" t="str">
        <x:v>scripts/olam-analyse.py</x:v>
      </x:c>
      <x:c r="L34" s="2" t="str">
        <x:v>17;26</x:v>
      </x:c>
      <x:c r="M34" s="2" t="str">
        <x:v>Conditional, not company forecast</x:v>
      </x:c>
    </x:row>
    <x:row r="35" ht="70" customHeight="1">
      <x:c r="A35" s="2" t="str">
        <x:v>C-DCF</x:v>
      </x:c>
      <x:c r="B35" s="2" t="str">
        <x:v>C-DCF</x:v>
      </x:c>
      <x:c r="C35" s="2" t="str">
        <x:v>25annual FCFF atrealUSD hurdle</x:v>
      </x:c>
      <x:c r="D35" s="2" t="str">
        <x:v>See named executable code and full output JSON</x:v>
      </x:c>
      <x:c r="E35" s="2" t="str">
        <x:v>18mode/worldcases;notcountryvalues</x:v>
      </x:c>
      <x:c r="F35" s="2" t="str">
        <x:v>Explicit in output</x:v>
      </x:c>
      <x:c r="G35" s="2" t="str">
        <x:v>I_TEMPLATE;I_SCENARIO</x:v>
      </x:c>
      <x:c r="H35" s="2" t="str"/>
      <x:c r="I35" s="2" t="str">
        <x:v>A_TEMPLATE;A_SCENARIO;A_TAX;A_RATE;A_NWC;A_OUTER;A_CAPEX;A_PILOT;A_STRESS;A_EXAMPLE;A_PRIOR;A_LEGACY</x:v>
      </x:c>
      <x:c r="J35" s="2" t="str">
        <x:v>Country_Financials!A4:AA28;B31:B34; Assumptions!B4:B30; Unit_Economics!A4:K6; Scenario_Inputs!A4:J9</x:v>
      </x:c>
      <x:c r="K35" s="2" t="str">
        <x:v>scripts/olam-analyse.py</x:v>
      </x:c>
      <x:c r="L35" s="2" t="str">
        <x:v>16</x:v>
      </x:c>
      <x:c r="M35" s="2" t="str">
        <x:v>Conditional, not company forecast</x:v>
      </x:c>
    </x:row>
    <x:row r="36" ht="70" customHeight="1">
      <x:c r="A36" s="2" t="str">
        <x:v>C-DCF-trade-managed</x:v>
      </x:c>
      <x:c r="B36" s="2" t="str">
        <x:v>Full normalizedproject cash</x:v>
      </x:c>
      <x:c r="C36" s="2" t="str">
        <x:v>FCFF=EBIT−tax+D&amp;A−capex−ΔNWC+closeout;NPV=Σdiscountedcash</x:v>
      </x:c>
      <x:c r="D36" s="2" t="str">
        <x:v>{"mode": "trade", "scenario": "managed", "npv": 0.35768624230170054, "peak_funding": 2.9413770000000037, "operating_break_even_tonnes": 31250.0, "investment_break_even_orders": 89195.8345259654, "within_capacity": true, "calculation_id": "C-DCF-trade-managed"}</x:v>
      </x:c>
      <x:c r="E36" s="2" t="str">
        <x:v>0.36</x:v>
      </x:c>
      <x:c r="F36" s="2" t="str">
        <x:v>Real2026USD million</x:v>
      </x:c>
      <x:c r="G36" s="2" t="str">
        <x:v>I_TEMPLATE_trade;I_SCENARIO_managed</x:v>
      </x:c>
      <x:c r="H36" s="2" t="str"/>
      <x:c r="I36" s="2" t="str">
        <x:v>A_TEMPLATE;A_SCENARIO;A_RATE;A_TAX;A_NWC;A_CAPEX;A_OUTER</x:v>
      </x:c>
      <x:c r="J36" s="2" t="str">
        <x:v>Country_Financials!A4:AA28;B31:B34; Assumptions!B4:B30; Unit_Economics!A4:K6; Scenario_Inputs!A4:J9</x:v>
      </x:c>
      <x:c r="K36" s="2" t="str">
        <x:v>scripts/olam-analyse.py:cash_model</x:v>
      </x:c>
      <x:c r="L36" s="2" t="str">
        <x:v>Indexed country/calculation companion</x:v>
      </x:c>
      <x:c r="M36" s="2" t="str">
        <x:v>No country calibration</x:v>
      </x:c>
    </x:row>
    <x:row r="37" ht="70" customHeight="1">
      <x:c r="A37" s="2" t="str">
        <x:v>C-DCF-trade-integration</x:v>
      </x:c>
      <x:c r="B37" s="2" t="str">
        <x:v>Full normalizedproject cash</x:v>
      </x:c>
      <x:c r="C37" s="2" t="str">
        <x:v>FCFF=EBIT−tax+D&amp;A−capex−ΔNWC+closeout;NPV=Σdiscountedcash</x:v>
      </x:c>
      <x:c r="D37" s="2" t="str">
        <x:v>{"mode": "trade", "scenario": "integration", "npv": 7.869359046008329, "peak_funding": 1.5686896712328786, "operating_break_even_tonnes": 17651.296829971187, "investment_break_even_orders": 27991.67630528343, "within_capacity": true, "calculation_id": "C-DCF-trade-integration"}</x:v>
      </x:c>
      <x:c r="E37" s="2" t="str">
        <x:v>7.87</x:v>
      </x:c>
      <x:c r="F37" s="2" t="str">
        <x:v>Real2026USD million</x:v>
      </x:c>
      <x:c r="G37" s="2" t="str">
        <x:v>I_TEMPLATE_trade;I_SCENARIO_integration</x:v>
      </x:c>
      <x:c r="H37" s="2" t="str"/>
      <x:c r="I37" s="2" t="str">
        <x:v>A_TEMPLATE;A_SCENARIO;A_RATE;A_TAX;A_NWC;A_CAPEX;A_OUTER</x:v>
      </x:c>
      <x:c r="J37" s="2" t="str">
        <x:v>Country_Financials!A4:AA28;B31:B34; Assumptions!B4:B30; Unit_Economics!A4:K6; Scenario_Inputs!A4:J9</x:v>
      </x:c>
      <x:c r="K37" s="2" t="str">
        <x:v>scripts/olam-analyse.py:cash_model</x:v>
      </x:c>
      <x:c r="L37" s="2" t="str">
        <x:v>Indexed country/calculation companion</x:v>
      </x:c>
      <x:c r="M37" s="2" t="str">
        <x:v>No country calibration</x:v>
      </x:c>
    </x:row>
    <x:row r="38" ht="70" customHeight="1">
      <x:c r="A38" s="2" t="str">
        <x:v>C-DCF-trade-fragmented</x:v>
      </x:c>
      <x:c r="B38" s="2" t="str">
        <x:v>Full normalizedproject cash</x:v>
      </x:c>
      <x:c r="C38" s="2" t="str">
        <x:v>FCFF=EBIT−tax+D&amp;A−capex−ΔNWC+closeout;NPV=Σdiscountedcash</x:v>
      </x:c>
      <x:c r="D38" s="2" t="str">
        <x:v>{"mode": "trade", "scenario": "fragmented", "npv": -10.136255746401934, "peak_funding": 22.84820444735882, "operating_break_even_tonnes": null, "investment_break_even_orders": null, "within_capacity": false, "calculation_id": "C-DCF-trade-fragmented"}</x:v>
      </x:c>
      <x:c r="E38" s="2" t="str">
        <x:v>-10.14</x:v>
      </x:c>
      <x:c r="F38" s="2" t="str">
        <x:v>Real2026USD million</x:v>
      </x:c>
      <x:c r="G38" s="2" t="str">
        <x:v>I_TEMPLATE_trade;I_SCENARIO_fragmented</x:v>
      </x:c>
      <x:c r="H38" s="2" t="str"/>
      <x:c r="I38" s="2" t="str">
        <x:v>A_TEMPLATE;A_SCENARIO;A_RATE;A_TAX;A_NWC;A_CAPEX;A_OUTER</x:v>
      </x:c>
      <x:c r="J38" s="2" t="str">
        <x:v>Country_Financials!A4:AA28;B31:B34; Assumptions!B4:B30; Unit_Economics!A4:K6; Scenario_Inputs!A4:J9</x:v>
      </x:c>
      <x:c r="K38" s="2" t="str">
        <x:v>scripts/olam-analyse.py:cash_model</x:v>
      </x:c>
      <x:c r="L38" s="2" t="str">
        <x:v>Indexed country/calculation companion</x:v>
      </x:c>
      <x:c r="M38" s="2" t="str">
        <x:v>No country calibration</x:v>
      </x:c>
    </x:row>
    <x:row r="39" ht="70" customHeight="1">
      <x:c r="A39" s="2" t="str">
        <x:v>C-DCF-trade-physical</x:v>
      </x:c>
      <x:c r="B39" s="2" t="str">
        <x:v>Full normalizedproject cash</x:v>
      </x:c>
      <x:c r="C39" s="2" t="str">
        <x:v>FCFF=EBIT−tax+D&amp;A−capex−ΔNWC+closeout;NPV=Σdiscountedcash</x:v>
      </x:c>
      <x:c r="D39" s="2" t="str">
        <x:v>{"mode": "trade", "scenario": "physical", "npv": -25.560849591724317, "peak_funding": 70.94921425008118, "operating_break_even_tonnes": null, "investment_break_even_orders": null, "within_capacity": false, "calculation_id": "C-DCF-trade-physical"}</x:v>
      </x:c>
      <x:c r="E39" s="2" t="str">
        <x:v>-25.56</x:v>
      </x:c>
      <x:c r="F39" s="2" t="str">
        <x:v>Real2026USD million</x:v>
      </x:c>
      <x:c r="G39" s="2" t="str">
        <x:v>I_TEMPLATE_trade;I_SCENARIO_physical</x:v>
      </x:c>
      <x:c r="H39" s="2" t="str"/>
      <x:c r="I39" s="2" t="str">
        <x:v>A_TEMPLATE;A_SCENARIO;A_RATE;A_TAX;A_NWC;A_CAPEX;A_OUTER</x:v>
      </x:c>
      <x:c r="J39" s="2" t="str">
        <x:v>Country_Financials!A4:AA28;B31:B34; Assumptions!B4:B30; Unit_Economics!A4:K6; Scenario_Inputs!A4:J9</x:v>
      </x:c>
      <x:c r="K39" s="2" t="str">
        <x:v>scripts/olam-analyse.py:cash_model</x:v>
      </x:c>
      <x:c r="L39" s="2" t="str">
        <x:v>Indexed country/calculation companion</x:v>
      </x:c>
      <x:c r="M39" s="2" t="str">
        <x:v>No country calibration</x:v>
      </x:c>
    </x:row>
    <x:row r="40" ht="70" customHeight="1">
      <x:c r="A40" s="2" t="str">
        <x:v>C-DCF-trade-squeeze</x:v>
      </x:c>
      <x:c r="B40" s="2" t="str">
        <x:v>Full normalizedproject cash</x:v>
      </x:c>
      <x:c r="C40" s="2" t="str">
        <x:v>FCFF=EBIT−tax+D&amp;A−capex−ΔNWC+closeout;NPV=Σdiscountedcash</x:v>
      </x:c>
      <x:c r="D40" s="2" t="str">
        <x:v>{"mode": "trade", "scenario": "squeeze", "npv": -13.357503120599379, "peak_funding": 36.99873139726028, "operating_break_even_tonnes": null, "investment_break_even_orders": null, "within_capacity": false, "calculation_id": "C-DCF-trade-squeeze"}</x:v>
      </x:c>
      <x:c r="E40" s="2" t="str">
        <x:v>-13.36</x:v>
      </x:c>
      <x:c r="F40" s="2" t="str">
        <x:v>Real2026USD million</x:v>
      </x:c>
      <x:c r="G40" s="2" t="str">
        <x:v>I_TEMPLATE_trade;I_SCENARIO_squeeze</x:v>
      </x:c>
      <x:c r="H40" s="2" t="str"/>
      <x:c r="I40" s="2" t="str">
        <x:v>A_TEMPLATE;A_SCENARIO;A_RATE;A_TAX;A_NWC;A_CAPEX;A_OUTER</x:v>
      </x:c>
      <x:c r="J40" s="2" t="str">
        <x:v>Country_Financials!A4:AA28;B31:B34; Assumptions!B4:B30; Unit_Economics!A4:K6; Scenario_Inputs!A4:J9</x:v>
      </x:c>
      <x:c r="K40" s="2" t="str">
        <x:v>scripts/olam-analyse.py:cash_model</x:v>
      </x:c>
      <x:c r="L40" s="2" t="str">
        <x:v>Indexed country/calculation companion</x:v>
      </x:c>
      <x:c r="M40" s="2" t="str">
        <x:v>No country calibration</x:v>
      </x:c>
    </x:row>
    <x:row r="41" ht="70" customHeight="1">
      <x:c r="A41" s="2" t="str">
        <x:v>C-DCF-trade-nutrition</x:v>
      </x:c>
      <x:c r="B41" s="2" t="str">
        <x:v>Full normalizedproject cash</x:v>
      </x:c>
      <x:c r="C41" s="2" t="str">
        <x:v>FCFF=EBIT−tax+D&amp;A−capex−ΔNWC+closeout;NPV=Σdiscountedcash</x:v>
      </x:c>
      <x:c r="D41" s="2" t="str">
        <x:v>{"mode": "trade", "scenario": "nutrition", "npv": -0.5433706314193101, "peak_funding": 4.071070447090416, "operating_break_even_tonnes": 32475.490196078557, "investment_break_even_orders": 121633.64390198824, "within_capacity": true, "calculation_id": "C-DCF-trade-nutrition"}</x:v>
      </x:c>
      <x:c r="E41" s="2" t="str">
        <x:v>-0.54</x:v>
      </x:c>
      <x:c r="F41" s="2" t="str">
        <x:v>Real2026USD million</x:v>
      </x:c>
      <x:c r="G41" s="2" t="str">
        <x:v>I_TEMPLATE_trade;I_SCENARIO_nutrition</x:v>
      </x:c>
      <x:c r="H41" s="2" t="str"/>
      <x:c r="I41" s="2" t="str">
        <x:v>A_TEMPLATE;A_SCENARIO;A_RATE;A_TAX;A_NWC;A_CAPEX;A_OUTER</x:v>
      </x:c>
      <x:c r="J41" s="2" t="str">
        <x:v>Country_Financials!A4:AA28;B31:B34; Assumptions!B4:B30; Unit_Economics!A4:K6; Scenario_Inputs!A4:J9</x:v>
      </x:c>
      <x:c r="K41" s="2" t="str">
        <x:v>scripts/olam-analyse.py:cash_model</x:v>
      </x:c>
      <x:c r="L41" s="2" t="str">
        <x:v>Indexed country/calculation companion</x:v>
      </x:c>
      <x:c r="M41" s="2" t="str">
        <x:v>No country calibration</x:v>
      </x:c>
    </x:row>
    <x:row r="42" ht="70" customHeight="1">
      <x:c r="A42" s="2" t="str">
        <x:v>C-DCF-partner-managed</x:v>
      </x:c>
      <x:c r="B42" s="2" t="str">
        <x:v>Full normalizedproject cash</x:v>
      </x:c>
      <x:c r="C42" s="2" t="str">
        <x:v>FCFF=EBIT−tax+D&amp;A−capex−ΔNWC+closeout;NPV=Σdiscountedcash</x:v>
      </x:c>
      <x:c r="D42" s="2" t="str">
        <x:v>{"mode": "partner", "scenario": "managed", "npv": 10.817370364399231, "peak_funding": 9.795726027397262, "operating_break_even_tonnes": 25000.0, "investment_break_even_orders": 62437.7886229557, "within_capacity": true, "calculation_id": "C-DCF-partner-managed"}</x:v>
      </x:c>
      <x:c r="E42" s="2" t="str">
        <x:v>10.82</x:v>
      </x:c>
      <x:c r="F42" s="2" t="str">
        <x:v>Real2026USD million</x:v>
      </x:c>
      <x:c r="G42" s="2" t="str">
        <x:v>I_TEMPLATE_partner;I_SCENARIO_managed</x:v>
      </x:c>
      <x:c r="H42" s="2" t="str"/>
      <x:c r="I42" s="2" t="str">
        <x:v>A_TEMPLATE;A_SCENARIO;A_RATE;A_TAX;A_NWC;A_CAPEX;A_OUTER</x:v>
      </x:c>
      <x:c r="J42" s="2" t="str">
        <x:v>Country_Financials!A4:AA28;B31:B34; Assumptions!B4:B30; Unit_Economics!A4:K6; Scenario_Inputs!A4:J9</x:v>
      </x:c>
      <x:c r="K42" s="2" t="str">
        <x:v>scripts/olam-analyse.py:cash_model</x:v>
      </x:c>
      <x:c r="L42" s="2" t="str">
        <x:v>Indexed country/calculation companion</x:v>
      </x:c>
      <x:c r="M42" s="2" t="str">
        <x:v>No country calibration</x:v>
      </x:c>
    </x:row>
    <x:row r="43" ht="70" customHeight="1">
      <x:c r="A43" s="2" t="str">
        <x:v>C-DCF-partner-integration</x:v>
      </x:c>
      <x:c r="B43" s="2" t="str">
        <x:v>Full normalizedproject cash</x:v>
      </x:c>
      <x:c r="C43" s="2" t="str">
        <x:v>FCFF=EBIT−tax+D&amp;A−capex−ΔNWC+closeout;NPV=Σdiscountedcash</x:v>
      </x:c>
      <x:c r="D43" s="2" t="str">
        <x:v>{"mode": "partner", "scenario": "integration", "npv": 20.592951494337385, "peak_funding": 9.137024657534244, "operating_break_even_tonnes": 22072.07207207206, "investment_break_even_orders": 42554.41685771852, "within_capacity": true, "calculation_id": "C-DCF-partner-integration"}</x:v>
      </x:c>
      <x:c r="E43" s="2" t="str">
        <x:v>20.59</x:v>
      </x:c>
      <x:c r="F43" s="2" t="str">
        <x:v>Real2026USD million</x:v>
      </x:c>
      <x:c r="G43" s="2" t="str">
        <x:v>I_TEMPLATE_partner;I_SCENARIO_integration</x:v>
      </x:c>
      <x:c r="H43" s="2" t="str"/>
      <x:c r="I43" s="2" t="str">
        <x:v>A_TEMPLATE;A_SCENARIO;A_RATE;A_TAX;A_NWC;A_CAPEX;A_OUTER</x:v>
      </x:c>
      <x:c r="J43" s="2" t="str">
        <x:v>Country_Financials!A4:AA28;B31:B34; Assumptions!B4:B30; Unit_Economics!A4:K6; Scenario_Inputs!A4:J9</x:v>
      </x:c>
      <x:c r="K43" s="2" t="str">
        <x:v>scripts/olam-analyse.py:cash_model</x:v>
      </x:c>
      <x:c r="L43" s="2" t="str">
        <x:v>Indexed country/calculation companion</x:v>
      </x:c>
      <x:c r="M43" s="2" t="str">
        <x:v>No country calibration</x:v>
      </x:c>
    </x:row>
    <x:row r="44" ht="70" customHeight="1">
      <x:c r="A44" s="2" t="str">
        <x:v>C-DCF-partner-fragmented</x:v>
      </x:c>
      <x:c r="B44" s="2" t="str">
        <x:v>Full normalizedproject cash</x:v>
      </x:c>
      <x:c r="C44" s="2" t="str">
        <x:v>FCFF=EBIT−tax+D&amp;A−capex−ΔNWC+closeout;NPV=Σdiscountedcash</x:v>
      </x:c>
      <x:c r="D44" s="2" t="str">
        <x:v>{"mode": "partner", "scenario": "fragmented", "npv": -3.5847305871200685, "peak_funding": 12.709059419178088, "operating_break_even_tonnes": 33536.585365853694, "investment_break_even_orders": 151350.81667983875, "within_capacity": true, "calculation_id": "C-DCF-partner-fragmented"}</x:v>
      </x:c>
      <x:c r="E44" s="2" t="str">
        <x:v>-3.58</x:v>
      </x:c>
      <x:c r="F44" s="2" t="str">
        <x:v>Real2026USD million</x:v>
      </x:c>
      <x:c r="G44" s="2" t="str">
        <x:v>I_TEMPLATE_partner;I_SCENARIO_fragmented</x:v>
      </x:c>
      <x:c r="H44" s="2" t="str"/>
      <x:c r="I44" s="2" t="str">
        <x:v>A_TEMPLATE;A_SCENARIO;A_RATE;A_TAX;A_NWC;A_CAPEX;A_OUTER</x:v>
      </x:c>
      <x:c r="J44" s="2" t="str">
        <x:v>Country_Financials!A4:AA28;B31:B34; Assumptions!B4:B30; Unit_Economics!A4:K6; Scenario_Inputs!A4:J9</x:v>
      </x:c>
      <x:c r="K44" s="2" t="str">
        <x:v>scripts/olam-analyse.py:cash_model</x:v>
      </x:c>
      <x:c r="L44" s="2" t="str">
        <x:v>Indexed country/calculation companion</x:v>
      </x:c>
      <x:c r="M44" s="2" t="str">
        <x:v>No country calibration</x:v>
      </x:c>
    </x:row>
    <x:row r="45" ht="70" customHeight="1">
      <x:c r="A45" s="2" t="str">
        <x:v>C-DCF-partner-physical</x:v>
      </x:c>
      <x:c r="B45" s="2" t="str">
        <x:v>Full normalizedproject cash</x:v>
      </x:c>
      <x:c r="C45" s="2" t="str">
        <x:v>FCFF=EBIT−tax+D&amp;A−capex−ΔNWC+closeout;NPV=Σdiscountedcash</x:v>
      </x:c>
      <x:c r="D45" s="2" t="str">
        <x:v>{"mode": "partner", "scenario": "physical", "npv": -17.395001416781703, "peak_funding": 27.95674091083143, "operating_break_even_tonnes": 71874.99999999983, "investment_break_even_orders": null, "within_capacity": false, "calculation_id": "C-DCF-partner-physical"}</x:v>
      </x:c>
      <x:c r="E45" s="2" t="str">
        <x:v>-17.40</x:v>
      </x:c>
      <x:c r="F45" s="2" t="str">
        <x:v>Real2026USD million</x:v>
      </x:c>
      <x:c r="G45" s="2" t="str">
        <x:v>I_TEMPLATE_partner;I_SCENARIO_physical</x:v>
      </x:c>
      <x:c r="H45" s="2" t="str"/>
      <x:c r="I45" s="2" t="str">
        <x:v>A_TEMPLATE;A_SCENARIO;A_RATE;A_TAX;A_NWC;A_CAPEX;A_OUTER</x:v>
      </x:c>
      <x:c r="J45" s="2" t="str">
        <x:v>Country_Financials!A4:AA28;B31:B34; Assumptions!B4:B30; Unit_Economics!A4:K6; Scenario_Inputs!A4:J9</x:v>
      </x:c>
      <x:c r="K45" s="2" t="str">
        <x:v>scripts/olam-analyse.py:cash_model</x:v>
      </x:c>
      <x:c r="L45" s="2" t="str">
        <x:v>Indexed country/calculation companion</x:v>
      </x:c>
      <x:c r="M45" s="2" t="str">
        <x:v>No country calibration</x:v>
      </x:c>
    </x:row>
    <x:row r="46" ht="70" customHeight="1">
      <x:c r="A46" s="2" t="str">
        <x:v>C-DCF-partner-squeeze</x:v>
      </x:c>
      <x:c r="B46" s="2" t="str">
        <x:v>Full normalizedproject cash</x:v>
      </x:c>
      <x:c r="C46" s="2" t="str">
        <x:v>FCFF=EBIT−tax+D&amp;A−capex−ΔNWC+closeout;NPV=Σdiscountedcash</x:v>
      </x:c>
      <x:c r="D46" s="2" t="str">
        <x:v>{"mode": "partner", "scenario": "squeeze", "npv": -9.82494869860839, "peak_funding": 14.232439232876722, "operating_break_even_tonnes": 42112.2994652407, "investment_break_even_orders": null, "within_capacity": false, "calculation_id": "C-DCF-partner-squeeze"}</x:v>
      </x:c>
      <x:c r="E46" s="2" t="str">
        <x:v>-9.82</x:v>
      </x:c>
      <x:c r="F46" s="2" t="str">
        <x:v>Real2026USD million</x:v>
      </x:c>
      <x:c r="G46" s="2" t="str">
        <x:v>I_TEMPLATE_partner;I_SCENARIO_squeeze</x:v>
      </x:c>
      <x:c r="H46" s="2" t="str"/>
      <x:c r="I46" s="2" t="str">
        <x:v>A_TEMPLATE;A_SCENARIO;A_RATE;A_TAX;A_NWC;A_CAPEX;A_OUTER</x:v>
      </x:c>
      <x:c r="J46" s="2" t="str">
        <x:v>Country_Financials!A4:AA28;B31:B34; Assumptions!B4:B30; Unit_Economics!A4:K6; Scenario_Inputs!A4:J9</x:v>
      </x:c>
      <x:c r="K46" s="2" t="str">
        <x:v>scripts/olam-analyse.py:cash_model</x:v>
      </x:c>
      <x:c r="L46" s="2" t="str">
        <x:v>Indexed country/calculation companion</x:v>
      </x:c>
      <x:c r="M46" s="2" t="str">
        <x:v>No country calibration</x:v>
      </x:c>
    </x:row>
    <x:row r="47" ht="70" customHeight="1">
      <x:c r="A47" s="2" t="str">
        <x:v>C-DCF-partner-nutrition</x:v>
      </x:c>
      <x:c r="B47" s="2" t="str">
        <x:v>Full normalizedproject cash</x:v>
      </x:c>
      <x:c r="C47" s="2" t="str">
        <x:v>FCFF=EBIT−tax+D&amp;A−capex−ΔNWC+closeout;NPV=Σdiscountedcash</x:v>
      </x:c>
      <x:c r="D47" s="2" t="str">
        <x:v>{"mode": "partner", "scenario": "nutrition", "npv": 10.071104437961292, "peak_funding": 10.38084, "operating_break_even_tonnes": 25980.392156862756, "investment_break_even_orders": 64972.55435624967, "within_capacity": true, "calculation_id": "C-DCF-partner-nutrition"}</x:v>
      </x:c>
      <x:c r="E47" s="2" t="str">
        <x:v>10.07</x:v>
      </x:c>
      <x:c r="F47" s="2" t="str">
        <x:v>Real2026USD million</x:v>
      </x:c>
      <x:c r="G47" s="2" t="str">
        <x:v>I_TEMPLATE_partner;I_SCENARIO_nutrition</x:v>
      </x:c>
      <x:c r="H47" s="2" t="str"/>
      <x:c r="I47" s="2" t="str">
        <x:v>A_TEMPLATE;A_SCENARIO;A_RATE;A_TAX;A_NWC;A_CAPEX;A_OUTER</x:v>
      </x:c>
      <x:c r="J47" s="2" t="str">
        <x:v>Country_Financials!A4:AA28;B31:B34; Assumptions!B4:B30; Unit_Economics!A4:K6; Scenario_Inputs!A4:J9</x:v>
      </x:c>
      <x:c r="K47" s="2" t="str">
        <x:v>scripts/olam-analyse.py:cash_model</x:v>
      </x:c>
      <x:c r="L47" s="2" t="str">
        <x:v>Indexed country/calculation companion</x:v>
      </x:c>
      <x:c r="M47" s="2" t="str">
        <x:v>No country calibration</x:v>
      </x:c>
    </x:row>
    <x:row r="48" ht="70" customHeight="1">
      <x:c r="A48" s="2" t="str">
        <x:v>C-DCF-plant-managed</x:v>
      </x:c>
      <x:c r="B48" s="2" t="str">
        <x:v>Full normalizedproject cash</x:v>
      </x:c>
      <x:c r="C48" s="2" t="str">
        <x:v>FCFF=EBIT−tax+D&amp;A−capex−ΔNWC+closeout;NPV=Σdiscountedcash</x:v>
      </x:c>
      <x:c r="D48" s="2" t="str">
        <x:v>{"mode": "plant", "scenario": "managed", "npv": -1.7999419404754313, "peak_funding": 22.564383561643837, "operating_break_even_tonnes": 33333.333333333336, "investment_break_even_orders": 104862.13464493981, "within_capacity": true, "calculation_id": "C-DCF-plant-managed"}</x:v>
      </x:c>
      <x:c r="E48" s="2" t="str">
        <x:v>-1.80</x:v>
      </x:c>
      <x:c r="F48" s="2" t="str">
        <x:v>Real2026USD million</x:v>
      </x:c>
      <x:c r="G48" s="2" t="str">
        <x:v>I_TEMPLATE_plant;I_SCENARIO_managed</x:v>
      </x:c>
      <x:c r="H48" s="2" t="str"/>
      <x:c r="I48" s="2" t="str">
        <x:v>A_TEMPLATE;A_SCENARIO;A_RATE;A_TAX;A_NWC;A_CAPEX;A_OUTER</x:v>
      </x:c>
      <x:c r="J48" s="2" t="str">
        <x:v>Country_Financials!A4:AA28;B31:B34; Assumptions!B4:B30; Unit_Economics!A4:K6; Scenario_Inputs!A4:J9</x:v>
      </x:c>
      <x:c r="K48" s="2" t="str">
        <x:v>scripts/olam-analyse.py:cash_model</x:v>
      </x:c>
      <x:c r="L48" s="2" t="str">
        <x:v>14;25</x:v>
      </x:c>
      <x:c r="M48" s="2" t="str">
        <x:v>No country calibration</x:v>
      </x:c>
    </x:row>
    <x:row r="49" ht="70" customHeight="1">
      <x:c r="A49" s="2" t="str">
        <x:v>C-DCF-plant-integration</x:v>
      </x:c>
      <x:c r="B49" s="2" t="str">
        <x:v>Full normalizedproject cash</x:v>
      </x:c>
      <x:c r="C49" s="2" t="str">
        <x:v>FCFF=EBIT−tax+D&amp;A−capex−ΔNWC+closeout;NPV=Σdiscountedcash</x:v>
      </x:c>
      <x:c r="D49" s="2" t="str">
        <x:v>{"mode": "plant", "scenario": "integration", "npv": 13.879461780773948, "peak_funding": 21.728734246575343, "operating_break_even_tonnes": 30107.52688172042, "investment_break_even_orders": 73631.61307311719, "within_capacity": true, "calculation_id": "C-DCF-plant-integration"}</x:v>
      </x:c>
      <x:c r="E49" s="2" t="str">
        <x:v>13.88</x:v>
      </x:c>
      <x:c r="F49" s="2" t="str">
        <x:v>Real2026USD million</x:v>
      </x:c>
      <x:c r="G49" s="2" t="str">
        <x:v>I_TEMPLATE_plant;I_SCENARIO_integration</x:v>
      </x:c>
      <x:c r="H49" s="2" t="str"/>
      <x:c r="I49" s="2" t="str">
        <x:v>A_TEMPLATE;A_SCENARIO;A_RATE;A_TAX;A_NWC;A_CAPEX;A_OUTER</x:v>
      </x:c>
      <x:c r="J49" s="2" t="str">
        <x:v>Country_Financials!A4:AA28;B31:B34; Assumptions!B4:B30; Unit_Economics!A4:K6; Scenario_Inputs!A4:J9</x:v>
      </x:c>
      <x:c r="K49" s="2" t="str">
        <x:v>scripts/olam-analyse.py:cash_model</x:v>
      </x:c>
      <x:c r="L49" s="2" t="str">
        <x:v>Indexed country/calculation companion</x:v>
      </x:c>
      <x:c r="M49" s="2" t="str">
        <x:v>No country calibration</x:v>
      </x:c>
    </x:row>
    <x:row r="50" ht="70" customHeight="1">
      <x:c r="A50" s="2" t="str">
        <x:v>C-DCF-plant-fragmented</x:v>
      </x:c>
      <x:c r="B50" s="2" t="str">
        <x:v>Full normalizedproject cash</x:v>
      </x:c>
      <x:c r="C50" s="2" t="str">
        <x:v>FCFF=EBIT−tax+D&amp;A−capex−ΔNWC+closeout;NPV=Σdiscountedcash</x:v>
      </x:c>
      <x:c r="D50" s="2" t="str">
        <x:v>{"mode": "plant", "scenario": "fragmented", "npv": -17.20394764958582, "peak_funding": 25.97873621917809, "operating_break_even_tonnes": 42145.59386973181, "investment_break_even_orders": null, "within_capacity": false, "calculation_id": "C-DCF-plant-fragmented"}</x:v>
      </x:c>
      <x:c r="E50" s="2" t="str">
        <x:v>-17.20</x:v>
      </x:c>
      <x:c r="F50" s="2" t="str">
        <x:v>Real2026USD million</x:v>
      </x:c>
      <x:c r="G50" s="2" t="str">
        <x:v>I_TEMPLATE_plant;I_SCENARIO_fragmented</x:v>
      </x:c>
      <x:c r="H50" s="2" t="str"/>
      <x:c r="I50" s="2" t="str">
        <x:v>A_TEMPLATE;A_SCENARIO;A_RATE;A_TAX;A_NWC;A_CAPEX;A_OUTER</x:v>
      </x:c>
      <x:c r="J50" s="2" t="str">
        <x:v>Country_Financials!A4:AA28;B31:B34; Assumptions!B4:B30; Unit_Economics!A4:K6; Scenario_Inputs!A4:J9</x:v>
      </x:c>
      <x:c r="K50" s="2" t="str">
        <x:v>scripts/olam-analyse.py:cash_model</x:v>
      </x:c>
      <x:c r="L50" s="2" t="str">
        <x:v>Indexed country/calculation companion</x:v>
      </x:c>
      <x:c r="M50" s="2" t="str">
        <x:v>No country calibration</x:v>
      </x:c>
    </x:row>
    <x:row r="51" ht="70" customHeight="1">
      <x:c r="A51" s="2" t="str">
        <x:v>C-DCF-plant-physical</x:v>
      </x:c>
      <x:c r="B51" s="2" t="str">
        <x:v>Full normalizedproject cash</x:v>
      </x:c>
      <x:c r="C51" s="2" t="str">
        <x:v>FCFF=EBIT−tax+D&amp;A−capex−ΔNWC+closeout;NPV=Σdiscountedcash</x:v>
      </x:c>
      <x:c r="D51" s="2" t="str">
        <x:v>{"mode": "plant", "scenario": "physical", "npv": -33.292163663292115, "peak_funding": 57.89763621465281, "operating_break_even_tonnes": 69696.96969696958, "investment_break_even_orders": null, "within_capacity": false, "calculation_id": "C-DCF-plant-physical"}</x:v>
      </x:c>
      <x:c r="E51" s="2" t="str">
        <x:v>-33.29</x:v>
      </x:c>
      <x:c r="F51" s="2" t="str">
        <x:v>Real2026USD million</x:v>
      </x:c>
      <x:c r="G51" s="2" t="str">
        <x:v>I_TEMPLATE_plant;I_SCENARIO_physical</x:v>
      </x:c>
      <x:c r="H51" s="2" t="str"/>
      <x:c r="I51" s="2" t="str">
        <x:v>A_TEMPLATE;A_SCENARIO;A_RATE;A_TAX;A_NWC;A_CAPEX;A_OUTER</x:v>
      </x:c>
      <x:c r="J51" s="2" t="str">
        <x:v>Country_Financials!A4:AA28;B31:B34; Assumptions!B4:B30; Unit_Economics!A4:K6; Scenario_Inputs!A4:J9</x:v>
      </x:c>
      <x:c r="K51" s="2" t="str">
        <x:v>scripts/olam-analyse.py:cash_model</x:v>
      </x:c>
      <x:c r="L51" s="2" t="str">
        <x:v>Indexed country/calculation companion</x:v>
      </x:c>
      <x:c r="M51" s="2" t="str">
        <x:v>No country calibration</x:v>
      </x:c>
    </x:row>
    <x:row r="52" ht="70" customHeight="1">
      <x:c r="A52" s="2" t="str">
        <x:v>C-DCF-plant-squeeze</x:v>
      </x:c>
      <x:c r="B52" s="2" t="str">
        <x:v>Full normalizedproject cash</x:v>
      </x:c>
      <x:c r="C52" s="2" t="str">
        <x:v>FCFF=EBIT−tax+D&amp;A−capex−ΔNWC+closeout;NPV=Σdiscountedcash</x:v>
      </x:c>
      <x:c r="D52" s="2" t="str">
        <x:v>{"mode": "plant", "scenario": "squeeze", "npv": -24.952075111496065, "peak_funding": 38.204532602739775, "operating_break_even_tonnes": 49528.30188679248, "investment_break_even_orders": null, "within_capacity": false, "calculation_id": "C-DCF-plant-squeeze"}</x:v>
      </x:c>
      <x:c r="E52" s="2" t="str">
        <x:v>-24.95</x:v>
      </x:c>
      <x:c r="F52" s="2" t="str">
        <x:v>Real2026USD million</x:v>
      </x:c>
      <x:c r="G52" s="2" t="str">
        <x:v>I_TEMPLATE_plant;I_SCENARIO_squeeze</x:v>
      </x:c>
      <x:c r="H52" s="2" t="str"/>
      <x:c r="I52" s="2" t="str">
        <x:v>A_TEMPLATE;A_SCENARIO;A_RATE;A_TAX;A_NWC;A_CAPEX;A_OUTER</x:v>
      </x:c>
      <x:c r="J52" s="2" t="str">
        <x:v>Country_Financials!A4:AA28;B31:B34; Assumptions!B4:B30; Unit_Economics!A4:K6; Scenario_Inputs!A4:J9</x:v>
      </x:c>
      <x:c r="K52" s="2" t="str">
        <x:v>scripts/olam-analyse.py:cash_model</x:v>
      </x:c>
      <x:c r="L52" s="2" t="str">
        <x:v>Indexed country/calculation companion</x:v>
      </x:c>
      <x:c r="M52" s="2" t="str">
        <x:v>No country calibration</x:v>
      </x:c>
    </x:row>
    <x:row r="53" ht="70" customHeight="1">
      <x:c r="A53" s="2" t="str">
        <x:v>C-DCF-plant-nutrition</x:v>
      </x:c>
      <x:c r="B53" s="2" t="str">
        <x:v>Full normalizedproject cash</x:v>
      </x:c>
      <x:c r="C53" s="2" t="str">
        <x:v>FCFF=EBIT−tax+D&amp;A−capex−ΔNWC+closeout;NPV=Σdiscountedcash</x:v>
      </x:c>
      <x:c r="D53" s="2" t="str">
        <x:v>{"mode": "plant", "scenario": "nutrition", "npv": -2.8782641183332043, "peak_funding": 23.1676301369863, "operating_break_even_tonnes": 34640.522875817, "investment_break_even_orders": 107844.84544675304, "within_capacity": true, "calculation_id": "C-DCF-plant-nutrition"}</x:v>
      </x:c>
      <x:c r="E53" s="2" t="str">
        <x:v>-2.88</x:v>
      </x:c>
      <x:c r="F53" s="2" t="str">
        <x:v>Real2026USD million</x:v>
      </x:c>
      <x:c r="G53" s="2" t="str">
        <x:v>I_TEMPLATE_plant;I_SCENARIO_nutrition</x:v>
      </x:c>
      <x:c r="H53" s="2" t="str"/>
      <x:c r="I53" s="2" t="str">
        <x:v>A_TEMPLATE;A_SCENARIO;A_RATE;A_TAX;A_NWC;A_CAPEX;A_OUTER</x:v>
      </x:c>
      <x:c r="J53" s="2" t="str">
        <x:v>Country_Financials!A4:AA28;B31:B34; Assumptions!B4:B30; Unit_Economics!A4:K6; Scenario_Inputs!A4:J9</x:v>
      </x:c>
      <x:c r="K53" s="2" t="str">
        <x:v>scripts/olam-analyse.py:cash_model</x:v>
      </x:c>
      <x:c r="L53" s="2" t="str">
        <x:v>Indexed country/calculation companion</x:v>
      </x:c>
      <x:c r="M53" s="2" t="str">
        <x:v>No country calibration</x:v>
      </x:c>
    </x:row>
    <x:row r="54" ht="70" customHeight="1">
      <x:c r="A54" s="2" t="str">
        <x:v>C-POP-AFG</x:v>
      </x:c>
      <x:c r="B54" s="2" t="str">
        <x:v>Population projectionpath</x:v>
      </x:c>
      <x:c r="C54" s="2" t="str">
        <x:v>WPP thousands×1000;2051/2026−1</x:v>
      </x:c>
      <x:c r="D54" s="2" t="str">
        <x:v>{"2026": 45047069.0, "2030": 50039402.0, "2035": 56647232.0, "2040": 63347870.0, "2045": 70021200.0, "2050": 76885135.0, "2051": 78155052.0}</x:v>
      </x:c>
      <x:c r="E54" s="2" t="str">
        <x:v>0.7349641993355882</x:v>
      </x:c>
      <x:c r="F54" s="2" t="str">
        <x:v>Persons /fractionchange</x:v>
      </x:c>
      <x:c r="G54" s="2" t="str">
        <x:v>UN_WPP_AFG</x:v>
      </x:c>
      <x:c r="H54" s="2" t="str">
        <x:v>UN_WPP</x:v>
      </x:c>
      <x:c r="I54" s="2" t="str"/>
      <x:c r="J54" s="2" t="str">
        <x:v>Calculation_Audit!A4:M248 (locate stable ID in column A); Sources!A:A; Inputs!A:A</x:v>
      </x:c>
      <x:c r="K54" s="2" t="str">
        <x:v>scripts/olam-analyse.py</x:v>
      </x:c>
      <x:c r="L54" s="2" t="str">
        <x:v>Indexed country/calculation companion</x:v>
      </x:c>
      <x:c r="M54" s="2" t="str">
        <x:v>No category demand inference</x:v>
      </x:c>
    </x:row>
    <x:row r="55" ht="70" customHeight="1">
      <x:c r="A55" s="2" t="str">
        <x:v>C-POP-ALB</x:v>
      </x:c>
      <x:c r="B55" s="2" t="str">
        <x:v>Population projectionpath</x:v>
      </x:c>
      <x:c r="C55" s="2" t="str">
        <x:v>WPP thousands×1000;2051/2026−1</x:v>
      </x:c>
      <x:c r="D55" s="2" t="str">
        <x:v>{"2026": 2751025.0, "2030": 2671885.0, "2035": 2570580.0, "2040": 2461866.0, "2045": 2351280.0, "2050": 2240166.0, "2051": 2218012.0}</x:v>
      </x:c>
      <x:c r="E55" s="2" t="str">
        <x:v>-0.19375069292354663</x:v>
      </x:c>
      <x:c r="F55" s="2" t="str">
        <x:v>Persons /fractionchange</x:v>
      </x:c>
      <x:c r="G55" s="2" t="str">
        <x:v>UN_WPP_ALB</x:v>
      </x:c>
      <x:c r="H55" s="2" t="str">
        <x:v>UN_WPP</x:v>
      </x:c>
      <x:c r="I55" s="2" t="str"/>
      <x:c r="J55" s="2" t="str">
        <x:v>Calculation_Audit!A4:M248 (locate stable ID in column A); Sources!A:A; Inputs!A:A</x:v>
      </x:c>
      <x:c r="K55" s="2" t="str">
        <x:v>scripts/olam-analyse.py</x:v>
      </x:c>
      <x:c r="L55" s="2" t="str">
        <x:v>Indexed country/calculation companion</x:v>
      </x:c>
      <x:c r="M55" s="2" t="str">
        <x:v>No category demand inference</x:v>
      </x:c>
    </x:row>
    <x:row r="56" ht="70" customHeight="1">
      <x:c r="A56" s="2" t="str">
        <x:v>C-POP-DZA</x:v>
      </x:c>
      <x:c r="B56" s="2" t="str">
        <x:v>Population projectionpath</x:v>
      </x:c>
      <x:c r="C56" s="2" t="str">
        <x:v>WPP thousands×1000;2051/2026−1</x:v>
      </x:c>
      <x:c r="D56" s="2" t="str">
        <x:v>{"2026": 48028334.0, "2030": 50154166.0, "2035": 52516789.0, "2040": 54873476.0, "2045": 57290156.0, "2050": 59565554.0, "2051": 59975606.0}</x:v>
      </x:c>
      <x:c r="E56" s="2" t="str">
        <x:v>0.2487546621958614</x:v>
      </x:c>
      <x:c r="F56" s="2" t="str">
        <x:v>Persons /fractionchange</x:v>
      </x:c>
      <x:c r="G56" s="2" t="str">
        <x:v>UN_WPP_DZA</x:v>
      </x:c>
      <x:c r="H56" s="2" t="str">
        <x:v>UN_WPP</x:v>
      </x:c>
      <x:c r="I56" s="2" t="str"/>
      <x:c r="J56" s="2" t="str">
        <x:v>Calculation_Audit!A4:M248 (locate stable ID in column A); Sources!A:A; Inputs!A:A</x:v>
      </x:c>
      <x:c r="K56" s="2" t="str">
        <x:v>scripts/olam-analyse.py</x:v>
      </x:c>
      <x:c r="L56" s="2" t="str">
        <x:v>Indexed country/calculation companion</x:v>
      </x:c>
      <x:c r="M56" s="2" t="str">
        <x:v>No category demand inference</x:v>
      </x:c>
    </x:row>
    <x:row r="57" ht="70" customHeight="1">
      <x:c r="A57" s="2" t="str">
        <x:v>C-POP-AND</x:v>
      </x:c>
      <x:c r="B57" s="2" t="str">
        <x:v>Population projectionpath</x:v>
      </x:c>
      <x:c r="C57" s="2" t="str">
        <x:v>WPP thousands×1000;2051/2026−1</x:v>
      </x:c>
      <x:c r="D57" s="2" t="str">
        <x:v>{"2026": 83753.0, "2030": 85681.0, "2035": 86174.0, "2040": 85668.0, "2045": 84294.0, "2050": 82195.0, "2051": 81668.0}</x:v>
      </x:c>
      <x:c r="E57" s="2" t="str">
        <x:v>-0.02489463064009645</x:v>
      </x:c>
      <x:c r="F57" s="2" t="str">
        <x:v>Persons /fractionchange</x:v>
      </x:c>
      <x:c r="G57" s="2" t="str">
        <x:v>UN_WPP_AND</x:v>
      </x:c>
      <x:c r="H57" s="2" t="str">
        <x:v>UN_WPP</x:v>
      </x:c>
      <x:c r="I57" s="2" t="str"/>
      <x:c r="J57" s="2" t="str">
        <x:v>Calculation_Audit!A4:M248 (locate stable ID in column A); Sources!A:A; Inputs!A:A</x:v>
      </x:c>
      <x:c r="K57" s="2" t="str">
        <x:v>scripts/olam-analyse.py</x:v>
      </x:c>
      <x:c r="L57" s="2" t="str">
        <x:v>Indexed country/calculation companion</x:v>
      </x:c>
      <x:c r="M57" s="2" t="str">
        <x:v>No category demand inference</x:v>
      </x:c>
    </x:row>
    <x:row r="58" ht="70" customHeight="1">
      <x:c r="A58" s="2" t="str">
        <x:v>C-POP-AGO</x:v>
      </x:c>
      <x:c r="B58" s="2" t="str">
        <x:v>Population projectionpath</x:v>
      </x:c>
      <x:c r="C58" s="2" t="str">
        <x:v>WPP thousands×1000;2051/2026−1</x:v>
      </x:c>
      <x:c r="D58" s="2" t="str">
        <x:v>{"2026": 40215179.0, "2030": 45160458.0, "2035": 51821718.0, "2040": 58965321.0, "2045": 66464329.0, "2050": 74295394.0, "2051": 75892826.0}</x:v>
      </x:c>
      <x:c r="E58" s="2" t="str">
        <x:v>0.887168673301193</x:v>
      </x:c>
      <x:c r="F58" s="2" t="str">
        <x:v>Persons /fractionchange</x:v>
      </x:c>
      <x:c r="G58" s="2" t="str">
        <x:v>UN_WPP_AGO</x:v>
      </x:c>
      <x:c r="H58" s="2" t="str">
        <x:v>UN_WPP</x:v>
      </x:c>
      <x:c r="I58" s="2" t="str"/>
      <x:c r="J58" s="2" t="str">
        <x:v>Calculation_Audit!A4:M248 (locate stable ID in column A); Sources!A:A; Inputs!A:A</x:v>
      </x:c>
      <x:c r="K58" s="2" t="str">
        <x:v>scripts/olam-analyse.py</x:v>
      </x:c>
      <x:c r="L58" s="2" t="str">
        <x:v>Indexed country/calculation companion</x:v>
      </x:c>
      <x:c r="M58" s="2" t="str">
        <x:v>No category demand inference</x:v>
      </x:c>
    </x:row>
    <x:row r="59" ht="70" customHeight="1">
      <x:c r="A59" s="2" t="str">
        <x:v>C-POP-ATG</x:v>
      </x:c>
      <x:c r="B59" s="2" t="str">
        <x:v>Population projectionpath</x:v>
      </x:c>
      <x:c r="C59" s="2" t="str">
        <x:v>WPP thousands×1000;2051/2026−1</x:v>
      </x:c>
      <x:c r="D59" s="2" t="str">
        <x:v>{"2026": 94626.0, "2030": 96000.0, "2035": 97007.0, "2040": 97133.0, "2045": 96419.0, "2050": 95055.0, "2051": 94710.0}</x:v>
      </x:c>
      <x:c r="E59" s="2" t="str">
        <x:v>0.0008877052818463405</x:v>
      </x:c>
      <x:c r="F59" s="2" t="str">
        <x:v>Persons /fractionchange</x:v>
      </x:c>
      <x:c r="G59" s="2" t="str">
        <x:v>UN_WPP_ATG</x:v>
      </x:c>
      <x:c r="H59" s="2" t="str">
        <x:v>UN_WPP</x:v>
      </x:c>
      <x:c r="I59" s="2" t="str"/>
      <x:c r="J59" s="2" t="str">
        <x:v>Calculation_Audit!A4:M248 (locate stable ID in column A); Sources!A:A; Inputs!A:A</x:v>
      </x:c>
      <x:c r="K59" s="2" t="str">
        <x:v>scripts/olam-analyse.py</x:v>
      </x:c>
      <x:c r="L59" s="2" t="str">
        <x:v>Indexed country/calculation companion</x:v>
      </x:c>
      <x:c r="M59" s="2" t="str">
        <x:v>No category demand inference</x:v>
      </x:c>
    </x:row>
    <x:row r="60" ht="70" customHeight="1">
      <x:c r="A60" s="2" t="str">
        <x:v>C-POP-ARG</x:v>
      </x:c>
      <x:c r="B60" s="2" t="str">
        <x:v>Population projectionpath</x:v>
      </x:c>
      <x:c r="C60" s="2" t="str">
        <x:v>WPP thousands×1000;2051/2026−1</x:v>
      </x:c>
      <x:c r="D60" s="2" t="str">
        <x:v>{"2026": 46003734.0, "2030": 46585022.0, "2035": 47251994.0, "2040": 47817645.0, "2045": 48191841.0, "2050": 48308944.0, "2051": 48297098.0}</x:v>
      </x:c>
      <x:c r="E60" s="2" t="str">
        <x:v>0.049851692473484865</x:v>
      </x:c>
      <x:c r="F60" s="2" t="str">
        <x:v>Persons /fractionchange</x:v>
      </x:c>
      <x:c r="G60" s="2" t="str">
        <x:v>UN_WPP_ARG</x:v>
      </x:c>
      <x:c r="H60" s="2" t="str">
        <x:v>UN_WPP</x:v>
      </x:c>
      <x:c r="I60" s="2" t="str"/>
      <x:c r="J60" s="2" t="str">
        <x:v>Calculation_Audit!A4:M248 (locate stable ID in column A); Sources!A:A; Inputs!A:A</x:v>
      </x:c>
      <x:c r="K60" s="2" t="str">
        <x:v>scripts/olam-analyse.py</x:v>
      </x:c>
      <x:c r="L60" s="2" t="str">
        <x:v>Indexed country/calculation companion</x:v>
      </x:c>
      <x:c r="M60" s="2" t="str">
        <x:v>No category demand inference</x:v>
      </x:c>
    </x:row>
    <x:row r="61" ht="70" customHeight="1">
      <x:c r="A61" s="2" t="str">
        <x:v>C-POP-ARM</x:v>
      </x:c>
      <x:c r="B61" s="2" t="str">
        <x:v>Population projectionpath</x:v>
      </x:c>
      <x:c r="C61" s="2" t="str">
        <x:v>WPP thousands×1000;2051/2026−1</x:v>
      </x:c>
      <x:c r="D61" s="2" t="str">
        <x:v>{"2026": 2930915.0, "2030": 2851291.0, "2035": 2756725.0, "2040": 2665523.0, "2045": 2579220.0, "2050": 2495207.0, "2051": 2478352.0}</x:v>
      </x:c>
      <x:c r="E61" s="2" t="str">
        <x:v>-0.15441014154282873</x:v>
      </x:c>
      <x:c r="F61" s="2" t="str">
        <x:v>Persons /fractionchange</x:v>
      </x:c>
      <x:c r="G61" s="2" t="str">
        <x:v>UN_WPP_ARM</x:v>
      </x:c>
      <x:c r="H61" s="2" t="str">
        <x:v>UN_WPP</x:v>
      </x:c>
      <x:c r="I61" s="2" t="str"/>
      <x:c r="J61" s="2" t="str">
        <x:v>Calculation_Audit!A4:M248 (locate stable ID in column A); Sources!A:A; Inputs!A:A</x:v>
      </x:c>
      <x:c r="K61" s="2" t="str">
        <x:v>scripts/olam-analyse.py</x:v>
      </x:c>
      <x:c r="L61" s="2" t="str">
        <x:v>Indexed country/calculation companion</x:v>
      </x:c>
      <x:c r="M61" s="2" t="str">
        <x:v>No category demand inference</x:v>
      </x:c>
    </x:row>
    <x:row r="62" ht="70" customHeight="1">
      <x:c r="A62" s="2" t="str">
        <x:v>C-POP-AUS</x:v>
      </x:c>
      <x:c r="B62" s="2" t="str">
        <x:v>Population projectionpath</x:v>
      </x:c>
      <x:c r="C62" s="2" t="str">
        <x:v>WPP thousands×1000;2051/2026−1</x:v>
      </x:c>
      <x:c r="D62" s="2" t="str">
        <x:v>{"2026": 27227096.0, "2030": 28188539.0, "2035": 29296168.0, "2040": 30357450.0, "2045": 31431123.0, "2050": 32506969.0, "2051": 32716087.0}</x:v>
      </x:c>
      <x:c r="E62" s="2" t="str">
        <x:v>0.2016003102203776</x:v>
      </x:c>
      <x:c r="F62" s="2" t="str">
        <x:v>Persons /fractionchange</x:v>
      </x:c>
      <x:c r="G62" s="2" t="str">
        <x:v>UN_WPP_AUS</x:v>
      </x:c>
      <x:c r="H62" s="2" t="str">
        <x:v>UN_WPP</x:v>
      </x:c>
      <x:c r="I62" s="2" t="str"/>
      <x:c r="J62" s="2" t="str">
        <x:v>Calculation_Audit!A4:M248 (locate stable ID in column A); Sources!A:A; Inputs!A:A</x:v>
      </x:c>
      <x:c r="K62" s="2" t="str">
        <x:v>scripts/olam-analyse.py</x:v>
      </x:c>
      <x:c r="L62" s="2" t="str">
        <x:v>Indexed country/calculation companion</x:v>
      </x:c>
      <x:c r="M62" s="2" t="str">
        <x:v>No category demand inference</x:v>
      </x:c>
    </x:row>
    <x:row r="63" ht="70" customHeight="1">
      <x:c r="A63" s="2" t="str">
        <x:v>C-POP-AUT</x:v>
      </x:c>
      <x:c r="B63" s="2" t="str">
        <x:v>Population projectionpath</x:v>
      </x:c>
      <x:c r="C63" s="2" t="str">
        <x:v>WPP thousands×1000;2051/2026−1</x:v>
      </x:c>
      <x:c r="D63" s="2" t="str">
        <x:v>{"2026": 9107266.0, "2030": 9080346.0, "2035": 9014208.0, "2040": 8934061.0, "2045": 8844730.0, "2050": 8724332.0, "2051": 8696685.0}</x:v>
      </x:c>
      <x:c r="E63" s="2" t="str">
        <x:v>-0.04508279433147111</x:v>
      </x:c>
      <x:c r="F63" s="2" t="str">
        <x:v>Persons /fractionchange</x:v>
      </x:c>
      <x:c r="G63" s="2" t="str">
        <x:v>UN_WPP_AUT</x:v>
      </x:c>
      <x:c r="H63" s="2" t="str">
        <x:v>UN_WPP</x:v>
      </x:c>
      <x:c r="I63" s="2" t="str"/>
      <x:c r="J63" s="2" t="str">
        <x:v>Calculation_Audit!A4:M248 (locate stable ID in column A); Sources!A:A; Inputs!A:A</x:v>
      </x:c>
      <x:c r="K63" s="2" t="str">
        <x:v>scripts/olam-analyse.py</x:v>
      </x:c>
      <x:c r="L63" s="2" t="str">
        <x:v>Indexed country/calculation companion</x:v>
      </x:c>
      <x:c r="M63" s="2" t="str">
        <x:v>No category demand inference</x:v>
      </x:c>
    </x:row>
    <x:row r="64" ht="70" customHeight="1">
      <x:c r="A64" s="2" t="str">
        <x:v>C-POP-AZE</x:v>
      </x:c>
      <x:c r="B64" s="2" t="str">
        <x:v>Population projectionpath</x:v>
      </x:c>
      <x:c r="C64" s="2" t="str">
        <x:v>WPP thousands×1000;2051/2026−1</x:v>
      </x:c>
      <x:c r="D64" s="2" t="str">
        <x:v>{"2026": 10454855.0, "2030": 10665380.0, "2035": 10898665.0, "2040": 11081335.0, "2045": 11188800.0, "2050": 11224923.0, "2051": 11224460.0}</x:v>
      </x:c>
      <x:c r="E64" s="2" t="str">
        <x:v>0.07361221174277399</x:v>
      </x:c>
      <x:c r="F64" s="2" t="str">
        <x:v>Persons /fractionchange</x:v>
      </x:c>
      <x:c r="G64" s="2" t="str">
        <x:v>UN_WPP_AZE</x:v>
      </x:c>
      <x:c r="H64" s="2" t="str">
        <x:v>UN_WPP</x:v>
      </x:c>
      <x:c r="I64" s="2" t="str"/>
      <x:c r="J64" s="2" t="str">
        <x:v>Calculation_Audit!A4:M248 (locate stable ID in column A); Sources!A:A; Inputs!A:A</x:v>
      </x:c>
      <x:c r="K64" s="2" t="str">
        <x:v>scripts/olam-analyse.py</x:v>
      </x:c>
      <x:c r="L64" s="2" t="str">
        <x:v>Indexed country/calculation companion</x:v>
      </x:c>
      <x:c r="M64" s="2" t="str">
        <x:v>No category demand inference</x:v>
      </x:c>
    </x:row>
    <x:row r="65" ht="70" customHeight="1">
      <x:c r="A65" s="2" t="str">
        <x:v>C-POP-BHS</x:v>
      </x:c>
      <x:c r="B65" s="2" t="str">
        <x:v>Population projectionpath</x:v>
      </x:c>
      <x:c r="C65" s="2" t="str">
        <x:v>WPP thousands×1000;2051/2026−1</x:v>
      </x:c>
      <x:c r="D65" s="2" t="str">
        <x:v>{"2026": 404628.0, "2030": 410267.0, "2035": 415978.0, "2040": 420346.0, "2045": 423262.0, "2050": 424265.0, "2051": 424211.0}</x:v>
      </x:c>
      <x:c r="E65" s="2" t="str">
        <x:v>0.04839754045691347</x:v>
      </x:c>
      <x:c r="F65" s="2" t="str">
        <x:v>Persons /fractionchange</x:v>
      </x:c>
      <x:c r="G65" s="2" t="str">
        <x:v>UN_WPP_BHS</x:v>
      </x:c>
      <x:c r="H65" s="2" t="str">
        <x:v>UN_WPP</x:v>
      </x:c>
      <x:c r="I65" s="2" t="str"/>
      <x:c r="J65" s="2" t="str">
        <x:v>Calculation_Audit!A4:M248 (locate stable ID in column A); Sources!A:A; Inputs!A:A</x:v>
      </x:c>
      <x:c r="K65" s="2" t="str">
        <x:v>scripts/olam-analyse.py</x:v>
      </x:c>
      <x:c r="L65" s="2" t="str">
        <x:v>Indexed country/calculation companion</x:v>
      </x:c>
      <x:c r="M65" s="2" t="str">
        <x:v>No category demand inference</x:v>
      </x:c>
    </x:row>
    <x:row r="66" ht="70" customHeight="1">
      <x:c r="A66" s="2" t="str">
        <x:v>C-POP-BHR</x:v>
      </x:c>
      <x:c r="B66" s="2" t="str">
        <x:v>Population projectionpath</x:v>
      </x:c>
      <x:c r="C66" s="2" t="str">
        <x:v>WPP thousands×1000;2051/2026−1</x:v>
      </x:c>
      <x:c r="D66" s="2" t="str">
        <x:v>{"2026": 1675572.0, "2030": 1765209.0, "2035": 1856537.0, "2040": 1951233.0, "2045": 2046472.0, "2050": 2139465.0, "2051": 2157875.0}</x:v>
      </x:c>
      <x:c r="E66" s="2" t="str">
        <x:v>0.28784379304500196</x:v>
      </x:c>
      <x:c r="F66" s="2" t="str">
        <x:v>Persons /fractionchange</x:v>
      </x:c>
      <x:c r="G66" s="2" t="str">
        <x:v>UN_WPP_BHR</x:v>
      </x:c>
      <x:c r="H66" s="2" t="str">
        <x:v>UN_WPP</x:v>
      </x:c>
      <x:c r="I66" s="2" t="str"/>
      <x:c r="J66" s="2" t="str">
        <x:v>Calculation_Audit!A4:M248 (locate stable ID in column A); Sources!A:A; Inputs!A:A</x:v>
      </x:c>
      <x:c r="K66" s="2" t="str">
        <x:v>scripts/olam-analyse.py</x:v>
      </x:c>
      <x:c r="L66" s="2" t="str">
        <x:v>Indexed country/calculation companion</x:v>
      </x:c>
      <x:c r="M66" s="2" t="str">
        <x:v>No category demand inference</x:v>
      </x:c>
    </x:row>
    <x:row r="67" ht="70" customHeight="1">
      <x:c r="A67" s="2" t="str">
        <x:v>C-POP-BGD</x:v>
      </x:c>
      <x:c r="B67" s="2" t="str">
        <x:v>Population projectionpath</x:v>
      </x:c>
      <x:c r="C67" s="2" t="str">
        <x:v>WPP thousands×1000;2051/2026−1</x:v>
      </x:c>
      <x:c r="D67" s="2" t="str">
        <x:v>{"2026": 177818044.0, "2030": 186072407.0, "2035": 195130372.0, "2040": 202589429.0, "2045": 209029594.0, "2050": 214709097.0, "2051": 215750555.0}</x:v>
      </x:c>
      <x:c r="E67" s="2" t="str">
        <x:v>0.21332205746228983</x:v>
      </x:c>
      <x:c r="F67" s="2" t="str">
        <x:v>Persons /fractionchange</x:v>
      </x:c>
      <x:c r="G67" s="2" t="str">
        <x:v>UN_WPP_BGD</x:v>
      </x:c>
      <x:c r="H67" s="2" t="str">
        <x:v>UN_WPP</x:v>
      </x:c>
      <x:c r="I67" s="2" t="str"/>
      <x:c r="J67" s="2" t="str">
        <x:v>Calculation_Audit!A4:M248 (locate stable ID in column A); Sources!A:A; Inputs!A:A</x:v>
      </x:c>
      <x:c r="K67" s="2" t="str">
        <x:v>scripts/olam-analyse.py</x:v>
      </x:c>
      <x:c r="L67" s="2" t="str">
        <x:v>Indexed country/calculation companion</x:v>
      </x:c>
      <x:c r="M67" s="2" t="str">
        <x:v>No category demand inference</x:v>
      </x:c>
    </x:row>
    <x:row r="68" ht="70" customHeight="1">
      <x:c r="A68" s="2" t="str">
        <x:v>C-POP-BRB</x:v>
      </x:c>
      <x:c r="B68" s="2" t="str">
        <x:v>Population projectionpath</x:v>
      </x:c>
      <x:c r="C68" s="2" t="str">
        <x:v>WPP thousands×1000;2051/2026−1</x:v>
      </x:c>
      <x:c r="D68" s="2" t="str">
        <x:v>{"2026": 282724.0, "2030": 282490.0, "2035": 280342.0, "2040": 276346.0, "2045": 270774.0, "2050": 264216.0, "2051": 262867.0}</x:v>
      </x:c>
      <x:c r="E68" s="2" t="str">
        <x:v>-0.07023457506260522</x:v>
      </x:c>
      <x:c r="F68" s="2" t="str">
        <x:v>Persons /fractionchange</x:v>
      </x:c>
      <x:c r="G68" s="2" t="str">
        <x:v>UN_WPP_BRB</x:v>
      </x:c>
      <x:c r="H68" s="2" t="str">
        <x:v>UN_WPP</x:v>
      </x:c>
      <x:c r="I68" s="2" t="str"/>
      <x:c r="J68" s="2" t="str">
        <x:v>Calculation_Audit!A4:M248 (locate stable ID in column A); Sources!A:A; Inputs!A:A</x:v>
      </x:c>
      <x:c r="K68" s="2" t="str">
        <x:v>scripts/olam-analyse.py</x:v>
      </x:c>
      <x:c r="L68" s="2" t="str">
        <x:v>Indexed country/calculation companion</x:v>
      </x:c>
      <x:c r="M68" s="2" t="str">
        <x:v>No category demand inference</x:v>
      </x:c>
    </x:row>
    <x:row r="69" ht="70" customHeight="1">
      <x:c r="A69" s="2" t="str">
        <x:v>C-POP-BLR</x:v>
      </x:c>
      <x:c r="B69" s="2" t="str">
        <x:v>Population projectionpath</x:v>
      </x:c>
      <x:c r="C69" s="2" t="str">
        <x:v>WPP thousands×1000;2051/2026−1</x:v>
      </x:c>
      <x:c r="D69" s="2" t="str">
        <x:v>{"2026": 8937018.0, "2030": 8687632.0, "2035": 8372271.000000001, "2040": 8064466.0, "2045": 7763466.0, "2050": 7453546.0, "2051": 7388575.0}</x:v>
      </x:c>
      <x:c r="E69" s="2" t="str">
        <x:v>-0.1732617076523736</x:v>
      </x:c>
      <x:c r="F69" s="2" t="str">
        <x:v>Persons /fractionchange</x:v>
      </x:c>
      <x:c r="G69" s="2" t="str">
        <x:v>UN_WPP_BLR</x:v>
      </x:c>
      <x:c r="H69" s="2" t="str">
        <x:v>UN_WPP</x:v>
      </x:c>
      <x:c r="I69" s="2" t="str"/>
      <x:c r="J69" s="2" t="str">
        <x:v>Calculation_Audit!A4:M248 (locate stable ID in column A); Sources!A:A; Inputs!A:A</x:v>
      </x:c>
      <x:c r="K69" s="2" t="str">
        <x:v>scripts/olam-analyse.py</x:v>
      </x:c>
      <x:c r="L69" s="2" t="str">
        <x:v>Indexed country/calculation companion</x:v>
      </x:c>
      <x:c r="M69" s="2" t="str">
        <x:v>No category demand inference</x:v>
      </x:c>
    </x:row>
    <x:row r="70" ht="70" customHeight="1">
      <x:c r="A70" s="2" t="str">
        <x:v>C-POP-BEL</x:v>
      </x:c>
      <x:c r="B70" s="2" t="str">
        <x:v>Population projectionpath</x:v>
      </x:c>
      <x:c r="C70" s="2" t="str">
        <x:v>WPP thousands×1000;2051/2026−1</x:v>
      </x:c>
      <x:c r="D70" s="2" t="str">
        <x:v>{"2026": 11774642.0, "2030": 11824141.0, "2035": 11863585.0, "2040": 11892204.0, "2045": 11900984.0, "2050": 11870906.0, "2051": 11859003.0}</x:v>
      </x:c>
      <x:c r="E70" s="2" t="str">
        <x:v>0.007164633965092149</x:v>
      </x:c>
      <x:c r="F70" s="2" t="str">
        <x:v>Persons /fractionchange</x:v>
      </x:c>
      <x:c r="G70" s="2" t="str">
        <x:v>UN_WPP_BEL</x:v>
      </x:c>
      <x:c r="H70" s="2" t="str">
        <x:v>UN_WPP</x:v>
      </x:c>
      <x:c r="I70" s="2" t="str"/>
      <x:c r="J70" s="2" t="str">
        <x:v>Calculation_Audit!A4:M248 (locate stable ID in column A); Sources!A:A; Inputs!A:A</x:v>
      </x:c>
      <x:c r="K70" s="2" t="str">
        <x:v>scripts/olam-analyse.py</x:v>
      </x:c>
      <x:c r="L70" s="2" t="str">
        <x:v>Indexed country/calculation companion</x:v>
      </x:c>
      <x:c r="M70" s="2" t="str">
        <x:v>No category demand inference</x:v>
      </x:c>
    </x:row>
    <x:row r="71" ht="70" customHeight="1">
      <x:c r="A71" s="2" t="str">
        <x:v>C-POP-BLZ</x:v>
      </x:c>
      <x:c r="B71" s="2" t="str">
        <x:v>Population projectionpath</x:v>
      </x:c>
      <x:c r="C71" s="2" t="str">
        <x:v>WPP thousands×1000;2051/2026−1</x:v>
      </x:c>
      <x:c r="D71" s="2" t="str">
        <x:v>{"2026": 428644.0, "2030": 449839.0, "2035": 473132.0, "2040": 491595.0, "2045": 505700.0, "2050": 516626.99999999994, "2051": 518385.99999999994}</x:v>
      </x:c>
      <x:c r="E71" s="2" t="str">
        <x:v>0.2093625479418817</x:v>
      </x:c>
      <x:c r="F71" s="2" t="str">
        <x:v>Persons /fractionchange</x:v>
      </x:c>
      <x:c r="G71" s="2" t="str">
        <x:v>UN_WPP_BLZ</x:v>
      </x:c>
      <x:c r="H71" s="2" t="str">
        <x:v>UN_WPP</x:v>
      </x:c>
      <x:c r="I71" s="2" t="str"/>
      <x:c r="J71" s="2" t="str">
        <x:v>Calculation_Audit!A4:M248 (locate stable ID in column A); Sources!A:A; Inputs!A:A</x:v>
      </x:c>
      <x:c r="K71" s="2" t="str">
        <x:v>scripts/olam-analyse.py</x:v>
      </x:c>
      <x:c r="L71" s="2" t="str">
        <x:v>Indexed country/calculation companion</x:v>
      </x:c>
      <x:c r="M71" s="2" t="str">
        <x:v>No category demand inference</x:v>
      </x:c>
    </x:row>
    <x:row r="72" ht="70" customHeight="1">
      <x:c r="A72" s="2" t="str">
        <x:v>C-POP-BEN</x:v>
      </x:c>
      <x:c r="B72" s="2" t="str">
        <x:v>Population projectionpath</x:v>
      </x:c>
      <x:c r="C72" s="2" t="str">
        <x:v>WPP thousands×1000;2051/2026−1</x:v>
      </x:c>
      <x:c r="D72" s="2" t="str">
        <x:v>{"2026": 15170419.0, "2030": 16618822.0, "2035": 18492631.0, "2040": 20445760.0, "2045": 22443646.0, "2050": 24433809.0, "2051": 24827844.0}</x:v>
      </x:c>
      <x:c r="E72" s="2" t="str">
        <x:v>0.6365957987053621</x:v>
      </x:c>
      <x:c r="F72" s="2" t="str">
        <x:v>Persons /fractionchange</x:v>
      </x:c>
      <x:c r="G72" s="2" t="str">
        <x:v>UN_WPP_BEN</x:v>
      </x:c>
      <x:c r="H72" s="2" t="str">
        <x:v>UN_WPP</x:v>
      </x:c>
      <x:c r="I72" s="2" t="str"/>
      <x:c r="J72" s="2" t="str">
        <x:v>Calculation_Audit!A4:M248 (locate stable ID in column A); Sources!A:A; Inputs!A:A</x:v>
      </x:c>
      <x:c r="K72" s="2" t="str">
        <x:v>scripts/olam-analyse.py</x:v>
      </x:c>
      <x:c r="L72" s="2" t="str">
        <x:v>Indexed country/calculation companion</x:v>
      </x:c>
      <x:c r="M72" s="2" t="str">
        <x:v>No category demand inference</x:v>
      </x:c>
    </x:row>
    <x:row r="73" ht="70" customHeight="1">
      <x:c r="A73" s="2" t="str">
        <x:v>C-POP-BTN</x:v>
      </x:c>
      <x:c r="B73" s="2" t="str">
        <x:v>Population projectionpath</x:v>
      </x:c>
      <x:c r="C73" s="2" t="str">
        <x:v>WPP thousands×1000;2051/2026−1</x:v>
      </x:c>
      <x:c r="D73" s="2" t="str">
        <x:v>{"2026": 802214.0, "2030": 820694.0, "2035": 843202.0, "2040": 862129.0, "2045": 876173.0, "2050": 882340.0, "2051": 883389.0}</x:v>
      </x:c>
      <x:c r="E73" s="2" t="str">
        <x:v>0.10118871024439868</x:v>
      </x:c>
      <x:c r="F73" s="2" t="str">
        <x:v>Persons /fractionchange</x:v>
      </x:c>
      <x:c r="G73" s="2" t="str">
        <x:v>UN_WPP_BTN</x:v>
      </x:c>
      <x:c r="H73" s="2" t="str">
        <x:v>UN_WPP</x:v>
      </x:c>
      <x:c r="I73" s="2" t="str"/>
      <x:c r="J73" s="2" t="str">
        <x:v>Calculation_Audit!A4:M248 (locate stable ID in column A); Sources!A:A; Inputs!A:A</x:v>
      </x:c>
      <x:c r="K73" s="2" t="str">
        <x:v>scripts/olam-analyse.py</x:v>
      </x:c>
      <x:c r="L73" s="2" t="str">
        <x:v>Indexed country/calculation companion</x:v>
      </x:c>
      <x:c r="M73" s="2" t="str">
        <x:v>No category demand inference</x:v>
      </x:c>
    </x:row>
    <x:row r="74" ht="70" customHeight="1">
      <x:c r="A74" s="2" t="str">
        <x:v>C-POP-BOL</x:v>
      </x:c>
      <x:c r="B74" s="2" t="str">
        <x:v>Population projectionpath</x:v>
      </x:c>
      <x:c r="C74" s="2" t="str">
        <x:v>WPP thousands×1000;2051/2026−1</x:v>
      </x:c>
      <x:c r="D74" s="2" t="str">
        <x:v>{"2026": 12749291.0, "2030": 13405564.0, "2035": 14183823.0, "2040": 14899397.0, "2045": 15542791.0, "2050": 16110162.0, "2051": 16214293.0}</x:v>
      </x:c>
      <x:c r="E74" s="2" t="str">
        <x:v>0.27177997584336255</x:v>
      </x:c>
      <x:c r="F74" s="2" t="str">
        <x:v>Persons /fractionchange</x:v>
      </x:c>
      <x:c r="G74" s="2" t="str">
        <x:v>UN_WPP_BOL</x:v>
      </x:c>
      <x:c r="H74" s="2" t="str">
        <x:v>UN_WPP</x:v>
      </x:c>
      <x:c r="I74" s="2" t="str"/>
      <x:c r="J74" s="2" t="str">
        <x:v>Calculation_Audit!A4:M248 (locate stable ID in column A); Sources!A:A; Inputs!A:A</x:v>
      </x:c>
      <x:c r="K74" s="2" t="str">
        <x:v>scripts/olam-analyse.py</x:v>
      </x:c>
      <x:c r="L74" s="2" t="str">
        <x:v>Indexed country/calculation companion</x:v>
      </x:c>
      <x:c r="M74" s="2" t="str">
        <x:v>No category demand inference</x:v>
      </x:c>
    </x:row>
    <x:row r="75" ht="70" customHeight="1">
      <x:c r="A75" s="2" t="str">
        <x:v>C-POP-BIH</x:v>
      </x:c>
      <x:c r="B75" s="2" t="str">
        <x:v>Population projectionpath</x:v>
      </x:c>
      <x:c r="C75" s="2" t="str">
        <x:v>WPP thousands×1000;2051/2026−1</x:v>
      </x:c>
      <x:c r="D75" s="2" t="str">
        <x:v>{"2026": 3114242.0, "2030": 3013974.0, "2035": 2881542.0, "2040": 2745010.0, "2045": 2599927.0, "2050": 2455167.0, "2051": 2426282.0}</x:v>
      </x:c>
      <x:c r="E75" s="2" t="str">
        <x:v>-0.22090768797029903</x:v>
      </x:c>
      <x:c r="F75" s="2" t="str">
        <x:v>Persons /fractionchange</x:v>
      </x:c>
      <x:c r="G75" s="2" t="str">
        <x:v>UN_WPP_BIH</x:v>
      </x:c>
      <x:c r="H75" s="2" t="str">
        <x:v>UN_WPP</x:v>
      </x:c>
      <x:c r="I75" s="2" t="str"/>
      <x:c r="J75" s="2" t="str">
        <x:v>Calculation_Audit!A4:M248 (locate stable ID in column A); Sources!A:A; Inputs!A:A</x:v>
      </x:c>
      <x:c r="K75" s="2" t="str">
        <x:v>scripts/olam-analyse.py</x:v>
      </x:c>
      <x:c r="L75" s="2" t="str">
        <x:v>Indexed country/calculation companion</x:v>
      </x:c>
      <x:c r="M75" s="2" t="str">
        <x:v>No category demand inference</x:v>
      </x:c>
    </x:row>
    <x:row r="76" ht="70" customHeight="1">
      <x:c r="A76" s="2" t="str">
        <x:v>C-POP-BWA</x:v>
      </x:c>
      <x:c r="B76" s="2" t="str">
        <x:v>Population projectionpath</x:v>
      </x:c>
      <x:c r="C76" s="2" t="str">
        <x:v>WPP thousands×1000;2051/2026−1</x:v>
      </x:c>
      <x:c r="D76" s="2" t="str">
        <x:v>{"2026": 2603388.0, "2030": 2765918.0, "2035": 2954414.0, "2040": 3126640.0, "2045": 3285301.0, "2050": 3437430.0, "2051": 3465409.0}</x:v>
      </x:c>
      <x:c r="E76" s="2" t="str">
        <x:v>0.33111507005486707</x:v>
      </x:c>
      <x:c r="F76" s="2" t="str">
        <x:v>Persons /fractionchange</x:v>
      </x:c>
      <x:c r="G76" s="2" t="str">
        <x:v>UN_WPP_BWA</x:v>
      </x:c>
      <x:c r="H76" s="2" t="str">
        <x:v>UN_WPP</x:v>
      </x:c>
      <x:c r="I76" s="2" t="str"/>
      <x:c r="J76" s="2" t="str">
        <x:v>Calculation_Audit!A4:M248 (locate stable ID in column A); Sources!A:A; Inputs!A:A</x:v>
      </x:c>
      <x:c r="K76" s="2" t="str">
        <x:v>scripts/olam-analyse.py</x:v>
      </x:c>
      <x:c r="L76" s="2" t="str">
        <x:v>Indexed country/calculation companion</x:v>
      </x:c>
      <x:c r="M76" s="2" t="str">
        <x:v>No category demand inference</x:v>
      </x:c>
    </x:row>
    <x:row r="77" ht="70" customHeight="1">
      <x:c r="A77" s="2" t="str">
        <x:v>C-POP-BRA</x:v>
      </x:c>
      <x:c r="B77" s="2" t="str">
        <x:v>Population projectionpath</x:v>
      </x:c>
      <x:c r="C77" s="2" t="str">
        <x:v>WPP thousands×1000;2051/2026−1</x:v>
      </x:c>
      <x:c r="D77" s="2" t="str">
        <x:v>{"2026": 213562666.0, "2030": 216074411.0, "2035": 218199707.0, "2040": 219237084.0, "2045": 219026196.0, "2050": 217489299.0, "2051": 217040324.0}</x:v>
      </x:c>
      <x:c r="E77" s="2" t="str">
        <x:v>0.016284016608034024</x:v>
      </x:c>
      <x:c r="F77" s="2" t="str">
        <x:v>Persons /fractionchange</x:v>
      </x:c>
      <x:c r="G77" s="2" t="str">
        <x:v>UN_WPP_BRA</x:v>
      </x:c>
      <x:c r="H77" s="2" t="str">
        <x:v>UN_WPP</x:v>
      </x:c>
      <x:c r="I77" s="2" t="str"/>
      <x:c r="J77" s="2" t="str">
        <x:v>Calculation_Audit!A4:M248 (locate stable ID in column A); Sources!A:A; Inputs!A:A</x:v>
      </x:c>
      <x:c r="K77" s="2" t="str">
        <x:v>scripts/olam-analyse.py</x:v>
      </x:c>
      <x:c r="L77" s="2" t="str">
        <x:v>Indexed country/calculation companion</x:v>
      </x:c>
      <x:c r="M77" s="2" t="str">
        <x:v>No category demand inference</x:v>
      </x:c>
    </x:row>
    <x:row r="78" ht="70" customHeight="1">
      <x:c r="A78" s="2" t="str">
        <x:v>C-POP-BRN</x:v>
      </x:c>
      <x:c r="B78" s="2" t="str">
        <x:v>Population projectionpath</x:v>
      </x:c>
      <x:c r="C78" s="2" t="str">
        <x:v>WPP thousands×1000;2051/2026−1</x:v>
      </x:c>
      <x:c r="D78" s="2" t="str">
        <x:v>{"2026": 469775.0, "2030": 482447.0, "2035": 495290.0, "2040": 505976.0, "2045": 514052.0, "2050": 519551.00000000006, "2051": 520265.99999999994}</x:v>
      </x:c>
      <x:c r="E78" s="2" t="str">
        <x:v>0.10747911234101415</x:v>
      </x:c>
      <x:c r="F78" s="2" t="str">
        <x:v>Persons /fractionchange</x:v>
      </x:c>
      <x:c r="G78" s="2" t="str">
        <x:v>UN_WPP_BRN</x:v>
      </x:c>
      <x:c r="H78" s="2" t="str">
        <x:v>UN_WPP</x:v>
      </x:c>
      <x:c r="I78" s="2" t="str"/>
      <x:c r="J78" s="2" t="str">
        <x:v>Calculation_Audit!A4:M248 (locate stable ID in column A); Sources!A:A; Inputs!A:A</x:v>
      </x:c>
      <x:c r="K78" s="2" t="str">
        <x:v>scripts/olam-analyse.py</x:v>
      </x:c>
      <x:c r="L78" s="2" t="str">
        <x:v>Indexed country/calculation companion</x:v>
      </x:c>
      <x:c r="M78" s="2" t="str">
        <x:v>No category demand inference</x:v>
      </x:c>
    </x:row>
    <x:row r="79" ht="70" customHeight="1">
      <x:c r="A79" s="2" t="str">
        <x:v>C-POP-BGR</x:v>
      </x:c>
      <x:c r="B79" s="2" t="str">
        <x:v>Population projectionpath</x:v>
      </x:c>
      <x:c r="C79" s="2" t="str">
        <x:v>WPP thousands×1000;2051/2026−1</x:v>
      </x:c>
      <x:c r="D79" s="2" t="str">
        <x:v>{"2026": 6667659.0, "2030": 6458243.0, "2035": 6183114.0, "2040": 5907728.0, "2045": 5648256.0, "2050": 5402217.0, "2051": 5354139.0}</x:v>
      </x:c>
      <x:c r="E79" s="2" t="str">
        <x:v>-0.19699867674696625</x:v>
      </x:c>
      <x:c r="F79" s="2" t="str">
        <x:v>Persons /fractionchange</x:v>
      </x:c>
      <x:c r="G79" s="2" t="str">
        <x:v>UN_WPP_BGR</x:v>
      </x:c>
      <x:c r="H79" s="2" t="str">
        <x:v>UN_WPP</x:v>
      </x:c>
      <x:c r="I79" s="2" t="str"/>
      <x:c r="J79" s="2" t="str">
        <x:v>Calculation_Audit!A4:M248 (locate stable ID in column A); Sources!A:A; Inputs!A:A</x:v>
      </x:c>
      <x:c r="K79" s="2" t="str">
        <x:v>scripts/olam-analyse.py</x:v>
      </x:c>
      <x:c r="L79" s="2" t="str">
        <x:v>Indexed country/calculation companion</x:v>
      </x:c>
      <x:c r="M79" s="2" t="str">
        <x:v>No category demand inference</x:v>
      </x:c>
    </x:row>
    <x:row r="80" ht="70" customHeight="1">
      <x:c r="A80" s="2" t="str">
        <x:v>C-POP-BFA</x:v>
      </x:c>
      <x:c r="B80" s="2" t="str">
        <x:v>Population projectionpath</x:v>
      </x:c>
      <x:c r="C80" s="2" t="str">
        <x:v>WPP thousands×1000;2051/2026−1</x:v>
      </x:c>
      <x:c r="D80" s="2" t="str">
        <x:v>{"2026": 24601700.0, "2030": 26730324.0, "2035": 29469746.0, "2040": 32193645.0, "2045": 34829690.0, "2050": 37304383.0, "2051": 37777225.0}</x:v>
      </x:c>
      <x:c r="E80" s="2" t="str">
        <x:v>0.5355534373640847</x:v>
      </x:c>
      <x:c r="F80" s="2" t="str">
        <x:v>Persons /fractionchange</x:v>
      </x:c>
      <x:c r="G80" s="2" t="str">
        <x:v>UN_WPP_BFA</x:v>
      </x:c>
      <x:c r="H80" s="2" t="str">
        <x:v>UN_WPP</x:v>
      </x:c>
      <x:c r="I80" s="2" t="str"/>
      <x:c r="J80" s="2" t="str">
        <x:v>Calculation_Audit!A4:M248 (locate stable ID in column A); Sources!A:A; Inputs!A:A</x:v>
      </x:c>
      <x:c r="K80" s="2" t="str">
        <x:v>scripts/olam-analyse.py</x:v>
      </x:c>
      <x:c r="L80" s="2" t="str">
        <x:v>Indexed country/calculation companion</x:v>
      </x:c>
      <x:c r="M80" s="2" t="str">
        <x:v>No category demand inference</x:v>
      </x:c>
    </x:row>
    <x:row r="81" ht="70" customHeight="1">
      <x:c r="A81" s="2" t="str">
        <x:v>C-POP-BDI</x:v>
      </x:c>
      <x:c r="B81" s="2" t="str">
        <x:v>Population projectionpath</x:v>
      </x:c>
      <x:c r="C81" s="2" t="str">
        <x:v>WPP thousands×1000;2051/2026−1</x:v>
      </x:c>
      <x:c r="D81" s="2" t="str">
        <x:v>{"2026": 14729157.0, "2030": 16182016.0, "2035": 18085841.0, "2040": 20131318.0, "2045": 22197887.0, "2050": 24131720.0, "2051": 24498523.0}</x:v>
      </x:c>
      <x:c r="E81" s="2" t="str">
        <x:v>0.6632671509985262</x:v>
      </x:c>
      <x:c r="F81" s="2" t="str">
        <x:v>Persons /fractionchange</x:v>
      </x:c>
      <x:c r="G81" s="2" t="str">
        <x:v>UN_WPP_BDI</x:v>
      </x:c>
      <x:c r="H81" s="2" t="str">
        <x:v>UN_WPP</x:v>
      </x:c>
      <x:c r="I81" s="2" t="str"/>
      <x:c r="J81" s="2" t="str">
        <x:v>Calculation_Audit!A4:M248 (locate stable ID in column A); Sources!A:A; Inputs!A:A</x:v>
      </x:c>
      <x:c r="K81" s="2" t="str">
        <x:v>scripts/olam-analyse.py</x:v>
      </x:c>
      <x:c r="L81" s="2" t="str">
        <x:v>Indexed country/calculation companion</x:v>
      </x:c>
      <x:c r="M81" s="2" t="str">
        <x:v>No category demand inference</x:v>
      </x:c>
    </x:row>
    <x:row r="82" ht="70" customHeight="1">
      <x:c r="A82" s="2" t="str">
        <x:v>C-POP-CPV</x:v>
      </x:c>
      <x:c r="B82" s="2" t="str">
        <x:v>Population projectionpath</x:v>
      </x:c>
      <x:c r="C82" s="2" t="str">
        <x:v>WPP thousands×1000;2051/2026−1</x:v>
      </x:c>
      <x:c r="D82" s="2" t="str">
        <x:v>{"2026": 529630.0, "2030": 538614.0, "2035": 548591.0, "2040": 557374.0, "2045": 563476.0, "2050": 566134.0, "2051": 566201.0}</x:v>
      </x:c>
      <x:c r="E82" s="2" t="str">
        <x:v>0.0690500915733625</x:v>
      </x:c>
      <x:c r="F82" s="2" t="str">
        <x:v>Persons /fractionchange</x:v>
      </x:c>
      <x:c r="G82" s="2" t="str">
        <x:v>UN_WPP_CPV</x:v>
      </x:c>
      <x:c r="H82" s="2" t="str">
        <x:v>UN_WPP</x:v>
      </x:c>
      <x:c r="I82" s="2" t="str"/>
      <x:c r="J82" s="2" t="str">
        <x:v>Calculation_Audit!A4:M248 (locate stable ID in column A); Sources!A:A; Inputs!A:A</x:v>
      </x:c>
      <x:c r="K82" s="2" t="str">
        <x:v>scripts/olam-analyse.py</x:v>
      </x:c>
      <x:c r="L82" s="2" t="str">
        <x:v>Indexed country/calculation companion</x:v>
      </x:c>
      <x:c r="M82" s="2" t="str">
        <x:v>No category demand inference</x:v>
      </x:c>
    </x:row>
    <x:row r="83" ht="70" customHeight="1">
      <x:c r="A83" s="2" t="str">
        <x:v>C-POP-KHM</x:v>
      </x:c>
      <x:c r="B83" s="2" t="str">
        <x:v>Population projectionpath</x:v>
      </x:c>
      <x:c r="C83" s="2" t="str">
        <x:v>WPP thousands×1000;2051/2026−1</x:v>
      </x:c>
      <x:c r="D83" s="2" t="str">
        <x:v>{"2026": 18051219.0, "2030": 18827388.0, "2035": 19720141.0, "2040": 20540682.0, "2045": 21286237.0, "2050": 21931455.0, "2051": 22045831.0}</x:v>
      </x:c>
      <x:c r="E83" s="2" t="str">
        <x:v>0.22129319909087575</x:v>
      </x:c>
      <x:c r="F83" s="2" t="str">
        <x:v>Persons /fractionchange</x:v>
      </x:c>
      <x:c r="G83" s="2" t="str">
        <x:v>UN_WPP_KHM</x:v>
      </x:c>
      <x:c r="H83" s="2" t="str">
        <x:v>UN_WPP</x:v>
      </x:c>
      <x:c r="I83" s="2" t="str"/>
      <x:c r="J83" s="2" t="str">
        <x:v>Calculation_Audit!A4:M248 (locate stable ID in column A); Sources!A:A; Inputs!A:A</x:v>
      </x:c>
      <x:c r="K83" s="2" t="str">
        <x:v>scripts/olam-analyse.py</x:v>
      </x:c>
      <x:c r="L83" s="2" t="str">
        <x:v>Indexed country/calculation companion</x:v>
      </x:c>
      <x:c r="M83" s="2" t="str">
        <x:v>No category demand inference</x:v>
      </x:c>
    </x:row>
    <x:row r="84" ht="70" customHeight="1">
      <x:c r="A84" s="2" t="str">
        <x:v>C-POP-CMR</x:v>
      </x:c>
      <x:c r="B84" s="2" t="str">
        <x:v>Population projectionpath</x:v>
      </x:c>
      <x:c r="C84" s="2" t="str">
        <x:v>WPP thousands×1000;2051/2026−1</x:v>
      </x:c>
      <x:c r="D84" s="2" t="str">
        <x:v>{"2026": 30640817.0, "2030": 33777190.0, "2035": 37893818.0, "2040": 42208003.0, "2045": 46629039.0, "2050": 51096317.0, "2051": 51989016.0}</x:v>
      </x:c>
      <x:c r="E84" s="2" t="str">
        <x:v>0.6967242094099515</x:v>
      </x:c>
      <x:c r="F84" s="2" t="str">
        <x:v>Persons /fractionchange</x:v>
      </x:c>
      <x:c r="G84" s="2" t="str">
        <x:v>UN_WPP_CMR</x:v>
      </x:c>
      <x:c r="H84" s="2" t="str">
        <x:v>UN_WPP</x:v>
      </x:c>
      <x:c r="I84" s="2" t="str"/>
      <x:c r="J84" s="2" t="str">
        <x:v>Calculation_Audit!A4:M248 (locate stable ID in column A); Sources!A:A; Inputs!A:A</x:v>
      </x:c>
      <x:c r="K84" s="2" t="str">
        <x:v>scripts/olam-analyse.py</x:v>
      </x:c>
      <x:c r="L84" s="2" t="str">
        <x:v>Indexed country/calculation companion</x:v>
      </x:c>
      <x:c r="M84" s="2" t="str">
        <x:v>No category demand inference</x:v>
      </x:c>
    </x:row>
    <x:row r="85" ht="70" customHeight="1">
      <x:c r="A85" s="2" t="str">
        <x:v>C-POP-CAN</x:v>
      </x:c>
      <x:c r="B85" s="2" t="str">
        <x:v>Population projectionpath</x:v>
      </x:c>
      <x:c r="C85" s="2" t="str">
        <x:v>WPP thousands×1000;2051/2026−1</x:v>
      </x:c>
      <x:c r="D85" s="2" t="str">
        <x:v>{"2026": 40467728.0, "2030": 41655589.0, "2035": 42905267.0, "2040": 43951417.0, "2045": 44850096.0, "2050": 45621882.0, "2051": 45771463.0}</x:v>
      </x:c>
      <x:c r="E85" s="2" t="str">
        <x:v>0.13106085421944114</x:v>
      </x:c>
      <x:c r="F85" s="2" t="str">
        <x:v>Persons /fractionchange</x:v>
      </x:c>
      <x:c r="G85" s="2" t="str">
        <x:v>UN_WPP_CAN</x:v>
      </x:c>
      <x:c r="H85" s="2" t="str">
        <x:v>UN_WPP</x:v>
      </x:c>
      <x:c r="I85" s="2" t="str"/>
      <x:c r="J85" s="2" t="str">
        <x:v>Calculation_Audit!A4:M248 (locate stable ID in column A); Sources!A:A; Inputs!A:A</x:v>
      </x:c>
      <x:c r="K85" s="2" t="str">
        <x:v>scripts/olam-analyse.py</x:v>
      </x:c>
      <x:c r="L85" s="2" t="str">
        <x:v>Indexed country/calculation companion</x:v>
      </x:c>
      <x:c r="M85" s="2" t="str">
        <x:v>No category demand inference</x:v>
      </x:c>
    </x:row>
    <x:row r="86" ht="70" customHeight="1">
      <x:c r="A86" s="2" t="str">
        <x:v>C-POP-CAF</x:v>
      </x:c>
      <x:c r="B86" s="2" t="str">
        <x:v>Population projectionpath</x:v>
      </x:c>
      <x:c r="C86" s="2" t="str">
        <x:v>WPP thousands×1000;2051/2026−1</x:v>
      </x:c>
      <x:c r="D86" s="2" t="str">
        <x:v>{"2026": 5698984.0, "2030": 6478245.0, "2035": 7502587.0, "2040": 8526455.0, "2045": 9550893.0, "2050": 10616753.0, "2051": 10834361.0}</x:v>
      </x:c>
      <x:c r="E86" s="2" t="str">
        <x:v>0.9011039511604173</x:v>
      </x:c>
      <x:c r="F86" s="2" t="str">
        <x:v>Persons /fractionchange</x:v>
      </x:c>
      <x:c r="G86" s="2" t="str">
        <x:v>UN_WPP_CAF</x:v>
      </x:c>
      <x:c r="H86" s="2" t="str">
        <x:v>UN_WPP</x:v>
      </x:c>
      <x:c r="I86" s="2" t="str"/>
      <x:c r="J86" s="2" t="str">
        <x:v>Calculation_Audit!A4:M248 (locate stable ID in column A); Sources!A:A; Inputs!A:A</x:v>
      </x:c>
      <x:c r="K86" s="2" t="str">
        <x:v>scripts/olam-analyse.py</x:v>
      </x:c>
      <x:c r="L86" s="2" t="str">
        <x:v>Indexed country/calculation companion</x:v>
      </x:c>
      <x:c r="M86" s="2" t="str">
        <x:v>No category demand inference</x:v>
      </x:c>
    </x:row>
    <x:row r="87" ht="70" customHeight="1">
      <x:c r="A87" s="2" t="str">
        <x:v>C-POP-TCD</x:v>
      </x:c>
      <x:c r="B87" s="2" t="str">
        <x:v>Population projectionpath</x:v>
      </x:c>
      <x:c r="C87" s="2" t="str">
        <x:v>WPP thousands×1000;2051/2026−1</x:v>
      </x:c>
      <x:c r="D87" s="2" t="str">
        <x:v>{"2026": 21560380.0, "2030": 24207479.0, "2035": 27697279.0, "2040": 31307342.0, "2045": 35026393.0, "2050": 38857686.0, "2051": 39636033.0}</x:v>
      </x:c>
      <x:c r="E87" s="2" t="str">
        <x:v>0.8383735815416982</x:v>
      </x:c>
      <x:c r="F87" s="2" t="str">
        <x:v>Persons /fractionchange</x:v>
      </x:c>
      <x:c r="G87" s="2" t="str">
        <x:v>UN_WPP_TCD</x:v>
      </x:c>
      <x:c r="H87" s="2" t="str">
        <x:v>UN_WPP</x:v>
      </x:c>
      <x:c r="I87" s="2" t="str"/>
      <x:c r="J87" s="2" t="str">
        <x:v>Calculation_Audit!A4:M248 (locate stable ID in column A); Sources!A:A; Inputs!A:A</x:v>
      </x:c>
      <x:c r="K87" s="2" t="str">
        <x:v>scripts/olam-analyse.py</x:v>
      </x:c>
      <x:c r="L87" s="2" t="str">
        <x:v>Indexed country/calculation companion</x:v>
      </x:c>
      <x:c r="M87" s="2" t="str">
        <x:v>No category demand inference</x:v>
      </x:c>
    </x:row>
    <x:row r="88" ht="70" customHeight="1">
      <x:c r="A88" s="2" t="str">
        <x:v>C-POP-CHL</x:v>
      </x:c>
      <x:c r="B88" s="2" t="str">
        <x:v>Population projectionpath</x:v>
      </x:c>
      <x:c r="C88" s="2" t="str">
        <x:v>WPP thousands×1000;2051/2026−1</x:v>
      </x:c>
      <x:c r="D88" s="2" t="str">
        <x:v>{"2026": 19945850.0, "2030": 20233183.0, "2035": 20455940.0, "2040": 20542103.0, "2045": 20499138.0, "2050": 20320306.0, "2051": 20269202.0}</x:v>
      </x:c>
      <x:c r="E88" s="2" t="str">
        <x:v>0.016211492616258427</x:v>
      </x:c>
      <x:c r="F88" s="2" t="str">
        <x:v>Persons /fractionchange</x:v>
      </x:c>
      <x:c r="G88" s="2" t="str">
        <x:v>UN_WPP_CHL</x:v>
      </x:c>
      <x:c r="H88" s="2" t="str">
        <x:v>UN_WPP</x:v>
      </x:c>
      <x:c r="I88" s="2" t="str"/>
      <x:c r="J88" s="2" t="str">
        <x:v>Calculation_Audit!A4:M248 (locate stable ID in column A); Sources!A:A; Inputs!A:A</x:v>
      </x:c>
      <x:c r="K88" s="2" t="str">
        <x:v>scripts/olam-analyse.py</x:v>
      </x:c>
      <x:c r="L88" s="2" t="str">
        <x:v>Indexed country/calculation companion</x:v>
      </x:c>
      <x:c r="M88" s="2" t="str">
        <x:v>No category demand inference</x:v>
      </x:c>
    </x:row>
    <x:row r="89" ht="70" customHeight="1">
      <x:c r="A89" s="2" t="str">
        <x:v>C-POP-CHN</x:v>
      </x:c>
      <x:c r="B89" s="2" t="str">
        <x:v>Population projectionpath</x:v>
      </x:c>
      <x:c r="C89" s="2" t="str">
        <x:v>WPP thousands×1000;2051/2026−1</x:v>
      </x:c>
      <x:c r="D89" s="2" t="str">
        <x:v>{"2026": 1412914089.0, "2030": 1398153832.0, "2035": 1373427531.0, "2040": 1342816657.0, "2045": 1306113788.0, "2050": 1260289093.0, "2051": 1249692538.0}</x:v>
      </x:c>
      <x:c r="E89" s="2" t="str">
        <x:v>-0.11552121411396021</x:v>
      </x:c>
      <x:c r="F89" s="2" t="str">
        <x:v>Persons /fractionchange</x:v>
      </x:c>
      <x:c r="G89" s="2" t="str">
        <x:v>UN_WPP_CHN</x:v>
      </x:c>
      <x:c r="H89" s="2" t="str">
        <x:v>UN_WPP</x:v>
      </x:c>
      <x:c r="I89" s="2" t="str"/>
      <x:c r="J89" s="2" t="str">
        <x:v>Calculation_Audit!A4:M248 (locate stable ID in column A); Sources!A:A; Inputs!A:A</x:v>
      </x:c>
      <x:c r="K89" s="2" t="str">
        <x:v>scripts/olam-analyse.py</x:v>
      </x:c>
      <x:c r="L89" s="2" t="str">
        <x:v>7</x:v>
      </x:c>
      <x:c r="M89" s="2" t="str">
        <x:v>No category demand inference</x:v>
      </x:c>
    </x:row>
    <x:row r="90" ht="70" customHeight="1">
      <x:c r="A90" s="2" t="str">
        <x:v>C-POP-COL</x:v>
      </x:c>
      <x:c r="B90" s="2" t="str">
        <x:v>Population projectionpath</x:v>
      </x:c>
      <x:c r="C90" s="2" t="str">
        <x:v>WPP thousands×1000;2051/2026−1</x:v>
      </x:c>
      <x:c r="D90" s="2" t="str">
        <x:v>{"2026": 53936226.0, "2030": 55736475.0, "2035": 57445753.0, "2040": 58576446.0, "2045": 59190823.0, "2050": 59385357.0, "2051": 59382960.0}</x:v>
      </x:c>
      <x:c r="E90" s="2" t="str">
        <x:v>0.10098470738386478</x:v>
      </x:c>
      <x:c r="F90" s="2" t="str">
        <x:v>Persons /fractionchange</x:v>
      </x:c>
      <x:c r="G90" s="2" t="str">
        <x:v>UN_WPP_COL</x:v>
      </x:c>
      <x:c r="H90" s="2" t="str">
        <x:v>UN_WPP</x:v>
      </x:c>
      <x:c r="I90" s="2" t="str"/>
      <x:c r="J90" s="2" t="str">
        <x:v>Calculation_Audit!A4:M248 (locate stable ID in column A); Sources!A:A; Inputs!A:A</x:v>
      </x:c>
      <x:c r="K90" s="2" t="str">
        <x:v>scripts/olam-analyse.py</x:v>
      </x:c>
      <x:c r="L90" s="2" t="str">
        <x:v>Indexed country/calculation companion</x:v>
      </x:c>
      <x:c r="M90" s="2" t="str">
        <x:v>No category demand inference</x:v>
      </x:c>
    </x:row>
    <x:row r="91" ht="70" customHeight="1">
      <x:c r="A91" s="2" t="str">
        <x:v>C-POP-COM</x:v>
      </x:c>
      <x:c r="B91" s="2" t="str">
        <x:v>Population projectionpath</x:v>
      </x:c>
      <x:c r="C91" s="2" t="str">
        <x:v>WPP thousands×1000;2051/2026−1</x:v>
      </x:c>
      <x:c r="D91" s="2" t="str">
        <x:v>{"2026": 899010.0, "2030": 964264.0, "2035": 1047762.9999999999, "2040": 1133778.0, "2045": 1221072.0, "2050": 1307558.0, "2051": 1324686.0}</x:v>
      </x:c>
      <x:c r="E91" s="2" t="str">
        <x:v>0.47349417692795415</x:v>
      </x:c>
      <x:c r="F91" s="2" t="str">
        <x:v>Persons /fractionchange</x:v>
      </x:c>
      <x:c r="G91" s="2" t="str">
        <x:v>UN_WPP_COM</x:v>
      </x:c>
      <x:c r="H91" s="2" t="str">
        <x:v>UN_WPP</x:v>
      </x:c>
      <x:c r="I91" s="2" t="str"/>
      <x:c r="J91" s="2" t="str">
        <x:v>Calculation_Audit!A4:M248 (locate stable ID in column A); Sources!A:A; Inputs!A:A</x:v>
      </x:c>
      <x:c r="K91" s="2" t="str">
        <x:v>scripts/olam-analyse.py</x:v>
      </x:c>
      <x:c r="L91" s="2" t="str">
        <x:v>Indexed country/calculation companion</x:v>
      </x:c>
      <x:c r="M91" s="2" t="str">
        <x:v>No category demand inference</x:v>
      </x:c>
    </x:row>
    <x:row r="92" ht="70" customHeight="1">
      <x:c r="A92" s="2" t="str">
        <x:v>C-POP-COG</x:v>
      </x:c>
      <x:c r="B92" s="2" t="str">
        <x:v>Population projectionpath</x:v>
      </x:c>
      <x:c r="C92" s="2" t="str">
        <x:v>WPP thousands×1000;2051/2026−1</x:v>
      </x:c>
      <x:c r="D92" s="2" t="str">
        <x:v>{"2026": 6637785.0, "2030": 7282266.0, "2035": 8160733.0, "2040": 9083971.0, "2045": 10041901.0, "2050": 11006471.0, "2051": 11200449.0}</x:v>
      </x:c>
      <x:c r="E92" s="2" t="str">
        <x:v>0.6873774911359738</x:v>
      </x:c>
      <x:c r="F92" s="2" t="str">
        <x:v>Persons /fractionchange</x:v>
      </x:c>
      <x:c r="G92" s="2" t="str">
        <x:v>UN_WPP_COG</x:v>
      </x:c>
      <x:c r="H92" s="2" t="str">
        <x:v>UN_WPP</x:v>
      </x:c>
      <x:c r="I92" s="2" t="str"/>
      <x:c r="J92" s="2" t="str">
        <x:v>Calculation_Audit!A4:M248 (locate stable ID in column A); Sources!A:A; Inputs!A:A</x:v>
      </x:c>
      <x:c r="K92" s="2" t="str">
        <x:v>scripts/olam-analyse.py</x:v>
      </x:c>
      <x:c r="L92" s="2" t="str">
        <x:v>Indexed country/calculation companion</x:v>
      </x:c>
      <x:c r="M92" s="2" t="str">
        <x:v>No category demand inference</x:v>
      </x:c>
    </x:row>
    <x:row r="93" ht="70" customHeight="1">
      <x:c r="A93" s="2" t="str">
        <x:v>C-POP-CRI</x:v>
      </x:c>
      <x:c r="B93" s="2" t="str">
        <x:v>Population projectionpath</x:v>
      </x:c>
      <x:c r="C93" s="2" t="str">
        <x:v>WPP thousands×1000;2051/2026−1</x:v>
      </x:c>
      <x:c r="D93" s="2" t="str">
        <x:v>{"2026": 5174789.0, "2030": 5251497.0, "2035": 5324699.0, "2040": 5369806.0, "2045": 5381019.0, "2050": 5354150.0, "2051": 5344062.0}</x:v>
      </x:c>
      <x:c r="E93" s="2" t="str">
        <x:v>0.03271109218172952</x:v>
      </x:c>
      <x:c r="F93" s="2" t="str">
        <x:v>Persons /fractionchange</x:v>
      </x:c>
      <x:c r="G93" s="2" t="str">
        <x:v>UN_WPP_CRI</x:v>
      </x:c>
      <x:c r="H93" s="2" t="str">
        <x:v>UN_WPP</x:v>
      </x:c>
      <x:c r="I93" s="2" t="str"/>
      <x:c r="J93" s="2" t="str">
        <x:v>Calculation_Audit!A4:M248 (locate stable ID in column A); Sources!A:A; Inputs!A:A</x:v>
      </x:c>
      <x:c r="K93" s="2" t="str">
        <x:v>scripts/olam-analyse.py</x:v>
      </x:c>
      <x:c r="L93" s="2" t="str">
        <x:v>Indexed country/calculation companion</x:v>
      </x:c>
      <x:c r="M93" s="2" t="str">
        <x:v>No category demand inference</x:v>
      </x:c>
    </x:row>
    <x:row r="94" ht="70" customHeight="1">
      <x:c r="A94" s="2" t="str">
        <x:v>C-POP-HRV</x:v>
      </x:c>
      <x:c r="B94" s="2" t="str">
        <x:v>Population projectionpath</x:v>
      </x:c>
      <x:c r="C94" s="2" t="str">
        <x:v>WPP thousands×1000;2051/2026−1</x:v>
      </x:c>
      <x:c r="D94" s="2" t="str">
        <x:v>{"2026": 3822345.0, "2030": 3725770.0, "2035": 3607215.0, "2040": 3488309.0, "2045": 3362953.0, "2050": 3234160.0, "2051": 3208229.0}</x:v>
      </x:c>
      <x:c r="E94" s="2" t="str">
        <x:v>-0.16066472283375777</x:v>
      </x:c>
      <x:c r="F94" s="2" t="str">
        <x:v>Persons /fractionchange</x:v>
      </x:c>
      <x:c r="G94" s="2" t="str">
        <x:v>UN_WPP_HRV</x:v>
      </x:c>
      <x:c r="H94" s="2" t="str">
        <x:v>UN_WPP</x:v>
      </x:c>
      <x:c r="I94" s="2" t="str"/>
      <x:c r="J94" s="2" t="str">
        <x:v>Calculation_Audit!A4:M248 (locate stable ID in column A); Sources!A:A; Inputs!A:A</x:v>
      </x:c>
      <x:c r="K94" s="2" t="str">
        <x:v>scripts/olam-analyse.py</x:v>
      </x:c>
      <x:c r="L94" s="2" t="str">
        <x:v>Indexed country/calculation companion</x:v>
      </x:c>
      <x:c r="M94" s="2" t="str">
        <x:v>No category demand inference</x:v>
      </x:c>
    </x:row>
    <x:row r="95" ht="70" customHeight="1">
      <x:c r="A95" s="2" t="str">
        <x:v>C-POP-CUB</x:v>
      </x:c>
      <x:c r="B95" s="2" t="str">
        <x:v>Population projectionpath</x:v>
      </x:c>
      <x:c r="C95" s="2" t="str">
        <x:v>WPP thousands×1000;2051/2026−1</x:v>
      </x:c>
      <x:c r="D95" s="2" t="str">
        <x:v>{"2026": 10892659.0, "2030": 10700822.0, "2035": 10431762.0, "2040": 10125837.0, "2045": 9775199.0, "2050": 9381999.0, "2051": 9298547.0}</x:v>
      </x:c>
      <x:c r="E95" s="2" t="str">
        <x:v>-0.14634737027937805</x:v>
      </x:c>
      <x:c r="F95" s="2" t="str">
        <x:v>Persons /fractionchange</x:v>
      </x:c>
      <x:c r="G95" s="2" t="str">
        <x:v>UN_WPP_CUB</x:v>
      </x:c>
      <x:c r="H95" s="2" t="str">
        <x:v>UN_WPP</x:v>
      </x:c>
      <x:c r="I95" s="2" t="str"/>
      <x:c r="J95" s="2" t="str">
        <x:v>Calculation_Audit!A4:M248 (locate stable ID in column A); Sources!A:A; Inputs!A:A</x:v>
      </x:c>
      <x:c r="K95" s="2" t="str">
        <x:v>scripts/olam-analyse.py</x:v>
      </x:c>
      <x:c r="L95" s="2" t="str">
        <x:v>Indexed country/calculation companion</x:v>
      </x:c>
      <x:c r="M95" s="2" t="str">
        <x:v>No category demand inference</x:v>
      </x:c>
    </x:row>
    <x:row r="96" ht="70" customHeight="1">
      <x:c r="A96" s="2" t="str">
        <x:v>C-POP-CYP</x:v>
      </x:c>
      <x:c r="B96" s="2" t="str">
        <x:v>Population projectionpath</x:v>
      </x:c>
      <x:c r="C96" s="2" t="str">
        <x:v>WPP thousands×1000;2051/2026−1</x:v>
      </x:c>
      <x:c r="D96" s="2" t="str">
        <x:v>{"2026": 1382334.0, "2030": 1422318.0, "2035": 1459190.0, "2040": 1484849.0, "2045": 1500070.0, "2050": 1508482.0, "2051": 1509486.0}</x:v>
      </x:c>
      <x:c r="E96" s="2" t="str">
        <x:v>0.09198355824279814</x:v>
      </x:c>
      <x:c r="F96" s="2" t="str">
        <x:v>Persons /fractionchange</x:v>
      </x:c>
      <x:c r="G96" s="2" t="str">
        <x:v>UN_WPP_CYP</x:v>
      </x:c>
      <x:c r="H96" s="2" t="str">
        <x:v>UN_WPP</x:v>
      </x:c>
      <x:c r="I96" s="2" t="str"/>
      <x:c r="J96" s="2" t="str">
        <x:v>Calculation_Audit!A4:M248 (locate stable ID in column A); Sources!A:A; Inputs!A:A</x:v>
      </x:c>
      <x:c r="K96" s="2" t="str">
        <x:v>scripts/olam-analyse.py</x:v>
      </x:c>
      <x:c r="L96" s="2" t="str">
        <x:v>Indexed country/calculation companion</x:v>
      </x:c>
      <x:c r="M96" s="2" t="str">
        <x:v>No category demand inference</x:v>
      </x:c>
    </x:row>
    <x:row r="97" ht="70" customHeight="1">
      <x:c r="A97" s="2" t="str">
        <x:v>C-POP-CZE</x:v>
      </x:c>
      <x:c r="B97" s="2" t="str">
        <x:v>Population projectionpath</x:v>
      </x:c>
      <x:c r="C97" s="2" t="str">
        <x:v>WPP thousands×1000;2051/2026−1</x:v>
      </x:c>
      <x:c r="D97" s="2" t="str">
        <x:v>{"2026": 10527781.0, "2030": 10425089.0, "2035": 10265956.0, "2040": 10107226.0, "2045": 9965090.0, "2050": 9825543.0, "2051": 9795302.0}</x:v>
      </x:c>
      <x:c r="E97" s="2" t="str">
        <x:v>-0.06957582039368027</x:v>
      </x:c>
      <x:c r="F97" s="2" t="str">
        <x:v>Persons /fractionchange</x:v>
      </x:c>
      <x:c r="G97" s="2" t="str">
        <x:v>UN_WPP_CZE</x:v>
      </x:c>
      <x:c r="H97" s="2" t="str">
        <x:v>UN_WPP</x:v>
      </x:c>
      <x:c r="I97" s="2" t="str"/>
      <x:c r="J97" s="2" t="str">
        <x:v>Calculation_Audit!A4:M248 (locate stable ID in column A); Sources!A:A; Inputs!A:A</x:v>
      </x:c>
      <x:c r="K97" s="2" t="str">
        <x:v>scripts/olam-analyse.py</x:v>
      </x:c>
      <x:c r="L97" s="2" t="str">
        <x:v>Indexed country/calculation companion</x:v>
      </x:c>
      <x:c r="M97" s="2" t="str">
        <x:v>No category demand inference</x:v>
      </x:c>
    </x:row>
    <x:row r="98" ht="70" customHeight="1">
      <x:c r="A98" s="2" t="str">
        <x:v>C-POP-CIV</x:v>
      </x:c>
      <x:c r="B98" s="2" t="str">
        <x:v>Population projectionpath</x:v>
      </x:c>
      <x:c r="C98" s="2" t="str">
        <x:v>WPP thousands×1000;2051/2026−1</x:v>
      </x:c>
      <x:c r="D98" s="2" t="str">
        <x:v>{"2026": 33494345.999999996, "2030": 36699009.0, "2035": 41033849.0, "2040": 45743925.0, "2045": 50716067.0, "2050": 55746985.0, "2051": 56759561.0}</x:v>
      </x:c>
      <x:c r="E98" s="2" t="str">
        <x:v>0.6946012619562718</x:v>
      </x:c>
      <x:c r="F98" s="2" t="str">
        <x:v>Persons /fractionchange</x:v>
      </x:c>
      <x:c r="G98" s="2" t="str">
        <x:v>UN_WPP_CIV</x:v>
      </x:c>
      <x:c r="H98" s="2" t="str">
        <x:v>UN_WPP</x:v>
      </x:c>
      <x:c r="I98" s="2" t="str"/>
      <x:c r="J98" s="2" t="str">
        <x:v>Calculation_Audit!A4:M248 (locate stable ID in column A); Sources!A:A; Inputs!A:A</x:v>
      </x:c>
      <x:c r="K98" s="2" t="str">
        <x:v>scripts/olam-analyse.py</x:v>
      </x:c>
      <x:c r="L98" s="2" t="str">
        <x:v>Indexed country/calculation companion</x:v>
      </x:c>
      <x:c r="M98" s="2" t="str">
        <x:v>No category demand inference</x:v>
      </x:c>
    </x:row>
    <x:row r="99" ht="70" customHeight="1">
      <x:c r="A99" s="2" t="str">
        <x:v>C-POP-PRK</x:v>
      </x:c>
      <x:c r="B99" s="2" t="str">
        <x:v>Population projectionpath</x:v>
      </x:c>
      <x:c r="C99" s="2" t="str">
        <x:v>WPP thousands×1000;2051/2026−1</x:v>
      </x:c>
      <x:c r="D99" s="2" t="str">
        <x:v>{"2026": 26633691.0, "2030": 26784904.0, "2035": 26757724.0, "2040": 26542432.0, "2045": 26210203.0, "2050": 25787127.0, "2051": 25691411.0}</x:v>
      </x:c>
      <x:c r="E99" s="2" t="str">
        <x:v>-0.035379249537737745</x:v>
      </x:c>
      <x:c r="F99" s="2" t="str">
        <x:v>Persons /fractionchange</x:v>
      </x:c>
      <x:c r="G99" s="2" t="str">
        <x:v>UN_WPP_PRK</x:v>
      </x:c>
      <x:c r="H99" s="2" t="str">
        <x:v>UN_WPP</x:v>
      </x:c>
      <x:c r="I99" s="2" t="str"/>
      <x:c r="J99" s="2" t="str">
        <x:v>Calculation_Audit!A4:M248 (locate stable ID in column A); Sources!A:A; Inputs!A:A</x:v>
      </x:c>
      <x:c r="K99" s="2" t="str">
        <x:v>scripts/olam-analyse.py</x:v>
      </x:c>
      <x:c r="L99" s="2" t="str">
        <x:v>Indexed country/calculation companion</x:v>
      </x:c>
      <x:c r="M99" s="2" t="str">
        <x:v>No category demand inference</x:v>
      </x:c>
    </x:row>
    <x:row r="100" ht="70" customHeight="1">
      <x:c r="A100" s="2" t="str">
        <x:v>C-POP-COD</x:v>
      </x:c>
      <x:c r="B100" s="2" t="str">
        <x:v>Population projectionpath</x:v>
      </x:c>
      <x:c r="C100" s="2" t="str">
        <x:v>WPP thousands×1000;2051/2026−1</x:v>
      </x:c>
      <x:c r="D100" s="2" t="str">
        <x:v>{"2026": 116452162.0, "2030": 131532201.0, "2035": 151560103.0, "2040": 172595582.0, "2045": 194865379.0, "2050": 218246072.0, "2051": 223027957.0}</x:v>
      </x:c>
      <x:c r="E100" s="2" t="str">
        <x:v>0.915189492145281</x:v>
      </x:c>
      <x:c r="F100" s="2" t="str">
        <x:v>Persons /fractionchange</x:v>
      </x:c>
      <x:c r="G100" s="2" t="str">
        <x:v>UN_WPP_COD</x:v>
      </x:c>
      <x:c r="H100" s="2" t="str">
        <x:v>UN_WPP</x:v>
      </x:c>
      <x:c r="I100" s="2" t="str"/>
      <x:c r="J100" s="2" t="str">
        <x:v>Calculation_Audit!A4:M248 (locate stable ID in column A); Sources!A:A; Inputs!A:A</x:v>
      </x:c>
      <x:c r="K100" s="2" t="str">
        <x:v>scripts/olam-analyse.py</x:v>
      </x:c>
      <x:c r="L100" s="2" t="str">
        <x:v>Indexed country/calculation companion</x:v>
      </x:c>
      <x:c r="M100" s="2" t="str">
        <x:v>No category demand inference</x:v>
      </x:c>
    </x:row>
    <x:row r="101" ht="70" customHeight="1">
      <x:c r="A101" s="2" t="str">
        <x:v>C-POP-DNK</x:v>
      </x:c>
      <x:c r="B101" s="2" t="str">
        <x:v>Population projectionpath</x:v>
      </x:c>
      <x:c r="C101" s="2" t="str">
        <x:v>WPP thousands×1000;2051/2026−1</x:v>
      </x:c>
      <x:c r="D101" s="2" t="str">
        <x:v>{"2026": 6023520.0, "2030": 6081995.0, "2035": 6119806.0, "2040": 6134659.0, "2045": 6134655.0, "2050": 6124838.0, "2051": 6121371.0}</x:v>
      </x:c>
      <x:c r="E101" s="2" t="str">
        <x:v>0.01624482030440677</x:v>
      </x:c>
      <x:c r="F101" s="2" t="str">
        <x:v>Persons /fractionchange</x:v>
      </x:c>
      <x:c r="G101" s="2" t="str">
        <x:v>UN_WPP_DNK</x:v>
      </x:c>
      <x:c r="H101" s="2" t="str">
        <x:v>UN_WPP</x:v>
      </x:c>
      <x:c r="I101" s="2" t="str"/>
      <x:c r="J101" s="2" t="str">
        <x:v>Calculation_Audit!A4:M248 (locate stable ID in column A); Sources!A:A; Inputs!A:A</x:v>
      </x:c>
      <x:c r="K101" s="2" t="str">
        <x:v>scripts/olam-analyse.py</x:v>
      </x:c>
      <x:c r="L101" s="2" t="str">
        <x:v>Indexed country/calculation companion</x:v>
      </x:c>
      <x:c r="M101" s="2" t="str">
        <x:v>No category demand inference</x:v>
      </x:c>
    </x:row>
    <x:row r="102" ht="70" customHeight="1">
      <x:c r="A102" s="2" t="str">
        <x:v>C-POP-DJI</x:v>
      </x:c>
      <x:c r="B102" s="2" t="str">
        <x:v>Population projectionpath</x:v>
      </x:c>
      <x:c r="C102" s="2" t="str">
        <x:v>WPP thousands×1000;2051/2026−1</x:v>
      </x:c>
      <x:c r="D102" s="2" t="str">
        <x:v>{"2026": 1199459.0, "2030": 1262678.0, "2035": 1335498.0, "2040": 1406635.0, "2045": 1474041.0, "2050": 1530540.0, "2051": 1540678.0}</x:v>
      </x:c>
      <x:c r="E102" s="2" t="str">
        <x:v>0.28447741856953845</x:v>
      </x:c>
      <x:c r="F102" s="2" t="str">
        <x:v>Persons /fractionchange</x:v>
      </x:c>
      <x:c r="G102" s="2" t="str">
        <x:v>UN_WPP_DJI</x:v>
      </x:c>
      <x:c r="H102" s="2" t="str">
        <x:v>UN_WPP</x:v>
      </x:c>
      <x:c r="I102" s="2" t="str"/>
      <x:c r="J102" s="2" t="str">
        <x:v>Calculation_Audit!A4:M248 (locate stable ID in column A); Sources!A:A; Inputs!A:A</x:v>
      </x:c>
      <x:c r="K102" s="2" t="str">
        <x:v>scripts/olam-analyse.py</x:v>
      </x:c>
      <x:c r="L102" s="2" t="str">
        <x:v>Indexed country/calculation companion</x:v>
      </x:c>
      <x:c r="M102" s="2" t="str">
        <x:v>No category demand inference</x:v>
      </x:c>
    </x:row>
    <x:row r="103" ht="70" customHeight="1">
      <x:c r="A103" s="2" t="str">
        <x:v>C-POP-DMA</x:v>
      </x:c>
      <x:c r="B103" s="2" t="str">
        <x:v>Population projectionpath</x:v>
      </x:c>
      <x:c r="C103" s="2" t="str">
        <x:v>WPP thousands×1000;2051/2026−1</x:v>
      </x:c>
      <x:c r="D103" s="2" t="str">
        <x:v>{"2026": 65510.99999999999, "2030": 64169.0, "2035": 63761.0, "2040": 63799.0, "2045": 63629.0, "2050": 63192.0, "2051": 63062.0}</x:v>
      </x:c>
      <x:c r="E103" s="2" t="str">
        <x:v>-0.0373830349101677</x:v>
      </x:c>
      <x:c r="F103" s="2" t="str">
        <x:v>Persons /fractionchange</x:v>
      </x:c>
      <x:c r="G103" s="2" t="str">
        <x:v>UN_WPP_DMA</x:v>
      </x:c>
      <x:c r="H103" s="2" t="str">
        <x:v>UN_WPP</x:v>
      </x:c>
      <x:c r="I103" s="2" t="str"/>
      <x:c r="J103" s="2" t="str">
        <x:v>Calculation_Audit!A4:M248 (locate stable ID in column A); Sources!A:A; Inputs!A:A</x:v>
      </x:c>
      <x:c r="K103" s="2" t="str">
        <x:v>scripts/olam-analyse.py</x:v>
      </x:c>
      <x:c r="L103" s="2" t="str">
        <x:v>Indexed country/calculation companion</x:v>
      </x:c>
      <x:c r="M103" s="2" t="str">
        <x:v>No category demand inference</x:v>
      </x:c>
    </x:row>
    <x:row r="104" ht="70" customHeight="1">
      <x:c r="A104" s="2" t="str">
        <x:v>C-POP-DOM</x:v>
      </x:c>
      <x:c r="B104" s="2" t="str">
        <x:v>Population projectionpath</x:v>
      </x:c>
      <x:c r="C104" s="2" t="str">
        <x:v>WPP thousands×1000;2051/2026−1</x:v>
      </x:c>
      <x:c r="D104" s="2" t="str">
        <x:v>{"2026": 11609500.0, "2030": 11938852.0, "2035": 12289431.0, "2040": 12579320.0, "2045": 12816005.0, "2050": 12996293.0, "2051": 13025140.0}</x:v>
      </x:c>
      <x:c r="E104" s="2" t="str">
        <x:v>0.12193806796158313</x:v>
      </x:c>
      <x:c r="F104" s="2" t="str">
        <x:v>Persons /fractionchange</x:v>
      </x:c>
      <x:c r="G104" s="2" t="str">
        <x:v>UN_WPP_DOM</x:v>
      </x:c>
      <x:c r="H104" s="2" t="str">
        <x:v>UN_WPP</x:v>
      </x:c>
      <x:c r="I104" s="2" t="str"/>
      <x:c r="J104" s="2" t="str">
        <x:v>Calculation_Audit!A4:M248 (locate stable ID in column A); Sources!A:A; Inputs!A:A</x:v>
      </x:c>
      <x:c r="K104" s="2" t="str">
        <x:v>scripts/olam-analyse.py</x:v>
      </x:c>
      <x:c r="L104" s="2" t="str">
        <x:v>Indexed country/calculation companion</x:v>
      </x:c>
      <x:c r="M104" s="2" t="str">
        <x:v>No category demand inference</x:v>
      </x:c>
    </x:row>
    <x:row r="105" ht="70" customHeight="1">
      <x:c r="A105" s="2" t="str">
        <x:v>C-POP-ECU</x:v>
      </x:c>
      <x:c r="B105" s="2" t="str">
        <x:v>Population projectionpath</x:v>
      </x:c>
      <x:c r="C105" s="2" t="str">
        <x:v>WPP thousands×1000;2051/2026−1</x:v>
      </x:c>
      <x:c r="D105" s="2" t="str">
        <x:v>{"2026": 18444506.0, "2030": 19069719.0, "2035": 19800128.0, "2040": 20434220.0, "2045": 20950628.0, "2050": 21337237.0, "2051": 21398376.0}</x:v>
      </x:c>
      <x:c r="E105" s="2" t="str">
        <x:v>0.160149043839938</x:v>
      </x:c>
      <x:c r="F105" s="2" t="str">
        <x:v>Persons /fractionchange</x:v>
      </x:c>
      <x:c r="G105" s="2" t="str">
        <x:v>UN_WPP_ECU</x:v>
      </x:c>
      <x:c r="H105" s="2" t="str">
        <x:v>UN_WPP</x:v>
      </x:c>
      <x:c r="I105" s="2" t="str"/>
      <x:c r="J105" s="2" t="str">
        <x:v>Calculation_Audit!A4:M248 (locate stable ID in column A); Sources!A:A; Inputs!A:A</x:v>
      </x:c>
      <x:c r="K105" s="2" t="str">
        <x:v>scripts/olam-analyse.py</x:v>
      </x:c>
      <x:c r="L105" s="2" t="str">
        <x:v>Indexed country/calculation companion</x:v>
      </x:c>
      <x:c r="M105" s="2" t="str">
        <x:v>No category demand inference</x:v>
      </x:c>
    </x:row>
    <x:row r="106" ht="70" customHeight="1">
      <x:c r="A106" s="2" t="str">
        <x:v>C-POP-EGY</x:v>
      </x:c>
      <x:c r="B106" s="2" t="str">
        <x:v>Population projectionpath</x:v>
      </x:c>
      <x:c r="C106" s="2" t="str">
        <x:v>WPP thousands×1000;2051/2026−1</x:v>
      </x:c>
      <x:c r="D106" s="2" t="str">
        <x:v>{"2026": 120101175.0, "2030": 127139322.0, "2035": 136097217.0, "2040": 145213654.0, "2045": 153919189.0, "2050": 161630192.0, "2051": 163063539.0}</x:v>
      </x:c>
      <x:c r="E106" s="2" t="str">
        <x:v>0.35771809892784145</x:v>
      </x:c>
      <x:c r="F106" s="2" t="str">
        <x:v>Persons /fractionchange</x:v>
      </x:c>
      <x:c r="G106" s="2" t="str">
        <x:v>UN_WPP_EGY</x:v>
      </x:c>
      <x:c r="H106" s="2" t="str">
        <x:v>UN_WPP</x:v>
      </x:c>
      <x:c r="I106" s="2" t="str"/>
      <x:c r="J106" s="2" t="str">
        <x:v>Calculation_Audit!A4:M248 (locate stable ID in column A); Sources!A:A; Inputs!A:A</x:v>
      </x:c>
      <x:c r="K106" s="2" t="str">
        <x:v>scripts/olam-analyse.py</x:v>
      </x:c>
      <x:c r="L106" s="2" t="str">
        <x:v>Indexed country/calculation companion</x:v>
      </x:c>
      <x:c r="M106" s="2" t="str">
        <x:v>No category demand inference</x:v>
      </x:c>
    </x:row>
    <x:row r="107" ht="70" customHeight="1">
      <x:c r="A107" s="2" t="str">
        <x:v>C-POP-SLV</x:v>
      </x:c>
      <x:c r="B107" s="2" t="str">
        <x:v>Population projectionpath</x:v>
      </x:c>
      <x:c r="C107" s="2" t="str">
        <x:v>WPP thousands×1000;2051/2026−1</x:v>
      </x:c>
      <x:c r="D107" s="2" t="str">
        <x:v>{"2026": 6391253.0, "2030": 6486207.0, "2035": 6578181.0, "2040": 6640752.0, "2045": 6668025.0, "2050": 6663346.0, "2051": 6658584.0}</x:v>
      </x:c>
      <x:c r="E107" s="2" t="str">
        <x:v>0.04182763536351941</x:v>
      </x:c>
      <x:c r="F107" s="2" t="str">
        <x:v>Persons /fractionchange</x:v>
      </x:c>
      <x:c r="G107" s="2" t="str">
        <x:v>UN_WPP_SLV</x:v>
      </x:c>
      <x:c r="H107" s="2" t="str">
        <x:v>UN_WPP</x:v>
      </x:c>
      <x:c r="I107" s="2" t="str"/>
      <x:c r="J107" s="2" t="str">
        <x:v>Calculation_Audit!A4:M248 (locate stable ID in column A); Sources!A:A; Inputs!A:A</x:v>
      </x:c>
      <x:c r="K107" s="2" t="str">
        <x:v>scripts/olam-analyse.py</x:v>
      </x:c>
      <x:c r="L107" s="2" t="str">
        <x:v>Indexed country/calculation companion</x:v>
      </x:c>
      <x:c r="M107" s="2" t="str">
        <x:v>No category demand inference</x:v>
      </x:c>
    </x:row>
    <x:row r="108" ht="70" customHeight="1">
      <x:c r="A108" s="2" t="str">
        <x:v>C-POP-GNQ</x:v>
      </x:c>
      <x:c r="B108" s="2" t="str">
        <x:v>Population projectionpath</x:v>
      </x:c>
      <x:c r="C108" s="2" t="str">
        <x:v>WPP thousands×1000;2051/2026−1</x:v>
      </x:c>
      <x:c r="D108" s="2" t="str">
        <x:v>{"2026": 1984468.0, "2030": 2170445.0, "2035": 2414269.0, "2040": 2665586.0, "2045": 2911235.0, "2050": 3143728.0, "2051": 3190137.0}</x:v>
      </x:c>
      <x:c r="E108" s="2" t="str">
        <x:v>0.6075527546929453</x:v>
      </x:c>
      <x:c r="F108" s="2" t="str">
        <x:v>Persons /fractionchange</x:v>
      </x:c>
      <x:c r="G108" s="2" t="str">
        <x:v>UN_WPP_GNQ</x:v>
      </x:c>
      <x:c r="H108" s="2" t="str">
        <x:v>UN_WPP</x:v>
      </x:c>
      <x:c r="I108" s="2" t="str"/>
      <x:c r="J108" s="2" t="str">
        <x:v>Calculation_Audit!A4:M248 (locate stable ID in column A); Sources!A:A; Inputs!A:A</x:v>
      </x:c>
      <x:c r="K108" s="2" t="str">
        <x:v>scripts/olam-analyse.py</x:v>
      </x:c>
      <x:c r="L108" s="2" t="str">
        <x:v>Indexed country/calculation companion</x:v>
      </x:c>
      <x:c r="M108" s="2" t="str">
        <x:v>No category demand inference</x:v>
      </x:c>
    </x:row>
    <x:row r="109" ht="70" customHeight="1">
      <x:c r="A109" s="2" t="str">
        <x:v>C-POP-ERI</x:v>
      </x:c>
      <x:c r="B109" s="2" t="str">
        <x:v>Population projectionpath</x:v>
      </x:c>
      <x:c r="C109" s="2" t="str">
        <x:v>WPP thousands×1000;2051/2026−1</x:v>
      </x:c>
      <x:c r="D109" s="2" t="str">
        <x:v>{"2026": 3682669.0, "2030": 4002672.0, "2035": 4420922.0, "2040": 4868676.0, "2045": 5292768.0, "2050": 5696062.0, "2051": 5775739.0}</x:v>
      </x:c>
      <x:c r="E109" s="2" t="str">
        <x:v>0.5683568086081046</x:v>
      </x:c>
      <x:c r="F109" s="2" t="str">
        <x:v>Persons /fractionchange</x:v>
      </x:c>
      <x:c r="G109" s="2" t="str">
        <x:v>UN_WPP_ERI</x:v>
      </x:c>
      <x:c r="H109" s="2" t="str">
        <x:v>UN_WPP</x:v>
      </x:c>
      <x:c r="I109" s="2" t="str"/>
      <x:c r="J109" s="2" t="str">
        <x:v>Calculation_Audit!A4:M248 (locate stable ID in column A); Sources!A:A; Inputs!A:A</x:v>
      </x:c>
      <x:c r="K109" s="2" t="str">
        <x:v>scripts/olam-analyse.py</x:v>
      </x:c>
      <x:c r="L109" s="2" t="str">
        <x:v>Indexed country/calculation companion</x:v>
      </x:c>
      <x:c r="M109" s="2" t="str">
        <x:v>No category demand inference</x:v>
      </x:c>
    </x:row>
    <x:row r="110" ht="70" customHeight="1">
      <x:c r="A110" s="2" t="str">
        <x:v>C-POP-EST</x:v>
      </x:c>
      <x:c r="B110" s="2" t="str">
        <x:v>Population projectionpath</x:v>
      </x:c>
      <x:c r="C110" s="2" t="str">
        <x:v>WPP thousands×1000;2051/2026−1</x:v>
      </x:c>
      <x:c r="D110" s="2" t="str">
        <x:v>{"2026": 1331062.0, "2030": 1302772.0, "2035": 1268271.0, "2040": 1236787.0, "2045": 1206184.0, "2050": 1174267.0, "2051": 1167469.0}</x:v>
      </x:c>
      <x:c r="E110" s="2" t="str">
        <x:v>-0.12290411716358818</x:v>
      </x:c>
      <x:c r="F110" s="2" t="str">
        <x:v>Persons /fractionchange</x:v>
      </x:c>
      <x:c r="G110" s="2" t="str">
        <x:v>UN_WPP_EST</x:v>
      </x:c>
      <x:c r="H110" s="2" t="str">
        <x:v>UN_WPP</x:v>
      </x:c>
      <x:c r="I110" s="2" t="str"/>
      <x:c r="J110" s="2" t="str">
        <x:v>Calculation_Audit!A4:M248 (locate stable ID in column A); Sources!A:A; Inputs!A:A</x:v>
      </x:c>
      <x:c r="K110" s="2" t="str">
        <x:v>scripts/olam-analyse.py</x:v>
      </x:c>
      <x:c r="L110" s="2" t="str">
        <x:v>Indexed country/calculation companion</x:v>
      </x:c>
      <x:c r="M110" s="2" t="str">
        <x:v>No category demand inference</x:v>
      </x:c>
    </x:row>
    <x:row r="111" ht="70" customHeight="1">
      <x:c r="A111" s="2" t="str">
        <x:v>C-POP-SWZ</x:v>
      </x:c>
      <x:c r="B111" s="2" t="str">
        <x:v>Population projectionpath</x:v>
      </x:c>
      <x:c r="C111" s="2" t="str">
        <x:v>WPP thousands×1000;2051/2026−1</x:v>
      </x:c>
      <x:c r="D111" s="2" t="str">
        <x:v>{"2026": 1269859.0, "2030": 1320918.0, "2035": 1379418.0, "2040": 1429781.0, "2045": 1472137.0, "2050": 1505331.0, "2051": 1510782.0}</x:v>
      </x:c>
      <x:c r="E111" s="2" t="str">
        <x:v>0.18972421347566937</x:v>
      </x:c>
      <x:c r="F111" s="2" t="str">
        <x:v>Persons /fractionchange</x:v>
      </x:c>
      <x:c r="G111" s="2" t="str">
        <x:v>UN_WPP_SWZ</x:v>
      </x:c>
      <x:c r="H111" s="2" t="str">
        <x:v>UN_WPP</x:v>
      </x:c>
      <x:c r="I111" s="2" t="str"/>
      <x:c r="J111" s="2" t="str">
        <x:v>Calculation_Audit!A4:M248 (locate stable ID in column A); Sources!A:A; Inputs!A:A</x:v>
      </x:c>
      <x:c r="K111" s="2" t="str">
        <x:v>scripts/olam-analyse.py</x:v>
      </x:c>
      <x:c r="L111" s="2" t="str">
        <x:v>Indexed country/calculation companion</x:v>
      </x:c>
      <x:c r="M111" s="2" t="str">
        <x:v>No category demand inference</x:v>
      </x:c>
    </x:row>
    <x:row r="112" ht="70" customHeight="1">
      <x:c r="A112" s="2" t="str">
        <x:v>C-POP-ETH</x:v>
      </x:c>
      <x:c r="B112" s="2" t="str">
        <x:v>Population projectionpath</x:v>
      </x:c>
      <x:c r="C112" s="2" t="str">
        <x:v>WPP thousands×1000;2051/2026−1</x:v>
      </x:c>
      <x:c r="D112" s="2" t="str">
        <x:v>{"2026": 138902185.0, "2030": 152855357.0, "2035": 170532954.0, "2040": 188450902.0, "2045": 206673639.0, "2050": 225021875.0, "2051": 228687201.0}</x:v>
      </x:c>
      <x:c r="E112" s="2" t="str">
        <x:v>0.6463902349700259</x:v>
      </x:c>
      <x:c r="F112" s="2" t="str">
        <x:v>Persons /fractionchange</x:v>
      </x:c>
      <x:c r="G112" s="2" t="str">
        <x:v>UN_WPP_ETH</x:v>
      </x:c>
      <x:c r="H112" s="2" t="str">
        <x:v>UN_WPP</x:v>
      </x:c>
      <x:c r="I112" s="2" t="str"/>
      <x:c r="J112" s="2" t="str">
        <x:v>Calculation_Audit!A4:M248 (locate stable ID in column A); Sources!A:A; Inputs!A:A</x:v>
      </x:c>
      <x:c r="K112" s="2" t="str">
        <x:v>scripts/olam-analyse.py</x:v>
      </x:c>
      <x:c r="L112" s="2" t="str">
        <x:v>Indexed country/calculation companion</x:v>
      </x:c>
      <x:c r="M112" s="2" t="str">
        <x:v>No category demand inference</x:v>
      </x:c>
    </x:row>
    <x:row r="113" ht="70" customHeight="1">
      <x:c r="A113" s="2" t="str">
        <x:v>C-POP-FJI</x:v>
      </x:c>
      <x:c r="B113" s="2" t="str">
        <x:v>Population projectionpath</x:v>
      </x:c>
      <x:c r="C113" s="2" t="str">
        <x:v>WPP thousands×1000;2051/2026−1</x:v>
      </x:c>
      <x:c r="D113" s="2" t="str">
        <x:v>{"2026": 937282.0, "2030": 953106.0, "2035": 969629.0, "2040": 983858.0, "2045": 994457.0, "2050": 1000261.0, "2051": 1000845.0}</x:v>
      </x:c>
      <x:c r="E113" s="2" t="str">
        <x:v>0.0678163028842973</x:v>
      </x:c>
      <x:c r="F113" s="2" t="str">
        <x:v>Persons /fractionchange</x:v>
      </x:c>
      <x:c r="G113" s="2" t="str">
        <x:v>UN_WPP_FJI</x:v>
      </x:c>
      <x:c r="H113" s="2" t="str">
        <x:v>UN_WPP</x:v>
      </x:c>
      <x:c r="I113" s="2" t="str"/>
      <x:c r="J113" s="2" t="str">
        <x:v>Calculation_Audit!A4:M248 (locate stable ID in column A); Sources!A:A; Inputs!A:A</x:v>
      </x:c>
      <x:c r="K113" s="2" t="str">
        <x:v>scripts/olam-analyse.py</x:v>
      </x:c>
      <x:c r="L113" s="2" t="str">
        <x:v>Indexed country/calculation companion</x:v>
      </x:c>
      <x:c r="M113" s="2" t="str">
        <x:v>No category demand inference</x:v>
      </x:c>
    </x:row>
    <x:row r="114" ht="70" customHeight="1">
      <x:c r="A114" s="2" t="str">
        <x:v>C-POP-FIN</x:v>
      </x:c>
      <x:c r="B114" s="2" t="str">
        <x:v>Population projectionpath</x:v>
      </x:c>
      <x:c r="C114" s="2" t="str">
        <x:v>WPP thousands×1000;2051/2026−1</x:v>
      </x:c>
      <x:c r="D114" s="2" t="str">
        <x:v>{"2026": 5621739.0, "2030": 5592051.0, "2035": 5540655.0, "2040": 5480523.0, "2045": 5418350.0, "2050": 5351645.0, "2051": 5337090.0}</x:v>
      </x:c>
      <x:c r="E114" s="2" t="str">
        <x:v>-0.050633620664353174</x:v>
      </x:c>
      <x:c r="F114" s="2" t="str">
        <x:v>Persons /fractionchange</x:v>
      </x:c>
      <x:c r="G114" s="2" t="str">
        <x:v>UN_WPP_FIN</x:v>
      </x:c>
      <x:c r="H114" s="2" t="str">
        <x:v>UN_WPP</x:v>
      </x:c>
      <x:c r="I114" s="2" t="str"/>
      <x:c r="J114" s="2" t="str">
        <x:v>Calculation_Audit!A4:M248 (locate stable ID in column A); Sources!A:A; Inputs!A:A</x:v>
      </x:c>
      <x:c r="K114" s="2" t="str">
        <x:v>scripts/olam-analyse.py</x:v>
      </x:c>
      <x:c r="L114" s="2" t="str">
        <x:v>Indexed country/calculation companion</x:v>
      </x:c>
      <x:c r="M114" s="2" t="str">
        <x:v>No category demand inference</x:v>
      </x:c>
    </x:row>
    <x:row r="115" ht="70" customHeight="1">
      <x:c r="A115" s="2" t="str">
        <x:v>C-POP-FRA</x:v>
      </x:c>
      <x:c r="B115" s="2" t="str">
        <x:v>Population projectionpath</x:v>
      </x:c>
      <x:c r="C115" s="2" t="str">
        <x:v>WPP thousands×1000;2051/2026−1</x:v>
      </x:c>
      <x:c r="D115" s="2" t="str">
        <x:v>{"2026": 66746401.0, "2030": 67107691.00000001, "2035": 67547946.0, "2040": 67938904.0, "2045": 68190955.0, "2050": 68219675.0, "2051": 68200254.0}</x:v>
      </x:c>
      <x:c r="E115" s="2" t="str">
        <x:v>0.021781743707799395</x:v>
      </x:c>
      <x:c r="F115" s="2" t="str">
        <x:v>Persons /fractionchange</x:v>
      </x:c>
      <x:c r="G115" s="2" t="str">
        <x:v>UN_WPP_FRA</x:v>
      </x:c>
      <x:c r="H115" s="2" t="str">
        <x:v>UN_WPP</x:v>
      </x:c>
      <x:c r="I115" s="2" t="str"/>
      <x:c r="J115" s="2" t="str">
        <x:v>Calculation_Audit!A4:M248 (locate stable ID in column A); Sources!A:A; Inputs!A:A</x:v>
      </x:c>
      <x:c r="K115" s="2" t="str">
        <x:v>scripts/olam-analyse.py</x:v>
      </x:c>
      <x:c r="L115" s="2" t="str">
        <x:v>Indexed country/calculation companion</x:v>
      </x:c>
      <x:c r="M115" s="2" t="str">
        <x:v>No category demand inference</x:v>
      </x:c>
    </x:row>
    <x:row r="116" ht="70" customHeight="1">
      <x:c r="A116" s="2" t="str">
        <x:v>C-POP-GAB</x:v>
      </x:c>
      <x:c r="B116" s="2" t="str">
        <x:v>Population projectionpath</x:v>
      </x:c>
      <x:c r="C116" s="2" t="str">
        <x:v>WPP thousands×1000;2051/2026−1</x:v>
      </x:c>
      <x:c r="D116" s="2" t="str">
        <x:v>{"2026": 2647399.0, "2030": 2866667.0, "2035": 3151468.0, "2040": 3452988.0, "2045": 3767429.0, "2050": 4084533.0, "2051": 4147627.0000000005}</x:v>
      </x:c>
      <x:c r="E116" s="2" t="str">
        <x:v>0.5666799753267264</x:v>
      </x:c>
      <x:c r="F116" s="2" t="str">
        <x:v>Persons /fractionchange</x:v>
      </x:c>
      <x:c r="G116" s="2" t="str">
        <x:v>UN_WPP_GAB</x:v>
      </x:c>
      <x:c r="H116" s="2" t="str">
        <x:v>UN_WPP</x:v>
      </x:c>
      <x:c r="I116" s="2" t="str"/>
      <x:c r="J116" s="2" t="str">
        <x:v>Calculation_Audit!A4:M248 (locate stable ID in column A); Sources!A:A; Inputs!A:A</x:v>
      </x:c>
      <x:c r="K116" s="2" t="str">
        <x:v>scripts/olam-analyse.py</x:v>
      </x:c>
      <x:c r="L116" s="2" t="str">
        <x:v>Indexed country/calculation companion</x:v>
      </x:c>
      <x:c r="M116" s="2" t="str">
        <x:v>No category demand inference</x:v>
      </x:c>
    </x:row>
    <x:row r="117" ht="70" customHeight="1">
      <x:c r="A117" s="2" t="str">
        <x:v>C-POP-GMB</x:v>
      </x:c>
      <x:c r="B117" s="2" t="str">
        <x:v>Population projectionpath</x:v>
      </x:c>
      <x:c r="C117" s="2" t="str">
        <x:v>WPP thousands×1000;2051/2026−1</x:v>
      </x:c>
      <x:c r="D117" s="2" t="str">
        <x:v>{"2026": 2884079.0, "2030": 3130133.0, "2035": 3433425.0, "2040": 3732798.0, "2045": 4024237.0, "2050": 4301895.0, "2051": 4355372.0}</x:v>
      </x:c>
      <x:c r="E117" s="2" t="str">
        <x:v>0.510143099408858</x:v>
      </x:c>
      <x:c r="F117" s="2" t="str">
        <x:v>Persons /fractionchange</x:v>
      </x:c>
      <x:c r="G117" s="2" t="str">
        <x:v>UN_WPP_GMB</x:v>
      </x:c>
      <x:c r="H117" s="2" t="str">
        <x:v>UN_WPP</x:v>
      </x:c>
      <x:c r="I117" s="2" t="str"/>
      <x:c r="J117" s="2" t="str">
        <x:v>Calculation_Audit!A4:M248 (locate stable ID in column A); Sources!A:A; Inputs!A:A</x:v>
      </x:c>
      <x:c r="K117" s="2" t="str">
        <x:v>scripts/olam-analyse.py</x:v>
      </x:c>
      <x:c r="L117" s="2" t="str">
        <x:v>Indexed country/calculation companion</x:v>
      </x:c>
      <x:c r="M117" s="2" t="str">
        <x:v>No category demand inference</x:v>
      </x:c>
    </x:row>
    <x:row r="118" ht="70" customHeight="1">
      <x:c r="A118" s="2" t="str">
        <x:v>C-POP-GEO</x:v>
      </x:c>
      <x:c r="B118" s="2" t="str">
        <x:v>Population projectionpath</x:v>
      </x:c>
      <x:c r="C118" s="2" t="str">
        <x:v>WPP thousands×1000;2051/2026−1</x:v>
      </x:c>
      <x:c r="D118" s="2" t="str">
        <x:v>{"2026": 3804642.0, "2030": 3790542.0, "2035": 3764200.0, "2040": 3732856.0, "2045": 3703994.0, "2050": 3664014.0, "2051": 3654921.0}</x:v>
      </x:c>
      <x:c r="E118" s="2" t="str">
        <x:v>-0.03935219134940948</x:v>
      </x:c>
      <x:c r="F118" s="2" t="str">
        <x:v>Persons /fractionchange</x:v>
      </x:c>
      <x:c r="G118" s="2" t="str">
        <x:v>UN_WPP_GEO</x:v>
      </x:c>
      <x:c r="H118" s="2" t="str">
        <x:v>UN_WPP</x:v>
      </x:c>
      <x:c r="I118" s="2" t="str"/>
      <x:c r="J118" s="2" t="str">
        <x:v>Calculation_Audit!A4:M248 (locate stable ID in column A); Sources!A:A; Inputs!A:A</x:v>
      </x:c>
      <x:c r="K118" s="2" t="str">
        <x:v>scripts/olam-analyse.py</x:v>
      </x:c>
      <x:c r="L118" s="2" t="str">
        <x:v>Indexed country/calculation companion</x:v>
      </x:c>
      <x:c r="M118" s="2" t="str">
        <x:v>No category demand inference</x:v>
      </x:c>
    </x:row>
    <x:row r="119" ht="70" customHeight="1">
      <x:c r="A119" s="2" t="str">
        <x:v>C-POP-DEU</x:v>
      </x:c>
      <x:c r="B119" s="2" t="str">
        <x:v>Population projectionpath</x:v>
      </x:c>
      <x:c r="C119" s="2" t="str">
        <x:v>WPP thousands×1000;2051/2026−1</x:v>
      </x:c>
      <x:c r="D119" s="2" t="str">
        <x:v>{"2026": 83644258.0, "2030": 82780953.0, "2035": 81669909.0, "2040": 80551736.0, "2045": 79491795.0, "2050": 78294613.0, "2051": 78048438.0}</x:v>
      </x:c>
      <x:c r="E119" s="2" t="str">
        <x:v>-0.06690022882383628</x:v>
      </x:c>
      <x:c r="F119" s="2" t="str">
        <x:v>Persons /fractionchange</x:v>
      </x:c>
      <x:c r="G119" s="2" t="str">
        <x:v>UN_WPP_DEU</x:v>
      </x:c>
      <x:c r="H119" s="2" t="str">
        <x:v>UN_WPP</x:v>
      </x:c>
      <x:c r="I119" s="2" t="str"/>
      <x:c r="J119" s="2" t="str">
        <x:v>Calculation_Audit!A4:M248 (locate stable ID in column A); Sources!A:A; Inputs!A:A</x:v>
      </x:c>
      <x:c r="K119" s="2" t="str">
        <x:v>scripts/olam-analyse.py</x:v>
      </x:c>
      <x:c r="L119" s="2" t="str">
        <x:v>Indexed country/calculation companion</x:v>
      </x:c>
      <x:c r="M119" s="2" t="str">
        <x:v>No category demand inference</x:v>
      </x:c>
    </x:row>
    <x:row r="120" ht="70" customHeight="1">
      <x:c r="A120" s="2" t="str">
        <x:v>C-POP-GHA</x:v>
      </x:c>
      <x:c r="B120" s="2" t="str">
        <x:v>Population projectionpath</x:v>
      </x:c>
      <x:c r="C120" s="2" t="str">
        <x:v>WPP thousands×1000;2051/2026−1</x:v>
      </x:c>
      <x:c r="D120" s="2" t="str">
        <x:v>{"2026": 35697557.0, "2030": 38222089.0, "2035": 41412554.0, "2040": 44568350.0, "2045": 47634274.0, "2050": 50553047.0, "2051": 51112490.0}</x:v>
      </x:c>
      <x:c r="E120" s="2" t="str">
        <x:v>0.4318203903981441</x:v>
      </x:c>
      <x:c r="F120" s="2" t="str">
        <x:v>Persons /fractionchange</x:v>
      </x:c>
      <x:c r="G120" s="2" t="str">
        <x:v>UN_WPP_GHA</x:v>
      </x:c>
      <x:c r="H120" s="2" t="str">
        <x:v>UN_WPP</x:v>
      </x:c>
      <x:c r="I120" s="2" t="str"/>
      <x:c r="J120" s="2" t="str">
        <x:v>Calculation_Audit!A4:M248 (locate stable ID in column A); Sources!A:A; Inputs!A:A</x:v>
      </x:c>
      <x:c r="K120" s="2" t="str">
        <x:v>scripts/olam-analyse.py</x:v>
      </x:c>
      <x:c r="L120" s="2" t="str">
        <x:v>Indexed country/calculation companion</x:v>
      </x:c>
      <x:c r="M120" s="2" t="str">
        <x:v>No category demand inference</x:v>
      </x:c>
    </x:row>
    <x:row r="121" ht="70" customHeight="1">
      <x:c r="A121" s="2" t="str">
        <x:v>C-POP-GRC</x:v>
      </x:c>
      <x:c r="B121" s="2" t="str">
        <x:v>Population projectionpath</x:v>
      </x:c>
      <x:c r="C121" s="2" t="str">
        <x:v>WPP thousands×1000;2051/2026−1</x:v>
      </x:c>
      <x:c r="D121" s="2" t="str">
        <x:v>{"2026": 9897115.0, "2030": 9721984.0, "2035": 9496499.0, "2040": 9275613.0, "2045": 9058325.0, "2050": 8812069.0, "2051": 8758041.0}</x:v>
      </x:c>
      <x:c r="E121" s="2" t="str">
        <x:v>-0.11509151909420068</x:v>
      </x:c>
      <x:c r="F121" s="2" t="str">
        <x:v>Persons /fractionchange</x:v>
      </x:c>
      <x:c r="G121" s="2" t="str">
        <x:v>UN_WPP_GRC</x:v>
      </x:c>
      <x:c r="H121" s="2" t="str">
        <x:v>UN_WPP</x:v>
      </x:c>
      <x:c r="I121" s="2" t="str"/>
      <x:c r="J121" s="2" t="str">
        <x:v>Calculation_Audit!A4:M248 (locate stable ID in column A); Sources!A:A; Inputs!A:A</x:v>
      </x:c>
      <x:c r="K121" s="2" t="str">
        <x:v>scripts/olam-analyse.py</x:v>
      </x:c>
      <x:c r="L121" s="2" t="str">
        <x:v>Indexed country/calculation companion</x:v>
      </x:c>
      <x:c r="M121" s="2" t="str">
        <x:v>No category demand inference</x:v>
      </x:c>
    </x:row>
    <x:row r="122" ht="70" customHeight="1">
      <x:c r="A122" s="2" t="str">
        <x:v>C-POP-GRD</x:v>
      </x:c>
      <x:c r="B122" s="2" t="str">
        <x:v>Population projectionpath</x:v>
      </x:c>
      <x:c r="C122" s="2" t="str">
        <x:v>WPP thousands×1000;2051/2026−1</x:v>
      </x:c>
      <x:c r="D122" s="2" t="str">
        <x:v>{"2026": 117362.0, "2030": 117466.0, "2035": 117244.0, "2040": 116493.0, "2045": 115123.0, "2050": 113243.0, "2051": 112801.0}</x:v>
      </x:c>
      <x:c r="E122" s="2" t="str">
        <x:v>-0.03886266423544249</x:v>
      </x:c>
      <x:c r="F122" s="2" t="str">
        <x:v>Persons /fractionchange</x:v>
      </x:c>
      <x:c r="G122" s="2" t="str">
        <x:v>UN_WPP_GRD</x:v>
      </x:c>
      <x:c r="H122" s="2" t="str">
        <x:v>UN_WPP</x:v>
      </x:c>
      <x:c r="I122" s="2" t="str"/>
      <x:c r="J122" s="2" t="str">
        <x:v>Calculation_Audit!A4:M248 (locate stable ID in column A); Sources!A:A; Inputs!A:A</x:v>
      </x:c>
      <x:c r="K122" s="2" t="str">
        <x:v>scripts/olam-analyse.py</x:v>
      </x:c>
      <x:c r="L122" s="2" t="str">
        <x:v>Indexed country/calculation companion</x:v>
      </x:c>
      <x:c r="M122" s="2" t="str">
        <x:v>No category demand inference</x:v>
      </x:c>
    </x:row>
    <x:row r="123" ht="70" customHeight="1">
      <x:c r="A123" s="2" t="str">
        <x:v>C-POP-GTM</x:v>
      </x:c>
      <x:c r="B123" s="2" t="str">
        <x:v>Population projectionpath</x:v>
      </x:c>
      <x:c r="C123" s="2" t="str">
        <x:v>WPP thousands×1000;2051/2026−1</x:v>
      </x:c>
      <x:c r="D123" s="2" t="str">
        <x:v>{"2026": 18967978.0, "2030": 20067253.0, "2035": 21394237.0, "2040": 22626870.0, "2045": 23719089.0, "2050": 24670857.0, "2051": 24845333.0}</x:v>
      </x:c>
      <x:c r="E123" s="2" t="str">
        <x:v>0.3098566963753333</x:v>
      </x:c>
      <x:c r="F123" s="2" t="str">
        <x:v>Persons /fractionchange</x:v>
      </x:c>
      <x:c r="G123" s="2" t="str">
        <x:v>UN_WPP_GTM</x:v>
      </x:c>
      <x:c r="H123" s="2" t="str">
        <x:v>UN_WPP</x:v>
      </x:c>
      <x:c r="I123" s="2" t="str"/>
      <x:c r="J123" s="2" t="str">
        <x:v>Calculation_Audit!A4:M248 (locate stable ID in column A); Sources!A:A; Inputs!A:A</x:v>
      </x:c>
      <x:c r="K123" s="2" t="str">
        <x:v>scripts/olam-analyse.py</x:v>
      </x:c>
      <x:c r="L123" s="2" t="str">
        <x:v>Indexed country/calculation companion</x:v>
      </x:c>
      <x:c r="M123" s="2" t="str">
        <x:v>No category demand inference</x:v>
      </x:c>
    </x:row>
    <x:row r="124" ht="70" customHeight="1">
      <x:c r="A124" s="2" t="str">
        <x:v>C-POP-GIN</x:v>
      </x:c>
      <x:c r="B124" s="2" t="str">
        <x:v>Population projectionpath</x:v>
      </x:c>
      <x:c r="C124" s="2" t="str">
        <x:v>WPP thousands×1000;2051/2026−1</x:v>
      </x:c>
      <x:c r="D124" s="2" t="str">
        <x:v>{"2026": 15441993.0, "2030": 16807147.0, "2035": 18486013.0, "2040": 20160750.0, "2045": 21817245.0, "2050": 23404584.0, "2051": 23715929.0}</x:v>
      </x:c>
      <x:c r="E124" s="2" t="str">
        <x:v>0.5358075217363458</x:v>
      </x:c>
      <x:c r="F124" s="2" t="str">
        <x:v>Persons /fractionchange</x:v>
      </x:c>
      <x:c r="G124" s="2" t="str">
        <x:v>UN_WPP_GIN</x:v>
      </x:c>
      <x:c r="H124" s="2" t="str">
        <x:v>UN_WPP</x:v>
      </x:c>
      <x:c r="I124" s="2" t="str"/>
      <x:c r="J124" s="2" t="str">
        <x:v>Calculation_Audit!A4:M248 (locate stable ID in column A); Sources!A:A; Inputs!A:A</x:v>
      </x:c>
      <x:c r="K124" s="2" t="str">
        <x:v>scripts/olam-analyse.py</x:v>
      </x:c>
      <x:c r="L124" s="2" t="str">
        <x:v>Indexed country/calculation companion</x:v>
      </x:c>
      <x:c r="M124" s="2" t="str">
        <x:v>No category demand inference</x:v>
      </x:c>
    </x:row>
    <x:row r="125" ht="70" customHeight="1">
      <x:c r="A125" s="2" t="str">
        <x:v>C-POP-GNB</x:v>
      </x:c>
      <x:c r="B125" s="2" t="str">
        <x:v>Population projectionpath</x:v>
      </x:c>
      <x:c r="C125" s="2" t="str">
        <x:v>WPP thousands×1000;2051/2026−1</x:v>
      </x:c>
      <x:c r="D125" s="2" t="str">
        <x:v>{"2026": 2297808.0, "2030": 2488934.0, "2035": 2730133.0, "2040": 2969702.0, "2045": 3204249.0, "2050": 3438608.0, "2051": 3483363.0}</x:v>
      </x:c>
      <x:c r="E125" s="2" t="str">
        <x:v>0.5159504188339497</x:v>
      </x:c>
      <x:c r="F125" s="2" t="str">
        <x:v>Persons /fractionchange</x:v>
      </x:c>
      <x:c r="G125" s="2" t="str">
        <x:v>UN_WPP_GNB</x:v>
      </x:c>
      <x:c r="H125" s="2" t="str">
        <x:v>UN_WPP</x:v>
      </x:c>
      <x:c r="I125" s="2" t="str"/>
      <x:c r="J125" s="2" t="str">
        <x:v>Calculation_Audit!A4:M248 (locate stable ID in column A); Sources!A:A; Inputs!A:A</x:v>
      </x:c>
      <x:c r="K125" s="2" t="str">
        <x:v>scripts/olam-analyse.py</x:v>
      </x:c>
      <x:c r="L125" s="2" t="str">
        <x:v>Indexed country/calculation companion</x:v>
      </x:c>
      <x:c r="M125" s="2" t="str">
        <x:v>No category demand inference</x:v>
      </x:c>
    </x:row>
    <x:row r="126" ht="70" customHeight="1">
      <x:c r="A126" s="2" t="str">
        <x:v>C-POP-GUY</x:v>
      </x:c>
      <x:c r="B126" s="2" t="str">
        <x:v>Population projectionpath</x:v>
      </x:c>
      <x:c r="C126" s="2" t="str">
        <x:v>WPP thousands×1000;2051/2026−1</x:v>
      </x:c>
      <x:c r="D126" s="2" t="str">
        <x:v>{"2026": 840890.0, "2030": 861038.0, "2035": 885936.0, "2040": 907506.0, "2045": 926353.0, "2050": 940607.0, "2051": 942745.0}</x:v>
      </x:c>
      <x:c r="E126" s="2" t="str">
        <x:v>0.12112761478909251</x:v>
      </x:c>
      <x:c r="F126" s="2" t="str">
        <x:v>Persons /fractionchange</x:v>
      </x:c>
      <x:c r="G126" s="2" t="str">
        <x:v>UN_WPP_GUY</x:v>
      </x:c>
      <x:c r="H126" s="2" t="str">
        <x:v>UN_WPP</x:v>
      </x:c>
      <x:c r="I126" s="2" t="str"/>
      <x:c r="J126" s="2" t="str">
        <x:v>Calculation_Audit!A4:M248 (locate stable ID in column A); Sources!A:A; Inputs!A:A</x:v>
      </x:c>
      <x:c r="K126" s="2" t="str">
        <x:v>scripts/olam-analyse.py</x:v>
      </x:c>
      <x:c r="L126" s="2" t="str">
        <x:v>Indexed country/calculation companion</x:v>
      </x:c>
      <x:c r="M126" s="2" t="str">
        <x:v>No category demand inference</x:v>
      </x:c>
    </x:row>
    <x:row r="127" ht="70" customHeight="1">
      <x:c r="A127" s="2" t="str">
        <x:v>C-POP-HTI</x:v>
      </x:c>
      <x:c r="B127" s="2" t="str">
        <x:v>Population projectionpath</x:v>
      </x:c>
      <x:c r="C127" s="2" t="str">
        <x:v>WPP thousands×1000;2051/2026−1</x:v>
      </x:c>
      <x:c r="D127" s="2" t="str">
        <x:v>{"2026": 12037506.0, "2030": 12552359.0, "2035": 13165000.0, "2040": 13733853.0, "2045": 14252967.0, "2050": 14710862.0, "2051": 14794290.0}</x:v>
      </x:c>
      <x:c r="E127" s="2" t="str">
        <x:v>0.229016209836157</x:v>
      </x:c>
      <x:c r="F127" s="2" t="str">
        <x:v>Persons /fractionchange</x:v>
      </x:c>
      <x:c r="G127" s="2" t="str">
        <x:v>UN_WPP_HTI</x:v>
      </x:c>
      <x:c r="H127" s="2" t="str">
        <x:v>UN_WPP</x:v>
      </x:c>
      <x:c r="I127" s="2" t="str"/>
      <x:c r="J127" s="2" t="str">
        <x:v>Calculation_Audit!A4:M248 (locate stable ID in column A); Sources!A:A; Inputs!A:A</x:v>
      </x:c>
      <x:c r="K127" s="2" t="str">
        <x:v>scripts/olam-analyse.py</x:v>
      </x:c>
      <x:c r="L127" s="2" t="str">
        <x:v>Indexed country/calculation companion</x:v>
      </x:c>
      <x:c r="M127" s="2" t="str">
        <x:v>No category demand inference</x:v>
      </x:c>
    </x:row>
    <x:row r="128" ht="70" customHeight="1">
      <x:c r="A128" s="2" t="str">
        <x:v>C-POP-VAT</x:v>
      </x:c>
      <x:c r="B128" s="2" t="str">
        <x:v>Population projectionpath</x:v>
      </x:c>
      <x:c r="C128" s="2" t="str">
        <x:v>WPP thousands×1000;2051/2026−1</x:v>
      </x:c>
      <x:c r="D128" s="2" t="str">
        <x:v>{"2026": 506.0, "2030": 528.0, "2035": 537.0, "2040": 587.0, "2045": 649.0, "2050": 714.0, "2051": 726.0}</x:v>
      </x:c>
      <x:c r="E128" s="2" t="str">
        <x:v>0.4347826086956521</x:v>
      </x:c>
      <x:c r="F128" s="2" t="str">
        <x:v>Persons /fractionchange</x:v>
      </x:c>
      <x:c r="G128" s="2" t="str">
        <x:v>UN_WPP_VAT</x:v>
      </x:c>
      <x:c r="H128" s="2" t="str">
        <x:v>UN_WPP</x:v>
      </x:c>
      <x:c r="I128" s="2" t="str"/>
      <x:c r="J128" s="2" t="str">
        <x:v>Calculation_Audit!A4:M248 (locate stable ID in column A); Sources!A:A; Inputs!A:A</x:v>
      </x:c>
      <x:c r="K128" s="2" t="str">
        <x:v>scripts/olam-analyse.py</x:v>
      </x:c>
      <x:c r="L128" s="2" t="str">
        <x:v>Indexed country/calculation companion</x:v>
      </x:c>
      <x:c r="M128" s="2" t="str">
        <x:v>No category demand inference</x:v>
      </x:c>
    </x:row>
    <x:row r="129" ht="70" customHeight="1">
      <x:c r="A129" s="2" t="str">
        <x:v>C-POP-HND</x:v>
      </x:c>
      <x:c r="B129" s="2" t="str">
        <x:v>Population projectionpath</x:v>
      </x:c>
      <x:c r="C129" s="2" t="str">
        <x:v>WPP thousands×1000;2051/2026−1</x:v>
      </x:c>
      <x:c r="D129" s="2" t="str">
        <x:v>{"2026": 11184760.0, "2030": 11885319.0, "2035": 12714114.0, "2040": 13484653.0, "2045": 14197946.0, "2050": 14846779.0, "2051": 14968238.0}</x:v>
      </x:c>
      <x:c r="E129" s="2" t="str">
        <x:v>0.33827082565920064</x:v>
      </x:c>
      <x:c r="F129" s="2" t="str">
        <x:v>Persons /fractionchange</x:v>
      </x:c>
      <x:c r="G129" s="2" t="str">
        <x:v>UN_WPP_HND</x:v>
      </x:c>
      <x:c r="H129" s="2" t="str">
        <x:v>UN_WPP</x:v>
      </x:c>
      <x:c r="I129" s="2" t="str"/>
      <x:c r="J129" s="2" t="str">
        <x:v>Calculation_Audit!A4:M248 (locate stable ID in column A); Sources!A:A; Inputs!A:A</x:v>
      </x:c>
      <x:c r="K129" s="2" t="str">
        <x:v>scripts/olam-analyse.py</x:v>
      </x:c>
      <x:c r="L129" s="2" t="str">
        <x:v>Indexed country/calculation companion</x:v>
      </x:c>
      <x:c r="M129" s="2" t="str">
        <x:v>No category demand inference</x:v>
      </x:c>
    </x:row>
    <x:row r="130" ht="70" customHeight="1">
      <x:c r="A130" s="2" t="str">
        <x:v>C-POP-HUN</x:v>
      </x:c>
      <x:c r="B130" s="2" t="str">
        <x:v>Population projectionpath</x:v>
      </x:c>
      <x:c r="C130" s="2" t="str">
        <x:v>WPP thousands×1000;2051/2026−1</x:v>
      </x:c>
      <x:c r="D130" s="2" t="str">
        <x:v>{"2026": 9585818.0, "2030": 9449115.0, "2035": 9259903.0, "2040": 9067617.0, "2045": 8889214.0, "2050": 8725347.0, "2051": 8693973.0}</x:v>
      </x:c>
      <x:c r="E130" s="2" t="str">
        <x:v>-0.09303796504377615</x:v>
      </x:c>
      <x:c r="F130" s="2" t="str">
        <x:v>Persons /fractionchange</x:v>
      </x:c>
      <x:c r="G130" s="2" t="str">
        <x:v>UN_WPP_HUN</x:v>
      </x:c>
      <x:c r="H130" s="2" t="str">
        <x:v>UN_WPP</x:v>
      </x:c>
      <x:c r="I130" s="2" t="str"/>
      <x:c r="J130" s="2" t="str">
        <x:v>Calculation_Audit!A4:M248 (locate stable ID in column A); Sources!A:A; Inputs!A:A</x:v>
      </x:c>
      <x:c r="K130" s="2" t="str">
        <x:v>scripts/olam-analyse.py</x:v>
      </x:c>
      <x:c r="L130" s="2" t="str">
        <x:v>Indexed country/calculation companion</x:v>
      </x:c>
      <x:c r="M130" s="2" t="str">
        <x:v>No category demand inference</x:v>
      </x:c>
    </x:row>
    <x:row r="131" ht="70" customHeight="1">
      <x:c r="A131" s="2" t="str">
        <x:v>C-POP-ISL</x:v>
      </x:c>
      <x:c r="B131" s="2" t="str">
        <x:v>Population projectionpath</x:v>
      </x:c>
      <x:c r="C131" s="2" t="str">
        <x:v>WPP thousands×1000;2051/2026−1</x:v>
      </x:c>
      <x:c r="D131" s="2" t="str">
        <x:v>{"2026": 402329.0, "2030": 414348.0, "2035": 423579.0, "2040": 429452.0, "2045": 432484.0, "2050": 432993.0, "2051": 432981.0}</x:v>
      </x:c>
      <x:c r="E131" s="2" t="str">
        <x:v>0.07618640465887361</x:v>
      </x:c>
      <x:c r="F131" s="2" t="str">
        <x:v>Persons /fractionchange</x:v>
      </x:c>
      <x:c r="G131" s="2" t="str">
        <x:v>UN_WPP_ISL</x:v>
      </x:c>
      <x:c r="H131" s="2" t="str">
        <x:v>UN_WPP</x:v>
      </x:c>
      <x:c r="I131" s="2" t="str"/>
      <x:c r="J131" s="2" t="str">
        <x:v>Calculation_Audit!A4:M248 (locate stable ID in column A); Sources!A:A; Inputs!A:A</x:v>
      </x:c>
      <x:c r="K131" s="2" t="str">
        <x:v>scripts/olam-analyse.py</x:v>
      </x:c>
      <x:c r="L131" s="2" t="str">
        <x:v>Indexed country/calculation companion</x:v>
      </x:c>
      <x:c r="M131" s="2" t="str">
        <x:v>No category demand inference</x:v>
      </x:c>
    </x:row>
    <x:row r="132" ht="70" customHeight="1">
      <x:c r="A132" s="2" t="str">
        <x:v>C-POP-IND</x:v>
      </x:c>
      <x:c r="B132" s="2" t="str">
        <x:v>Population projectionpath</x:v>
      </x:c>
      <x:c r="C132" s="2" t="str">
        <x:v>WPP thousands×1000;2051/2026−1</x:v>
      </x:c>
      <x:c r="D132" s="2" t="str">
        <x:v>{"2026": 1476625576.0, "2030": 1525138844.0, "2035": 1578694796.0, "2040": 1622580039.0, "2045": 1656067583.0, "2050": 1679589259.0, "2051": 1683220886.0}</x:v>
      </x:c>
      <x:c r="E132" s="2" t="str">
        <x:v>0.1399104237105535</x:v>
      </x:c>
      <x:c r="F132" s="2" t="str">
        <x:v>Persons /fractionchange</x:v>
      </x:c>
      <x:c r="G132" s="2" t="str">
        <x:v>UN_WPP_IND</x:v>
      </x:c>
      <x:c r="H132" s="2" t="str">
        <x:v>UN_WPP</x:v>
      </x:c>
      <x:c r="I132" s="2" t="str"/>
      <x:c r="J132" s="2" t="str">
        <x:v>Calculation_Audit!A4:M248 (locate stable ID in column A); Sources!A:A; Inputs!A:A</x:v>
      </x:c>
      <x:c r="K132" s="2" t="str">
        <x:v>scripts/olam-analyse.py</x:v>
      </x:c>
      <x:c r="L132" s="2" t="str">
        <x:v>7</x:v>
      </x:c>
      <x:c r="M132" s="2" t="str">
        <x:v>No category demand inference</x:v>
      </x:c>
    </x:row>
    <x:row r="133" ht="70" customHeight="1">
      <x:c r="A133" s="2" t="str">
        <x:v>C-POP-IDN</x:v>
      </x:c>
      <x:c r="B133" s="2" t="str">
        <x:v>Population projectionpath</x:v>
      </x:c>
      <x:c r="C133" s="2" t="str">
        <x:v>WPP thousands×1000;2051/2026−1</x:v>
      </x:c>
      <x:c r="D133" s="2" t="str">
        <x:v>{"2026": 287886782.0, "2030": 295876648.0, "2035": 304566622.0, "2040": 311797395.0, "2045": 317249613.0, "2050": 320712949.0, "2051": 321175111.0}</x:v>
      </x:c>
      <x:c r="E133" s="2" t="str">
        <x:v>0.1156299319084404</x:v>
      </x:c>
      <x:c r="F133" s="2" t="str">
        <x:v>Persons /fractionchange</x:v>
      </x:c>
      <x:c r="G133" s="2" t="str">
        <x:v>UN_WPP_IDN</x:v>
      </x:c>
      <x:c r="H133" s="2" t="str">
        <x:v>UN_WPP</x:v>
      </x:c>
      <x:c r="I133" s="2" t="str"/>
      <x:c r="J133" s="2" t="str">
        <x:v>Calculation_Audit!A4:M248 (locate stable ID in column A); Sources!A:A; Inputs!A:A</x:v>
      </x:c>
      <x:c r="K133" s="2" t="str">
        <x:v>scripts/olam-analyse.py</x:v>
      </x:c>
      <x:c r="L133" s="2" t="str">
        <x:v>Indexed country/calculation companion</x:v>
      </x:c>
      <x:c r="M133" s="2" t="str">
        <x:v>No category demand inference</x:v>
      </x:c>
    </x:row>
    <x:row r="134" ht="70" customHeight="1">
      <x:c r="A134" s="2" t="str">
        <x:v>C-POP-IRN</x:v>
      </x:c>
      <x:c r="B134" s="2" t="str">
        <x:v>Population projectionpath</x:v>
      </x:c>
      <x:c r="C134" s="2" t="str">
        <x:v>WPP thousands×1000;2051/2026−1</x:v>
      </x:c>
      <x:c r="D134" s="2" t="str">
        <x:v>{"2026": 93168497.0, "2030": 95486667.0, "2035": 97679252.0, "2040": 99524277.0, "2045": 100990613.0, "2050": 101861993.0, "2051": 101942322.0}</x:v>
      </x:c>
      <x:c r="E134" s="2" t="str">
        <x:v>0.09417158462908337</x:v>
      </x:c>
      <x:c r="F134" s="2" t="str">
        <x:v>Persons /fractionchange</x:v>
      </x:c>
      <x:c r="G134" s="2" t="str">
        <x:v>UN_WPP_IRN</x:v>
      </x:c>
      <x:c r="H134" s="2" t="str">
        <x:v>UN_WPP</x:v>
      </x:c>
      <x:c r="I134" s="2" t="str"/>
      <x:c r="J134" s="2" t="str">
        <x:v>Calculation_Audit!A4:M248 (locate stable ID in column A); Sources!A:A; Inputs!A:A</x:v>
      </x:c>
      <x:c r="K134" s="2" t="str">
        <x:v>scripts/olam-analyse.py</x:v>
      </x:c>
      <x:c r="L134" s="2" t="str">
        <x:v>Indexed country/calculation companion</x:v>
      </x:c>
      <x:c r="M134" s="2" t="str">
        <x:v>No category demand inference</x:v>
      </x:c>
    </x:row>
    <x:row r="135" ht="70" customHeight="1">
      <x:c r="A135" s="2" t="str">
        <x:v>C-POP-IRQ</x:v>
      </x:c>
      <x:c r="B135" s="2" t="str">
        <x:v>Population projectionpath</x:v>
      </x:c>
      <x:c r="C135" s="2" t="str">
        <x:v>WPP thousands×1000;2051/2026−1</x:v>
      </x:c>
      <x:c r="D135" s="2" t="str">
        <x:v>{"2026": 48007437.0, "2030": 51937208.0, "2035": 57035914.0, "2040": 62223211.0, "2045": 67204177.0, "2050": 71928750.0, "2051": 72837415.0}</x:v>
      </x:c>
      <x:c r="E135" s="2" t="str">
        <x:v>0.5172110729427193</x:v>
      </x:c>
      <x:c r="F135" s="2" t="str">
        <x:v>Persons /fractionchange</x:v>
      </x:c>
      <x:c r="G135" s="2" t="str">
        <x:v>UN_WPP_IRQ</x:v>
      </x:c>
      <x:c r="H135" s="2" t="str">
        <x:v>UN_WPP</x:v>
      </x:c>
      <x:c r="I135" s="2" t="str"/>
      <x:c r="J135" s="2" t="str">
        <x:v>Calculation_Audit!A4:M248 (locate stable ID in column A); Sources!A:A; Inputs!A:A</x:v>
      </x:c>
      <x:c r="K135" s="2" t="str">
        <x:v>scripts/olam-analyse.py</x:v>
      </x:c>
      <x:c r="L135" s="2" t="str">
        <x:v>Indexed country/calculation companion</x:v>
      </x:c>
      <x:c r="M135" s="2" t="str">
        <x:v>No category demand inference</x:v>
      </x:c>
    </x:row>
    <x:row r="136" ht="70" customHeight="1">
      <x:c r="A136" s="2" t="str">
        <x:v>C-POP-IRL</x:v>
      </x:c>
      <x:c r="B136" s="2" t="str">
        <x:v>Population projectionpath</x:v>
      </x:c>
      <x:c r="C136" s="2" t="str">
        <x:v>WPP thousands×1000;2051/2026−1</x:v>
      </x:c>
      <x:c r="D136" s="2" t="str">
        <x:v>{"2026": 5356950.0, "2030": 5525093.0, "2035": 5686868.0, "2040": 5817570.0, "2045": 5916936.0, "2050": 5970042.0, "2051": 5973837.0}</x:v>
      </x:c>
      <x:c r="E136" s="2" t="str">
        <x:v>0.11515638562988273</x:v>
      </x:c>
      <x:c r="F136" s="2" t="str">
        <x:v>Persons /fractionchange</x:v>
      </x:c>
      <x:c r="G136" s="2" t="str">
        <x:v>UN_WPP_IRL</x:v>
      </x:c>
      <x:c r="H136" s="2" t="str">
        <x:v>UN_WPP</x:v>
      </x:c>
      <x:c r="I136" s="2" t="str"/>
      <x:c r="J136" s="2" t="str">
        <x:v>Calculation_Audit!A4:M248 (locate stable ID in column A); Sources!A:A; Inputs!A:A</x:v>
      </x:c>
      <x:c r="K136" s="2" t="str">
        <x:v>scripts/olam-analyse.py</x:v>
      </x:c>
      <x:c r="L136" s="2" t="str">
        <x:v>Indexed country/calculation companion</x:v>
      </x:c>
      <x:c r="M136" s="2" t="str">
        <x:v>No category demand inference</x:v>
      </x:c>
    </x:row>
    <x:row r="137" ht="70" customHeight="1">
      <x:c r="A137" s="2" t="str">
        <x:v>C-POP-ISR</x:v>
      </x:c>
      <x:c r="B137" s="2" t="str">
        <x:v>Population projectionpath</x:v>
      </x:c>
      <x:c r="C137" s="2" t="str">
        <x:v>WPP thousands×1000;2051/2026−1</x:v>
      </x:c>
      <x:c r="D137" s="2" t="str">
        <x:v>{"2026": 9647689.0, "2030": 10175954.0, "2035": 10858122.0, "2040": 11581474.0, "2045": 12342061.0, "2050": 13092722.0, "2051": 13244415.0}</x:v>
      </x:c>
      <x:c r="E137" s="2" t="str">
        <x:v>0.3728070007231783</x:v>
      </x:c>
      <x:c r="F137" s="2" t="str">
        <x:v>Persons /fractionchange</x:v>
      </x:c>
      <x:c r="G137" s="2" t="str">
        <x:v>UN_WPP_ISR</x:v>
      </x:c>
      <x:c r="H137" s="2" t="str">
        <x:v>UN_WPP</x:v>
      </x:c>
      <x:c r="I137" s="2" t="str"/>
      <x:c r="J137" s="2" t="str">
        <x:v>Calculation_Audit!A4:M248 (locate stable ID in column A); Sources!A:A; Inputs!A:A</x:v>
      </x:c>
      <x:c r="K137" s="2" t="str">
        <x:v>scripts/olam-analyse.py</x:v>
      </x:c>
      <x:c r="L137" s="2" t="str">
        <x:v>Indexed country/calculation companion</x:v>
      </x:c>
      <x:c r="M137" s="2" t="str">
        <x:v>No category demand inference</x:v>
      </x:c>
    </x:row>
    <x:row r="138" ht="70" customHeight="1">
      <x:c r="A138" s="2" t="str">
        <x:v>C-POP-ITA</x:v>
      </x:c>
      <x:c r="B138" s="2" t="str">
        <x:v>Population projectionpath</x:v>
      </x:c>
      <x:c r="C138" s="2" t="str">
        <x:v>WPP thousands×1000;2051/2026−1</x:v>
      </x:c>
      <x:c r="D138" s="2" t="str">
        <x:v>{"2026": 58926166.0, "2030": 57946072.0, "2035": 56620005.0, "2040": 55221168.0, "2045": 53680471.0, "2050": 51891099.0, "2051": 51499509.0}</x:v>
      </x:c>
      <x:c r="E138" s="2" t="str">
        <x:v>-0.12603326338930654</x:v>
      </x:c>
      <x:c r="F138" s="2" t="str">
        <x:v>Persons /fractionchange</x:v>
      </x:c>
      <x:c r="G138" s="2" t="str">
        <x:v>UN_WPP_ITA</x:v>
      </x:c>
      <x:c r="H138" s="2" t="str">
        <x:v>UN_WPP</x:v>
      </x:c>
      <x:c r="I138" s="2" t="str"/>
      <x:c r="J138" s="2" t="str">
        <x:v>Calculation_Audit!A4:M248 (locate stable ID in column A); Sources!A:A; Inputs!A:A</x:v>
      </x:c>
      <x:c r="K138" s="2" t="str">
        <x:v>scripts/olam-analyse.py</x:v>
      </x:c>
      <x:c r="L138" s="2" t="str">
        <x:v>Indexed country/calculation companion</x:v>
      </x:c>
      <x:c r="M138" s="2" t="str">
        <x:v>No category demand inference</x:v>
      </x:c>
    </x:row>
    <x:row r="139" ht="70" customHeight="1">
      <x:c r="A139" s="2" t="str">
        <x:v>C-POP-JAM</x:v>
      </x:c>
      <x:c r="B139" s="2" t="str">
        <x:v>Population projectionpath</x:v>
      </x:c>
      <x:c r="C139" s="2" t="str">
        <x:v>WPP thousands×1000;2051/2026−1</x:v>
      </x:c>
      <x:c r="D139" s="2" t="str">
        <x:v>{"2026": 2833403.0, "2030": 2808954.0, "2035": 2755934.0, "2040": 2676100.0, "2045": 2574081.0, "2050": 2454940.0, "2051": 2429919.0}</x:v>
      </x:c>
      <x:c r="E139" s="2" t="str">
        <x:v>-0.14240261621802475</x:v>
      </x:c>
      <x:c r="F139" s="2" t="str">
        <x:v>Persons /fractionchange</x:v>
      </x:c>
      <x:c r="G139" s="2" t="str">
        <x:v>UN_WPP_JAM</x:v>
      </x:c>
      <x:c r="H139" s="2" t="str">
        <x:v>UN_WPP</x:v>
      </x:c>
      <x:c r="I139" s="2" t="str"/>
      <x:c r="J139" s="2" t="str">
        <x:v>Calculation_Audit!A4:M248 (locate stable ID in column A); Sources!A:A; Inputs!A:A</x:v>
      </x:c>
      <x:c r="K139" s="2" t="str">
        <x:v>scripts/olam-analyse.py</x:v>
      </x:c>
      <x:c r="L139" s="2" t="str">
        <x:v>Indexed country/calculation companion</x:v>
      </x:c>
      <x:c r="M139" s="2" t="str">
        <x:v>No category demand inference</x:v>
      </x:c>
    </x:row>
    <x:row r="140" ht="70" customHeight="1">
      <x:c r="A140" s="2" t="str">
        <x:v>C-POP-JPN</x:v>
      </x:c>
      <x:c r="B140" s="2" t="str">
        <x:v>Population projectionpath</x:v>
      </x:c>
      <x:c r="C140" s="2" t="str">
        <x:v>WPP thousands×1000;2051/2026−1</x:v>
      </x:c>
      <x:c r="D140" s="2" t="str">
        <x:v>{"2026": 122427731.0, "2030": 119584121.0, "2035": 115876149.0, "2040": 112158303.0, "2045": 108551995.0, "2050": 105123167.0, "2051": 104452458.0}</x:v>
      </x:c>
      <x:c r="E140" s="2" t="str">
        <x:v>-0.1468235411468991</x:v>
      </x:c>
      <x:c r="F140" s="2" t="str">
        <x:v>Persons /fractionchange</x:v>
      </x:c>
      <x:c r="G140" s="2" t="str">
        <x:v>UN_WPP_JPN</x:v>
      </x:c>
      <x:c r="H140" s="2" t="str">
        <x:v>UN_WPP</x:v>
      </x:c>
      <x:c r="I140" s="2" t="str"/>
      <x:c r="J140" s="2" t="str">
        <x:v>Calculation_Audit!A4:M248 (locate stable ID in column A); Sources!A:A; Inputs!A:A</x:v>
      </x:c>
      <x:c r="K140" s="2" t="str">
        <x:v>scripts/olam-analyse.py</x:v>
      </x:c>
      <x:c r="L140" s="2" t="str">
        <x:v>7</x:v>
      </x:c>
      <x:c r="M140" s="2" t="str">
        <x:v>No category demand inference</x:v>
      </x:c>
    </x:row>
    <x:row r="141" ht="70" customHeight="1">
      <x:c r="A141" s="2" t="str">
        <x:v>C-POP-JOR</x:v>
      </x:c>
      <x:c r="B141" s="2" t="str">
        <x:v>Population projectionpath</x:v>
      </x:c>
      <x:c r="C141" s="2" t="str">
        <x:v>WPP thousands×1000;2051/2026−1</x:v>
      </x:c>
      <x:c r="D141" s="2" t="str">
        <x:v>{"2026": 11589532.0, "2030": 12448776.0, "2035": 13440834.0, "2040": 14471297.0, "2045": 15471984.0, "2050": 16367354.0, "2051": 16525167.000000002}</x:v>
      </x:c>
      <x:c r="E141" s="2" t="str">
        <x:v>0.42587008690256023</x:v>
      </x:c>
      <x:c r="F141" s="2" t="str">
        <x:v>Persons /fractionchange</x:v>
      </x:c>
      <x:c r="G141" s="2" t="str">
        <x:v>UN_WPP_JOR</x:v>
      </x:c>
      <x:c r="H141" s="2" t="str">
        <x:v>UN_WPP</x:v>
      </x:c>
      <x:c r="I141" s="2" t="str"/>
      <x:c r="J141" s="2" t="str">
        <x:v>Calculation_Audit!A4:M248 (locate stable ID in column A); Sources!A:A; Inputs!A:A</x:v>
      </x:c>
      <x:c r="K141" s="2" t="str">
        <x:v>scripts/olam-analyse.py</x:v>
      </x:c>
      <x:c r="L141" s="2" t="str">
        <x:v>Indexed country/calculation companion</x:v>
      </x:c>
      <x:c r="M141" s="2" t="str">
        <x:v>No category demand inference</x:v>
      </x:c>
    </x:row>
    <x:row r="142" ht="70" customHeight="1">
      <x:c r="A142" s="2" t="str">
        <x:v>C-POP-KAZ</x:v>
      </x:c>
      <x:c r="B142" s="2" t="str">
        <x:v>Population projectionpath</x:v>
      </x:c>
      <x:c r="C142" s="2" t="str">
        <x:v>WPP thousands×1000;2051/2026−1</x:v>
      </x:c>
      <x:c r="D142" s="2" t="str">
        <x:v>{"2026": 21083626.0, "2030": 22003193.0, "2035": 23125951.0, "2040": 24246823.0, "2045": 25409756.0, "2050": 26544265.0, "2051": 26757521.0}</x:v>
      </x:c>
      <x:c r="E142" s="2" t="str">
        <x:v>0.2691138137244513</x:v>
      </x:c>
      <x:c r="F142" s="2" t="str">
        <x:v>Persons /fractionchange</x:v>
      </x:c>
      <x:c r="G142" s="2" t="str">
        <x:v>UN_WPP_KAZ</x:v>
      </x:c>
      <x:c r="H142" s="2" t="str">
        <x:v>UN_WPP</x:v>
      </x:c>
      <x:c r="I142" s="2" t="str"/>
      <x:c r="J142" s="2" t="str">
        <x:v>Calculation_Audit!A4:M248 (locate stable ID in column A); Sources!A:A; Inputs!A:A</x:v>
      </x:c>
      <x:c r="K142" s="2" t="str">
        <x:v>scripts/olam-analyse.py</x:v>
      </x:c>
      <x:c r="L142" s="2" t="str">
        <x:v>Indexed country/calculation companion</x:v>
      </x:c>
      <x:c r="M142" s="2" t="str">
        <x:v>No category demand inference</x:v>
      </x:c>
    </x:row>
    <x:row r="143" ht="70" customHeight="1">
      <x:c r="A143" s="2" t="str">
        <x:v>C-POP-KEN</x:v>
      </x:c>
      <x:c r="B143" s="2" t="str">
        <x:v>Population projectionpath</x:v>
      </x:c>
      <x:c r="C143" s="2" t="str">
        <x:v>WPP thousands×1000;2051/2026−1</x:v>
      </x:c>
      <x:c r="D143" s="2" t="str">
        <x:v>{"2026": 58636412.0, "2030": 63102245.0, "2035": 68715909.0, "2040": 74108863.0, "2045": 79088836.0, "2050": 83593239.0, "2051": 84451673.0}</x:v>
      </x:c>
      <x:c r="E143" s="2" t="str">
        <x:v>0.44025990198718157</x:v>
      </x:c>
      <x:c r="F143" s="2" t="str">
        <x:v>Persons /fractionchange</x:v>
      </x:c>
      <x:c r="G143" s="2" t="str">
        <x:v>UN_WPP_KEN</x:v>
      </x:c>
      <x:c r="H143" s="2" t="str">
        <x:v>UN_WPP</x:v>
      </x:c>
      <x:c r="I143" s="2" t="str"/>
      <x:c r="J143" s="2" t="str">
        <x:v>Calculation_Audit!A4:M248 (locate stable ID in column A); Sources!A:A; Inputs!A:A</x:v>
      </x:c>
      <x:c r="K143" s="2" t="str">
        <x:v>scripts/olam-analyse.py</x:v>
      </x:c>
      <x:c r="L143" s="2" t="str">
        <x:v>Indexed country/calculation companion</x:v>
      </x:c>
      <x:c r="M143" s="2" t="str">
        <x:v>No category demand inference</x:v>
      </x:c>
    </x:row>
    <x:row r="144" ht="70" customHeight="1">
      <x:c r="A144" s="2" t="str">
        <x:v>C-POP-KIR</x:v>
      </x:c>
      <x:c r="B144" s="2" t="str">
        <x:v>Population projectionpath</x:v>
      </x:c>
      <x:c r="C144" s="2" t="str">
        <x:v>WPP thousands×1000;2051/2026−1</x:v>
      </x:c>
      <x:c r="D144" s="2" t="str">
        <x:v>{"2026": 138445.0, "2030": 146126.0, "2035": 155440.0, "2040": 164700.0, "2045": 173813.0, "2050": 182621.0, "2051": 184260.0}</x:v>
      </x:c>
      <x:c r="E144" s="2" t="str">
        <x:v>0.3309256383401351</x:v>
      </x:c>
      <x:c r="F144" s="2" t="str">
        <x:v>Persons /fractionchange</x:v>
      </x:c>
      <x:c r="G144" s="2" t="str">
        <x:v>UN_WPP_KIR</x:v>
      </x:c>
      <x:c r="H144" s="2" t="str">
        <x:v>UN_WPP</x:v>
      </x:c>
      <x:c r="I144" s="2" t="str"/>
      <x:c r="J144" s="2" t="str">
        <x:v>Calculation_Audit!A4:M248 (locate stable ID in column A); Sources!A:A; Inputs!A:A</x:v>
      </x:c>
      <x:c r="K144" s="2" t="str">
        <x:v>scripts/olam-analyse.py</x:v>
      </x:c>
      <x:c r="L144" s="2" t="str">
        <x:v>Indexed country/calculation companion</x:v>
      </x:c>
      <x:c r="M144" s="2" t="str">
        <x:v>No category demand inference</x:v>
      </x:c>
    </x:row>
    <x:row r="145" ht="70" customHeight="1">
      <x:c r="A145" s="2" t="str">
        <x:v>C-POP-KWT</x:v>
      </x:c>
      <x:c r="B145" s="2" t="str">
        <x:v>Population projectionpath</x:v>
      </x:c>
      <x:c r="C145" s="2" t="str">
        <x:v>WPP thousands×1000;2051/2026−1</x:v>
      </x:c>
      <x:c r="D145" s="2" t="str">
        <x:v>{"2026": 5102773.0, "2030": 5324198.0, "2035": 5569671.0, "2040": 5831211.0, "2045": 6099774.0, "2050": 6367756.0, "2051": 6421239.0}</x:v>
      </x:c>
      <x:c r="E145" s="2" t="str">
        <x:v>0.2583822560791946</x:v>
      </x:c>
      <x:c r="F145" s="2" t="str">
        <x:v>Persons /fractionchange</x:v>
      </x:c>
      <x:c r="G145" s="2" t="str">
        <x:v>UN_WPP_KWT</x:v>
      </x:c>
      <x:c r="H145" s="2" t="str">
        <x:v>UN_WPP</x:v>
      </x:c>
      <x:c r="I145" s="2" t="str"/>
      <x:c r="J145" s="2" t="str">
        <x:v>Calculation_Audit!A4:M248 (locate stable ID in column A); Sources!A:A; Inputs!A:A</x:v>
      </x:c>
      <x:c r="K145" s="2" t="str">
        <x:v>scripts/olam-analyse.py</x:v>
      </x:c>
      <x:c r="L145" s="2" t="str">
        <x:v>Indexed country/calculation companion</x:v>
      </x:c>
      <x:c r="M145" s="2" t="str">
        <x:v>No category demand inference</x:v>
      </x:c>
    </x:row>
    <x:row r="146" ht="70" customHeight="1">
      <x:c r="A146" s="2" t="str">
        <x:v>C-POP-KGZ</x:v>
      </x:c>
      <x:c r="B146" s="2" t="str">
        <x:v>Population projectionpath</x:v>
      </x:c>
      <x:c r="C146" s="2" t="str">
        <x:v>WPP thousands×1000;2051/2026−1</x:v>
      </x:c>
      <x:c r="D146" s="2" t="str">
        <x:v>{"2026": 7400465.0, "2030": 7803618.0, "2035": 8282415.000000001, "2040": 8757697.0, "2045": 9222104.0, "2050": 9642952.0, "2051": 9722163.0}</x:v>
      </x:c>
      <x:c r="E146" s="2" t="str">
        <x:v>0.3137232592816803</x:v>
      </x:c>
      <x:c r="F146" s="2" t="str">
        <x:v>Persons /fractionchange</x:v>
      </x:c>
      <x:c r="G146" s="2" t="str">
        <x:v>UN_WPP_KGZ</x:v>
      </x:c>
      <x:c r="H146" s="2" t="str">
        <x:v>UN_WPP</x:v>
      </x:c>
      <x:c r="I146" s="2" t="str"/>
      <x:c r="J146" s="2" t="str">
        <x:v>Calculation_Audit!A4:M248 (locate stable ID in column A); Sources!A:A; Inputs!A:A</x:v>
      </x:c>
      <x:c r="K146" s="2" t="str">
        <x:v>scripts/olam-analyse.py</x:v>
      </x:c>
      <x:c r="L146" s="2" t="str">
        <x:v>Indexed country/calculation companion</x:v>
      </x:c>
      <x:c r="M146" s="2" t="str">
        <x:v>No category demand inference</x:v>
      </x:c>
    </x:row>
    <x:row r="147" ht="70" customHeight="1">
      <x:c r="A147" s="2" t="str">
        <x:v>C-POP-LAO</x:v>
      </x:c>
      <x:c r="B147" s="2" t="str">
        <x:v>Population projectionpath</x:v>
      </x:c>
      <x:c r="C147" s="2" t="str">
        <x:v>WPP thousands×1000;2051/2026−1</x:v>
      </x:c>
      <x:c r="D147" s="2" t="str">
        <x:v>{"2026": 7974017.0, "2030": 8357022.999999999, "2035": 8788756.0, "2040": 9169002.0, "2045": 9492503.0, "2050": 9757285.0, "2051": 9802787.0}</x:v>
      </x:c>
      <x:c r="E147" s="2" t="str">
        <x:v>0.2293411212943237</x:v>
      </x:c>
      <x:c r="F147" s="2" t="str">
        <x:v>Persons /fractionchange</x:v>
      </x:c>
      <x:c r="G147" s="2" t="str">
        <x:v>UN_WPP_LAO</x:v>
      </x:c>
      <x:c r="H147" s="2" t="str">
        <x:v>UN_WPP</x:v>
      </x:c>
      <x:c r="I147" s="2" t="str"/>
      <x:c r="J147" s="2" t="str">
        <x:v>Calculation_Audit!A4:M248 (locate stable ID in column A); Sources!A:A; Inputs!A:A</x:v>
      </x:c>
      <x:c r="K147" s="2" t="str">
        <x:v>scripts/olam-analyse.py</x:v>
      </x:c>
      <x:c r="L147" s="2" t="str">
        <x:v>Indexed country/calculation companion</x:v>
      </x:c>
      <x:c r="M147" s="2" t="str">
        <x:v>No category demand inference</x:v>
      </x:c>
    </x:row>
    <x:row r="148" ht="70" customHeight="1">
      <x:c r="A148" s="2" t="str">
        <x:v>C-POP-LVA</x:v>
      </x:c>
      <x:c r="B148" s="2" t="str">
        <x:v>Population projectionpath</x:v>
      </x:c>
      <x:c r="C148" s="2" t="str">
        <x:v>WPP thousands×1000;2051/2026−1</x:v>
      </x:c>
      <x:c r="D148" s="2" t="str">
        <x:v>{"2026": 1835935.0, "2030": 1777620.0, "2035": 1706428.0, "2040": 1640644.0, "2045": 1577406.0, "2050": 1513810.0, "2051": 1501015.0}</x:v>
      </x:c>
      <x:c r="E148" s="2" t="str">
        <x:v>-0.18242475904648037</x:v>
      </x:c>
      <x:c r="F148" s="2" t="str">
        <x:v>Persons /fractionchange</x:v>
      </x:c>
      <x:c r="G148" s="2" t="str">
        <x:v>UN_WPP_LVA</x:v>
      </x:c>
      <x:c r="H148" s="2" t="str">
        <x:v>UN_WPP</x:v>
      </x:c>
      <x:c r="I148" s="2" t="str"/>
      <x:c r="J148" s="2" t="str">
        <x:v>Calculation_Audit!A4:M248 (locate stable ID in column A); Sources!A:A; Inputs!A:A</x:v>
      </x:c>
      <x:c r="K148" s="2" t="str">
        <x:v>scripts/olam-analyse.py</x:v>
      </x:c>
      <x:c r="L148" s="2" t="str">
        <x:v>Indexed country/calculation companion</x:v>
      </x:c>
      <x:c r="M148" s="2" t="str">
        <x:v>No category demand inference</x:v>
      </x:c>
    </x:row>
    <x:row r="149" ht="70" customHeight="1">
      <x:c r="A149" s="2" t="str">
        <x:v>C-POP-LBN</x:v>
      </x:c>
      <x:c r="B149" s="2" t="str">
        <x:v>Population projectionpath</x:v>
      </x:c>
      <x:c r="C149" s="2" t="str">
        <x:v>WPP thousands×1000;2051/2026−1</x:v>
      </x:c>
      <x:c r="D149" s="2" t="str">
        <x:v>{"2026": 5897467.0, "2030": 6103808.0, "2035": 6357724.0, "2040": 6620329.0, "2045": 6834988.0, "2050": 6999260.0, "2051": 7025484.0}</x:v>
      </x:c>
      <x:c r="E149" s="2" t="str">
        <x:v>0.1912714390771495</x:v>
      </x:c>
      <x:c r="F149" s="2" t="str">
        <x:v>Persons /fractionchange</x:v>
      </x:c>
      <x:c r="G149" s="2" t="str">
        <x:v>UN_WPP_LBN</x:v>
      </x:c>
      <x:c r="H149" s="2" t="str">
        <x:v>UN_WPP</x:v>
      </x:c>
      <x:c r="I149" s="2" t="str"/>
      <x:c r="J149" s="2" t="str">
        <x:v>Calculation_Audit!A4:M248 (locate stable ID in column A); Sources!A:A; Inputs!A:A</x:v>
      </x:c>
      <x:c r="K149" s="2" t="str">
        <x:v>scripts/olam-analyse.py</x:v>
      </x:c>
      <x:c r="L149" s="2" t="str">
        <x:v>Indexed country/calculation companion</x:v>
      </x:c>
      <x:c r="M149" s="2" t="str">
        <x:v>No category demand inference</x:v>
      </x:c>
    </x:row>
    <x:row r="150" ht="70" customHeight="1">
      <x:c r="A150" s="2" t="str">
        <x:v>C-POP-LSO</x:v>
      </x:c>
      <x:c r="B150" s="2" t="str">
        <x:v>Population projectionpath</x:v>
      </x:c>
      <x:c r="C150" s="2" t="str">
        <x:v>WPP thousands×1000;2051/2026−1</x:v>
      </x:c>
      <x:c r="D150" s="2" t="str">
        <x:v>{"2026": 2389336.0, "2030": 2493818.0, "2035": 2626567.0, "2040": 2757876.0, "2045": 2881339.0, "2050": 2993077.0, "2051": 3013558.0}</x:v>
      </x:c>
      <x:c r="E150" s="2" t="str">
        <x:v>0.2612533356547593</x:v>
      </x:c>
      <x:c r="F150" s="2" t="str">
        <x:v>Persons /fractionchange</x:v>
      </x:c>
      <x:c r="G150" s="2" t="str">
        <x:v>UN_WPP_LSO</x:v>
      </x:c>
      <x:c r="H150" s="2" t="str">
        <x:v>UN_WPP</x:v>
      </x:c>
      <x:c r="I150" s="2" t="str"/>
      <x:c r="J150" s="2" t="str">
        <x:v>Calculation_Audit!A4:M248 (locate stable ID in column A); Sources!A:A; Inputs!A:A</x:v>
      </x:c>
      <x:c r="K150" s="2" t="str">
        <x:v>scripts/olam-analyse.py</x:v>
      </x:c>
      <x:c r="L150" s="2" t="str">
        <x:v>Indexed country/calculation companion</x:v>
      </x:c>
      <x:c r="M150" s="2" t="str">
        <x:v>No category demand inference</x:v>
      </x:c>
    </x:row>
    <x:row r="151" ht="70" customHeight="1">
      <x:c r="A151" s="2" t="str">
        <x:v>C-POP-LBR</x:v>
      </x:c>
      <x:c r="B151" s="2" t="str">
        <x:v>Population projectionpath</x:v>
      </x:c>
      <x:c r="C151" s="2" t="str">
        <x:v>WPP thousands×1000;2051/2026−1</x:v>
      </x:c>
      <x:c r="D151" s="2" t="str">
        <x:v>{"2026": 5853949.0, "2030": 6366291.0, "2035": 7003557.0, "2040": 7681688.0, "2045": 8310645.0, "2050": 8910530.0, "2051": 9020146.0}</x:v>
      </x:c>
      <x:c r="E151" s="2" t="str">
        <x:v>0.5408651493205698</x:v>
      </x:c>
      <x:c r="F151" s="2" t="str">
        <x:v>Persons /fractionchange</x:v>
      </x:c>
      <x:c r="G151" s="2" t="str">
        <x:v>UN_WPP_LBR</x:v>
      </x:c>
      <x:c r="H151" s="2" t="str">
        <x:v>UN_WPP</x:v>
      </x:c>
      <x:c r="I151" s="2" t="str"/>
      <x:c r="J151" s="2" t="str">
        <x:v>Calculation_Audit!A4:M248 (locate stable ID in column A); Sources!A:A; Inputs!A:A</x:v>
      </x:c>
      <x:c r="K151" s="2" t="str">
        <x:v>scripts/olam-analyse.py</x:v>
      </x:c>
      <x:c r="L151" s="2" t="str">
        <x:v>Indexed country/calculation companion</x:v>
      </x:c>
      <x:c r="M151" s="2" t="str">
        <x:v>No category demand inference</x:v>
      </x:c>
    </x:row>
    <x:row r="152" ht="70" customHeight="1">
      <x:c r="A152" s="2" t="str">
        <x:v>C-POP-LBY</x:v>
      </x:c>
      <x:c r="B152" s="2" t="str">
        <x:v>Population projectionpath</x:v>
      </x:c>
      <x:c r="C152" s="2" t="str">
        <x:v>WPP thousands×1000;2051/2026−1</x:v>
      </x:c>
      <x:c r="D152" s="2" t="str">
        <x:v>{"2026": 7539851.0, "2030": 7885806.0, "2035": 8283952.999999999, "2040": 8651417.0, "2045": 8983949.0, "2050": 9260605.0, "2051": 9310578.0}</x:v>
      </x:c>
      <x:c r="E152" s="2" t="str">
        <x:v>0.23484907062487048</x:v>
      </x:c>
      <x:c r="F152" s="2" t="str">
        <x:v>Persons /fractionchange</x:v>
      </x:c>
      <x:c r="G152" s="2" t="str">
        <x:v>UN_WPP_LBY</x:v>
      </x:c>
      <x:c r="H152" s="2" t="str">
        <x:v>UN_WPP</x:v>
      </x:c>
      <x:c r="I152" s="2" t="str"/>
      <x:c r="J152" s="2" t="str">
        <x:v>Calculation_Audit!A4:M248 (locate stable ID in column A); Sources!A:A; Inputs!A:A</x:v>
      </x:c>
      <x:c r="K152" s="2" t="str">
        <x:v>scripts/olam-analyse.py</x:v>
      </x:c>
      <x:c r="L152" s="2" t="str">
        <x:v>Indexed country/calculation companion</x:v>
      </x:c>
      <x:c r="M152" s="2" t="str">
        <x:v>No category demand inference</x:v>
      </x:c>
    </x:row>
    <x:row r="153" ht="70" customHeight="1">
      <x:c r="A153" s="2" t="str">
        <x:v>C-POP-LIE</x:v>
      </x:c>
      <x:c r="B153" s="2" t="str">
        <x:v>Population projectionpath</x:v>
      </x:c>
      <x:c r="C153" s="2" t="str">
        <x:v>WPP thousands×1000;2051/2026−1</x:v>
      </x:c>
      <x:c r="D153" s="2" t="str">
        <x:v>{"2026": 40368.0, "2030": 41202.0, "2035": 42005.0, "2040": 42534.0, "2045": 42861.0, "2050": 43013.0, "2051": 43031.0}</x:v>
      </x:c>
      <x:c r="E153" s="2" t="str">
        <x:v>0.06596809353943711</x:v>
      </x:c>
      <x:c r="F153" s="2" t="str">
        <x:v>Persons /fractionchange</x:v>
      </x:c>
      <x:c r="G153" s="2" t="str">
        <x:v>UN_WPP_LIE</x:v>
      </x:c>
      <x:c r="H153" s="2" t="str">
        <x:v>UN_WPP</x:v>
      </x:c>
      <x:c r="I153" s="2" t="str"/>
      <x:c r="J153" s="2" t="str">
        <x:v>Calculation_Audit!A4:M248 (locate stable ID in column A); Sources!A:A; Inputs!A:A</x:v>
      </x:c>
      <x:c r="K153" s="2" t="str">
        <x:v>scripts/olam-analyse.py</x:v>
      </x:c>
      <x:c r="L153" s="2" t="str">
        <x:v>Indexed country/calculation companion</x:v>
      </x:c>
      <x:c r="M153" s="2" t="str">
        <x:v>No category demand inference</x:v>
      </x:c>
    </x:row>
    <x:row r="154" ht="70" customHeight="1">
      <x:c r="A154" s="2" t="str">
        <x:v>C-POP-LTU</x:v>
      </x:c>
      <x:c r="B154" s="2" t="str">
        <x:v>Population projectionpath</x:v>
      </x:c>
      <x:c r="C154" s="2" t="str">
        <x:v>WPP thousands×1000;2051/2026−1</x:v>
      </x:c>
      <x:c r="D154" s="2" t="str">
        <x:v>{"2026": 2797338.0, "2030": 2706358.0, "2035": 2597392.0, "2040": 2484835.0, "2045": 2372137.0, "2050": 2258774.0, "2051": 2235291.0}</x:v>
      </x:c>
      <x:c r="E154" s="2" t="str">
        <x:v>-0.20092209093073488</x:v>
      </x:c>
      <x:c r="F154" s="2" t="str">
        <x:v>Persons /fractionchange</x:v>
      </x:c>
      <x:c r="G154" s="2" t="str">
        <x:v>UN_WPP_LTU</x:v>
      </x:c>
      <x:c r="H154" s="2" t="str">
        <x:v>UN_WPP</x:v>
      </x:c>
      <x:c r="I154" s="2" t="str"/>
      <x:c r="J154" s="2" t="str">
        <x:v>Calculation_Audit!A4:M248 (locate stable ID in column A); Sources!A:A; Inputs!A:A</x:v>
      </x:c>
      <x:c r="K154" s="2" t="str">
        <x:v>scripts/olam-analyse.py</x:v>
      </x:c>
      <x:c r="L154" s="2" t="str">
        <x:v>Indexed country/calculation companion</x:v>
      </x:c>
      <x:c r="M154" s="2" t="str">
        <x:v>No category demand inference</x:v>
      </x:c>
    </x:row>
    <x:row r="155" ht="70" customHeight="1">
      <x:c r="A155" s="2" t="str">
        <x:v>C-POP-LUX</x:v>
      </x:c>
      <x:c r="B155" s="2" t="str">
        <x:v>Population projectionpath</x:v>
      </x:c>
      <x:c r="C155" s="2" t="str">
        <x:v>WPP thousands×1000;2051/2026−1</x:v>
      </x:c>
      <x:c r="D155" s="2" t="str">
        <x:v>{"2026": 687448.0, "2030": 713667.0, "2035": 740629.0, "2040": 762673.0, "2045": 779539.0, "2050": 791464.0, "2051": 793283.0}</x:v>
      </x:c>
      <x:c r="E155" s="2" t="str">
        <x:v>0.15395346266190324</x:v>
      </x:c>
      <x:c r="F155" s="2" t="str">
        <x:v>Persons /fractionchange</x:v>
      </x:c>
      <x:c r="G155" s="2" t="str">
        <x:v>UN_WPP_LUX</x:v>
      </x:c>
      <x:c r="H155" s="2" t="str">
        <x:v>UN_WPP</x:v>
      </x:c>
      <x:c r="I155" s="2" t="str"/>
      <x:c r="J155" s="2" t="str">
        <x:v>Calculation_Audit!A4:M248 (locate stable ID in column A); Sources!A:A; Inputs!A:A</x:v>
      </x:c>
      <x:c r="K155" s="2" t="str">
        <x:v>scripts/olam-analyse.py</x:v>
      </x:c>
      <x:c r="L155" s="2" t="str">
        <x:v>Indexed country/calculation companion</x:v>
      </x:c>
      <x:c r="M155" s="2" t="str">
        <x:v>No category demand inference</x:v>
      </x:c>
    </x:row>
    <x:row r="156" ht="70" customHeight="1">
      <x:c r="A156" s="2" t="str">
        <x:v>C-POP-MDG</x:v>
      </x:c>
      <x:c r="B156" s="2" t="str">
        <x:v>Population projectionpath</x:v>
      </x:c>
      <x:c r="C156" s="2" t="str">
        <x:v>WPP thousands×1000;2051/2026−1</x:v>
      </x:c>
      <x:c r="D156" s="2" t="str">
        <x:v>{"2026": 33522052.000000004, "2030": 36693183.0, "2035": 40733844.0, "2040": 44846895.0, "2045": 49011274.0, "2050": 53185475.0, "2051": 54016765.0}</x:v>
      </x:c>
      <x:c r="E156" s="2" t="str">
        <x:v>0.6113800253039401</x:v>
      </x:c>
      <x:c r="F156" s="2" t="str">
        <x:v>Persons /fractionchange</x:v>
      </x:c>
      <x:c r="G156" s="2" t="str">
        <x:v>UN_WPP_MDG</x:v>
      </x:c>
      <x:c r="H156" s="2" t="str">
        <x:v>UN_WPP</x:v>
      </x:c>
      <x:c r="I156" s="2" t="str"/>
      <x:c r="J156" s="2" t="str">
        <x:v>Calculation_Audit!A4:M248 (locate stable ID in column A); Sources!A:A; Inputs!A:A</x:v>
      </x:c>
      <x:c r="K156" s="2" t="str">
        <x:v>scripts/olam-analyse.py</x:v>
      </x:c>
      <x:c r="L156" s="2" t="str">
        <x:v>Indexed country/calculation companion</x:v>
      </x:c>
      <x:c r="M156" s="2" t="str">
        <x:v>No category demand inference</x:v>
      </x:c>
    </x:row>
    <x:row r="157" ht="70" customHeight="1">
      <x:c r="A157" s="2" t="str">
        <x:v>C-POP-MWI</x:v>
      </x:c>
      <x:c r="B157" s="2" t="str">
        <x:v>Population projectionpath</x:v>
      </x:c>
      <x:c r="C157" s="2" t="str">
        <x:v>WPP thousands×1000;2051/2026−1</x:v>
      </x:c>
      <x:c r="D157" s="2" t="str">
        <x:v>{"2026": 22785535.0, "2030": 25160287.0, "2035": 28213795.0, "2040": 31302098.0, "2045": 34350954.0, "2050": 37361683.0, "2051": 37964325.0}</x:v>
      </x:c>
      <x:c r="E157" s="2" t="str">
        <x:v>0.6661590346682664</x:v>
      </x:c>
      <x:c r="F157" s="2" t="str">
        <x:v>Persons /fractionchange</x:v>
      </x:c>
      <x:c r="G157" s="2" t="str">
        <x:v>UN_WPP_MWI</x:v>
      </x:c>
      <x:c r="H157" s="2" t="str">
        <x:v>UN_WPP</x:v>
      </x:c>
      <x:c r="I157" s="2" t="str"/>
      <x:c r="J157" s="2" t="str">
        <x:v>Calculation_Audit!A4:M248 (locate stable ID in column A); Sources!A:A; Inputs!A:A</x:v>
      </x:c>
      <x:c r="K157" s="2" t="str">
        <x:v>scripts/olam-analyse.py</x:v>
      </x:c>
      <x:c r="L157" s="2" t="str">
        <x:v>Indexed country/calculation companion</x:v>
      </x:c>
      <x:c r="M157" s="2" t="str">
        <x:v>No category demand inference</x:v>
      </x:c>
    </x:row>
    <x:row r="158" ht="70" customHeight="1">
      <x:c r="A158" s="2" t="str">
        <x:v>C-POP-MYS</x:v>
      </x:c>
      <x:c r="B158" s="2" t="str">
        <x:v>Population projectionpath</x:v>
      </x:c>
      <x:c r="C158" s="2" t="str">
        <x:v>WPP thousands×1000;2051/2026−1</x:v>
      </x:c>
      <x:c r="D158" s="2" t="str">
        <x:v>{"2026": 36385115.0, "2030": 37961719.0, "2035": 39814825.0, "2040": 41509644.0, "2045": 43038204.0, "2050": 44289772.0, "2051": 44502613.0}</x:v>
      </x:c>
      <x:c r="E158" s="2" t="str">
        <x:v>0.22309941853969684</x:v>
      </x:c>
      <x:c r="F158" s="2" t="str">
        <x:v>Persons /fractionchange</x:v>
      </x:c>
      <x:c r="G158" s="2" t="str">
        <x:v>UN_WPP_MYS</x:v>
      </x:c>
      <x:c r="H158" s="2" t="str">
        <x:v>UN_WPP</x:v>
      </x:c>
      <x:c r="I158" s="2" t="str"/>
      <x:c r="J158" s="2" t="str">
        <x:v>Calculation_Audit!A4:M248 (locate stable ID in column A); Sources!A:A; Inputs!A:A</x:v>
      </x:c>
      <x:c r="K158" s="2" t="str">
        <x:v>scripts/olam-analyse.py</x:v>
      </x:c>
      <x:c r="L158" s="2" t="str">
        <x:v>Indexed country/calculation companion</x:v>
      </x:c>
      <x:c r="M158" s="2" t="str">
        <x:v>No category demand inference</x:v>
      </x:c>
    </x:row>
    <x:row r="159" ht="70" customHeight="1">
      <x:c r="A159" s="2" t="str">
        <x:v>C-POP-MDV</x:v>
      </x:c>
      <x:c r="B159" s="2" t="str">
        <x:v>Population projectionpath</x:v>
      </x:c>
      <x:c r="C159" s="2" t="str">
        <x:v>WPP thousands×1000;2051/2026−1</x:v>
      </x:c>
      <x:c r="D159" s="2" t="str">
        <x:v>{"2026": 531517.0, "2030": 539667.0, "2035": 551594.0, "2040": 564798.0, "2045": 578453.0, "2050": 589962.0, "2051": 591628.0}</x:v>
      </x:c>
      <x:c r="E159" s="2" t="str">
        <x:v>0.11309327829589644</x:v>
      </x:c>
      <x:c r="F159" s="2" t="str">
        <x:v>Persons /fractionchange</x:v>
      </x:c>
      <x:c r="G159" s="2" t="str">
        <x:v>UN_WPP_MDV</x:v>
      </x:c>
      <x:c r="H159" s="2" t="str">
        <x:v>UN_WPP</x:v>
      </x:c>
      <x:c r="I159" s="2" t="str"/>
      <x:c r="J159" s="2" t="str">
        <x:v>Calculation_Audit!A4:M248 (locate stable ID in column A); Sources!A:A; Inputs!A:A</x:v>
      </x:c>
      <x:c r="K159" s="2" t="str">
        <x:v>scripts/olam-analyse.py</x:v>
      </x:c>
      <x:c r="L159" s="2" t="str">
        <x:v>Indexed country/calculation companion</x:v>
      </x:c>
      <x:c r="M159" s="2" t="str">
        <x:v>No category demand inference</x:v>
      </x:c>
    </x:row>
    <x:row r="160" ht="70" customHeight="1">
      <x:c r="A160" s="2" t="str">
        <x:v>C-POP-MLI</x:v>
      </x:c>
      <x:c r="B160" s="2" t="str">
        <x:v>Population projectionpath</x:v>
      </x:c>
      <x:c r="C160" s="2" t="str">
        <x:v>WPP thousands×1000;2051/2026−1</x:v>
      </x:c>
      <x:c r="D160" s="2" t="str">
        <x:v>{"2026": 25932275.0, "2030": 29002865.0, "2035": 33118345.0, "2040": 37413643.0, "2045": 41778982.0, "2050": 46154079.0, "2051": 47029244.0}</x:v>
      </x:c>
      <x:c r="E160" s="2" t="str">
        <x:v>0.8135410024766434</x:v>
      </x:c>
      <x:c r="F160" s="2" t="str">
        <x:v>Persons /fractionchange</x:v>
      </x:c>
      <x:c r="G160" s="2" t="str">
        <x:v>UN_WPP_MLI</x:v>
      </x:c>
      <x:c r="H160" s="2" t="str">
        <x:v>UN_WPP</x:v>
      </x:c>
      <x:c r="I160" s="2" t="str"/>
      <x:c r="J160" s="2" t="str">
        <x:v>Calculation_Audit!A4:M248 (locate stable ID in column A); Sources!A:A; Inputs!A:A</x:v>
      </x:c>
      <x:c r="K160" s="2" t="str">
        <x:v>scripts/olam-analyse.py</x:v>
      </x:c>
      <x:c r="L160" s="2" t="str">
        <x:v>Indexed country/calculation companion</x:v>
      </x:c>
      <x:c r="M160" s="2" t="str">
        <x:v>No category demand inference</x:v>
      </x:c>
    </x:row>
    <x:row r="161" ht="70" customHeight="1">
      <x:c r="A161" s="2" t="str">
        <x:v>C-POP-MLT</x:v>
      </x:c>
      <x:c r="B161" s="2" t="str">
        <x:v>Population projectionpath</x:v>
      </x:c>
      <x:c r="C161" s="2" t="str">
        <x:v>WPP thousands×1000;2051/2026−1</x:v>
      </x:c>
      <x:c r="D161" s="2" t="str">
        <x:v>{"2026": 549011.0, "2030": 555231.0, "2035": 556508.0, "2040": 551735.0, "2045": 544634.0, "2050": 535721.0, "2051": 533639.0}</x:v>
      </x:c>
      <x:c r="E161" s="2" t="str">
        <x:v>-0.027999438991204162</x:v>
      </x:c>
      <x:c r="F161" s="2" t="str">
        <x:v>Persons /fractionchange</x:v>
      </x:c>
      <x:c r="G161" s="2" t="str">
        <x:v>UN_WPP_MLT</x:v>
      </x:c>
      <x:c r="H161" s="2" t="str">
        <x:v>UN_WPP</x:v>
      </x:c>
      <x:c r="I161" s="2" t="str"/>
      <x:c r="J161" s="2" t="str">
        <x:v>Calculation_Audit!A4:M248 (locate stable ID in column A); Sources!A:A; Inputs!A:A</x:v>
      </x:c>
      <x:c r="K161" s="2" t="str">
        <x:v>scripts/olam-analyse.py</x:v>
      </x:c>
      <x:c r="L161" s="2" t="str">
        <x:v>Indexed country/calculation companion</x:v>
      </x:c>
      <x:c r="M161" s="2" t="str">
        <x:v>No category demand inference</x:v>
      </x:c>
    </x:row>
    <x:row r="162" ht="70" customHeight="1">
      <x:c r="A162" s="2" t="str">
        <x:v>C-POP-MHL</x:v>
      </x:c>
      <x:c r="B162" s="2" t="str">
        <x:v>Population projectionpath</x:v>
      </x:c>
      <x:c r="C162" s="2" t="str">
        <x:v>WPP thousands×1000;2051/2026−1</x:v>
      </x:c>
      <x:c r="D162" s="2" t="str">
        <x:v>{"2026": 35075.0, "2030": 31186.0, "2035": 28142.0, "2040": 26597.0, "2045": 25773.0, "2050": 25195.0, "2051": 25088.0}</x:v>
      </x:c>
      <x:c r="E162" s="2" t="str">
        <x:v>-0.2847327156094084</x:v>
      </x:c>
      <x:c r="F162" s="2" t="str">
        <x:v>Persons /fractionchange</x:v>
      </x:c>
      <x:c r="G162" s="2" t="str">
        <x:v>UN_WPP_MHL</x:v>
      </x:c>
      <x:c r="H162" s="2" t="str">
        <x:v>UN_WPP</x:v>
      </x:c>
      <x:c r="I162" s="2" t="str"/>
      <x:c r="J162" s="2" t="str">
        <x:v>Calculation_Audit!A4:M248 (locate stable ID in column A); Sources!A:A; Inputs!A:A</x:v>
      </x:c>
      <x:c r="K162" s="2" t="str">
        <x:v>scripts/olam-analyse.py</x:v>
      </x:c>
      <x:c r="L162" s="2" t="str">
        <x:v>Indexed country/calculation companion</x:v>
      </x:c>
      <x:c r="M162" s="2" t="str">
        <x:v>No category demand inference</x:v>
      </x:c>
    </x:row>
    <x:row r="163" ht="70" customHeight="1">
      <x:c r="A163" s="2" t="str">
        <x:v>C-POP-MRT</x:v>
      </x:c>
      <x:c r="B163" s="2" t="str">
        <x:v>Population projectionpath</x:v>
      </x:c>
      <x:c r="C163" s="2" t="str">
        <x:v>WPP thousands×1000;2051/2026−1</x:v>
      </x:c>
      <x:c r="D163" s="2" t="str">
        <x:v>{"2026": 5461319.0, "2030": 6062528.0, "2035": 6856319.0, "2040": 7681908.0, "2045": 8538531.0, "2050": 9415598.0, "2051": 9592001.0}</x:v>
      </x:c>
      <x:c r="E163" s="2" t="str">
        <x:v>0.7563524489230533</x:v>
      </x:c>
      <x:c r="F163" s="2" t="str">
        <x:v>Persons /fractionchange</x:v>
      </x:c>
      <x:c r="G163" s="2" t="str">
        <x:v>UN_WPP_MRT</x:v>
      </x:c>
      <x:c r="H163" s="2" t="str">
        <x:v>UN_WPP</x:v>
      </x:c>
      <x:c r="I163" s="2" t="str"/>
      <x:c r="J163" s="2" t="str">
        <x:v>Calculation_Audit!A4:M248 (locate stable ID in column A); Sources!A:A; Inputs!A:A</x:v>
      </x:c>
      <x:c r="K163" s="2" t="str">
        <x:v>scripts/olam-analyse.py</x:v>
      </x:c>
      <x:c r="L163" s="2" t="str">
        <x:v>Indexed country/calculation companion</x:v>
      </x:c>
      <x:c r="M163" s="2" t="str">
        <x:v>No category demand inference</x:v>
      </x:c>
    </x:row>
    <x:row r="164" ht="70" customHeight="1">
      <x:c r="A164" s="2" t="str">
        <x:v>C-POP-MUS</x:v>
      </x:c>
      <x:c r="B164" s="2" t="str">
        <x:v>Population projectionpath</x:v>
      </x:c>
      <x:c r="C164" s="2" t="str">
        <x:v>WPP thousands×1000;2051/2026−1</x:v>
      </x:c>
      <x:c r="D164" s="2" t="str">
        <x:v>{"2026": 1265059.0, "2030": 1250432.0, "2035": 1226955.0, "2040": 1195223.0, "2045": 1154659.0, "2050": 1107197.0, "2051": 1097238.0}</x:v>
      </x:c>
      <x:c r="E164" s="2" t="str">
        <x:v>-0.13265863489370855</x:v>
      </x:c>
      <x:c r="F164" s="2" t="str">
        <x:v>Persons /fractionchange</x:v>
      </x:c>
      <x:c r="G164" s="2" t="str">
        <x:v>UN_WPP_MUS</x:v>
      </x:c>
      <x:c r="H164" s="2" t="str">
        <x:v>UN_WPP</x:v>
      </x:c>
      <x:c r="I164" s="2" t="str"/>
      <x:c r="J164" s="2" t="str">
        <x:v>Calculation_Audit!A4:M248 (locate stable ID in column A); Sources!A:A; Inputs!A:A</x:v>
      </x:c>
      <x:c r="K164" s="2" t="str">
        <x:v>scripts/olam-analyse.py</x:v>
      </x:c>
      <x:c r="L164" s="2" t="str">
        <x:v>Indexed country/calculation companion</x:v>
      </x:c>
      <x:c r="M164" s="2" t="str">
        <x:v>No category demand inference</x:v>
      </x:c>
    </x:row>
    <x:row r="165" ht="70" customHeight="1">
      <x:c r="A165" s="2" t="str">
        <x:v>C-POP-MEX</x:v>
      </x:c>
      <x:c r="B165" s="2" t="str">
        <x:v>Population projectionpath</x:v>
      </x:c>
      <x:c r="C165" s="2" t="str">
        <x:v>WPP thousands×1000;2051/2026−1</x:v>
      </x:c>
      <x:c r="D165" s="2" t="str">
        <x:v>{"2026": 132997658.0, "2030": 136904738.0, "2035": 141150819.0, "2040": 144624323.0, "2045": 147240092.0, "2050": 148946274.0, "2051": 149181847.0}</x:v>
      </x:c>
      <x:c r="E165" s="2" t="str">
        <x:v>0.1216877743817113</x:v>
      </x:c>
      <x:c r="F165" s="2" t="str">
        <x:v>Persons /fractionchange</x:v>
      </x:c>
      <x:c r="G165" s="2" t="str">
        <x:v>UN_WPP_MEX</x:v>
      </x:c>
      <x:c r="H165" s="2" t="str">
        <x:v>UN_WPP</x:v>
      </x:c>
      <x:c r="I165" s="2" t="str"/>
      <x:c r="J165" s="2" t="str">
        <x:v>Calculation_Audit!A4:M248 (locate stable ID in column A); Sources!A:A; Inputs!A:A</x:v>
      </x:c>
      <x:c r="K165" s="2" t="str">
        <x:v>scripts/olam-analyse.py</x:v>
      </x:c>
      <x:c r="L165" s="2" t="str">
        <x:v>Indexed country/calculation companion</x:v>
      </x:c>
      <x:c r="M165" s="2" t="str">
        <x:v>No category demand inference</x:v>
      </x:c>
    </x:row>
    <x:row r="166" ht="70" customHeight="1">
      <x:c r="A166" s="2" t="str">
        <x:v>C-POP-FSM</x:v>
      </x:c>
      <x:c r="B166" s="2" t="str">
        <x:v>Population projectionpath</x:v>
      </x:c>
      <x:c r="C166" s="2" t="str">
        <x:v>WPP thousands×1000;2051/2026−1</x:v>
      </x:c>
      <x:c r="D166" s="2" t="str">
        <x:v>{"2026": 114183.0, "2030": 116350.0, "2035": 119143.0, "2040": 121681.0, "2045": 124064.0, "2050": 126408.0, "2051": 126853.0}</x:v>
      </x:c>
      <x:c r="E166" s="2" t="str">
        <x:v>0.1109622273017874</x:v>
      </x:c>
      <x:c r="F166" s="2" t="str">
        <x:v>Persons /fractionchange</x:v>
      </x:c>
      <x:c r="G166" s="2" t="str">
        <x:v>UN_WPP_FSM</x:v>
      </x:c>
      <x:c r="H166" s="2" t="str">
        <x:v>UN_WPP</x:v>
      </x:c>
      <x:c r="I166" s="2" t="str"/>
      <x:c r="J166" s="2" t="str">
        <x:v>Calculation_Audit!A4:M248 (locate stable ID in column A); Sources!A:A; Inputs!A:A</x:v>
      </x:c>
      <x:c r="K166" s="2" t="str">
        <x:v>scripts/olam-analyse.py</x:v>
      </x:c>
      <x:c r="L166" s="2" t="str">
        <x:v>Indexed country/calculation companion</x:v>
      </x:c>
      <x:c r="M166" s="2" t="str">
        <x:v>No category demand inference</x:v>
      </x:c>
    </x:row>
    <x:row r="167" ht="70" customHeight="1">
      <x:c r="A167" s="2" t="str">
        <x:v>C-POP-MCO</x:v>
      </x:c>
      <x:c r="B167" s="2" t="str">
        <x:v>Population projectionpath</x:v>
      </x:c>
      <x:c r="C167" s="2" t="str">
        <x:v>WPP thousands×1000;2051/2026−1</x:v>
      </x:c>
      <x:c r="D167" s="2" t="str">
        <x:v>{"2026": 38087.0, "2030": 37366.0, "2035": 36894.0, "2040": 36627.0, "2045": 36523.0, "2050": 36757.0, "2051": 36840.0}</x:v>
      </x:c>
      <x:c r="E167" s="2" t="str">
        <x:v>-0.03274083020453178</x:v>
      </x:c>
      <x:c r="F167" s="2" t="str">
        <x:v>Persons /fractionchange</x:v>
      </x:c>
      <x:c r="G167" s="2" t="str">
        <x:v>UN_WPP_MCO</x:v>
      </x:c>
      <x:c r="H167" s="2" t="str">
        <x:v>UN_WPP</x:v>
      </x:c>
      <x:c r="I167" s="2" t="str"/>
      <x:c r="J167" s="2" t="str">
        <x:v>Calculation_Audit!A4:M248 (locate stable ID in column A); Sources!A:A; Inputs!A:A</x:v>
      </x:c>
      <x:c r="K167" s="2" t="str">
        <x:v>scripts/olam-analyse.py</x:v>
      </x:c>
      <x:c r="L167" s="2" t="str">
        <x:v>Indexed country/calculation companion</x:v>
      </x:c>
      <x:c r="M167" s="2" t="str">
        <x:v>No category demand inference</x:v>
      </x:c>
    </x:row>
    <x:row r="168" ht="70" customHeight="1">
      <x:c r="A168" s="2" t="str">
        <x:v>C-POP-MNG</x:v>
      </x:c>
      <x:c r="B168" s="2" t="str">
        <x:v>Population projectionpath</x:v>
      </x:c>
      <x:c r="C168" s="2" t="str">
        <x:v>WPP thousands×1000;2051/2026−1</x:v>
      </x:c>
      <x:c r="D168" s="2" t="str">
        <x:v>{"2026": 3556798.0, "2030": 3705231.0, "2035": 3889776.0, "2040": 4095554.0, "2045": 4308779.0, "2050": 4501493.0, "2051": 4535765.0}</x:v>
      </x:c>
      <x:c r="E168" s="2" t="str">
        <x:v>0.2752382901699788</x:v>
      </x:c>
      <x:c r="F168" s="2" t="str">
        <x:v>Persons /fractionchange</x:v>
      </x:c>
      <x:c r="G168" s="2" t="str">
        <x:v>UN_WPP_MNG</x:v>
      </x:c>
      <x:c r="H168" s="2" t="str">
        <x:v>UN_WPP</x:v>
      </x:c>
      <x:c r="I168" s="2" t="str"/>
      <x:c r="J168" s="2" t="str">
        <x:v>Calculation_Audit!A4:M248 (locate stable ID in column A); Sources!A:A; Inputs!A:A</x:v>
      </x:c>
      <x:c r="K168" s="2" t="str">
        <x:v>scripts/olam-analyse.py</x:v>
      </x:c>
      <x:c r="L168" s="2" t="str">
        <x:v>Indexed country/calculation companion</x:v>
      </x:c>
      <x:c r="M168" s="2" t="str">
        <x:v>No category demand inference</x:v>
      </x:c>
    </x:row>
    <x:row r="169" ht="70" customHeight="1">
      <x:c r="A169" s="2" t="str">
        <x:v>C-POP-MNE</x:v>
      </x:c>
      <x:c r="B169" s="2" t="str">
        <x:v>Population projectionpath</x:v>
      </x:c>
      <x:c r="C169" s="2" t="str">
        <x:v>WPP thousands×1000;2051/2026−1</x:v>
      </x:c>
      <x:c r="D169" s="2" t="str">
        <x:v>{"2026": 626233.0, "2030": 612562.0, "2035": 594137.0, "2040": 574434.0, "2045": 554231.0, "2050": 533295.0, "2051": 529032.0}</x:v>
      </x:c>
      <x:c r="E169" s="2" t="str">
        <x:v>-0.1552153910764843</x:v>
      </x:c>
      <x:c r="F169" s="2" t="str">
        <x:v>Persons /fractionchange</x:v>
      </x:c>
      <x:c r="G169" s="2" t="str">
        <x:v>UN_WPP_MNE</x:v>
      </x:c>
      <x:c r="H169" s="2" t="str">
        <x:v>UN_WPP</x:v>
      </x:c>
      <x:c r="I169" s="2" t="str"/>
      <x:c r="J169" s="2" t="str">
        <x:v>Calculation_Audit!A4:M248 (locate stable ID in column A); Sources!A:A; Inputs!A:A</x:v>
      </x:c>
      <x:c r="K169" s="2" t="str">
        <x:v>scripts/olam-analyse.py</x:v>
      </x:c>
      <x:c r="L169" s="2" t="str">
        <x:v>Indexed country/calculation companion</x:v>
      </x:c>
      <x:c r="M169" s="2" t="str">
        <x:v>No category demand inference</x:v>
      </x:c>
    </x:row>
    <x:row r="170" ht="70" customHeight="1">
      <x:c r="A170" s="2" t="str">
        <x:v>C-POP-MAR</x:v>
      </x:c>
      <x:c r="B170" s="2" t="str">
        <x:v>Population projectionpath</x:v>
      </x:c>
      <x:c r="C170" s="2" t="str">
        <x:v>WPP thousands×1000;2051/2026−1</x:v>
      </x:c>
      <x:c r="D170" s="2" t="str">
        <x:v>{"2026": 38762441.0, "2030": 39953460.0, "2035": 41182094.0, "2040": 42168205.0, "2045": 42925306.0, "2050": 43440431.0, "2051": 43517149.0}</x:v>
      </x:c>
      <x:c r="E170" s="2" t="str">
        <x:v>0.1226627600671486</x:v>
      </x:c>
      <x:c r="F170" s="2" t="str">
        <x:v>Persons /fractionchange</x:v>
      </x:c>
      <x:c r="G170" s="2" t="str">
        <x:v>UN_WPP_MAR</x:v>
      </x:c>
      <x:c r="H170" s="2" t="str">
        <x:v>UN_WPP</x:v>
      </x:c>
      <x:c r="I170" s="2" t="str"/>
      <x:c r="J170" s="2" t="str">
        <x:v>Calculation_Audit!A4:M248 (locate stable ID in column A); Sources!A:A; Inputs!A:A</x:v>
      </x:c>
      <x:c r="K170" s="2" t="str">
        <x:v>scripts/olam-analyse.py</x:v>
      </x:c>
      <x:c r="L170" s="2" t="str">
        <x:v>Indexed country/calculation companion</x:v>
      </x:c>
      <x:c r="M170" s="2" t="str">
        <x:v>No category demand inference</x:v>
      </x:c>
    </x:row>
    <x:row r="171" ht="70" customHeight="1">
      <x:c r="A171" s="2" t="str">
        <x:v>C-POP-MOZ</x:v>
      </x:c>
      <x:c r="B171" s="2" t="str">
        <x:v>Population projectionpath</x:v>
      </x:c>
      <x:c r="C171" s="2" t="str">
        <x:v>WPP thousands×1000;2051/2026−1</x:v>
      </x:c>
      <x:c r="D171" s="2" t="str">
        <x:v>{"2026": 36639851.0, "2030": 40846755.0, "2035": 46411774.0, "2040": 52124215.0, "2045": 57851793.0, "2050": 63530952.0, "2051": 64647084.0}</x:v>
      </x:c>
      <x:c r="E171" s="2" t="str">
        <x:v>0.7643926554177307</x:v>
      </x:c>
      <x:c r="F171" s="2" t="str">
        <x:v>Persons /fractionchange</x:v>
      </x:c>
      <x:c r="G171" s="2" t="str">
        <x:v>UN_WPP_MOZ</x:v>
      </x:c>
      <x:c r="H171" s="2" t="str">
        <x:v>UN_WPP</x:v>
      </x:c>
      <x:c r="I171" s="2" t="str"/>
      <x:c r="J171" s="2" t="str">
        <x:v>Calculation_Audit!A4:M248 (locate stable ID in column A); Sources!A:A; Inputs!A:A</x:v>
      </x:c>
      <x:c r="K171" s="2" t="str">
        <x:v>scripts/olam-analyse.py</x:v>
      </x:c>
      <x:c r="L171" s="2" t="str">
        <x:v>Indexed country/calculation companion</x:v>
      </x:c>
      <x:c r="M171" s="2" t="str">
        <x:v>No category demand inference</x:v>
      </x:c>
    </x:row>
    <x:row r="172" ht="70" customHeight="1">
      <x:c r="A172" s="2" t="str">
        <x:v>C-POP-MMR</x:v>
      </x:c>
      <x:c r="B172" s="2" t="str">
        <x:v>Population projectionpath</x:v>
      </x:c>
      <x:c r="C172" s="2" t="str">
        <x:v>WPP thousands×1000;2051/2026−1</x:v>
      </x:c>
      <x:c r="D172" s="2" t="str">
        <x:v>{"2026": 55184819.0, "2030": 56351031.0, "2035": 57444464.0, "2040": 58169858.0, "2045": 58558172.0, "2050": 58623232.0, "2051": 58602738.0}</x:v>
      </x:c>
      <x:c r="E172" s="2" t="str">
        <x:v>0.061935855946179785</x:v>
      </x:c>
      <x:c r="F172" s="2" t="str">
        <x:v>Persons /fractionchange</x:v>
      </x:c>
      <x:c r="G172" s="2" t="str">
        <x:v>UN_WPP_MMR</x:v>
      </x:c>
      <x:c r="H172" s="2" t="str">
        <x:v>UN_WPP</x:v>
      </x:c>
      <x:c r="I172" s="2" t="str"/>
      <x:c r="J172" s="2" t="str">
        <x:v>Calculation_Audit!A4:M248 (locate stable ID in column A); Sources!A:A; Inputs!A:A</x:v>
      </x:c>
      <x:c r="K172" s="2" t="str">
        <x:v>scripts/olam-analyse.py</x:v>
      </x:c>
      <x:c r="L172" s="2" t="str">
        <x:v>Indexed country/calculation companion</x:v>
      </x:c>
      <x:c r="M172" s="2" t="str">
        <x:v>No category demand inference</x:v>
      </x:c>
    </x:row>
    <x:row r="173" ht="70" customHeight="1">
      <x:c r="A173" s="2" t="str">
        <x:v>C-POP-NAM</x:v>
      </x:c>
      <x:c r="B173" s="2" t="str">
        <x:v>Population projectionpath</x:v>
      </x:c>
      <x:c r="C173" s="2" t="str">
        <x:v>WPP thousands×1000;2051/2026−1</x:v>
      </x:c>
      <x:c r="D173" s="2" t="str">
        <x:v>{"2026": 3153246.0, "2030": 3389958.0, "2035": 3678880.0, "2040": 3962405.0, "2045": 4243350.0, "2050": 4512301.0, "2051": 4564906.0}</x:v>
      </x:c>
      <x:c r="E173" s="2" t="str">
        <x:v>0.4476847033184217</x:v>
      </x:c>
      <x:c r="F173" s="2" t="str">
        <x:v>Persons /fractionchange</x:v>
      </x:c>
      <x:c r="G173" s="2" t="str">
        <x:v>UN_WPP_NAM</x:v>
      </x:c>
      <x:c r="H173" s="2" t="str">
        <x:v>UN_WPP</x:v>
      </x:c>
      <x:c r="I173" s="2" t="str"/>
      <x:c r="J173" s="2" t="str">
        <x:v>Calculation_Audit!A4:M248 (locate stable ID in column A); Sources!A:A; Inputs!A:A</x:v>
      </x:c>
      <x:c r="K173" s="2" t="str">
        <x:v>scripts/olam-analyse.py</x:v>
      </x:c>
      <x:c r="L173" s="2" t="str">
        <x:v>Indexed country/calculation companion</x:v>
      </x:c>
      <x:c r="M173" s="2" t="str">
        <x:v>No category demand inference</x:v>
      </x:c>
    </x:row>
    <x:row r="174" ht="70" customHeight="1">
      <x:c r="A174" s="2" t="str">
        <x:v>C-POP-NRU</x:v>
      </x:c>
      <x:c r="B174" s="2" t="str">
        <x:v>Population projectionpath</x:v>
      </x:c>
      <x:c r="C174" s="2" t="str">
        <x:v>WPP thousands×1000;2051/2026−1</x:v>
      </x:c>
      <x:c r="D174" s="2" t="str">
        <x:v>{"2026": 12101.0, "2030": 12521.0, "2035": 13233.0, "2040": 14039.0, "2045": 14928.0, "2050": 15758.0, "2051": 15913.0}</x:v>
      </x:c>
      <x:c r="E174" s="2" t="str">
        <x:v>0.31501528799272793</x:v>
      </x:c>
      <x:c r="F174" s="2" t="str">
        <x:v>Persons /fractionchange</x:v>
      </x:c>
      <x:c r="G174" s="2" t="str">
        <x:v>UN_WPP_NRU</x:v>
      </x:c>
      <x:c r="H174" s="2" t="str">
        <x:v>UN_WPP</x:v>
      </x:c>
      <x:c r="I174" s="2" t="str"/>
      <x:c r="J174" s="2" t="str">
        <x:v>Calculation_Audit!A4:M248 (locate stable ID in column A); Sources!A:A; Inputs!A:A</x:v>
      </x:c>
      <x:c r="K174" s="2" t="str">
        <x:v>scripts/olam-analyse.py</x:v>
      </x:c>
      <x:c r="L174" s="2" t="str">
        <x:v>Indexed country/calculation companion</x:v>
      </x:c>
      <x:c r="M174" s="2" t="str">
        <x:v>No category demand inference</x:v>
      </x:c>
    </x:row>
    <x:row r="175" ht="70" customHeight="1">
      <x:c r="A175" s="2" t="str">
        <x:v>C-POP-NPL</x:v>
      </x:c>
      <x:c r="B175" s="2" t="str">
        <x:v>Population projectionpath</x:v>
      </x:c>
      <x:c r="C175" s="2" t="str">
        <x:v>WPP thousands×1000;2051/2026−1</x:v>
      </x:c>
      <x:c r="D175" s="2" t="str">
        <x:v>{"2026": 29629410.0, "2030": 30509996.0, "2035": 31798004.0, "2040": 32909536.999999996, "2045": 33861060.0, "2050": 34642027.0, "2051": 34777003.0}</x:v>
      </x:c>
      <x:c r="E175" s="2" t="str">
        <x:v>0.1737325515425383</x:v>
      </x:c>
      <x:c r="F175" s="2" t="str">
        <x:v>Persons /fractionchange</x:v>
      </x:c>
      <x:c r="G175" s="2" t="str">
        <x:v>UN_WPP_NPL</x:v>
      </x:c>
      <x:c r="H175" s="2" t="str">
        <x:v>UN_WPP</x:v>
      </x:c>
      <x:c r="I175" s="2" t="str"/>
      <x:c r="J175" s="2" t="str">
        <x:v>Calculation_Audit!A4:M248 (locate stable ID in column A); Sources!A:A; Inputs!A:A</x:v>
      </x:c>
      <x:c r="K175" s="2" t="str">
        <x:v>scripts/olam-analyse.py</x:v>
      </x:c>
      <x:c r="L175" s="2" t="str">
        <x:v>Indexed country/calculation companion</x:v>
      </x:c>
      <x:c r="M175" s="2" t="str">
        <x:v>No category demand inference</x:v>
      </x:c>
    </x:row>
    <x:row r="176" ht="70" customHeight="1">
      <x:c r="A176" s="2" t="str">
        <x:v>C-POP-NLD</x:v>
      </x:c>
      <x:c r="B176" s="2" t="str">
        <x:v>Population projectionpath</x:v>
      </x:c>
      <x:c r="C176" s="2" t="str">
        <x:v>WPP thousands×1000;2051/2026−1</x:v>
      </x:c>
      <x:c r="D176" s="2" t="str">
        <x:v>{"2026": 18448775.0, "2030": 18757217.0, "2035": 18977352.0, "2040": 19062983.0, "2045": 19041975.0, "2050": 18958475.0, "2051": 18934376.0}</x:v>
      </x:c>
      <x:c r="E176" s="2" t="str">
        <x:v>0.026321585037488937</x:v>
      </x:c>
      <x:c r="F176" s="2" t="str">
        <x:v>Persons /fractionchange</x:v>
      </x:c>
      <x:c r="G176" s="2" t="str">
        <x:v>UN_WPP_NLD</x:v>
      </x:c>
      <x:c r="H176" s="2" t="str">
        <x:v>UN_WPP</x:v>
      </x:c>
      <x:c r="I176" s="2" t="str"/>
      <x:c r="J176" s="2" t="str">
        <x:v>Calculation_Audit!A4:M248 (locate stable ID in column A); Sources!A:A; Inputs!A:A</x:v>
      </x:c>
      <x:c r="K176" s="2" t="str">
        <x:v>scripts/olam-analyse.py</x:v>
      </x:c>
      <x:c r="L176" s="2" t="str">
        <x:v>Indexed country/calculation companion</x:v>
      </x:c>
      <x:c r="M176" s="2" t="str">
        <x:v>No category demand inference</x:v>
      </x:c>
    </x:row>
    <x:row r="177" ht="70" customHeight="1">
      <x:c r="A177" s="2" t="str">
        <x:v>C-POP-NZL</x:v>
      </x:c>
      <x:c r="B177" s="2" t="str">
        <x:v>Population projectionpath</x:v>
      </x:c>
      <x:c r="C177" s="2" t="str">
        <x:v>WPP thousands×1000;2051/2026−1</x:v>
      </x:c>
      <x:c r="D177" s="2" t="str">
        <x:v>{"2026": 5287479.0, "2030": 5407349.0, "2035": 5520602.0, "2040": 5617291.0, "2045": 5700556.0, "2050": 5755288.0, "2051": 5766716.0}</x:v>
      </x:c>
      <x:c r="E177" s="2" t="str">
        <x:v>0.0906361992170559</x:v>
      </x:c>
      <x:c r="F177" s="2" t="str">
        <x:v>Persons /fractionchange</x:v>
      </x:c>
      <x:c r="G177" s="2" t="str">
        <x:v>UN_WPP_NZL</x:v>
      </x:c>
      <x:c r="H177" s="2" t="str">
        <x:v>UN_WPP</x:v>
      </x:c>
      <x:c r="I177" s="2" t="str"/>
      <x:c r="J177" s="2" t="str">
        <x:v>Calculation_Audit!A4:M248 (locate stable ID in column A); Sources!A:A; Inputs!A:A</x:v>
      </x:c>
      <x:c r="K177" s="2" t="str">
        <x:v>scripts/olam-analyse.py</x:v>
      </x:c>
      <x:c r="L177" s="2" t="str">
        <x:v>Indexed country/calculation companion</x:v>
      </x:c>
      <x:c r="M177" s="2" t="str">
        <x:v>No category demand inference</x:v>
      </x:c>
    </x:row>
    <x:row r="178" ht="70" customHeight="1">
      <x:c r="A178" s="2" t="str">
        <x:v>C-POP-NIC</x:v>
      </x:c>
      <x:c r="B178" s="2" t="str">
        <x:v>Population projectionpath</x:v>
      </x:c>
      <x:c r="C178" s="2" t="str">
        <x:v>WPP thousands×1000;2051/2026−1</x:v>
      </x:c>
      <x:c r="D178" s="2" t="str">
        <x:v>{"2026": 7097329.0, "2030": 7441603.0, "2035": 7836703.0, "2040": 8189914.0, "2045": 8497615.0, "2050": 8756430.0, "2051": 8801962.0}</x:v>
      </x:c>
      <x:c r="E178" s="2" t="str">
        <x:v>0.24017950978459646</x:v>
      </x:c>
      <x:c r="F178" s="2" t="str">
        <x:v>Persons /fractionchange</x:v>
      </x:c>
      <x:c r="G178" s="2" t="str">
        <x:v>UN_WPP_NIC</x:v>
      </x:c>
      <x:c r="H178" s="2" t="str">
        <x:v>UN_WPP</x:v>
      </x:c>
      <x:c r="I178" s="2" t="str"/>
      <x:c r="J178" s="2" t="str">
        <x:v>Calculation_Audit!A4:M248 (locate stable ID in column A); Sources!A:A; Inputs!A:A</x:v>
      </x:c>
      <x:c r="K178" s="2" t="str">
        <x:v>scripts/olam-analyse.py</x:v>
      </x:c>
      <x:c r="L178" s="2" t="str">
        <x:v>Indexed country/calculation companion</x:v>
      </x:c>
      <x:c r="M178" s="2" t="str">
        <x:v>No category demand inference</x:v>
      </x:c>
    </x:row>
    <x:row r="179" ht="70" customHeight="1">
      <x:c r="A179" s="2" t="str">
        <x:v>C-POP-NER</x:v>
      </x:c>
      <x:c r="B179" s="2" t="str">
        <x:v>Population projectionpath</x:v>
      </x:c>
      <x:c r="C179" s="2" t="str">
        <x:v>WPP thousands×1000;2051/2026−1</x:v>
      </x:c>
      <x:c r="D179" s="2" t="str">
        <x:v>{"2026": 28814878.0, "2030": 32518075.0, "2035": 37353463.0, "2040": 42316740.0, "2045": 47374117.0, "2050": 52513876.0, "2051": 53546930.0}</x:v>
      </x:c>
      <x:c r="E179" s="2" t="str">
        <x:v>0.8583084058173003</x:v>
      </x:c>
      <x:c r="F179" s="2" t="str">
        <x:v>Persons /fractionchange</x:v>
      </x:c>
      <x:c r="G179" s="2" t="str">
        <x:v>UN_WPP_NER</x:v>
      </x:c>
      <x:c r="H179" s="2" t="str">
        <x:v>UN_WPP</x:v>
      </x:c>
      <x:c r="I179" s="2" t="str"/>
      <x:c r="J179" s="2" t="str">
        <x:v>Calculation_Audit!A4:M248 (locate stable ID in column A); Sources!A:A; Inputs!A:A</x:v>
      </x:c>
      <x:c r="K179" s="2" t="str">
        <x:v>scripts/olam-analyse.py</x:v>
      </x:c>
      <x:c r="L179" s="2" t="str">
        <x:v>Indexed country/calculation companion</x:v>
      </x:c>
      <x:c r="M179" s="2" t="str">
        <x:v>No category demand inference</x:v>
      </x:c>
    </x:row>
    <x:row r="180" ht="70" customHeight="1">
      <x:c r="A180" s="2" t="str">
        <x:v>C-POP-NGA</x:v>
      </x:c>
      <x:c r="B180" s="2" t="str">
        <x:v>Population projectionpath</x:v>
      </x:c>
      <x:c r="C180" s="2" t="str">
        <x:v>WPP thousands×1000;2051/2026−1</x:v>
      </x:c>
      <x:c r="D180" s="2" t="str">
        <x:v>{"2026": 242431832.0, "2030": 262380969.99999997, "2035": 287685763.0, "2040": 312710416.0, "2045": 336662502.0, "2050": 359185556.0, "2051": 363523611.0}</x:v>
      </x:c>
      <x:c r="E180" s="2" t="str">
        <x:v>0.49948795090572107</x:v>
      </x:c>
      <x:c r="F180" s="2" t="str">
        <x:v>Persons /fractionchange</x:v>
      </x:c>
      <x:c r="G180" s="2" t="str">
        <x:v>UN_WPP_NGA</x:v>
      </x:c>
      <x:c r="H180" s="2" t="str">
        <x:v>UN_WPP</x:v>
      </x:c>
      <x:c r="I180" s="2" t="str"/>
      <x:c r="J180" s="2" t="str">
        <x:v>Calculation_Audit!A4:M248 (locate stable ID in column A); Sources!A:A; Inputs!A:A</x:v>
      </x:c>
      <x:c r="K180" s="2" t="str">
        <x:v>scripts/olam-analyse.py</x:v>
      </x:c>
      <x:c r="L180" s="2" t="str">
        <x:v>7</x:v>
      </x:c>
      <x:c r="M180" s="2" t="str">
        <x:v>No category demand inference</x:v>
      </x:c>
    </x:row>
    <x:row r="181" ht="70" customHeight="1">
      <x:c r="A181" s="2" t="str">
        <x:v>C-POP-MKD</x:v>
      </x:c>
      <x:c r="B181" s="2" t="str">
        <x:v>Population projectionpath</x:v>
      </x:c>
      <x:c r="C181" s="2" t="str">
        <x:v>WPP thousands×1000;2051/2026−1</x:v>
      </x:c>
      <x:c r="D181" s="2" t="str">
        <x:v>{"2026": 1804063.0, "2030": 1762486.0, "2035": 1704194.0, "2040": 1641908.0, "2045": 1577355.0, "2050": 1512688.0, "2051": 1499303.0}</x:v>
      </x:c>
      <x:c r="E181" s="2" t="str">
        <x:v>-0.16892979901477945</x:v>
      </x:c>
      <x:c r="F181" s="2" t="str">
        <x:v>Persons /fractionchange</x:v>
      </x:c>
      <x:c r="G181" s="2" t="str">
        <x:v>UN_WPP_MKD</x:v>
      </x:c>
      <x:c r="H181" s="2" t="str">
        <x:v>UN_WPP</x:v>
      </x:c>
      <x:c r="I181" s="2" t="str"/>
      <x:c r="J181" s="2" t="str">
        <x:v>Calculation_Audit!A4:M248 (locate stable ID in column A); Sources!A:A; Inputs!A:A</x:v>
      </x:c>
      <x:c r="K181" s="2" t="str">
        <x:v>scripts/olam-analyse.py</x:v>
      </x:c>
      <x:c r="L181" s="2" t="str">
        <x:v>Indexed country/calculation companion</x:v>
      </x:c>
      <x:c r="M181" s="2" t="str">
        <x:v>No category demand inference</x:v>
      </x:c>
    </x:row>
    <x:row r="182" ht="70" customHeight="1">
      <x:c r="A182" s="2" t="str">
        <x:v>C-POP-NOR</x:v>
      </x:c>
      <x:c r="B182" s="2" t="str">
        <x:v>Population projectionpath</x:v>
      </x:c>
      <x:c r="C182" s="2" t="str">
        <x:v>WPP thousands×1000;2051/2026−1</x:v>
      </x:c>
      <x:c r="D182" s="2" t="str">
        <x:v>{"2026": 5652989.0, "2030": 5729095.0, "2035": 5801417.0, "2040": 5853869.0, "2045": 5886017.0, "2050": 5899829.0, "2051": 5899792.0}</x:v>
      </x:c>
      <x:c r="E182" s="2" t="str">
        <x:v>0.043658850211808264</x:v>
      </x:c>
      <x:c r="F182" s="2" t="str">
        <x:v>Persons /fractionchange</x:v>
      </x:c>
      <x:c r="G182" s="2" t="str">
        <x:v>UN_WPP_NOR</x:v>
      </x:c>
      <x:c r="H182" s="2" t="str">
        <x:v>UN_WPP</x:v>
      </x:c>
      <x:c r="I182" s="2" t="str"/>
      <x:c r="J182" s="2" t="str">
        <x:v>Calculation_Audit!A4:M248 (locate stable ID in column A); Sources!A:A; Inputs!A:A</x:v>
      </x:c>
      <x:c r="K182" s="2" t="str">
        <x:v>scripts/olam-analyse.py</x:v>
      </x:c>
      <x:c r="L182" s="2" t="str">
        <x:v>Indexed country/calculation companion</x:v>
      </x:c>
      <x:c r="M182" s="2" t="str">
        <x:v>No category demand inference</x:v>
      </x:c>
    </x:row>
    <x:row r="183" ht="70" customHeight="1">
      <x:c r="A183" s="2" t="str">
        <x:v>C-POP-OMN</x:v>
      </x:c>
      <x:c r="B183" s="2" t="str">
        <x:v>Population projectionpath</x:v>
      </x:c>
      <x:c r="C183" s="2" t="str">
        <x:v>WPP thousands×1000;2051/2026−1</x:v>
      </x:c>
      <x:c r="D183" s="2" t="str">
        <x:v>{"2026": 5671458.0, "2030": 6112706.0, "2035": 6517803.0, "2040": 6931974.0, "2045": 7370225.0, "2050": 7827002.0, "2051": 7920185.0}</x:v>
      </x:c>
      <x:c r="E183" s="2" t="str">
        <x:v>0.3964989249677948</x:v>
      </x:c>
      <x:c r="F183" s="2" t="str">
        <x:v>Persons /fractionchange</x:v>
      </x:c>
      <x:c r="G183" s="2" t="str">
        <x:v>UN_WPP_OMN</x:v>
      </x:c>
      <x:c r="H183" s="2" t="str">
        <x:v>UN_WPP</x:v>
      </x:c>
      <x:c r="I183" s="2" t="str"/>
      <x:c r="J183" s="2" t="str">
        <x:v>Calculation_Audit!A4:M248 (locate stable ID in column A); Sources!A:A; Inputs!A:A</x:v>
      </x:c>
      <x:c r="K183" s="2" t="str">
        <x:v>scripts/olam-analyse.py</x:v>
      </x:c>
      <x:c r="L183" s="2" t="str">
        <x:v>Indexed country/calculation companion</x:v>
      </x:c>
      <x:c r="M183" s="2" t="str">
        <x:v>No category demand inference</x:v>
      </x:c>
    </x:row>
    <x:row r="184" ht="70" customHeight="1">
      <x:c r="A184" s="2" t="str">
        <x:v>C-POP-PAK</x:v>
      </x:c>
      <x:c r="B184" s="2" t="str">
        <x:v>Population projectionpath</x:v>
      </x:c>
      <x:c r="C184" s="2" t="str">
        <x:v>WPP thousands×1000;2051/2026−1</x:v>
      </x:c>
      <x:c r="D184" s="2" t="str">
        <x:v>{"2026": 259299791.0, "2030": 276883255.0, "2035": 300643508.0, "2040": 324937697.0, "2045": 348837726.0, "2050": 371863793.0, "2051": 376335025.0}</x:v>
      </x:c>
      <x:c r="E184" s="2" t="str">
        <x:v>0.451351054116353</x:v>
      </x:c>
      <x:c r="F184" s="2" t="str">
        <x:v>Persons /fractionchange</x:v>
      </x:c>
      <x:c r="G184" s="2" t="str">
        <x:v>UN_WPP_PAK</x:v>
      </x:c>
      <x:c r="H184" s="2" t="str">
        <x:v>UN_WPP</x:v>
      </x:c>
      <x:c r="I184" s="2" t="str"/>
      <x:c r="J184" s="2" t="str">
        <x:v>Calculation_Audit!A4:M248 (locate stable ID in column A); Sources!A:A; Inputs!A:A</x:v>
      </x:c>
      <x:c r="K184" s="2" t="str">
        <x:v>scripts/olam-analyse.py</x:v>
      </x:c>
      <x:c r="L184" s="2" t="str">
        <x:v>Indexed country/calculation companion</x:v>
      </x:c>
      <x:c r="M184" s="2" t="str">
        <x:v>No category demand inference</x:v>
      </x:c>
    </x:row>
    <x:row r="185" ht="70" customHeight="1">
      <x:c r="A185" s="2" t="str">
        <x:v>C-POP-PLW</x:v>
      </x:c>
      <x:c r="B185" s="2" t="str">
        <x:v>Population projectionpath</x:v>
      </x:c>
      <x:c r="C185" s="2" t="str">
        <x:v>WPP thousands×1000;2051/2026−1</x:v>
      </x:c>
      <x:c r="D185" s="2" t="str">
        <x:v>{"2026": 17614.0, "2030": 17376.0, "2035": 17015.0, "2040": 16602.0, "2045": 16088.999999999998, "2050": 15518.0, "2051": 15403.0}</x:v>
      </x:c>
      <x:c r="E185" s="2" t="str">
        <x:v>-0.12552515044850687</x:v>
      </x:c>
      <x:c r="F185" s="2" t="str">
        <x:v>Persons /fractionchange</x:v>
      </x:c>
      <x:c r="G185" s="2" t="str">
        <x:v>UN_WPP_PLW</x:v>
      </x:c>
      <x:c r="H185" s="2" t="str">
        <x:v>UN_WPP</x:v>
      </x:c>
      <x:c r="I185" s="2" t="str"/>
      <x:c r="J185" s="2" t="str">
        <x:v>Calculation_Audit!A4:M248 (locate stable ID in column A); Sources!A:A; Inputs!A:A</x:v>
      </x:c>
      <x:c r="K185" s="2" t="str">
        <x:v>scripts/olam-analyse.py</x:v>
      </x:c>
      <x:c r="L185" s="2" t="str">
        <x:v>Indexed country/calculation companion</x:v>
      </x:c>
      <x:c r="M185" s="2" t="str">
        <x:v>No category demand inference</x:v>
      </x:c>
    </x:row>
    <x:row r="186" ht="70" customHeight="1">
      <x:c r="A186" s="2" t="str">
        <x:v>C-POP-PAN</x:v>
      </x:c>
      <x:c r="B186" s="2" t="str">
        <x:v>Population projectionpath</x:v>
      </x:c>
      <x:c r="C186" s="2" t="str">
        <x:v>WPP thousands×1000;2051/2026−1</x:v>
      </x:c>
      <x:c r="D186" s="2" t="str">
        <x:v>{"2026": 4625718.0, "2030": 4833859.0, "2035": 5072263.0, "2040": 5286592.0, "2045": 5473276.0, "2050": 5630680.0, "2051": 5658479.0}</x:v>
      </x:c>
      <x:c r="E186" s="2" t="str">
        <x:v>0.22326501529059928</x:v>
      </x:c>
      <x:c r="F186" s="2" t="str">
        <x:v>Persons /fractionchange</x:v>
      </x:c>
      <x:c r="G186" s="2" t="str">
        <x:v>UN_WPP_PAN</x:v>
      </x:c>
      <x:c r="H186" s="2" t="str">
        <x:v>UN_WPP</x:v>
      </x:c>
      <x:c r="I186" s="2" t="str"/>
      <x:c r="J186" s="2" t="str">
        <x:v>Calculation_Audit!A4:M248 (locate stable ID in column A); Sources!A:A; Inputs!A:A</x:v>
      </x:c>
      <x:c r="K186" s="2" t="str">
        <x:v>scripts/olam-analyse.py</x:v>
      </x:c>
      <x:c r="L186" s="2" t="str">
        <x:v>Indexed country/calculation companion</x:v>
      </x:c>
      <x:c r="M186" s="2" t="str">
        <x:v>No category demand inference</x:v>
      </x:c>
    </x:row>
    <x:row r="187" ht="70" customHeight="1">
      <x:c r="A187" s="2" t="str">
        <x:v>C-POP-PNG</x:v>
      </x:c>
      <x:c r="B187" s="2" t="str">
        <x:v>Population projectionpath</x:v>
      </x:c>
      <x:c r="C187" s="2" t="str">
        <x:v>WPP thousands×1000;2051/2026−1</x:v>
      </x:c>
      <x:c r="D187" s="2" t="str">
        <x:v>{"2026": 10947848.0, "2030": 11671424.0, "2035": 12540603.0, "2040": 13376160.0, "2045": 14165588.0, "2050": 14906590.0, "2051": 15046436.0}</x:v>
      </x:c>
      <x:c r="E187" s="2" t="str">
        <x:v>0.37437384954559105</x:v>
      </x:c>
      <x:c r="F187" s="2" t="str">
        <x:v>Persons /fractionchange</x:v>
      </x:c>
      <x:c r="G187" s="2" t="str">
        <x:v>UN_WPP_PNG</x:v>
      </x:c>
      <x:c r="H187" s="2" t="str">
        <x:v>UN_WPP</x:v>
      </x:c>
      <x:c r="I187" s="2" t="str"/>
      <x:c r="J187" s="2" t="str">
        <x:v>Calculation_Audit!A4:M248 (locate stable ID in column A); Sources!A:A; Inputs!A:A</x:v>
      </x:c>
      <x:c r="K187" s="2" t="str">
        <x:v>scripts/olam-analyse.py</x:v>
      </x:c>
      <x:c r="L187" s="2" t="str">
        <x:v>Indexed country/calculation companion</x:v>
      </x:c>
      <x:c r="M187" s="2" t="str">
        <x:v>No category demand inference</x:v>
      </x:c>
    </x:row>
    <x:row r="188" ht="70" customHeight="1">
      <x:c r="A188" s="2" t="str">
        <x:v>C-POP-PRY</x:v>
      </x:c>
      <x:c r="B188" s="2" t="str">
        <x:v>Population projectionpath</x:v>
      </x:c>
      <x:c r="C188" s="2" t="str">
        <x:v>WPP thousands×1000;2051/2026−1</x:v>
      </x:c>
      <x:c r="D188" s="2" t="str">
        <x:v>{"2026": 7095279.0, "2030": 7407618.0, "2035": 7763520.0, "2040": 8087572.0, "2045": 8380530.000000001, "2050": 8640464.0, "2051": 8687836.0}</x:v>
      </x:c>
      <x:c r="E188" s="2" t="str">
        <x:v>0.22445304828745982</x:v>
      </x:c>
      <x:c r="F188" s="2" t="str">
        <x:v>Persons /fractionchange</x:v>
      </x:c>
      <x:c r="G188" s="2" t="str">
        <x:v>UN_WPP_PRY</x:v>
      </x:c>
      <x:c r="H188" s="2" t="str">
        <x:v>UN_WPP</x:v>
      </x:c>
      <x:c r="I188" s="2" t="str"/>
      <x:c r="J188" s="2" t="str">
        <x:v>Calculation_Audit!A4:M248 (locate stable ID in column A); Sources!A:A; Inputs!A:A</x:v>
      </x:c>
      <x:c r="K188" s="2" t="str">
        <x:v>scripts/olam-analyse.py</x:v>
      </x:c>
      <x:c r="L188" s="2" t="str">
        <x:v>Indexed country/calculation companion</x:v>
      </x:c>
      <x:c r="M188" s="2" t="str">
        <x:v>No category demand inference</x:v>
      </x:c>
    </x:row>
    <x:row r="189" ht="70" customHeight="1">
      <x:c r="A189" s="2" t="str">
        <x:v>C-POP-PER</x:v>
      </x:c>
      <x:c r="B189" s="2" t="str">
        <x:v>Population projectionpath</x:v>
      </x:c>
      <x:c r="C189" s="2" t="str">
        <x:v>WPP thousands×1000;2051/2026−1</x:v>
      </x:c>
      <x:c r="D189" s="2" t="str">
        <x:v>{"2026": 34922148.0, "2030": 36193880.0, "2035": 37591425.0, "2040": 38794649.0, "2045": 39796724.0, "2050": 40583876.0, "2051": 40716361.0}</x:v>
      </x:c>
      <x:c r="E189" s="2" t="str">
        <x:v>0.1659180013783803</x:v>
      </x:c>
      <x:c r="F189" s="2" t="str">
        <x:v>Persons /fractionchange</x:v>
      </x:c>
      <x:c r="G189" s="2" t="str">
        <x:v>UN_WPP_PER</x:v>
      </x:c>
      <x:c r="H189" s="2" t="str">
        <x:v>UN_WPP</x:v>
      </x:c>
      <x:c r="I189" s="2" t="str"/>
      <x:c r="J189" s="2" t="str">
        <x:v>Calculation_Audit!A4:M248 (locate stable ID in column A); Sources!A:A; Inputs!A:A</x:v>
      </x:c>
      <x:c r="K189" s="2" t="str">
        <x:v>scripts/olam-analyse.py</x:v>
      </x:c>
      <x:c r="L189" s="2" t="str">
        <x:v>Indexed country/calculation companion</x:v>
      </x:c>
      <x:c r="M189" s="2" t="str">
        <x:v>No category demand inference</x:v>
      </x:c>
    </x:row>
    <x:row r="190" ht="70" customHeight="1">
      <x:c r="A190" s="2" t="str">
        <x:v>C-POP-PHL</x:v>
      </x:c>
      <x:c r="B190" s="2" t="str">
        <x:v>Population projectionpath</x:v>
      </x:c>
      <x:c r="C190" s="2" t="str">
        <x:v>WPP thousands×1000;2051/2026−1</x:v>
      </x:c>
      <x:c r="D190" s="2" t="str">
        <x:v>{"2026": 117724471.0, "2030": 121408895.0, "2035": 125740971.0, "2040": 129546659.0, "2045": 132492032.0, "2050": 134373439.0, "2051": 134612611.0}</x:v>
      </x:c>
      <x:c r="E190" s="2" t="str">
        <x:v>0.143454796241981</x:v>
      </x:c>
      <x:c r="F190" s="2" t="str">
        <x:v>Persons /fractionchange</x:v>
      </x:c>
      <x:c r="G190" s="2" t="str">
        <x:v>UN_WPP_PHL</x:v>
      </x:c>
      <x:c r="H190" s="2" t="str">
        <x:v>UN_WPP</x:v>
      </x:c>
      <x:c r="I190" s="2" t="str"/>
      <x:c r="J190" s="2" t="str">
        <x:v>Calculation_Audit!A4:M248 (locate stable ID in column A); Sources!A:A; Inputs!A:A</x:v>
      </x:c>
      <x:c r="K190" s="2" t="str">
        <x:v>scripts/olam-analyse.py</x:v>
      </x:c>
      <x:c r="L190" s="2" t="str">
        <x:v>Indexed country/calculation companion</x:v>
      </x:c>
      <x:c r="M190" s="2" t="str">
        <x:v>No category demand inference</x:v>
      </x:c>
    </x:row>
    <x:row r="191" ht="70" customHeight="1">
      <x:c r="A191" s="2" t="str">
        <x:v>C-POP-POL</x:v>
      </x:c>
      <x:c r="B191" s="2" t="str">
        <x:v>Population projectionpath</x:v>
      </x:c>
      <x:c r="C191" s="2" t="str">
        <x:v>WPP thousands×1000;2051/2026−1</x:v>
      </x:c>
      <x:c r="D191" s="2" t="str">
        <x:v>{"2026": 37843188.0, "2030": 37198543.0, "2035": 36243787.0, "2040": 35179554.0, "2045": 34031059.0, "2050": 32814095.999999996, "2051": 32561485.0}</x:v>
      </x:c>
      <x:c r="E191" s="2" t="str">
        <x:v>-0.1395681304651183</x:v>
      </x:c>
      <x:c r="F191" s="2" t="str">
        <x:v>Persons /fractionchange</x:v>
      </x:c>
      <x:c r="G191" s="2" t="str">
        <x:v>UN_WPP_POL</x:v>
      </x:c>
      <x:c r="H191" s="2" t="str">
        <x:v>UN_WPP</x:v>
      </x:c>
      <x:c r="I191" s="2" t="str"/>
      <x:c r="J191" s="2" t="str">
        <x:v>Calculation_Audit!A4:M248 (locate stable ID in column A); Sources!A:A; Inputs!A:A</x:v>
      </x:c>
      <x:c r="K191" s="2" t="str">
        <x:v>scripts/olam-analyse.py</x:v>
      </x:c>
      <x:c r="L191" s="2" t="str">
        <x:v>Indexed country/calculation companion</x:v>
      </x:c>
      <x:c r="M191" s="2" t="str">
        <x:v>No category demand inference</x:v>
      </x:c>
    </x:row>
    <x:row r="192" ht="70" customHeight="1">
      <x:c r="A192" s="2" t="str">
        <x:v>C-POP-PRT</x:v>
      </x:c>
      <x:c r="B192" s="2" t="str">
        <x:v>Population projectionpath</x:v>
      </x:c>
      <x:c r="C192" s="2" t="str">
        <x:v>WPP thousands×1000;2051/2026−1</x:v>
      </x:c>
      <x:c r="D192" s="2" t="str">
        <x:v>{"2026": 10395362.0, "2030": 10317927.0, "2035": 10208240.0, "2040": 10082255.0, "2045": 9938389.0, "2050": 9770271.0, "2051": 9734815.0}</x:v>
      </x:c>
      <x:c r="E192" s="2" t="str">
        <x:v>-0.06354247211400621</x:v>
      </x:c>
      <x:c r="F192" s="2" t="str">
        <x:v>Persons /fractionchange</x:v>
      </x:c>
      <x:c r="G192" s="2" t="str">
        <x:v>UN_WPP_PRT</x:v>
      </x:c>
      <x:c r="H192" s="2" t="str">
        <x:v>UN_WPP</x:v>
      </x:c>
      <x:c r="I192" s="2" t="str"/>
      <x:c r="J192" s="2" t="str">
        <x:v>Calculation_Audit!A4:M248 (locate stable ID in column A); Sources!A:A; Inputs!A:A</x:v>
      </x:c>
      <x:c r="K192" s="2" t="str">
        <x:v>scripts/olam-analyse.py</x:v>
      </x:c>
      <x:c r="L192" s="2" t="str">
        <x:v>Indexed country/calculation companion</x:v>
      </x:c>
      <x:c r="M192" s="2" t="str">
        <x:v>No category demand inference</x:v>
      </x:c>
    </x:row>
    <x:row r="193" ht="70" customHeight="1">
      <x:c r="A193" s="2" t="str">
        <x:v>C-POP-QAT</x:v>
      </x:c>
      <x:c r="B193" s="2" t="str">
        <x:v>Population projectionpath</x:v>
      </x:c>
      <x:c r="C193" s="2" t="str">
        <x:v>WPP thousands×1000;2051/2026−1</x:v>
      </x:c>
      <x:c r="D193" s="2" t="str">
        <x:v>{"2026": 3173559.0, "2030": 3333610.0, "2035": 3511258.0, "2040": 3711503.0, "2045": 3930896.0, "2050": 4164461.0000000005, "2051": 4212656.0}</x:v>
      </x:c>
      <x:c r="E193" s="2" t="str">
        <x:v>0.32742324941808243</x:v>
      </x:c>
      <x:c r="F193" s="2" t="str">
        <x:v>Persons /fractionchange</x:v>
      </x:c>
      <x:c r="G193" s="2" t="str">
        <x:v>UN_WPP_QAT</x:v>
      </x:c>
      <x:c r="H193" s="2" t="str">
        <x:v>UN_WPP</x:v>
      </x:c>
      <x:c r="I193" s="2" t="str"/>
      <x:c r="J193" s="2" t="str">
        <x:v>Calculation_Audit!A4:M248 (locate stable ID in column A); Sources!A:A; Inputs!A:A</x:v>
      </x:c>
      <x:c r="K193" s="2" t="str">
        <x:v>scripts/olam-analyse.py</x:v>
      </x:c>
      <x:c r="L193" s="2" t="str">
        <x:v>Indexed country/calculation companion</x:v>
      </x:c>
      <x:c r="M193" s="2" t="str">
        <x:v>No category demand inference</x:v>
      </x:c>
    </x:row>
    <x:row r="194" ht="70" customHeight="1">
      <x:c r="A194" s="2" t="str">
        <x:v>C-POP-KOR</x:v>
      </x:c>
      <x:c r="B194" s="2" t="str">
        <x:v>Population projectionpath</x:v>
      </x:c>
      <x:c r="C194" s="2" t="str">
        <x:v>WPP thousands×1000;2051/2026−1</x:v>
      </x:c>
      <x:c r="D194" s="2" t="str">
        <x:v>{"2026": 51600388.0, "2030": 51188584.0, "2035": 50300733.0, "2040": 48948687.0, "2045": 47232956.0, "2050": 45143134.0, "2051": 44671149.0}</x:v>
      </x:c>
      <x:c r="E194" s="2" t="str">
        <x:v>-0.13428656776766867</x:v>
      </x:c>
      <x:c r="F194" s="2" t="str">
        <x:v>Persons /fractionchange</x:v>
      </x:c>
      <x:c r="G194" s="2" t="str">
        <x:v>UN_WPP_KOR</x:v>
      </x:c>
      <x:c r="H194" s="2" t="str">
        <x:v>UN_WPP</x:v>
      </x:c>
      <x:c r="I194" s="2" t="str"/>
      <x:c r="J194" s="2" t="str">
        <x:v>Calculation_Audit!A4:M248 (locate stable ID in column A); Sources!A:A; Inputs!A:A</x:v>
      </x:c>
      <x:c r="K194" s="2" t="str">
        <x:v>scripts/olam-analyse.py</x:v>
      </x:c>
      <x:c r="L194" s="2" t="str">
        <x:v>Indexed country/calculation companion</x:v>
      </x:c>
      <x:c r="M194" s="2" t="str">
        <x:v>No category demand inference</x:v>
      </x:c>
    </x:row>
    <x:row r="195" ht="70" customHeight="1">
      <x:c r="A195" s="2" t="str">
        <x:v>C-POP-MDA</x:v>
      </x:c>
      <x:c r="B195" s="2" t="str">
        <x:v>Population projectionpath</x:v>
      </x:c>
      <x:c r="C195" s="2" t="str">
        <x:v>WPP thousands×1000;2051/2026−1</x:v>
      </x:c>
      <x:c r="D195" s="2" t="str">
        <x:v>{"2026": 2961253.0, "2030": 2845242.0, "2035": 2702010.0, "2040": 2568810.0, "2045": 2454941.0, "2050": 2351809.0, "2051": 2331186.0}</x:v>
      </x:c>
      <x:c r="E195" s="2" t="str">
        <x:v>-0.21277040496033262</x:v>
      </x:c>
      <x:c r="F195" s="2" t="str">
        <x:v>Persons /fractionchange</x:v>
      </x:c>
      <x:c r="G195" s="2" t="str">
        <x:v>UN_WPP_MDA</x:v>
      </x:c>
      <x:c r="H195" s="2" t="str">
        <x:v>UN_WPP</x:v>
      </x:c>
      <x:c r="I195" s="2" t="str"/>
      <x:c r="J195" s="2" t="str">
        <x:v>Calculation_Audit!A4:M248 (locate stable ID in column A); Sources!A:A; Inputs!A:A</x:v>
      </x:c>
      <x:c r="K195" s="2" t="str">
        <x:v>scripts/olam-analyse.py</x:v>
      </x:c>
      <x:c r="L195" s="2" t="str">
        <x:v>Indexed country/calculation companion</x:v>
      </x:c>
      <x:c r="M195" s="2" t="str">
        <x:v>No category demand inference</x:v>
      </x:c>
    </x:row>
    <x:row r="196" ht="70" customHeight="1">
      <x:c r="A196" s="2" t="str">
        <x:v>C-POP-ROU</x:v>
      </x:c>
      <x:c r="B196" s="2" t="str">
        <x:v>Population projectionpath</x:v>
      </x:c>
      <x:c r="C196" s="2" t="str">
        <x:v>WPP thousands×1000;2051/2026−1</x:v>
      </x:c>
      <x:c r="D196" s="2" t="str">
        <x:v>{"2026": 18800605.0, "2030": 18359507.0, "2035": 17794417.0, "2040": 17209718.0, "2045": 16620320.0, "2050": 16027266.0, "2051": 15907818.0}</x:v>
      </x:c>
      <x:c r="E196" s="2" t="str">
        <x:v>-0.15386669737489833</x:v>
      </x:c>
      <x:c r="F196" s="2" t="str">
        <x:v>Persons /fractionchange</x:v>
      </x:c>
      <x:c r="G196" s="2" t="str">
        <x:v>UN_WPP_ROU</x:v>
      </x:c>
      <x:c r="H196" s="2" t="str">
        <x:v>UN_WPP</x:v>
      </x:c>
      <x:c r="I196" s="2" t="str"/>
      <x:c r="J196" s="2" t="str">
        <x:v>Calculation_Audit!A4:M248 (locate stable ID in column A); Sources!A:A; Inputs!A:A</x:v>
      </x:c>
      <x:c r="K196" s="2" t="str">
        <x:v>scripts/olam-analyse.py</x:v>
      </x:c>
      <x:c r="L196" s="2" t="str">
        <x:v>Indexed country/calculation companion</x:v>
      </x:c>
      <x:c r="M196" s="2" t="str">
        <x:v>No category demand inference</x:v>
      </x:c>
    </x:row>
    <x:row r="197" ht="70" customHeight="1">
      <x:c r="A197" s="2" t="str">
        <x:v>C-POP-RUS</x:v>
      </x:c>
      <x:c r="B197" s="2" t="str">
        <x:v>Population projectionpath</x:v>
      </x:c>
      <x:c r="C197" s="2" t="str">
        <x:v>WPP thousands×1000;2051/2026−1</x:v>
      </x:c>
      <x:c r="D197" s="2" t="str">
        <x:v>{"2026": 143394458.0, "2030": 141889410.0, "2035": 139909641.0, "2040": 138281831.0, "2045": 137152207.0, "2050": 136132775.0, "2051": 135876189.0}</x:v>
      </x:c>
      <x:c r="E197" s="2" t="str">
        <x:v>-0.05243068041025689</x:v>
      </x:c>
      <x:c r="F197" s="2" t="str">
        <x:v>Persons /fractionchange</x:v>
      </x:c>
      <x:c r="G197" s="2" t="str">
        <x:v>UN_WPP_RUS</x:v>
      </x:c>
      <x:c r="H197" s="2" t="str">
        <x:v>UN_WPP</x:v>
      </x:c>
      <x:c r="I197" s="2" t="str"/>
      <x:c r="J197" s="2" t="str">
        <x:v>Calculation_Audit!A4:M248 (locate stable ID in column A); Sources!A:A; Inputs!A:A</x:v>
      </x:c>
      <x:c r="K197" s="2" t="str">
        <x:v>scripts/olam-analyse.py</x:v>
      </x:c>
      <x:c r="L197" s="2" t="str">
        <x:v>Indexed country/calculation companion</x:v>
      </x:c>
      <x:c r="M197" s="2" t="str">
        <x:v>No category demand inference</x:v>
      </x:c>
    </x:row>
    <x:row r="198" ht="70" customHeight="1">
      <x:c r="A198" s="2" t="str">
        <x:v>C-POP-RWA</x:v>
      </x:c>
      <x:c r="B198" s="2" t="str">
        <x:v>Population projectionpath</x:v>
      </x:c>
      <x:c r="C198" s="2" t="str">
        <x:v>WPP thousands×1000;2051/2026−1</x:v>
      </x:c>
      <x:c r="D198" s="2" t="str">
        <x:v>{"2026": 14889693.0, "2030": 16154705.0, "2035": 17746319.0, "2040": 19440770.0, "2045": 21152658.0, "2050": 22707910.0, "2051": 23007765.0}</x:v>
      </x:c>
      <x:c r="E198" s="2" t="str">
        <x:v>0.5452141961556898</x:v>
      </x:c>
      <x:c r="F198" s="2" t="str">
        <x:v>Persons /fractionchange</x:v>
      </x:c>
      <x:c r="G198" s="2" t="str">
        <x:v>UN_WPP_RWA</x:v>
      </x:c>
      <x:c r="H198" s="2" t="str">
        <x:v>UN_WPP</x:v>
      </x:c>
      <x:c r="I198" s="2" t="str"/>
      <x:c r="J198" s="2" t="str">
        <x:v>Calculation_Audit!A4:M248 (locate stable ID in column A); Sources!A:A; Inputs!A:A</x:v>
      </x:c>
      <x:c r="K198" s="2" t="str">
        <x:v>scripts/olam-analyse.py</x:v>
      </x:c>
      <x:c r="L198" s="2" t="str">
        <x:v>Indexed country/calculation companion</x:v>
      </x:c>
      <x:c r="M198" s="2" t="str">
        <x:v>No category demand inference</x:v>
      </x:c>
    </x:row>
    <x:row r="199" ht="70" customHeight="1">
      <x:c r="A199" s="2" t="str">
        <x:v>C-POP-KNA</x:v>
      </x:c>
      <x:c r="B199" s="2" t="str">
        <x:v>Population projectionpath</x:v>
      </x:c>
      <x:c r="C199" s="2" t="str">
        <x:v>WPP thousands×1000;2051/2026−1</x:v>
      </x:c>
      <x:c r="D199" s="2" t="str">
        <x:v>{"2026": 46992.0, "2030": 47134.0, "2035": 46928.0, "2040": 46313.0, "2045": 45367.0, "2050": 44249.0, "2051": 43998.0}</x:v>
      </x:c>
      <x:c r="E199" s="2" t="str">
        <x:v>-0.06371297242083762</x:v>
      </x:c>
      <x:c r="F199" s="2" t="str">
        <x:v>Persons /fractionchange</x:v>
      </x:c>
      <x:c r="G199" s="2" t="str">
        <x:v>UN_WPP_KNA</x:v>
      </x:c>
      <x:c r="H199" s="2" t="str">
        <x:v>UN_WPP</x:v>
      </x:c>
      <x:c r="I199" s="2" t="str"/>
      <x:c r="J199" s="2" t="str">
        <x:v>Calculation_Audit!A4:M248 (locate stable ID in column A); Sources!A:A; Inputs!A:A</x:v>
      </x:c>
      <x:c r="K199" s="2" t="str">
        <x:v>scripts/olam-analyse.py</x:v>
      </x:c>
      <x:c r="L199" s="2" t="str">
        <x:v>Indexed country/calculation companion</x:v>
      </x:c>
      <x:c r="M199" s="2" t="str">
        <x:v>No category demand inference</x:v>
      </x:c>
    </x:row>
    <x:row r="200" ht="70" customHeight="1">
      <x:c r="A200" s="2" t="str">
        <x:v>C-POP-LCA</x:v>
      </x:c>
      <x:c r="B200" s="2" t="str">
        <x:v>Population projectionpath</x:v>
      </x:c>
      <x:c r="C200" s="2" t="str">
        <x:v>WPP thousands×1000;2051/2026−1</x:v>
      </x:c>
      <x:c r="D200" s="2" t="str">
        <x:v>{"2026": 180488.0, "2030": 181359.0, "2035": 181178.0, "2040": 179293.0, "2045": 176236.0, "2050": 172081.0, "2051": 171147.0}</x:v>
      </x:c>
      <x:c r="E200" s="2" t="str">
        <x:v>-0.05175413323877487</x:v>
      </x:c>
      <x:c r="F200" s="2" t="str">
        <x:v>Persons /fractionchange</x:v>
      </x:c>
      <x:c r="G200" s="2" t="str">
        <x:v>UN_WPP_LCA</x:v>
      </x:c>
      <x:c r="H200" s="2" t="str">
        <x:v>UN_WPP</x:v>
      </x:c>
      <x:c r="I200" s="2" t="str"/>
      <x:c r="J200" s="2" t="str">
        <x:v>Calculation_Audit!A4:M248 (locate stable ID in column A); Sources!A:A; Inputs!A:A</x:v>
      </x:c>
      <x:c r="K200" s="2" t="str">
        <x:v>scripts/olam-analyse.py</x:v>
      </x:c>
      <x:c r="L200" s="2" t="str">
        <x:v>Indexed country/calculation companion</x:v>
      </x:c>
      <x:c r="M200" s="2" t="str">
        <x:v>No category demand inference</x:v>
      </x:c>
    </x:row>
    <x:row r="201" ht="70" customHeight="1">
      <x:c r="A201" s="2" t="str">
        <x:v>C-POP-VCT</x:v>
      </x:c>
      <x:c r="B201" s="2" t="str">
        <x:v>Population projectionpath</x:v>
      </x:c>
      <x:c r="C201" s="2" t="str">
        <x:v>WPP thousands×1000;2051/2026−1</x:v>
      </x:c>
      <x:c r="D201" s="2" t="str">
        <x:v>{"2026": 99245.0, "2030": 96856.0, "2035": 94484.0, "2040": 92650.0, "2045": 90955.0, "2050": 88942.0, "2051": 88495.0}</x:v>
      </x:c>
      <x:c r="E201" s="2" t="str">
        <x:v>-0.10831779938535946</x:v>
      </x:c>
      <x:c r="F201" s="2" t="str">
        <x:v>Persons /fractionchange</x:v>
      </x:c>
      <x:c r="G201" s="2" t="str">
        <x:v>UN_WPP_VCT</x:v>
      </x:c>
      <x:c r="H201" s="2" t="str">
        <x:v>UN_WPP</x:v>
      </x:c>
      <x:c r="I201" s="2" t="str"/>
      <x:c r="J201" s="2" t="str">
        <x:v>Calculation_Audit!A4:M248 (locate stable ID in column A); Sources!A:A; Inputs!A:A</x:v>
      </x:c>
      <x:c r="K201" s="2" t="str">
        <x:v>scripts/olam-analyse.py</x:v>
      </x:c>
      <x:c r="L201" s="2" t="str">
        <x:v>Indexed country/calculation companion</x:v>
      </x:c>
      <x:c r="M201" s="2" t="str">
        <x:v>No category demand inference</x:v>
      </x:c>
    </x:row>
    <x:row r="202" ht="70" customHeight="1">
      <x:c r="A202" s="2" t="str">
        <x:v>C-POP-WSM</x:v>
      </x:c>
      <x:c r="B202" s="2" t="str">
        <x:v>Population projectionpath</x:v>
      </x:c>
      <x:c r="C202" s="2" t="str">
        <x:v>WPP thousands×1000;2051/2026−1</x:v>
      </x:c>
      <x:c r="D202" s="2" t="str">
        <x:v>{"2026": 220528.0, "2030": 225971.0, "2035": 235179.0, "2040": 247196.0, "2045": 260262.0, "2050": 272726.0, "2051": 275124.0}</x:v>
      </x:c>
      <x:c r="E202" s="2" t="str">
        <x:v>0.24756946963650872</x:v>
      </x:c>
      <x:c r="F202" s="2" t="str">
        <x:v>Persons /fractionchange</x:v>
      </x:c>
      <x:c r="G202" s="2" t="str">
        <x:v>UN_WPP_WSM</x:v>
      </x:c>
      <x:c r="H202" s="2" t="str">
        <x:v>UN_WPP</x:v>
      </x:c>
      <x:c r="I202" s="2" t="str"/>
      <x:c r="J202" s="2" t="str">
        <x:v>Calculation_Audit!A4:M248 (locate stable ID in column A); Sources!A:A; Inputs!A:A</x:v>
      </x:c>
      <x:c r="K202" s="2" t="str">
        <x:v>scripts/olam-analyse.py</x:v>
      </x:c>
      <x:c r="L202" s="2" t="str">
        <x:v>Indexed country/calculation companion</x:v>
      </x:c>
      <x:c r="M202" s="2" t="str">
        <x:v>No category demand inference</x:v>
      </x:c>
    </x:row>
    <x:row r="203" ht="70" customHeight="1">
      <x:c r="A203" s="2" t="str">
        <x:v>C-POP-SMR</x:v>
      </x:c>
      <x:c r="B203" s="2" t="str">
        <x:v>Population projectionpath</x:v>
      </x:c>
      <x:c r="C203" s="2" t="str">
        <x:v>WPP thousands×1000;2051/2026−1</x:v>
      </x:c>
      <x:c r="D203" s="2" t="str">
        <x:v>{"2026": 33605.0, "2030": 33742.0, "2035": 33828.0, "2040": 33969.0, "2045": 33920.0, "2050": 33696.0, "2051": 33643.0}</x:v>
      </x:c>
      <x:c r="E203" s="2" t="str">
        <x:v>0.001130784109507621</x:v>
      </x:c>
      <x:c r="F203" s="2" t="str">
        <x:v>Persons /fractionchange</x:v>
      </x:c>
      <x:c r="G203" s="2" t="str">
        <x:v>UN_WPP_SMR</x:v>
      </x:c>
      <x:c r="H203" s="2" t="str">
        <x:v>UN_WPP</x:v>
      </x:c>
      <x:c r="I203" s="2" t="str"/>
      <x:c r="J203" s="2" t="str">
        <x:v>Calculation_Audit!A4:M248 (locate stable ID in column A); Sources!A:A; Inputs!A:A</x:v>
      </x:c>
      <x:c r="K203" s="2" t="str">
        <x:v>scripts/olam-analyse.py</x:v>
      </x:c>
      <x:c r="L203" s="2" t="str">
        <x:v>Indexed country/calculation companion</x:v>
      </x:c>
      <x:c r="M203" s="2" t="str">
        <x:v>No category demand inference</x:v>
      </x:c>
    </x:row>
    <x:row r="204" ht="70" customHeight="1">
      <x:c r="A204" s="2" t="str">
        <x:v>C-POP-STP</x:v>
      </x:c>
      <x:c r="B204" s="2" t="str">
        <x:v>Population projectionpath</x:v>
      </x:c>
      <x:c r="C204" s="2" t="str">
        <x:v>WPP thousands×1000;2051/2026−1</x:v>
      </x:c>
      <x:c r="D204" s="2" t="str">
        <x:v>{"2026": 244994.0, "2030": 264565.0, "2035": 290088.0, "2040": 315842.0, "2045": 340926.0, "2050": 365115.0, "2051": 369875.0}</x:v>
      </x:c>
      <x:c r="E204" s="2" t="str">
        <x:v>0.5097308505514422</x:v>
      </x:c>
      <x:c r="F204" s="2" t="str">
        <x:v>Persons /fractionchange</x:v>
      </x:c>
      <x:c r="G204" s="2" t="str">
        <x:v>UN_WPP_STP</x:v>
      </x:c>
      <x:c r="H204" s="2" t="str">
        <x:v>UN_WPP</x:v>
      </x:c>
      <x:c r="I204" s="2" t="str"/>
      <x:c r="J204" s="2" t="str">
        <x:v>Calculation_Audit!A4:M248 (locate stable ID in column A); Sources!A:A; Inputs!A:A</x:v>
      </x:c>
      <x:c r="K204" s="2" t="str">
        <x:v>scripts/olam-analyse.py</x:v>
      </x:c>
      <x:c r="L204" s="2" t="str">
        <x:v>Indexed country/calculation companion</x:v>
      </x:c>
      <x:c r="M204" s="2" t="str">
        <x:v>No category demand inference</x:v>
      </x:c>
    </x:row>
    <x:row r="205" ht="70" customHeight="1">
      <x:c r="A205" s="2" t="str">
        <x:v>C-POP-SAU</x:v>
      </x:c>
      <x:c r="B205" s="2" t="str">
        <x:v>Population projectionpath</x:v>
      </x:c>
      <x:c r="C205" s="2" t="str">
        <x:v>WPP thousands×1000;2051/2026−1</x:v>
      </x:c>
      <x:c r="D205" s="2" t="str">
        <x:v>{"2026": 35165787.0, "2030": 37443751.0, "2035": 40012640.0, "2040": 42592205.0, "2045": 45156465.0, "2050": 47693910.0, "2051": 48198043.0}</x:v>
      </x:c>
      <x:c r="E205" s="2" t="str">
        <x:v>0.37059474881082566</x:v>
      </x:c>
      <x:c r="F205" s="2" t="str">
        <x:v>Persons /fractionchange</x:v>
      </x:c>
      <x:c r="G205" s="2" t="str">
        <x:v>UN_WPP_SAU</x:v>
      </x:c>
      <x:c r="H205" s="2" t="str">
        <x:v>UN_WPP</x:v>
      </x:c>
      <x:c r="I205" s="2" t="str"/>
      <x:c r="J205" s="2" t="str">
        <x:v>Calculation_Audit!A4:M248 (locate stable ID in column A); Sources!A:A; Inputs!A:A</x:v>
      </x:c>
      <x:c r="K205" s="2" t="str">
        <x:v>scripts/olam-analyse.py</x:v>
      </x:c>
      <x:c r="L205" s="2" t="str">
        <x:v>Indexed country/calculation companion</x:v>
      </x:c>
      <x:c r="M205" s="2" t="str">
        <x:v>No category demand inference</x:v>
      </x:c>
    </x:row>
    <x:row r="206" ht="70" customHeight="1">
      <x:c r="A206" s="2" t="str">
        <x:v>C-POP-SEN</x:v>
      </x:c>
      <x:c r="B206" s="2" t="str">
        <x:v>Population projectionpath</x:v>
      </x:c>
      <x:c r="C206" s="2" t="str">
        <x:v>WPP thousands×1000;2051/2026−1</x:v>
      </x:c>
      <x:c r="D206" s="2" t="str">
        <x:v>{"2026": 19366548.0, "2030": 21163192.0, "2035": 23476596.0, "2040": 25797510.0, "2045": 28089699.0, "2050": 30364954.0, "2051": 30817068.0}</x:v>
      </x:c>
      <x:c r="E206" s="2" t="str">
        <x:v>0.5912525040600938</x:v>
      </x:c>
      <x:c r="F206" s="2" t="str">
        <x:v>Persons /fractionchange</x:v>
      </x:c>
      <x:c r="G206" s="2" t="str">
        <x:v>UN_WPP_SEN</x:v>
      </x:c>
      <x:c r="H206" s="2" t="str">
        <x:v>UN_WPP</x:v>
      </x:c>
      <x:c r="I206" s="2" t="str"/>
      <x:c r="J206" s="2" t="str">
        <x:v>Calculation_Audit!A4:M248 (locate stable ID in column A); Sources!A:A; Inputs!A:A</x:v>
      </x:c>
      <x:c r="K206" s="2" t="str">
        <x:v>scripts/olam-analyse.py</x:v>
      </x:c>
      <x:c r="L206" s="2" t="str">
        <x:v>Indexed country/calculation companion</x:v>
      </x:c>
      <x:c r="M206" s="2" t="str">
        <x:v>No category demand inference</x:v>
      </x:c>
    </x:row>
    <x:row r="207" ht="70" customHeight="1">
      <x:c r="A207" s="2" t="str">
        <x:v>C-POP-SRB</x:v>
      </x:c>
      <x:c r="B207" s="2" t="str">
        <x:v>Population projectionpath</x:v>
      </x:c>
      <x:c r="C207" s="2" t="str">
        <x:v>WPP thousands×1000;2051/2026−1</x:v>
      </x:c>
      <x:c r="D207" s="2" t="str">
        <x:v>{"2026": 6641964.0, "2030": 6461212.0, "2035": 6226578.0, "2040": 5987456.0, "2045": 5753266.0, "2050": 5532870.0, "2051": 5489989.0}</x:v>
      </x:c>
      <x:c r="E207" s="2" t="str">
        <x:v>-0.17343891053911165</x:v>
      </x:c>
      <x:c r="F207" s="2" t="str">
        <x:v>Persons /fractionchange</x:v>
      </x:c>
      <x:c r="G207" s="2" t="str">
        <x:v>UN_WPP_SRB</x:v>
      </x:c>
      <x:c r="H207" s="2" t="str">
        <x:v>UN_WPP</x:v>
      </x:c>
      <x:c r="I207" s="2" t="str"/>
      <x:c r="J207" s="2" t="str">
        <x:v>Calculation_Audit!A4:M248 (locate stable ID in column A); Sources!A:A; Inputs!A:A</x:v>
      </x:c>
      <x:c r="K207" s="2" t="str">
        <x:v>scripts/olam-analyse.py</x:v>
      </x:c>
      <x:c r="L207" s="2" t="str">
        <x:v>Indexed country/calculation companion</x:v>
      </x:c>
      <x:c r="M207" s="2" t="str">
        <x:v>No category demand inference</x:v>
      </x:c>
    </x:row>
    <x:row r="208" ht="70" customHeight="1">
      <x:c r="A208" s="2" t="str">
        <x:v>C-POP-SYC</x:v>
      </x:c>
      <x:c r="B208" s="2" t="str">
        <x:v>Population projectionpath</x:v>
      </x:c>
      <x:c r="C208" s="2" t="str">
        <x:v>WPP thousands×1000;2051/2026−1</x:v>
      </x:c>
      <x:c r="D208" s="2" t="str">
        <x:v>{"2026": 134959.0, "2030": 140399.0, "2035": 141891.0, "2040": 142544.0, "2045": 142524.0, "2050": 141746.0, "2051": 141518.0}</x:v>
      </x:c>
      <x:c r="E208" s="2" t="str">
        <x:v>0.04859994516853261</x:v>
      </x:c>
      <x:c r="F208" s="2" t="str">
        <x:v>Persons /fractionchange</x:v>
      </x:c>
      <x:c r="G208" s="2" t="str">
        <x:v>UN_WPP_SYC</x:v>
      </x:c>
      <x:c r="H208" s="2" t="str">
        <x:v>UN_WPP</x:v>
      </x:c>
      <x:c r="I208" s="2" t="str"/>
      <x:c r="J208" s="2" t="str">
        <x:v>Calculation_Audit!A4:M248 (locate stable ID in column A); Sources!A:A; Inputs!A:A</x:v>
      </x:c>
      <x:c r="K208" s="2" t="str">
        <x:v>scripts/olam-analyse.py</x:v>
      </x:c>
      <x:c r="L208" s="2" t="str">
        <x:v>Indexed country/calculation companion</x:v>
      </x:c>
      <x:c r="M208" s="2" t="str">
        <x:v>No category demand inference</x:v>
      </x:c>
    </x:row>
    <x:row r="209" ht="70" customHeight="1">
      <x:c r="A209" s="2" t="str">
        <x:v>C-POP-SLE</x:v>
      </x:c>
      <x:c r="B209" s="2" t="str">
        <x:v>Population projectionpath</x:v>
      </x:c>
      <x:c r="C209" s="2" t="str">
        <x:v>WPP thousands×1000;2051/2026−1</x:v>
      </x:c>
      <x:c r="D209" s="2" t="str">
        <x:v>{"2026": 8996745.0, "2030": 9694858.0, "2035": 10563167.0, "2040": 11398400.0, "2045": 12208880.0, "2050": 12948325.0, "2051": 13093462.0}</x:v>
      </x:c>
      <x:c r="E209" s="2" t="str">
        <x:v>0.45535546467083376</x:v>
      </x:c>
      <x:c r="F209" s="2" t="str">
        <x:v>Persons /fractionchange</x:v>
      </x:c>
      <x:c r="G209" s="2" t="str">
        <x:v>UN_WPP_SLE</x:v>
      </x:c>
      <x:c r="H209" s="2" t="str">
        <x:v>UN_WPP</x:v>
      </x:c>
      <x:c r="I209" s="2" t="str"/>
      <x:c r="J209" s="2" t="str">
        <x:v>Calculation_Audit!A4:M248 (locate stable ID in column A); Sources!A:A; Inputs!A:A</x:v>
      </x:c>
      <x:c r="K209" s="2" t="str">
        <x:v>scripts/olam-analyse.py</x:v>
      </x:c>
      <x:c r="L209" s="2" t="str">
        <x:v>Indexed country/calculation companion</x:v>
      </x:c>
      <x:c r="M209" s="2" t="str">
        <x:v>No category demand inference</x:v>
      </x:c>
    </x:row>
    <x:row r="210" ht="70" customHeight="1">
      <x:c r="A210" s="2" t="str">
        <x:v>C-POP-SGP</x:v>
      </x:c>
      <x:c r="B210" s="2" t="str">
        <x:v>Population projectionpath</x:v>
      </x:c>
      <x:c r="C210" s="2" t="str">
        <x:v>WPP thousands×1000;2051/2026−1</x:v>
      </x:c>
      <x:c r="D210" s="2" t="str">
        <x:v>{"2026": 5905748.0, "2030": 6031377.0, "2035": 6153233.0, "2040": 6194782.0, "2045": 6156188.0, "2050": 6081691.0, "2051": 6064528.0}</x:v>
      </x:c>
      <x:c r="E210" s="2" t="str">
        <x:v>0.026885671383201526</x:v>
      </x:c>
      <x:c r="F210" s="2" t="str">
        <x:v>Persons /fractionchange</x:v>
      </x:c>
      <x:c r="G210" s="2" t="str">
        <x:v>UN_WPP_SGP</x:v>
      </x:c>
      <x:c r="H210" s="2" t="str">
        <x:v>UN_WPP</x:v>
      </x:c>
      <x:c r="I210" s="2" t="str"/>
      <x:c r="J210" s="2" t="str">
        <x:v>Calculation_Audit!A4:M248 (locate stable ID in column A); Sources!A:A; Inputs!A:A</x:v>
      </x:c>
      <x:c r="K210" s="2" t="str">
        <x:v>scripts/olam-analyse.py</x:v>
      </x:c>
      <x:c r="L210" s="2" t="str">
        <x:v>Indexed country/calculation companion</x:v>
      </x:c>
      <x:c r="M210" s="2" t="str">
        <x:v>No category demand inference</x:v>
      </x:c>
    </x:row>
    <x:row r="211" ht="70" customHeight="1">
      <x:c r="A211" s="2" t="str">
        <x:v>C-POP-SVK</x:v>
      </x:c>
      <x:c r="B211" s="2" t="str">
        <x:v>Population projectionpath</x:v>
      </x:c>
      <x:c r="C211" s="2" t="str">
        <x:v>WPP thousands×1000;2051/2026−1</x:v>
      </x:c>
      <x:c r="D211" s="2" t="str">
        <x:v>{"2026": 5451342.0, "2030": 5401392.0, "2035": 5307343.0, "2040": 5192010.0, "2045": 5066919.0, "2050": 4936488.0, "2051": 4909328.0}</x:v>
      </x:c>
      <x:c r="E211" s="2" t="str">
        <x:v>-0.0994276271787754</x:v>
      </x:c>
      <x:c r="F211" s="2" t="str">
        <x:v>Persons /fractionchange</x:v>
      </x:c>
      <x:c r="G211" s="2" t="str">
        <x:v>UN_WPP_SVK</x:v>
      </x:c>
      <x:c r="H211" s="2" t="str">
        <x:v>UN_WPP</x:v>
      </x:c>
      <x:c r="I211" s="2" t="str"/>
      <x:c r="J211" s="2" t="str">
        <x:v>Calculation_Audit!A4:M248 (locate stable ID in column A); Sources!A:A; Inputs!A:A</x:v>
      </x:c>
      <x:c r="K211" s="2" t="str">
        <x:v>scripts/olam-analyse.py</x:v>
      </x:c>
      <x:c r="L211" s="2" t="str">
        <x:v>Indexed country/calculation companion</x:v>
      </x:c>
      <x:c r="M211" s="2" t="str">
        <x:v>No category demand inference</x:v>
      </x:c>
    </x:row>
    <x:row r="212" ht="70" customHeight="1">
      <x:c r="A212" s="2" t="str">
        <x:v>C-POP-SVN</x:v>
      </x:c>
      <x:c r="B212" s="2" t="str">
        <x:v>Population projectionpath</x:v>
      </x:c>
      <x:c r="C212" s="2" t="str">
        <x:v>WPP thousands×1000;2051/2026−1</x:v>
      </x:c>
      <x:c r="D212" s="2" t="str">
        <x:v>{"2026": 2114573.0, "2030": 2098956.0, "2035": 2073835.9999999998, "2040": 2046764.0, "2045": 2016283.0, "2050": 1981553.0, "2051": 1973639.0}</x:v>
      </x:c>
      <x:c r="E212" s="2" t="str">
        <x:v>-0.06664891682623397</x:v>
      </x:c>
      <x:c r="F212" s="2" t="str">
        <x:v>Persons /fractionchange</x:v>
      </x:c>
      <x:c r="G212" s="2" t="str">
        <x:v>UN_WPP_SVN</x:v>
      </x:c>
      <x:c r="H212" s="2" t="str">
        <x:v>UN_WPP</x:v>
      </x:c>
      <x:c r="I212" s="2" t="str"/>
      <x:c r="J212" s="2" t="str">
        <x:v>Calculation_Audit!A4:M248 (locate stable ID in column A); Sources!A:A; Inputs!A:A</x:v>
      </x:c>
      <x:c r="K212" s="2" t="str">
        <x:v>scripts/olam-analyse.py</x:v>
      </x:c>
      <x:c r="L212" s="2" t="str">
        <x:v>Indexed country/calculation companion</x:v>
      </x:c>
      <x:c r="M212" s="2" t="str">
        <x:v>No category demand inference</x:v>
      </x:c>
    </x:row>
    <x:row r="213" ht="70" customHeight="1">
      <x:c r="A213" s="2" t="str">
        <x:v>C-POP-SLB</x:v>
      </x:c>
      <x:c r="B213" s="2" t="str">
        <x:v>Population projectionpath</x:v>
      </x:c>
      <x:c r="C213" s="2" t="str">
        <x:v>WPP thousands×1000;2051/2026−1</x:v>
      </x:c>
      <x:c r="D213" s="2" t="str">
        <x:v>{"2026": 858288.0, "2030": 938348.0, "2035": 1039656.9999999999, "2040": 1135455.0, "2045": 1224199.0, "2050": 1309110.0, "2051": 1325603.0}</x:v>
      </x:c>
      <x:c r="E213" s="2" t="str">
        <x:v>0.5444734168484238</x:v>
      </x:c>
      <x:c r="F213" s="2" t="str">
        <x:v>Persons /fractionchange</x:v>
      </x:c>
      <x:c r="G213" s="2" t="str">
        <x:v>UN_WPP_SLB</x:v>
      </x:c>
      <x:c r="H213" s="2" t="str">
        <x:v>UN_WPP</x:v>
      </x:c>
      <x:c r="I213" s="2" t="str"/>
      <x:c r="J213" s="2" t="str">
        <x:v>Calculation_Audit!A4:M248 (locate stable ID in column A); Sources!A:A; Inputs!A:A</x:v>
      </x:c>
      <x:c r="K213" s="2" t="str">
        <x:v>scripts/olam-analyse.py</x:v>
      </x:c>
      <x:c r="L213" s="2" t="str">
        <x:v>Indexed country/calculation companion</x:v>
      </x:c>
      <x:c r="M213" s="2" t="str">
        <x:v>No category demand inference</x:v>
      </x:c>
    </x:row>
    <x:row r="214" ht="70" customHeight="1">
      <x:c r="A214" s="2" t="str">
        <x:v>C-POP-SOM</x:v>
      </x:c>
      <x:c r="B214" s="2" t="str">
        <x:v>Population projectionpath</x:v>
      </x:c>
      <x:c r="C214" s="2" t="str">
        <x:v>WPP thousands×1000;2051/2026−1</x:v>
      </x:c>
      <x:c r="D214" s="2" t="str">
        <x:v>{"2026": 20305907.0, "2030": 22915044.0, "2035": 26294950.0, "2040": 29896287.0, "2045": 33510165.999999996, "2050": 37206512.0, "2051": 37953802.0}</x:v>
      </x:c>
      <x:c r="E214" s="2" t="str">
        <x:v>0.869101537793904</x:v>
      </x:c>
      <x:c r="F214" s="2" t="str">
        <x:v>Persons /fractionchange</x:v>
      </x:c>
      <x:c r="G214" s="2" t="str">
        <x:v>UN_WPP_SOM</x:v>
      </x:c>
      <x:c r="H214" s="2" t="str">
        <x:v>UN_WPP</x:v>
      </x:c>
      <x:c r="I214" s="2" t="str"/>
      <x:c r="J214" s="2" t="str">
        <x:v>Calculation_Audit!A4:M248 (locate stable ID in column A); Sources!A:A; Inputs!A:A</x:v>
      </x:c>
      <x:c r="K214" s="2" t="str">
        <x:v>scripts/olam-analyse.py</x:v>
      </x:c>
      <x:c r="L214" s="2" t="str">
        <x:v>Indexed country/calculation companion</x:v>
      </x:c>
      <x:c r="M214" s="2" t="str">
        <x:v>No category demand inference</x:v>
      </x:c>
    </x:row>
    <x:row r="215" ht="70" customHeight="1">
      <x:c r="A215" s="2" t="str">
        <x:v>C-POP-ZAF</x:v>
      </x:c>
      <x:c r="B215" s="2" t="str">
        <x:v>Population projectionpath</x:v>
      </x:c>
      <x:c r="C215" s="2" t="str">
        <x:v>WPP thousands×1000;2051/2026−1</x:v>
      </x:c>
      <x:c r="D215" s="2" t="str">
        <x:v>{"2026": 65453084.0, "2030": 68161359.0, "2035": 71234752.0, "2040": 74035624.0, "2045": 76681450.0, "2050": 79177328.0, "2051": 79652213.0}</x:v>
      </x:c>
      <x:c r="E215" s="2" t="str">
        <x:v>0.2169359811983802</x:v>
      </x:c>
      <x:c r="F215" s="2" t="str">
        <x:v>Persons /fractionchange</x:v>
      </x:c>
      <x:c r="G215" s="2" t="str">
        <x:v>UN_WPP_ZAF</x:v>
      </x:c>
      <x:c r="H215" s="2" t="str">
        <x:v>UN_WPP</x:v>
      </x:c>
      <x:c r="I215" s="2" t="str"/>
      <x:c r="J215" s="2" t="str">
        <x:v>Calculation_Audit!A4:M248 (locate stable ID in column A); Sources!A:A; Inputs!A:A</x:v>
      </x:c>
      <x:c r="K215" s="2" t="str">
        <x:v>scripts/olam-analyse.py</x:v>
      </x:c>
      <x:c r="L215" s="2" t="str">
        <x:v>Indexed country/calculation companion</x:v>
      </x:c>
      <x:c r="M215" s="2" t="str">
        <x:v>No category demand inference</x:v>
      </x:c>
    </x:row>
    <x:row r="216" ht="70" customHeight="1">
      <x:c r="A216" s="2" t="str">
        <x:v>C-POP-SSD</x:v>
      </x:c>
      <x:c r="B216" s="2" t="str">
        <x:v>Population projectionpath</x:v>
      </x:c>
      <x:c r="C216" s="2" t="str">
        <x:v>WPP thousands×1000;2051/2026−1</x:v>
      </x:c>
      <x:c r="D216" s="2" t="str">
        <x:v>{"2026": 12436037.0, "2030": 13457453.0, "2035": 14798600.0, "2040": 16101480.0, "2045": 17286410.0, "2050": 18341974.0, "2051": 18542997.0}</x:v>
      </x:c>
      <x:c r="E216" s="2" t="str">
        <x:v>0.49106962290318057</x:v>
      </x:c>
      <x:c r="F216" s="2" t="str">
        <x:v>Persons /fractionchange</x:v>
      </x:c>
      <x:c r="G216" s="2" t="str">
        <x:v>UN_WPP_SSD</x:v>
      </x:c>
      <x:c r="H216" s="2" t="str">
        <x:v>UN_WPP</x:v>
      </x:c>
      <x:c r="I216" s="2" t="str"/>
      <x:c r="J216" s="2" t="str">
        <x:v>Calculation_Audit!A4:M248 (locate stable ID in column A); Sources!A:A; Inputs!A:A</x:v>
      </x:c>
      <x:c r="K216" s="2" t="str">
        <x:v>scripts/olam-analyse.py</x:v>
      </x:c>
      <x:c r="L216" s="2" t="str">
        <x:v>Indexed country/calculation companion</x:v>
      </x:c>
      <x:c r="M216" s="2" t="str">
        <x:v>No category demand inference</x:v>
      </x:c>
    </x:row>
    <x:row r="217" ht="70" customHeight="1">
      <x:c r="A217" s="2" t="str">
        <x:v>C-POP-ESP</x:v>
      </x:c>
      <x:c r="B217" s="2" t="str">
        <x:v>Population projectionpath</x:v>
      </x:c>
      <x:c r="C217" s="2" t="str">
        <x:v>WPP thousands×1000;2051/2026−1</x:v>
      </x:c>
      <x:c r="D217" s="2" t="str">
        <x:v>{"2026": 47850793.0, "2030": 47610520.0, "2035": 47154196.0, "2040": 46591674.0, "2045": 45879964.0, "2050": 44928558.0, "2051": 44712279.0}</x:v>
      </x:c>
      <x:c r="E217" s="2" t="str">
        <x:v>-0.06558959221428162</x:v>
      </x:c>
      <x:c r="F217" s="2" t="str">
        <x:v>Persons /fractionchange</x:v>
      </x:c>
      <x:c r="G217" s="2" t="str">
        <x:v>UN_WPP_ESP</x:v>
      </x:c>
      <x:c r="H217" s="2" t="str">
        <x:v>UN_WPP</x:v>
      </x:c>
      <x:c r="I217" s="2" t="str"/>
      <x:c r="J217" s="2" t="str">
        <x:v>Calculation_Audit!A4:M248 (locate stable ID in column A); Sources!A:A; Inputs!A:A</x:v>
      </x:c>
      <x:c r="K217" s="2" t="str">
        <x:v>scripts/olam-analyse.py</x:v>
      </x:c>
      <x:c r="L217" s="2" t="str">
        <x:v>Indexed country/calculation companion</x:v>
      </x:c>
      <x:c r="M217" s="2" t="str">
        <x:v>No category demand inference</x:v>
      </x:c>
    </x:row>
    <x:row r="218" ht="70" customHeight="1">
      <x:c r="A218" s="2" t="str">
        <x:v>C-POP-LKA</x:v>
      </x:c>
      <x:c r="B218" s="2" t="str">
        <x:v>Population projectionpath</x:v>
      </x:c>
      <x:c r="C218" s="2" t="str">
        <x:v>WPP thousands×1000;2051/2026−1</x:v>
      </x:c>
      <x:c r="D218" s="2" t="str">
        <x:v>{"2026": 23348315.0, "2030": 23767952.0, "2035": 24196475.0, "2040": 24526699.0, "2045": 24736435.0, "2050": 24813690.0, "2051": 24814757.0}</x:v>
      </x:c>
      <x:c r="E218" s="2" t="str">
        <x:v>0.0628071875850571</x:v>
      </x:c>
      <x:c r="F218" s="2" t="str">
        <x:v>Persons /fractionchange</x:v>
      </x:c>
      <x:c r="G218" s="2" t="str">
        <x:v>UN_WPP_LKA</x:v>
      </x:c>
      <x:c r="H218" s="2" t="str">
        <x:v>UN_WPP</x:v>
      </x:c>
      <x:c r="I218" s="2" t="str"/>
      <x:c r="J218" s="2" t="str">
        <x:v>Calculation_Audit!A4:M248 (locate stable ID in column A); Sources!A:A; Inputs!A:A</x:v>
      </x:c>
      <x:c r="K218" s="2" t="str">
        <x:v>scripts/olam-analyse.py</x:v>
      </x:c>
      <x:c r="L218" s="2" t="str">
        <x:v>Indexed country/calculation companion</x:v>
      </x:c>
      <x:c r="M218" s="2" t="str">
        <x:v>No category demand inference</x:v>
      </x:c>
    </x:row>
    <x:row r="219" ht="70" customHeight="1">
      <x:c r="A219" s="2" t="str">
        <x:v>C-POP-PSE</x:v>
      </x:c>
      <x:c r="B219" s="2" t="str">
        <x:v>Population projectionpath</x:v>
      </x:c>
      <x:c r="C219" s="2" t="str">
        <x:v>WPP thousands×1000;2051/2026−1</x:v>
      </x:c>
      <x:c r="D219" s="2" t="str">
        <x:v>{"2026": 5692790.0, "2030": 6122314.0, "2035": 6692735.0, "2040": 7291826.0, "2045": 7895095.0, "2050": 8451891.0, "2051": 8559237.0}</x:v>
      </x:c>
      <x:c r="E219" s="2" t="str">
        <x:v>0.5035223502008681</x:v>
      </x:c>
      <x:c r="F219" s="2" t="str">
        <x:v>Persons /fractionchange</x:v>
      </x:c>
      <x:c r="G219" s="2" t="str">
        <x:v>UN_WPP_PSE</x:v>
      </x:c>
      <x:c r="H219" s="2" t="str">
        <x:v>UN_WPP</x:v>
      </x:c>
      <x:c r="I219" s="2" t="str"/>
      <x:c r="J219" s="2" t="str">
        <x:v>Calculation_Audit!A4:M248 (locate stable ID in column A); Sources!A:A; Inputs!A:A</x:v>
      </x:c>
      <x:c r="K219" s="2" t="str">
        <x:v>scripts/olam-analyse.py</x:v>
      </x:c>
      <x:c r="L219" s="2" t="str">
        <x:v>Indexed country/calculation companion</x:v>
      </x:c>
      <x:c r="M219" s="2" t="str">
        <x:v>No category demand inference</x:v>
      </x:c>
    </x:row>
    <x:row r="220" ht="70" customHeight="1">
      <x:c r="A220" s="2" t="str">
        <x:v>C-POP-SDN</x:v>
      </x:c>
      <x:c r="B220" s="2" t="str">
        <x:v>Population projectionpath</x:v>
      </x:c>
      <x:c r="C220" s="2" t="str">
        <x:v>WPP thousands×1000;2051/2026−1</x:v>
      </x:c>
      <x:c r="D220" s="2" t="str">
        <x:v>{"2026": 53282719.0, "2030": 58571616.0, "2035": 65148317.0, "2040": 71730599.0, "2045": 78415203.0, "2050": 85206383.0, "2051": 86579067.0}</x:v>
      </x:c>
      <x:c r="E220" s="2" t="str">
        <x:v>0.6248995664053856</x:v>
      </x:c>
      <x:c r="F220" s="2" t="str">
        <x:v>Persons /fractionchange</x:v>
      </x:c>
      <x:c r="G220" s="2" t="str">
        <x:v>UN_WPP_SDN</x:v>
      </x:c>
      <x:c r="H220" s="2" t="str">
        <x:v>UN_WPP</x:v>
      </x:c>
      <x:c r="I220" s="2" t="str"/>
      <x:c r="J220" s="2" t="str">
        <x:v>Calculation_Audit!A4:M248 (locate stable ID in column A); Sources!A:A; Inputs!A:A</x:v>
      </x:c>
      <x:c r="K220" s="2" t="str">
        <x:v>scripts/olam-analyse.py</x:v>
      </x:c>
      <x:c r="L220" s="2" t="str">
        <x:v>Indexed country/calculation companion</x:v>
      </x:c>
      <x:c r="M220" s="2" t="str">
        <x:v>No category demand inference</x:v>
      </x:c>
    </x:row>
    <x:row r="221" ht="70" customHeight="1">
      <x:c r="A221" s="2" t="str">
        <x:v>C-POP-SUR</x:v>
      </x:c>
      <x:c r="B221" s="2" t="str">
        <x:v>Population projectionpath</x:v>
      </x:c>
      <x:c r="C221" s="2" t="str">
        <x:v>WPP thousands×1000;2051/2026−1</x:v>
      </x:c>
      <x:c r="D221" s="2" t="str">
        <x:v>{"2026": 645256.0, "2030": 665652.0, "2035": 688191.0, "2040": 707160.0, "2045": 722756.0, "2050": 733904.0, "2051": 735702.0}</x:v>
      </x:c>
      <x:c r="E221" s="2" t="str">
        <x:v>0.1401707229378728</x:v>
      </x:c>
      <x:c r="F221" s="2" t="str">
        <x:v>Persons /fractionchange</x:v>
      </x:c>
      <x:c r="G221" s="2" t="str">
        <x:v>UN_WPP_SUR</x:v>
      </x:c>
      <x:c r="H221" s="2" t="str">
        <x:v>UN_WPP</x:v>
      </x:c>
      <x:c r="I221" s="2" t="str"/>
      <x:c r="J221" s="2" t="str">
        <x:v>Calculation_Audit!A4:M248 (locate stable ID in column A); Sources!A:A; Inputs!A:A</x:v>
      </x:c>
      <x:c r="K221" s="2" t="str">
        <x:v>scripts/olam-analyse.py</x:v>
      </x:c>
      <x:c r="L221" s="2" t="str">
        <x:v>Indexed country/calculation companion</x:v>
      </x:c>
      <x:c r="M221" s="2" t="str">
        <x:v>No category demand inference</x:v>
      </x:c>
    </x:row>
    <x:row r="222" ht="70" customHeight="1">
      <x:c r="A222" s="2" t="str">
        <x:v>C-POP-SWE</x:v>
      </x:c>
      <x:c r="B222" s="2" t="str">
        <x:v>Population projectionpath</x:v>
      </x:c>
      <x:c r="C222" s="2" t="str">
        <x:v>WPP thousands×1000;2051/2026−1</x:v>
      </x:c>
      <x:c r="D222" s="2" t="str">
        <x:v>{"2026": 10701047.0, "2030": 10841810.0, "2035": 10964978.0, "2040": 11078602.0, "2045": 11202872.0, "2050": 11309630.0, "2051": 11327101.0}</x:v>
      </x:c>
      <x:c r="E222" s="2" t="str">
        <x:v>0.058503994982920915</x:v>
      </x:c>
      <x:c r="F222" s="2" t="str">
        <x:v>Persons /fractionchange</x:v>
      </x:c>
      <x:c r="G222" s="2" t="str">
        <x:v>UN_WPP_SWE</x:v>
      </x:c>
      <x:c r="H222" s="2" t="str">
        <x:v>UN_WPP</x:v>
      </x:c>
      <x:c r="I222" s="2" t="str"/>
      <x:c r="J222" s="2" t="str">
        <x:v>Calculation_Audit!A4:M248 (locate stable ID in column A); Sources!A:A; Inputs!A:A</x:v>
      </x:c>
      <x:c r="K222" s="2" t="str">
        <x:v>scripts/olam-analyse.py</x:v>
      </x:c>
      <x:c r="L222" s="2" t="str">
        <x:v>Indexed country/calculation companion</x:v>
      </x:c>
      <x:c r="M222" s="2" t="str">
        <x:v>No category demand inference</x:v>
      </x:c>
    </x:row>
    <x:row r="223" ht="70" customHeight="1">
      <x:c r="A223" s="2" t="str">
        <x:v>C-POP-CHE</x:v>
      </x:c>
      <x:c r="B223" s="2" t="str">
        <x:v>Population projectionpath</x:v>
      </x:c>
      <x:c r="C223" s="2" t="str">
        <x:v>WPP thousands×1000;2051/2026−1</x:v>
      </x:c>
      <x:c r="D223" s="2" t="str">
        <x:v>{"2026": 9007798.0, "2030": 9130292.0, "2035": 9224225.0, "2040": 9276178.0, "2045": 9315498.0, "2050": 9342586.0, "2051": 9343512.0}</x:v>
      </x:c>
      <x:c r="E223" s="2" t="str">
        <x:v>0.03726926380897977</x:v>
      </x:c>
      <x:c r="F223" s="2" t="str">
        <x:v>Persons /fractionchange</x:v>
      </x:c>
      <x:c r="G223" s="2" t="str">
        <x:v>UN_WPP_CHE</x:v>
      </x:c>
      <x:c r="H223" s="2" t="str">
        <x:v>UN_WPP</x:v>
      </x:c>
      <x:c r="I223" s="2" t="str"/>
      <x:c r="J223" s="2" t="str">
        <x:v>Calculation_Audit!A4:M248 (locate stable ID in column A); Sources!A:A; Inputs!A:A</x:v>
      </x:c>
      <x:c r="K223" s="2" t="str">
        <x:v>scripts/olam-analyse.py</x:v>
      </x:c>
      <x:c r="L223" s="2" t="str">
        <x:v>Indexed country/calculation companion</x:v>
      </x:c>
      <x:c r="M223" s="2" t="str">
        <x:v>No category demand inference</x:v>
      </x:c>
    </x:row>
    <x:row r="224" ht="70" customHeight="1">
      <x:c r="A224" s="2" t="str">
        <x:v>C-POP-SYR</x:v>
      </x:c>
      <x:c r="B224" s="2" t="str">
        <x:v>Population projectionpath</x:v>
      </x:c>
      <x:c r="C224" s="2" t="str">
        <x:v>WPP thousands×1000;2051/2026−1</x:v>
      </x:c>
      <x:c r="D224" s="2" t="str">
        <x:v>{"2026": 26472497.0, "2030": 29395540.0, "2035": 32294793.0, "2040": 34533185.0, "2045": 36265286.0, "2050": 37793372.0, "2051": 38104385.0}</x:v>
      </x:c>
      <x:c r="E224" s="2" t="str">
        <x:v>0.439395195700655</x:v>
      </x:c>
      <x:c r="F224" s="2" t="str">
        <x:v>Persons /fractionchange</x:v>
      </x:c>
      <x:c r="G224" s="2" t="str">
        <x:v>UN_WPP_SYR</x:v>
      </x:c>
      <x:c r="H224" s="2" t="str">
        <x:v>UN_WPP</x:v>
      </x:c>
      <x:c r="I224" s="2" t="str"/>
      <x:c r="J224" s="2" t="str">
        <x:v>Calculation_Audit!A4:M248 (locate stable ID in column A); Sources!A:A; Inputs!A:A</x:v>
      </x:c>
      <x:c r="K224" s="2" t="str">
        <x:v>scripts/olam-analyse.py</x:v>
      </x:c>
      <x:c r="L224" s="2" t="str">
        <x:v>Indexed country/calculation companion</x:v>
      </x:c>
      <x:c r="M224" s="2" t="str">
        <x:v>No category demand inference</x:v>
      </x:c>
    </x:row>
    <x:row r="225" ht="70" customHeight="1">
      <x:c r="A225" s="2" t="str">
        <x:v>C-POP-TJK</x:v>
      </x:c>
      <x:c r="B225" s="2" t="str">
        <x:v>Population projectionpath</x:v>
      </x:c>
      <x:c r="C225" s="2" t="str">
        <x:v>WPP thousands×1000;2051/2026−1</x:v>
      </x:c>
      <x:c r="D225" s="2" t="str">
        <x:v>{"2026": 10978599.0, "2030": 11733068.0, "2035": 12695585.0, "2040": 13713947.0, "2045": 14694862.0, "2050": 15574642.0, "2051": 15737680.0}</x:v>
      </x:c>
      <x:c r="E225" s="2" t="str">
        <x:v>0.43348709612219194</x:v>
      </x:c>
      <x:c r="F225" s="2" t="str">
        <x:v>Persons /fractionchange</x:v>
      </x:c>
      <x:c r="G225" s="2" t="str">
        <x:v>UN_WPP_TJK</x:v>
      </x:c>
      <x:c r="H225" s="2" t="str">
        <x:v>UN_WPP</x:v>
      </x:c>
      <x:c r="I225" s="2" t="str"/>
      <x:c r="J225" s="2" t="str">
        <x:v>Calculation_Audit!A4:M248 (locate stable ID in column A); Sources!A:A; Inputs!A:A</x:v>
      </x:c>
      <x:c r="K225" s="2" t="str">
        <x:v>scripts/olam-analyse.py</x:v>
      </x:c>
      <x:c r="L225" s="2" t="str">
        <x:v>Indexed country/calculation companion</x:v>
      </x:c>
      <x:c r="M225" s="2" t="str">
        <x:v>No category demand inference</x:v>
      </x:c>
    </x:row>
    <x:row r="226" ht="70" customHeight="1">
      <x:c r="A226" s="2" t="str">
        <x:v>C-POP-THA</x:v>
      </x:c>
      <x:c r="B226" s="2" t="str">
        <x:v>Population projectionpath</x:v>
      </x:c>
      <x:c r="C226" s="2" t="str">
        <x:v>WPP thousands×1000;2051/2026−1</x:v>
      </x:c>
      <x:c r="D226" s="2" t="str">
        <x:v>{"2026": 71559614.0, "2030": 71215022.0, "2035": 70540885.0, "2040": 69535002.0, "2045": 68150152.0, "2050": 66382735.0, "2051": 65985159.0}</x:v>
      </x:c>
      <x:c r="E226" s="2" t="str">
        <x:v>-0.07789945596967585</x:v>
      </x:c>
      <x:c r="F226" s="2" t="str">
        <x:v>Persons /fractionchange</x:v>
      </x:c>
      <x:c r="G226" s="2" t="str">
        <x:v>UN_WPP_THA</x:v>
      </x:c>
      <x:c r="H226" s="2" t="str">
        <x:v>UN_WPP</x:v>
      </x:c>
      <x:c r="I226" s="2" t="str"/>
      <x:c r="J226" s="2" t="str">
        <x:v>Calculation_Audit!A4:M248 (locate stable ID in column A); Sources!A:A; Inputs!A:A</x:v>
      </x:c>
      <x:c r="K226" s="2" t="str">
        <x:v>scripts/olam-analyse.py</x:v>
      </x:c>
      <x:c r="L226" s="2" t="str">
        <x:v>Indexed country/calculation companion</x:v>
      </x:c>
      <x:c r="M226" s="2" t="str">
        <x:v>No category demand inference</x:v>
      </x:c>
    </x:row>
    <x:row r="227" ht="70" customHeight="1">
      <x:c r="A227" s="2" t="str">
        <x:v>C-POP-TLS</x:v>
      </x:c>
      <x:c r="B227" s="2" t="str">
        <x:v>Population projectionpath</x:v>
      </x:c>
      <x:c r="C227" s="2" t="str">
        <x:v>WPP thousands×1000;2051/2026−1</x:v>
      </x:c>
      <x:c r="D227" s="2" t="str">
        <x:v>{"2026": 1436923.0, "2030": 1519804.0, "2035": 1618798.0, "2040": 1718249.0, "2045": 1809633.0, "2050": 1889249.0, "2051": 1902810.0}</x:v>
      </x:c>
      <x:c r="E227" s="2" t="str">
        <x:v>0.32422544562234723</x:v>
      </x:c>
      <x:c r="F227" s="2" t="str">
        <x:v>Persons /fractionchange</x:v>
      </x:c>
      <x:c r="G227" s="2" t="str">
        <x:v>UN_WPP_TLS</x:v>
      </x:c>
      <x:c r="H227" s="2" t="str">
        <x:v>UN_WPP</x:v>
      </x:c>
      <x:c r="I227" s="2" t="str"/>
      <x:c r="J227" s="2" t="str">
        <x:v>Calculation_Audit!A4:M248 (locate stable ID in column A); Sources!A:A; Inputs!A:A</x:v>
      </x:c>
      <x:c r="K227" s="2" t="str">
        <x:v>scripts/olam-analyse.py</x:v>
      </x:c>
      <x:c r="L227" s="2" t="str">
        <x:v>Indexed country/calculation companion</x:v>
      </x:c>
      <x:c r="M227" s="2" t="str">
        <x:v>No category demand inference</x:v>
      </x:c>
    </x:row>
    <x:row r="228" ht="70" customHeight="1">
      <x:c r="A228" s="2" t="str">
        <x:v>C-POP-TGO</x:v>
      </x:c>
      <x:c r="B228" s="2" t="str">
        <x:v>Population projectionpath</x:v>
      </x:c>
      <x:c r="C228" s="2" t="str">
        <x:v>WPP thousands×1000;2051/2026−1</x:v>
      </x:c>
      <x:c r="D228" s="2" t="str">
        <x:v>{"2026": 9930918.0, "2030": 10792997.0, "2035": 11937684.0, "2040": 13121352.0, "2045": 14347512.0, "2050": 15584778.0, "2051": 15831367.0}</x:v>
      </x:c>
      <x:c r="E228" s="2" t="str">
        <x:v>0.5941494029051493</x:v>
      </x:c>
      <x:c r="F228" s="2" t="str">
        <x:v>Persons /fractionchange</x:v>
      </x:c>
      <x:c r="G228" s="2" t="str">
        <x:v>UN_WPP_TGO</x:v>
      </x:c>
      <x:c r="H228" s="2" t="str">
        <x:v>UN_WPP</x:v>
      </x:c>
      <x:c r="I228" s="2" t="str"/>
      <x:c r="J228" s="2" t="str">
        <x:v>Calculation_Audit!A4:M248 (locate stable ID in column A); Sources!A:A; Inputs!A:A</x:v>
      </x:c>
      <x:c r="K228" s="2" t="str">
        <x:v>scripts/olam-analyse.py</x:v>
      </x:c>
      <x:c r="L228" s="2" t="str">
        <x:v>Indexed country/calculation companion</x:v>
      </x:c>
      <x:c r="M228" s="2" t="str">
        <x:v>No category demand inference</x:v>
      </x:c>
    </x:row>
    <x:row r="229" ht="70" customHeight="1">
      <x:c r="A229" s="2" t="str">
        <x:v>C-POP-TON</x:v>
      </x:c>
      <x:c r="B229" s="2" t="str">
        <x:v>Population projectionpath</x:v>
      </x:c>
      <x:c r="C229" s="2" t="str">
        <x:v>WPP thousands×1000;2051/2026−1</x:v>
      </x:c>
      <x:c r="D229" s="2" t="str">
        <x:v>{"2026": 103291.0, "2030": 102072.0, "2035": 101829.0, "2040": 102565.0, "2045": 103930.0, "2050": 105195.0, "2051": 105416.0}</x:v>
      </x:c>
      <x:c r="E229" s="2" t="str">
        <x:v>0.020572944399802395</x:v>
      </x:c>
      <x:c r="F229" s="2" t="str">
        <x:v>Persons /fractionchange</x:v>
      </x:c>
      <x:c r="G229" s="2" t="str">
        <x:v>UN_WPP_TON</x:v>
      </x:c>
      <x:c r="H229" s="2" t="str">
        <x:v>UN_WPP</x:v>
      </x:c>
      <x:c r="I229" s="2" t="str"/>
      <x:c r="J229" s="2" t="str">
        <x:v>Calculation_Audit!A4:M248 (locate stable ID in column A); Sources!A:A; Inputs!A:A</x:v>
      </x:c>
      <x:c r="K229" s="2" t="str">
        <x:v>scripts/olam-analyse.py</x:v>
      </x:c>
      <x:c r="L229" s="2" t="str">
        <x:v>Indexed country/calculation companion</x:v>
      </x:c>
      <x:c r="M229" s="2" t="str">
        <x:v>No category demand inference</x:v>
      </x:c>
    </x:row>
    <x:row r="230" ht="70" customHeight="1">
      <x:c r="A230" s="2" t="str">
        <x:v>C-POP-TTO</x:v>
      </x:c>
      <x:c r="B230" s="2" t="str">
        <x:v>Population projectionpath</x:v>
      </x:c>
      <x:c r="C230" s="2" t="str">
        <x:v>WPP thousands×1000;2051/2026−1</x:v>
      </x:c>
      <x:c r="D230" s="2" t="str">
        <x:v>{"2026": 1513268.0, "2030": 1512322.0, "2035": 1497855.0, "2040": 1472944.0, "2045": 1439585.0, "2050": 1399800.0, "2051": 1391195.0}</x:v>
      </x:c>
      <x:c r="E230" s="2" t="str">
        <x:v>-0.08066846057671218</x:v>
      </x:c>
      <x:c r="F230" s="2" t="str">
        <x:v>Persons /fractionchange</x:v>
      </x:c>
      <x:c r="G230" s="2" t="str">
        <x:v>UN_WPP_TTO</x:v>
      </x:c>
      <x:c r="H230" s="2" t="str">
        <x:v>UN_WPP</x:v>
      </x:c>
      <x:c r="I230" s="2" t="str"/>
      <x:c r="J230" s="2" t="str">
        <x:v>Calculation_Audit!A4:M248 (locate stable ID in column A); Sources!A:A; Inputs!A:A</x:v>
      </x:c>
      <x:c r="K230" s="2" t="str">
        <x:v>scripts/olam-analyse.py</x:v>
      </x:c>
      <x:c r="L230" s="2" t="str">
        <x:v>Indexed country/calculation companion</x:v>
      </x:c>
      <x:c r="M230" s="2" t="str">
        <x:v>No category demand inference</x:v>
      </x:c>
    </x:row>
    <x:row r="231" ht="70" customHeight="1">
      <x:c r="A231" s="2" t="str">
        <x:v>C-POP-TUN</x:v>
      </x:c>
      <x:c r="B231" s="2" t="str">
        <x:v>Population projectionpath</x:v>
      </x:c>
      <x:c r="C231" s="2" t="str">
        <x:v>WPP thousands×1000;2051/2026−1</x:v>
      </x:c>
      <x:c r="D231" s="2" t="str">
        <x:v>{"2026": 12415138.0, "2030": 12628142.0, "2035": 12812269.0, "2040": 12953864.0, "2045": 13076089.0, "2050": 13145141.0, "2051": 13148162.0}</x:v>
      </x:c>
      <x:c r="E231" s="2" t="str">
        <x:v>0.05904275892865618</x:v>
      </x:c>
      <x:c r="F231" s="2" t="str">
        <x:v>Persons /fractionchange</x:v>
      </x:c>
      <x:c r="G231" s="2" t="str">
        <x:v>UN_WPP_TUN</x:v>
      </x:c>
      <x:c r="H231" s="2" t="str">
        <x:v>UN_WPP</x:v>
      </x:c>
      <x:c r="I231" s="2" t="str"/>
      <x:c r="J231" s="2" t="str">
        <x:v>Calculation_Audit!A4:M248 (locate stable ID in column A); Sources!A:A; Inputs!A:A</x:v>
      </x:c>
      <x:c r="K231" s="2" t="str">
        <x:v>scripts/olam-analyse.py</x:v>
      </x:c>
      <x:c r="L231" s="2" t="str">
        <x:v>Indexed country/calculation companion</x:v>
      </x:c>
      <x:c r="M231" s="2" t="str">
        <x:v>No category demand inference</x:v>
      </x:c>
    </x:row>
    <x:row r="232" ht="70" customHeight="1">
      <x:c r="A232" s="2" t="str">
        <x:v>C-POP-TKM</x:v>
      </x:c>
      <x:c r="B232" s="2" t="str">
        <x:v>Population projectionpath</x:v>
      </x:c>
      <x:c r="C232" s="2" t="str">
        <x:v>WPP thousands×1000;2051/2026−1</x:v>
      </x:c>
      <x:c r="D232" s="2" t="str">
        <x:v>{"2026": 7736632.0, "2030": 8135729.0, "2035": 8538668.0, "2040": 8932231.0, "2045": 9312822.0, "2050": 9639708.0, "2051": 9694833.0}</x:v>
      </x:c>
      <x:c r="E232" s="2" t="str">
        <x:v>0.2531076830331338</x:v>
      </x:c>
      <x:c r="F232" s="2" t="str">
        <x:v>Persons /fractionchange</x:v>
      </x:c>
      <x:c r="G232" s="2" t="str">
        <x:v>UN_WPP_TKM</x:v>
      </x:c>
      <x:c r="H232" s="2" t="str">
        <x:v>UN_WPP</x:v>
      </x:c>
      <x:c r="I232" s="2" t="str"/>
      <x:c r="J232" s="2" t="str">
        <x:v>Calculation_Audit!A4:M248 (locate stable ID in column A); Sources!A:A; Inputs!A:A</x:v>
      </x:c>
      <x:c r="K232" s="2" t="str">
        <x:v>scripts/olam-analyse.py</x:v>
      </x:c>
      <x:c r="L232" s="2" t="str">
        <x:v>Indexed country/calculation companion</x:v>
      </x:c>
      <x:c r="M232" s="2" t="str">
        <x:v>No category demand inference</x:v>
      </x:c>
    </x:row>
    <x:row r="233" ht="70" customHeight="1">
      <x:c r="A233" s="2" t="str">
        <x:v>C-POP-TUV</x:v>
      </x:c>
      <x:c r="B233" s="2" t="str">
        <x:v>Population projectionpath</x:v>
      </x:c>
      <x:c r="C233" s="2" t="str">
        <x:v>WPP thousands×1000;2051/2026−1</x:v>
      </x:c>
      <x:c r="D233" s="2" t="str">
        <x:v>{"2026": 9362.0, "2030": 9047.0, "2035": 8980.0, "2040": 9140.0, "2045": 9438.0, "2050": 9781.0, "2051": 9849.0}</x:v>
      </x:c>
      <x:c r="E233" s="2" t="str">
        <x:v>0.05201879940183729</x:v>
      </x:c>
      <x:c r="F233" s="2" t="str">
        <x:v>Persons /fractionchange</x:v>
      </x:c>
      <x:c r="G233" s="2" t="str">
        <x:v>UN_WPP_TUV</x:v>
      </x:c>
      <x:c r="H233" s="2" t="str">
        <x:v>UN_WPP</x:v>
      </x:c>
      <x:c r="I233" s="2" t="str"/>
      <x:c r="J233" s="2" t="str">
        <x:v>Calculation_Audit!A4:M248 (locate stable ID in column A); Sources!A:A; Inputs!A:A</x:v>
      </x:c>
      <x:c r="K233" s="2" t="str">
        <x:v>scripts/olam-analyse.py</x:v>
      </x:c>
      <x:c r="L233" s="2" t="str">
        <x:v>Indexed country/calculation companion</x:v>
      </x:c>
      <x:c r="M233" s="2" t="str">
        <x:v>No category demand inference</x:v>
      </x:c>
    </x:row>
    <x:row r="234" ht="70" customHeight="1">
      <x:c r="A234" s="2" t="str">
        <x:v>C-POP-TUR</x:v>
      </x:c>
      <x:c r="B234" s="2" t="str">
        <x:v>Population projectionpath</x:v>
      </x:c>
      <x:c r="C234" s="2" t="str">
        <x:v>WPP thousands×1000;2051/2026−1</x:v>
      </x:c>
      <x:c r="D234" s="2" t="str">
        <x:v>{"2026": 87926082.0, "2030": 89027542.0, "2035": 90188557.0, "2040": 91009681.0, "2045": 91392535.0, "2050": 91258061.0, "2051": 91140413.0}</x:v>
      </x:c>
      <x:c r="E234" s="2" t="str">
        <x:v>0.036557195850032365</x:v>
      </x:c>
      <x:c r="F234" s="2" t="str">
        <x:v>Persons /fractionchange</x:v>
      </x:c>
      <x:c r="G234" s="2" t="str">
        <x:v>UN_WPP_TUR</x:v>
      </x:c>
      <x:c r="H234" s="2" t="str">
        <x:v>UN_WPP</x:v>
      </x:c>
      <x:c r="I234" s="2" t="str"/>
      <x:c r="J234" s="2" t="str">
        <x:v>Calculation_Audit!A4:M248 (locate stable ID in column A); Sources!A:A; Inputs!A:A</x:v>
      </x:c>
      <x:c r="K234" s="2" t="str">
        <x:v>scripts/olam-analyse.py</x:v>
      </x:c>
      <x:c r="L234" s="2" t="str">
        <x:v>Indexed country/calculation companion</x:v>
      </x:c>
      <x:c r="M234" s="2" t="str">
        <x:v>No category demand inference</x:v>
      </x:c>
    </x:row>
    <x:row r="235" ht="70" customHeight="1">
      <x:c r="A235" s="2" t="str">
        <x:v>C-POP-UGA</x:v>
      </x:c>
      <x:c r="B235" s="2" t="str">
        <x:v>Population projectionpath</x:v>
      </x:c>
      <x:c r="C235" s="2" t="str">
        <x:v>WPP thousands×1000;2051/2026−1</x:v>
      </x:c>
      <x:c r="D235" s="2" t="str">
        <x:v>{"2026": 52761469.0, "2030": 58312940.0, "2035": 65205574.0, "2040": 72020418.0, "2045": 78797992.0, "2050": 85431202.0, "2051": 86718842.0}</x:v>
      </x:c>
      <x:c r="E235" s="2" t="str">
        <x:v>0.6436017351980856</x:v>
      </x:c>
      <x:c r="F235" s="2" t="str">
        <x:v>Persons /fractionchange</x:v>
      </x:c>
      <x:c r="G235" s="2" t="str">
        <x:v>UN_WPP_UGA</x:v>
      </x:c>
      <x:c r="H235" s="2" t="str">
        <x:v>UN_WPP</x:v>
      </x:c>
      <x:c r="I235" s="2" t="str"/>
      <x:c r="J235" s="2" t="str">
        <x:v>Calculation_Audit!A4:M248 (locate stable ID in column A); Sources!A:A; Inputs!A:A</x:v>
      </x:c>
      <x:c r="K235" s="2" t="str">
        <x:v>scripts/olam-analyse.py</x:v>
      </x:c>
      <x:c r="L235" s="2" t="str">
        <x:v>Indexed country/calculation companion</x:v>
      </x:c>
      <x:c r="M235" s="2" t="str">
        <x:v>No category demand inference</x:v>
      </x:c>
    </x:row>
    <x:row r="236" ht="70" customHeight="1">
      <x:c r="A236" s="2" t="str">
        <x:v>C-POP-UKR</x:v>
      </x:c>
      <x:c r="B236" s="2" t="str">
        <x:v>Population projectionpath</x:v>
      </x:c>
      <x:c r="C236" s="2" t="str">
        <x:v>WPP thousands×1000;2051/2026−1</x:v>
      </x:c>
      <x:c r="D236" s="2" t="str">
        <x:v>{"2026": 39535849.0, "2030": 38353853.0, "2035": 36828147.0, "2040": 35270911.0, "2045": 33680445.0, "2050": 31990132.0, "2051": 31637037.0}</x:v>
      </x:c>
      <x:c r="E236" s="2" t="str">
        <x:v>-0.19978860198499848</x:v>
      </x:c>
      <x:c r="F236" s="2" t="str">
        <x:v>Persons /fractionchange</x:v>
      </x:c>
      <x:c r="G236" s="2" t="str">
        <x:v>UN_WPP_UKR</x:v>
      </x:c>
      <x:c r="H236" s="2" t="str">
        <x:v>UN_WPP</x:v>
      </x:c>
      <x:c r="I236" s="2" t="str"/>
      <x:c r="J236" s="2" t="str">
        <x:v>Calculation_Audit!A4:M248 (locate stable ID in column A); Sources!A:A; Inputs!A:A</x:v>
      </x:c>
      <x:c r="K236" s="2" t="str">
        <x:v>scripts/olam-analyse.py</x:v>
      </x:c>
      <x:c r="L236" s="2" t="str">
        <x:v>Indexed country/calculation companion</x:v>
      </x:c>
      <x:c r="M236" s="2" t="str">
        <x:v>No category demand inference</x:v>
      </x:c>
    </x:row>
    <x:row r="237" ht="70" customHeight="1">
      <x:c r="A237" s="2" t="str">
        <x:v>C-POP-ARE</x:v>
      </x:c>
      <x:c r="B237" s="2" t="str">
        <x:v>Population projectionpath</x:v>
      </x:c>
      <x:c r="C237" s="2" t="str">
        <x:v>WPP thousands×1000;2051/2026−1</x:v>
      </x:c>
      <x:c r="D237" s="2" t="str">
        <x:v>{"2026": 11574682.0, "2030": 12190605.0, "2035": 12910702.0, "2040": 13693776.0, "2045": 14507366.0, "2050": 15367392.0, "2051": 15543672.0}</x:v>
      </x:c>
      <x:c r="E237" s="2" t="str">
        <x:v>0.3429027251029446</x:v>
      </x:c>
      <x:c r="F237" s="2" t="str">
        <x:v>Persons /fractionchange</x:v>
      </x:c>
      <x:c r="G237" s="2" t="str">
        <x:v>UN_WPP_ARE</x:v>
      </x:c>
      <x:c r="H237" s="2" t="str">
        <x:v>UN_WPP</x:v>
      </x:c>
      <x:c r="I237" s="2" t="str"/>
      <x:c r="J237" s="2" t="str">
        <x:v>Calculation_Audit!A4:M248 (locate stable ID in column A); Sources!A:A; Inputs!A:A</x:v>
      </x:c>
      <x:c r="K237" s="2" t="str">
        <x:v>scripts/olam-analyse.py</x:v>
      </x:c>
      <x:c r="L237" s="2" t="str">
        <x:v>Indexed country/calculation companion</x:v>
      </x:c>
      <x:c r="M237" s="2" t="str">
        <x:v>No category demand inference</x:v>
      </x:c>
    </x:row>
    <x:row r="238" ht="70" customHeight="1">
      <x:c r="A238" s="2" t="str">
        <x:v>C-POP-GBR</x:v>
      </x:c>
      <x:c r="B238" s="2" t="str">
        <x:v>Population projectionpath</x:v>
      </x:c>
      <x:c r="C238" s="2" t="str">
        <x:v>WPP thousands×1000;2051/2026−1</x:v>
      </x:c>
      <x:c r="D238" s="2" t="str">
        <x:v>{"2026": 69931528.0, "2030": 71286992.0, "2035": 72656815.0, "2040": 73774626.0, "2045": 74753658.0, "2050": 75504681.0, "2051": 75616457.0}</x:v>
      </x:c>
      <x:c r="E238" s="2" t="str">
        <x:v>0.08129278971281728</x:v>
      </x:c>
      <x:c r="F238" s="2" t="str">
        <x:v>Persons /fractionchange</x:v>
      </x:c>
      <x:c r="G238" s="2" t="str">
        <x:v>UN_WPP_GBR</x:v>
      </x:c>
      <x:c r="H238" s="2" t="str">
        <x:v>UN_WPP</x:v>
      </x:c>
      <x:c r="I238" s="2" t="str"/>
      <x:c r="J238" s="2" t="str">
        <x:v>Calculation_Audit!A4:M248 (locate stable ID in column A); Sources!A:A; Inputs!A:A</x:v>
      </x:c>
      <x:c r="K238" s="2" t="str">
        <x:v>scripts/olam-analyse.py</x:v>
      </x:c>
      <x:c r="L238" s="2" t="str">
        <x:v>Indexed country/calculation companion</x:v>
      </x:c>
      <x:c r="M238" s="2" t="str">
        <x:v>No category demand inference</x:v>
      </x:c>
    </x:row>
    <x:row r="239" ht="70" customHeight="1">
      <x:c r="A239" s="2" t="str">
        <x:v>C-POP-TZA</x:v>
      </x:c>
      <x:c r="B239" s="2" t="str">
        <x:v>Population projectionpath</x:v>
      </x:c>
      <x:c r="C239" s="2" t="str">
        <x:v>WPP thousands×1000;2051/2026−1</x:v>
      </x:c>
      <x:c r="D239" s="2" t="str">
        <x:v>{"2026": 72563780.0, "2030": 80913124.0, "2035": 92091429.0, "2040": 103999359.0, "2045": 116525473.0, "2050": 129621102.0, "2051": 132280446.99999999}</x:v>
      </x:c>
      <x:c r="E239" s="2" t="str">
        <x:v>0.82295419284938</x:v>
      </x:c>
      <x:c r="F239" s="2" t="str">
        <x:v>Persons /fractionchange</x:v>
      </x:c>
      <x:c r="G239" s="2" t="str">
        <x:v>UN_WPP_TZA</x:v>
      </x:c>
      <x:c r="H239" s="2" t="str">
        <x:v>UN_WPP</x:v>
      </x:c>
      <x:c r="I239" s="2" t="str"/>
      <x:c r="J239" s="2" t="str">
        <x:v>Calculation_Audit!A4:M248 (locate stable ID in column A); Sources!A:A; Inputs!A:A</x:v>
      </x:c>
      <x:c r="K239" s="2" t="str">
        <x:v>scripts/olam-analyse.py</x:v>
      </x:c>
      <x:c r="L239" s="2" t="str">
        <x:v>Indexed country/calculation companion</x:v>
      </x:c>
      <x:c r="M239" s="2" t="str">
        <x:v>No category demand inference</x:v>
      </x:c>
    </x:row>
    <x:row r="240" ht="70" customHeight="1">
      <x:c r="A240" s="2" t="str">
        <x:v>C-POP-USA</x:v>
      </x:c>
      <x:c r="B240" s="2" t="str">
        <x:v>Population projectionpath</x:v>
      </x:c>
      <x:c r="C240" s="2" t="str">
        <x:v>WPP thousands×1000;2051/2026−1</x:v>
      </x:c>
      <x:c r="D240" s="2" t="str">
        <x:v>{"2026": 349035494.0, "2030": 355649881.0, "2035": 363284716.0, "2040": 370209316.0, "2045": 376106472.0, "2050": 380846910.0, "2051": 381708396.0}</x:v>
      </x:c>
      <x:c r="E240" s="2" t="str">
        <x:v>0.09360911013823703</x:v>
      </x:c>
      <x:c r="F240" s="2" t="str">
        <x:v>Persons /fractionchange</x:v>
      </x:c>
      <x:c r="G240" s="2" t="str">
        <x:v>UN_WPP_USA</x:v>
      </x:c>
      <x:c r="H240" s="2" t="str">
        <x:v>UN_WPP</x:v>
      </x:c>
      <x:c r="I240" s="2" t="str"/>
      <x:c r="J240" s="2" t="str">
        <x:v>Calculation_Audit!A4:M248 (locate stable ID in column A); Sources!A:A; Inputs!A:A</x:v>
      </x:c>
      <x:c r="K240" s="2" t="str">
        <x:v>scripts/olam-analyse.py</x:v>
      </x:c>
      <x:c r="L240" s="2" t="str">
        <x:v>Indexed country/calculation companion</x:v>
      </x:c>
      <x:c r="M240" s="2" t="str">
        <x:v>No category demand inference</x:v>
      </x:c>
    </x:row>
    <x:row r="241" ht="70" customHeight="1">
      <x:c r="A241" s="2" t="str">
        <x:v>C-POP-URY</x:v>
      </x:c>
      <x:c r="B241" s="2" t="str">
        <x:v>Population projectionpath</x:v>
      </x:c>
      <x:c r="C241" s="2" t="str">
        <x:v>WPP thousands×1000;2051/2026−1</x:v>
      </x:c>
      <x:c r="D241" s="2" t="str">
        <x:v>{"2026": 3382537.0, "2030": 3372887.0, "2035": 3358282.0, "2040": 3336459.0, "2045": 3302675.0, "2050": 3254354.0, "2051": 3242784.0}</x:v>
      </x:c>
      <x:c r="E241" s="2" t="str">
        <x:v>-0.04131602995030059</x:v>
      </x:c>
      <x:c r="F241" s="2" t="str">
        <x:v>Persons /fractionchange</x:v>
      </x:c>
      <x:c r="G241" s="2" t="str">
        <x:v>UN_WPP_URY</x:v>
      </x:c>
      <x:c r="H241" s="2" t="str">
        <x:v>UN_WPP</x:v>
      </x:c>
      <x:c r="I241" s="2" t="str"/>
      <x:c r="J241" s="2" t="str">
        <x:v>Calculation_Audit!A4:M248 (locate stable ID in column A); Sources!A:A; Inputs!A:A</x:v>
      </x:c>
      <x:c r="K241" s="2" t="str">
        <x:v>scripts/olam-analyse.py</x:v>
      </x:c>
      <x:c r="L241" s="2" t="str">
        <x:v>Indexed country/calculation companion</x:v>
      </x:c>
      <x:c r="M241" s="2" t="str">
        <x:v>No category demand inference</x:v>
      </x:c>
    </x:row>
    <x:row r="242" ht="70" customHeight="1">
      <x:c r="A242" s="2" t="str">
        <x:v>C-POP-UZB</x:v>
      </x:c>
      <x:c r="B242" s="2" t="str">
        <x:v>Population projectionpath</x:v>
      </x:c>
      <x:c r="C242" s="2" t="str">
        <x:v>WPP thousands×1000;2051/2026−1</x:v>
      </x:c>
      <x:c r="D242" s="2" t="str">
        <x:v>{"2026": 37724223.0, "2030": 40248241.0, "2035": 43175102.0, "2040": 46044152.0, "2045": 49096063.0, "2050": 52210755.0, "2051": 52819885.0}</x:v>
      </x:c>
      <x:c r="E242" s="2" t="str">
        <x:v>0.40015832797934636</x:v>
      </x:c>
      <x:c r="F242" s="2" t="str">
        <x:v>Persons /fractionchange</x:v>
      </x:c>
      <x:c r="G242" s="2" t="str">
        <x:v>UN_WPP_UZB</x:v>
      </x:c>
      <x:c r="H242" s="2" t="str">
        <x:v>UN_WPP</x:v>
      </x:c>
      <x:c r="I242" s="2" t="str"/>
      <x:c r="J242" s="2" t="str">
        <x:v>Calculation_Audit!A4:M248 (locate stable ID in column A); Sources!A:A; Inputs!A:A</x:v>
      </x:c>
      <x:c r="K242" s="2" t="str">
        <x:v>scripts/olam-analyse.py</x:v>
      </x:c>
      <x:c r="L242" s="2" t="str">
        <x:v>Indexed country/calculation companion</x:v>
      </x:c>
      <x:c r="M242" s="2" t="str">
        <x:v>No category demand inference</x:v>
      </x:c>
    </x:row>
    <x:row r="243" ht="70" customHeight="1">
      <x:c r="A243" s="2" t="str">
        <x:v>C-POP-VUT</x:v>
      </x:c>
      <x:c r="B243" s="2" t="str">
        <x:v>Population projectionpath</x:v>
      </x:c>
      <x:c r="C243" s="2" t="str">
        <x:v>WPP thousands×1000;2051/2026−1</x:v>
      </x:c>
      <x:c r="D243" s="2" t="str">
        <x:v>{"2026": 342564.0, "2030": 372428.0, "2035": 411063.0, "2040": 451512.0, "2045": 492990.0, "2050": 534388.0, "2051": 542587.0}</x:v>
      </x:c>
      <x:c r="E243" s="2" t="str">
        <x:v>0.5838996508681589</x:v>
      </x:c>
      <x:c r="F243" s="2" t="str">
        <x:v>Persons /fractionchange</x:v>
      </x:c>
      <x:c r="G243" s="2" t="str">
        <x:v>UN_WPP_VUT</x:v>
      </x:c>
      <x:c r="H243" s="2" t="str">
        <x:v>UN_WPP</x:v>
      </x:c>
      <x:c r="I243" s="2" t="str"/>
      <x:c r="J243" s="2" t="str">
        <x:v>Calculation_Audit!A4:M248 (locate stable ID in column A); Sources!A:A; Inputs!A:A</x:v>
      </x:c>
      <x:c r="K243" s="2" t="str">
        <x:v>scripts/olam-analyse.py</x:v>
      </x:c>
      <x:c r="L243" s="2" t="str">
        <x:v>Indexed country/calculation companion</x:v>
      </x:c>
      <x:c r="M243" s="2" t="str">
        <x:v>No category demand inference</x:v>
      </x:c>
    </x:row>
    <x:row r="244" ht="70" customHeight="1">
      <x:c r="A244" s="2" t="str">
        <x:v>C-POP-VEN</x:v>
      </x:c>
      <x:c r="B244" s="2" t="str">
        <x:v>Population projectionpath</x:v>
      </x:c>
      <x:c r="C244" s="2" t="str">
        <x:v>WPP thousands×1000;2051/2026−1</x:v>
      </x:c>
      <x:c r="D244" s="2" t="str">
        <x:v>{"2026": 28633711.0, "2030": 29151810.0, "2035": 29883329.0, "2040": 30495443.0, "2045": 30871487.0, "2050": 31094883.0, "2051": 31122396.0}</x:v>
      </x:c>
      <x:c r="E244" s="2" t="str">
        <x:v>0.08691451136040307</x:v>
      </x:c>
      <x:c r="F244" s="2" t="str">
        <x:v>Persons /fractionchange</x:v>
      </x:c>
      <x:c r="G244" s="2" t="str">
        <x:v>UN_WPP_VEN</x:v>
      </x:c>
      <x:c r="H244" s="2" t="str">
        <x:v>UN_WPP</x:v>
      </x:c>
      <x:c r="I244" s="2" t="str"/>
      <x:c r="J244" s="2" t="str">
        <x:v>Calculation_Audit!A4:M248 (locate stable ID in column A); Sources!A:A; Inputs!A:A</x:v>
      </x:c>
      <x:c r="K244" s="2" t="str">
        <x:v>scripts/olam-analyse.py</x:v>
      </x:c>
      <x:c r="L244" s="2" t="str">
        <x:v>Indexed country/calculation companion</x:v>
      </x:c>
      <x:c r="M244" s="2" t="str">
        <x:v>No category demand inference</x:v>
      </x:c>
    </x:row>
    <x:row r="245" ht="70" customHeight="1">
      <x:c r="A245" s="2" t="str">
        <x:v>C-POP-VNM</x:v>
      </x:c>
      <x:c r="B245" s="2" t="str">
        <x:v>Population projectionpath</x:v>
      </x:c>
      <x:c r="C245" s="2" t="str">
        <x:v>WPP thousands×1000;2051/2026−1</x:v>
      </x:c>
      <x:c r="D245" s="2" t="str">
        <x:v>{"2026": 102177431.0, "2030": 104254902.0, "2035": 106530676.0, "2040": 108437635.0, "2045": 109685398.0, "2050": 110008908.0, "2051": 109963189.0}</x:v>
      </x:c>
      <x:c r="E245" s="2" t="str">
        <x:v>0.07619841215228829</x:v>
      </x:c>
      <x:c r="F245" s="2" t="str">
        <x:v>Persons /fractionchange</x:v>
      </x:c>
      <x:c r="G245" s="2" t="str">
        <x:v>UN_WPP_VNM</x:v>
      </x:c>
      <x:c r="H245" s="2" t="str">
        <x:v>UN_WPP</x:v>
      </x:c>
      <x:c r="I245" s="2" t="str"/>
      <x:c r="J245" s="2" t="str">
        <x:v>Calculation_Audit!A4:M248 (locate stable ID in column A); Sources!A:A; Inputs!A:A</x:v>
      </x:c>
      <x:c r="K245" s="2" t="str">
        <x:v>scripts/olam-analyse.py</x:v>
      </x:c>
      <x:c r="L245" s="2" t="str">
        <x:v>Indexed country/calculation companion</x:v>
      </x:c>
      <x:c r="M245" s="2" t="str">
        <x:v>No category demand inference</x:v>
      </x:c>
    </x:row>
    <x:row r="246" ht="70" customHeight="1">
      <x:c r="A246" s="2" t="str">
        <x:v>C-POP-YEM</x:v>
      </x:c>
      <x:c r="B246" s="2" t="str">
        <x:v>Population projectionpath</x:v>
      </x:c>
      <x:c r="C246" s="2" t="str">
        <x:v>WPP thousands×1000;2051/2026−1</x:v>
      </x:c>
      <x:c r="D246" s="2" t="str">
        <x:v>{"2026": 42961653.0, "2030": 47667662.0, "2035": 53429325.0, "2040": 59181526.0, "2045": 65066356.0, "2050": 70976403.0, "2051": 72147203.0}</x:v>
      </x:c>
      <x:c r="E246" s="2" t="str">
        <x:v>0.679339549621147</x:v>
      </x:c>
      <x:c r="F246" s="2" t="str">
        <x:v>Persons /fractionchange</x:v>
      </x:c>
      <x:c r="G246" s="2" t="str">
        <x:v>UN_WPP_YEM</x:v>
      </x:c>
      <x:c r="H246" s="2" t="str">
        <x:v>UN_WPP</x:v>
      </x:c>
      <x:c r="I246" s="2" t="str"/>
      <x:c r="J246" s="2" t="str">
        <x:v>Calculation_Audit!A4:M248 (locate stable ID in column A); Sources!A:A; Inputs!A:A</x:v>
      </x:c>
      <x:c r="K246" s="2" t="str">
        <x:v>scripts/olam-analyse.py</x:v>
      </x:c>
      <x:c r="L246" s="2" t="str">
        <x:v>Indexed country/calculation companion</x:v>
      </x:c>
      <x:c r="M246" s="2" t="str">
        <x:v>No category demand inference</x:v>
      </x:c>
    </x:row>
    <x:row r="247" ht="70" customHeight="1">
      <x:c r="A247" s="2" t="str">
        <x:v>C-POP-ZMB</x:v>
      </x:c>
      <x:c r="B247" s="2" t="str">
        <x:v>Population projectionpath</x:v>
      </x:c>
      <x:c r="C247" s="2" t="str">
        <x:v>WPP thousands×1000;2051/2026−1</x:v>
      </x:c>
      <x:c r="D247" s="2" t="str">
        <x:v>{"2026": 22521915.0, "2030": 25024901.0, "2035": 28266892.0, "2040": 31550402.0, "2045": 34821106.0, "2050": 38083385.0, "2051": 38728892.0}</x:v>
      </x:c>
      <x:c r="E247" s="2" t="str">
        <x:v>0.7196091895382786</x:v>
      </x:c>
      <x:c r="F247" s="2" t="str">
        <x:v>Persons /fractionchange</x:v>
      </x:c>
      <x:c r="G247" s="2" t="str">
        <x:v>UN_WPP_ZMB</x:v>
      </x:c>
      <x:c r="H247" s="2" t="str">
        <x:v>UN_WPP</x:v>
      </x:c>
      <x:c r="I247" s="2" t="str"/>
      <x:c r="J247" s="2" t="str">
        <x:v>Calculation_Audit!A4:M248 (locate stable ID in column A); Sources!A:A; Inputs!A:A</x:v>
      </x:c>
      <x:c r="K247" s="2" t="str">
        <x:v>scripts/olam-analyse.py</x:v>
      </x:c>
      <x:c r="L247" s="2" t="str">
        <x:v>Indexed country/calculation companion</x:v>
      </x:c>
      <x:c r="M247" s="2" t="str">
        <x:v>No category demand inference</x:v>
      </x:c>
    </x:row>
    <x:row r="248" ht="70" customHeight="1">
      <x:c r="A248" s="2" t="str">
        <x:v>C-POP-ZWE</x:v>
      </x:c>
      <x:c r="B248" s="2" t="str">
        <x:v>Population projectionpath</x:v>
      </x:c>
      <x:c r="C248" s="2" t="str">
        <x:v>WPP thousands×1000;2051/2026−1</x:v>
      </x:c>
      <x:c r="D248" s="2" t="str">
        <x:v>{"2026": 17273580.0, "2030": 18610349.0, "2035": 20409146.0, "2040": 22250109.0, "2045": 24102380.0, "2050": 25866385.0, "2051": 26217392.0}</x:v>
      </x:c>
      <x:c r="E248" s="2" t="str">
        <x:v>0.517774080416451</x:v>
      </x:c>
      <x:c r="F248" s="2" t="str">
        <x:v>Persons /fractionchange</x:v>
      </x:c>
      <x:c r="G248" s="2" t="str">
        <x:v>UN_WPP_ZWE</x:v>
      </x:c>
      <x:c r="H248" s="2" t="str">
        <x:v>UN_WPP</x:v>
      </x:c>
      <x:c r="I248" s="2" t="str"/>
      <x:c r="J248" s="2" t="str">
        <x:v>Calculation_Audit!A4:M248 (locate stable ID in column A); Sources!A:A; Inputs!A:A</x:v>
      </x:c>
      <x:c r="K248" s="2" t="str">
        <x:v>scripts/olam-analyse.py</x:v>
      </x:c>
      <x:c r="L248" s="2" t="str">
        <x:v>Indexed country/calculation companion</x:v>
      </x:c>
      <x:c r="M248" s="2" t="str">
        <x:v>No category demand inference</x:v>
      </x:c>
    </x:row>
    <x:row r="249" ht="70" customHeight="1">
      <x:c r="A249" s="2" t="str">
        <x:v>C-WBFOOD-AFG</x:v>
      </x:c>
      <x:c r="B249" s="2" t="str">
        <x:v>Broad food import proxy, not eligible category demand</x:v>
      </x:c>
      <x:c r="C249" s="2" t="str">
        <x:v>Same-year food merchandise-import share /100 × total merchandise imports</x:v>
      </x:c>
      <x:c r="D249" s="2" t="str">
        <x:v>AFG, 2019, exact matched observations in country-panel.csv</x:v>
      </x:c>
      <x:c r="E249" s="2" t="n">
        <x:v>1824086402.99416</x:v>
      </x:c>
      <x:c r="F249" s="2" t="str">
        <x:v>Current USD; broad SITC food</x:v>
      </x:c>
      <x:c r="G249" s="2" t="str">
        <x:v>I-WBFOOD-AFG</x:v>
      </x:c>
      <x:c r="H249" s="2" t="str">
        <x:v>WB_food_import_share;WB_imports_usd</x:v>
      </x:c>
      <x:c r="I249" s="2" t="str"/>
      <x:c r="J249" s="2" t="str">
        <x:v>Calculation_Audit stable ID; Countries country row</x:v>
      </x:c>
      <x:c r="K249" s="2" t="str">
        <x:v>scripts/olam-analyse.py: food_import</x:v>
      </x:c>
      <x:c r="L249" s="2" t="str">
        <x:v>Country atlas</x:v>
      </x:c>
      <x:c r="M249" s="2" t="str">
        <x:v>Includes multiple foods; no volume/capture or Olam revenue estimate</x:v>
      </x:c>
    </x:row>
    <x:row r="250" ht="70" customHeight="1">
      <x:c r="A250" s="2" t="str">
        <x:v>C-WBFOOD-ALB</x:v>
      </x:c>
      <x:c r="B250" s="2" t="str">
        <x:v>Broad food import proxy, not eligible category demand</x:v>
      </x:c>
      <x:c r="C250" s="2" t="str">
        <x:v>Same-year food merchandise-import share /100 × total merchandise imports</x:v>
      </x:c>
      <x:c r="D250" s="2" t="str">
        <x:v>ALB, 2024, exact matched observations in country-panel.csv</x:v>
      </x:c>
      <x:c r="E250" s="2" t="n">
        <x:v>1595872541.6014109</x:v>
      </x:c>
      <x:c r="F250" s="2" t="str">
        <x:v>Current USD; broad SITC food</x:v>
      </x:c>
      <x:c r="G250" s="2" t="str">
        <x:v>I-WBFOOD-ALB</x:v>
      </x:c>
      <x:c r="H250" s="2" t="str">
        <x:v>WB_food_import_share;WB_imports_usd</x:v>
      </x:c>
      <x:c r="I250" s="2" t="str"/>
      <x:c r="J250" s="2" t="str">
        <x:v>Calculation_Audit stable ID; Countries country row</x:v>
      </x:c>
      <x:c r="K250" s="2" t="str">
        <x:v>scripts/olam-analyse.py: food_import</x:v>
      </x:c>
      <x:c r="L250" s="2" t="str">
        <x:v>Country atlas</x:v>
      </x:c>
      <x:c r="M250" s="2" t="str">
        <x:v>Includes multiple foods; no volume/capture or Olam revenue estimate</x:v>
      </x:c>
    </x:row>
    <x:row r="251" ht="70" customHeight="1">
      <x:c r="A251" s="2" t="str">
        <x:v>C-WBFOOD-DZA</x:v>
      </x:c>
      <x:c r="B251" s="2" t="str">
        <x:v>Broad food import proxy, not eligible category demand</x:v>
      </x:c>
      <x:c r="C251" s="2" t="str">
        <x:v>Same-year food merchandise-import share /100 × total merchandise imports</x:v>
      </x:c>
      <x:c r="D251" s="2" t="str">
        <x:v>DZA, 2017, exact matched observations in country-panel.csv</x:v>
      </x:c>
      <x:c r="E251" s="2" t="n">
        <x:v>9317754794.906103</x:v>
      </x:c>
      <x:c r="F251" s="2" t="str">
        <x:v>Current USD; broad SITC food</x:v>
      </x:c>
      <x:c r="G251" s="2" t="str">
        <x:v>I-WBFOOD-DZA</x:v>
      </x:c>
      <x:c r="H251" s="2" t="str">
        <x:v>WB_food_import_share;WB_imports_usd</x:v>
      </x:c>
      <x:c r="I251" s="2" t="str"/>
      <x:c r="J251" s="2" t="str">
        <x:v>Calculation_Audit stable ID; Countries country row</x:v>
      </x:c>
      <x:c r="K251" s="2" t="str">
        <x:v>scripts/olam-analyse.py: food_import</x:v>
      </x:c>
      <x:c r="L251" s="2" t="str">
        <x:v>Country atlas</x:v>
      </x:c>
      <x:c r="M251" s="2" t="str">
        <x:v>Includes multiple foods; no volume/capture or Olam revenue estimate</x:v>
      </x:c>
    </x:row>
    <x:row r="252" ht="70" customHeight="1">
      <x:c r="A252" s="2" t="str">
        <x:v>C-WBFOOD-AND</x:v>
      </x:c>
      <x:c r="B252" s="2" t="str">
        <x:v>Broad food import proxy, not eligible category demand</x:v>
      </x:c>
      <x:c r="C252" s="2" t="str">
        <x:v>Same-year food merchandise-import share /100 × total merchandise imports</x:v>
      </x:c>
      <x:c r="D252" s="2" t="str">
        <x:v>AND, 2023, exact matched observations in country-panel.csv</x:v>
      </x:c>
      <x:c r="E252" s="2" t="n">
        <x:v>426901906.45508695</x:v>
      </x:c>
      <x:c r="F252" s="2" t="str">
        <x:v>Current USD; broad SITC food</x:v>
      </x:c>
      <x:c r="G252" s="2" t="str">
        <x:v>I-WBFOOD-AND</x:v>
      </x:c>
      <x:c r="H252" s="2" t="str">
        <x:v>WB_food_import_share;WB_imports_usd</x:v>
      </x:c>
      <x:c r="I252" s="2" t="str"/>
      <x:c r="J252" s="2" t="str">
        <x:v>Calculation_Audit stable ID; Countries country row</x:v>
      </x:c>
      <x:c r="K252" s="2" t="str">
        <x:v>scripts/olam-analyse.py: food_import</x:v>
      </x:c>
      <x:c r="L252" s="2" t="str">
        <x:v>Country atlas</x:v>
      </x:c>
      <x:c r="M252" s="2" t="str">
        <x:v>Includes multiple foods; no volume/capture or Olam revenue estimate</x:v>
      </x:c>
    </x:row>
    <x:row r="253" ht="70" customHeight="1">
      <x:c r="A253" s="2" t="str">
        <x:v>C-WBFOOD-AGO</x:v>
      </x:c>
      <x:c r="B253" s="2" t="str">
        <x:v>Broad food import proxy, not eligible category demand</x:v>
      </x:c>
      <x:c r="C253" s="2" t="str">
        <x:v>Same-year food merchandise-import share /100 × total merchandise imports</x:v>
      </x:c>
      <x:c r="D253" s="2" t="str">
        <x:v>AGO, 2024, exact matched observations in country-panel.csv</x:v>
      </x:c>
      <x:c r="E253" s="2" t="n">
        <x:v>2196150985.0051885</x:v>
      </x:c>
      <x:c r="F253" s="2" t="str">
        <x:v>Current USD; broad SITC food</x:v>
      </x:c>
      <x:c r="G253" s="2" t="str">
        <x:v>I-WBFOOD-AGO</x:v>
      </x:c>
      <x:c r="H253" s="2" t="str">
        <x:v>WB_food_import_share;WB_imports_usd</x:v>
      </x:c>
      <x:c r="I253" s="2" t="str"/>
      <x:c r="J253" s="2" t="str">
        <x:v>Calculation_Audit stable ID; Countries country row</x:v>
      </x:c>
      <x:c r="K253" s="2" t="str">
        <x:v>scripts/olam-analyse.py: food_import</x:v>
      </x:c>
      <x:c r="L253" s="2" t="str">
        <x:v>Country atlas</x:v>
      </x:c>
      <x:c r="M253" s="2" t="str">
        <x:v>Includes multiple foods; no volume/capture or Olam revenue estimate</x:v>
      </x:c>
    </x:row>
    <x:row r="254" ht="70" customHeight="1">
      <x:c r="A254" s="2" t="str">
        <x:v>C-WBFOOD-ATG</x:v>
      </x:c>
      <x:c r="B254" s="2" t="str">
        <x:v>Broad food import proxy, not eligible category demand</x:v>
      </x:c>
      <x:c r="C254" s="2" t="str">
        <x:v>Same-year food merchandise-import share /100 × total merchandise imports</x:v>
      </x:c>
      <x:c r="D254" s="2" t="str">
        <x:v>ATG, 2024, exact matched observations in country-panel.csv</x:v>
      </x:c>
      <x:c r="E254" s="2" t="n">
        <x:v>227727305.44245392</x:v>
      </x:c>
      <x:c r="F254" s="2" t="str">
        <x:v>Current USD; broad SITC food</x:v>
      </x:c>
      <x:c r="G254" s="2" t="str">
        <x:v>I-WBFOOD-ATG</x:v>
      </x:c>
      <x:c r="H254" s="2" t="str">
        <x:v>WB_food_import_share;WB_imports_usd</x:v>
      </x:c>
      <x:c r="I254" s="2" t="str"/>
      <x:c r="J254" s="2" t="str">
        <x:v>Calculation_Audit stable ID; Countries country row</x:v>
      </x:c>
      <x:c r="K254" s="2" t="str">
        <x:v>scripts/olam-analyse.py: food_import</x:v>
      </x:c>
      <x:c r="L254" s="2" t="str">
        <x:v>Country atlas</x:v>
      </x:c>
      <x:c r="M254" s="2" t="str">
        <x:v>Includes multiple foods; no volume/capture or Olam revenue estimate</x:v>
      </x:c>
    </x:row>
    <x:row r="255" ht="70" customHeight="1">
      <x:c r="A255" s="2" t="str">
        <x:v>C-WBFOOD-ARG</x:v>
      </x:c>
      <x:c r="B255" s="2" t="str">
        <x:v>Broad food import proxy, not eligible category demand</x:v>
      </x:c>
      <x:c r="C255" s="2" t="str">
        <x:v>Same-year food merchandise-import share /100 × total merchandise imports</x:v>
      </x:c>
      <x:c r="D255" s="2" t="str">
        <x:v>ARG, 2024, exact matched observations in country-panel.csv</x:v>
      </x:c>
      <x:c r="E255" s="2" t="n">
        <x:v>5520608117.085689</x:v>
      </x:c>
      <x:c r="F255" s="2" t="str">
        <x:v>Current USD; broad SITC food</x:v>
      </x:c>
      <x:c r="G255" s="2" t="str">
        <x:v>I-WBFOOD-ARG</x:v>
      </x:c>
      <x:c r="H255" s="2" t="str">
        <x:v>WB_food_import_share;WB_imports_usd</x:v>
      </x:c>
      <x:c r="I255" s="2" t="str"/>
      <x:c r="J255" s="2" t="str">
        <x:v>Calculation_Audit stable ID; Countries country row</x:v>
      </x:c>
      <x:c r="K255" s="2" t="str">
        <x:v>scripts/olam-analyse.py: food_import</x:v>
      </x:c>
      <x:c r="L255" s="2" t="str">
        <x:v>Country atlas</x:v>
      </x:c>
      <x:c r="M255" s="2" t="str">
        <x:v>Includes multiple foods; no volume/capture or Olam revenue estimate</x:v>
      </x:c>
    </x:row>
    <x:row r="256" ht="70" customHeight="1">
      <x:c r="A256" s="2" t="str">
        <x:v>C-WBFOOD-ARM</x:v>
      </x:c>
      <x:c r="B256" s="2" t="str">
        <x:v>Broad food import proxy, not eligible category demand</x:v>
      </x:c>
      <x:c r="C256" s="2" t="str">
        <x:v>Same-year food merchandise-import share /100 × total merchandise imports</x:v>
      </x:c>
      <x:c r="D256" s="2" t="str">
        <x:v>ARM, 2024, exact matched observations in country-panel.csv</x:v>
      </x:c>
      <x:c r="E256" s="2" t="n">
        <x:v>1427097102.4313998</x:v>
      </x:c>
      <x:c r="F256" s="2" t="str">
        <x:v>Current USD; broad SITC food</x:v>
      </x:c>
      <x:c r="G256" s="2" t="str">
        <x:v>I-WBFOOD-ARM</x:v>
      </x:c>
      <x:c r="H256" s="2" t="str">
        <x:v>WB_food_import_share;WB_imports_usd</x:v>
      </x:c>
      <x:c r="I256" s="2" t="str"/>
      <x:c r="J256" s="2" t="str">
        <x:v>Calculation_Audit stable ID; Countries country row</x:v>
      </x:c>
      <x:c r="K256" s="2" t="str">
        <x:v>scripts/olam-analyse.py: food_import</x:v>
      </x:c>
      <x:c r="L256" s="2" t="str">
        <x:v>Country atlas</x:v>
      </x:c>
      <x:c r="M256" s="2" t="str">
        <x:v>Includes multiple foods; no volume/capture or Olam revenue estimate</x:v>
      </x:c>
    </x:row>
    <x:row r="257" ht="70" customHeight="1">
      <x:c r="A257" s="2" t="str">
        <x:v>C-WBFOOD-AUS</x:v>
      </x:c>
      <x:c r="B257" s="2" t="str">
        <x:v>Broad food import proxy, not eligible category demand</x:v>
      </x:c>
      <x:c r="C257" s="2" t="str">
        <x:v>Same-year food merchandise-import share /100 × total merchandise imports</x:v>
      </x:c>
      <x:c r="D257" s="2" t="str">
        <x:v>AUS, 2025, exact matched observations in country-panel.csv</x:v>
      </x:c>
      <x:c r="E257" s="2" t="n">
        <x:v>20236525638.395187</x:v>
      </x:c>
      <x:c r="F257" s="2" t="str">
        <x:v>Current USD; broad SITC food</x:v>
      </x:c>
      <x:c r="G257" s="2" t="str">
        <x:v>I-WBFOOD-AUS</x:v>
      </x:c>
      <x:c r="H257" s="2" t="str">
        <x:v>WB_food_import_share;WB_imports_usd</x:v>
      </x:c>
      <x:c r="I257" s="2" t="str"/>
      <x:c r="J257" s="2" t="str">
        <x:v>Calculation_Audit stable ID; Countries country row</x:v>
      </x:c>
      <x:c r="K257" s="2" t="str">
        <x:v>scripts/olam-analyse.py: food_import</x:v>
      </x:c>
      <x:c r="L257" s="2" t="str">
        <x:v>Country atlas</x:v>
      </x:c>
      <x:c r="M257" s="2" t="str">
        <x:v>Includes multiple foods; no volume/capture or Olam revenue estimate</x:v>
      </x:c>
    </x:row>
    <x:row r="258" ht="70" customHeight="1">
      <x:c r="A258" s="2" t="str">
        <x:v>C-WBFOOD-AUT</x:v>
      </x:c>
      <x:c r="B258" s="2" t="str">
        <x:v>Broad food import proxy, not eligible category demand</x:v>
      </x:c>
      <x:c r="C258" s="2" t="str">
        <x:v>Same-year food merchandise-import share /100 × total merchandise imports</x:v>
      </x:c>
      <x:c r="D258" s="2" t="str">
        <x:v>AUT, 2024, exact matched observations in country-panel.csv</x:v>
      </x:c>
      <x:c r="E258" s="2" t="n">
        <x:v>20189324032.95211</x:v>
      </x:c>
      <x:c r="F258" s="2" t="str">
        <x:v>Current USD; broad SITC food</x:v>
      </x:c>
      <x:c r="G258" s="2" t="str">
        <x:v>I-WBFOOD-AUT</x:v>
      </x:c>
      <x:c r="H258" s="2" t="str">
        <x:v>WB_food_import_share;WB_imports_usd</x:v>
      </x:c>
      <x:c r="I258" s="2" t="str"/>
      <x:c r="J258" s="2" t="str">
        <x:v>Calculation_Audit stable ID; Countries country row</x:v>
      </x:c>
      <x:c r="K258" s="2" t="str">
        <x:v>scripts/olam-analyse.py: food_import</x:v>
      </x:c>
      <x:c r="L258" s="2" t="str">
        <x:v>Country atlas</x:v>
      </x:c>
      <x:c r="M258" s="2" t="str">
        <x:v>Includes multiple foods; no volume/capture or Olam revenue estimate</x:v>
      </x:c>
    </x:row>
    <x:row r="259" ht="70" customHeight="1">
      <x:c r="A259" s="2" t="str">
        <x:v>C-WBFOOD-AZE</x:v>
      </x:c>
      <x:c r="B259" s="2" t="str">
        <x:v>Broad food import proxy, not eligible category demand</x:v>
      </x:c>
      <x:c r="C259" s="2" t="str">
        <x:v>Same-year food merchandise-import share /100 × total merchandise imports</x:v>
      </x:c>
      <x:c r="D259" s="2" t="str">
        <x:v>AZE, 2025, exact matched observations in country-panel.csv</x:v>
      </x:c>
      <x:c r="E259" s="2" t="n">
        <x:v>3032552512.072945</x:v>
      </x:c>
      <x:c r="F259" s="2" t="str">
        <x:v>Current USD; broad SITC food</x:v>
      </x:c>
      <x:c r="G259" s="2" t="str">
        <x:v>I-WBFOOD-AZE</x:v>
      </x:c>
      <x:c r="H259" s="2" t="str">
        <x:v>WB_food_import_share;WB_imports_usd</x:v>
      </x:c>
      <x:c r="I259" s="2" t="str"/>
      <x:c r="J259" s="2" t="str">
        <x:v>Calculation_Audit stable ID; Countries country row</x:v>
      </x:c>
      <x:c r="K259" s="2" t="str">
        <x:v>scripts/olam-analyse.py: food_import</x:v>
      </x:c>
      <x:c r="L259" s="2" t="str">
        <x:v>Country atlas</x:v>
      </x:c>
      <x:c r="M259" s="2" t="str">
        <x:v>Includes multiple foods; no volume/capture or Olam revenue estimate</x:v>
      </x:c>
    </x:row>
    <x:row r="260" ht="70" customHeight="1">
      <x:c r="A260" s="2" t="str">
        <x:v>C-WBFOOD-BHS</x:v>
      </x:c>
      <x:c r="B260" s="2" t="str">
        <x:v>Broad food import proxy, not eligible category demand</x:v>
      </x:c>
      <x:c r="C260" s="2" t="str">
        <x:v>Same-year food merchandise-import share /100 × total merchandise imports</x:v>
      </x:c>
      <x:c r="D260" s="2" t="str">
        <x:v>BHS, 2024, exact matched observations in country-panel.csv</x:v>
      </x:c>
      <x:c r="E260" s="2" t="n">
        <x:v>986916656.9229306</x:v>
      </x:c>
      <x:c r="F260" s="2" t="str">
        <x:v>Current USD; broad SITC food</x:v>
      </x:c>
      <x:c r="G260" s="2" t="str">
        <x:v>I-WBFOOD-BHS</x:v>
      </x:c>
      <x:c r="H260" s="2" t="str">
        <x:v>WB_food_import_share;WB_imports_usd</x:v>
      </x:c>
      <x:c r="I260" s="2" t="str"/>
      <x:c r="J260" s="2" t="str">
        <x:v>Calculation_Audit stable ID; Countries country row</x:v>
      </x:c>
      <x:c r="K260" s="2" t="str">
        <x:v>scripts/olam-analyse.py: food_import</x:v>
      </x:c>
      <x:c r="L260" s="2" t="str">
        <x:v>Country atlas</x:v>
      </x:c>
      <x:c r="M260" s="2" t="str">
        <x:v>Includes multiple foods; no volume/capture or Olam revenue estimate</x:v>
      </x:c>
    </x:row>
    <x:row r="261" ht="70" customHeight="1">
      <x:c r="A261" s="2" t="str">
        <x:v>C-WBFOOD-BHR</x:v>
      </x:c>
      <x:c r="B261" s="2" t="str">
        <x:v>Broad food import proxy, not eligible category demand</x:v>
      </x:c>
      <x:c r="C261" s="2" t="str">
        <x:v>Same-year food merchandise-import share /100 × total merchandise imports</x:v>
      </x:c>
      <x:c r="D261" s="2" t="str">
        <x:v>BHR, 2024, exact matched observations in country-panel.csv</x:v>
      </x:c>
      <x:c r="E261" s="2" t="n">
        <x:v>2343143224.4452443</x:v>
      </x:c>
      <x:c r="F261" s="2" t="str">
        <x:v>Current USD; broad SITC food</x:v>
      </x:c>
      <x:c r="G261" s="2" t="str">
        <x:v>I-WBFOOD-BHR</x:v>
      </x:c>
      <x:c r="H261" s="2" t="str">
        <x:v>WB_food_import_share;WB_imports_usd</x:v>
      </x:c>
      <x:c r="I261" s="2" t="str"/>
      <x:c r="J261" s="2" t="str">
        <x:v>Calculation_Audit stable ID; Countries country row</x:v>
      </x:c>
      <x:c r="K261" s="2" t="str">
        <x:v>scripts/olam-analyse.py: food_import</x:v>
      </x:c>
      <x:c r="L261" s="2" t="str">
        <x:v>Country atlas</x:v>
      </x:c>
      <x:c r="M261" s="2" t="str">
        <x:v>Includes multiple foods; no volume/capture or Olam revenue estimate</x:v>
      </x:c>
    </x:row>
    <x:row r="262" ht="70" customHeight="1">
      <x:c r="A262" s="2" t="str">
        <x:v>C-WBFOOD-BGD</x:v>
      </x:c>
      <x:c r="B262" s="2" t="str">
        <x:v>Broad food import proxy, not eligible category demand</x:v>
      </x:c>
      <x:c r="C262" s="2" t="str">
        <x:v>Same-year food merchandise-import share /100 × total merchandise imports</x:v>
      </x:c>
      <x:c r="D262" s="2" t="str">
        <x:v>BGD, 2018, exact matched observations in country-panel.csv</x:v>
      </x:c>
      <x:c r="E262" s="2" t="n">
        <x:v>7865727048.813534</x:v>
      </x:c>
      <x:c r="F262" s="2" t="str">
        <x:v>Current USD; broad SITC food</x:v>
      </x:c>
      <x:c r="G262" s="2" t="str">
        <x:v>I-WBFOOD-BGD</x:v>
      </x:c>
      <x:c r="H262" s="2" t="str">
        <x:v>WB_food_import_share;WB_imports_usd</x:v>
      </x:c>
      <x:c r="I262" s="2" t="str"/>
      <x:c r="J262" s="2" t="str">
        <x:v>Calculation_Audit stable ID; Countries country row</x:v>
      </x:c>
      <x:c r="K262" s="2" t="str">
        <x:v>scripts/olam-analyse.py: food_import</x:v>
      </x:c>
      <x:c r="L262" s="2" t="str">
        <x:v>Country atlas</x:v>
      </x:c>
      <x:c r="M262" s="2" t="str">
        <x:v>Includes multiple foods; no volume/capture or Olam revenue estimate</x:v>
      </x:c>
    </x:row>
    <x:row r="263" ht="70" customHeight="1">
      <x:c r="A263" s="2" t="str">
        <x:v>C-WBFOOD-BRB</x:v>
      </x:c>
      <x:c r="B263" s="2" t="str">
        <x:v>Broad food import proxy, not eligible category demand</x:v>
      </x:c>
      <x:c r="C263" s="2" t="str">
        <x:v>Same-year food merchandise-import share /100 × total merchandise imports</x:v>
      </x:c>
      <x:c r="D263" s="2" t="str">
        <x:v>BRB, 2024, exact matched observations in country-panel.csv</x:v>
      </x:c>
      <x:c r="E263" s="2" t="n">
        <x:v>488888234.5771056</x:v>
      </x:c>
      <x:c r="F263" s="2" t="str">
        <x:v>Current USD; broad SITC food</x:v>
      </x:c>
      <x:c r="G263" s="2" t="str">
        <x:v>I-WBFOOD-BRB</x:v>
      </x:c>
      <x:c r="H263" s="2" t="str">
        <x:v>WB_food_import_share;WB_imports_usd</x:v>
      </x:c>
      <x:c r="I263" s="2" t="str"/>
      <x:c r="J263" s="2" t="str">
        <x:v>Calculation_Audit stable ID; Countries country row</x:v>
      </x:c>
      <x:c r="K263" s="2" t="str">
        <x:v>scripts/olam-analyse.py: food_import</x:v>
      </x:c>
      <x:c r="L263" s="2" t="str">
        <x:v>Country atlas</x:v>
      </x:c>
      <x:c r="M263" s="2" t="str">
        <x:v>Includes multiple foods; no volume/capture or Olam revenue estimate</x:v>
      </x:c>
    </x:row>
    <x:row r="264" ht="70" customHeight="1">
      <x:c r="A264" s="2" t="str">
        <x:v>C-WBFOOD-BLR</x:v>
      </x:c>
      <x:c r="B264" s="2" t="str">
        <x:v>Broad food import proxy, not eligible category demand</x:v>
      </x:c>
      <x:c r="C264" s="2" t="str">
        <x:v>Same-year food merchandise-import share /100 × total merchandise imports</x:v>
      </x:c>
      <x:c r="D264" s="2" t="str">
        <x:v>BLR, 2021, exact matched observations in country-panel.csv</x:v>
      </x:c>
      <x:c r="E264" s="2" t="n">
        <x:v>4279348708.4748607</x:v>
      </x:c>
      <x:c r="F264" s="2" t="str">
        <x:v>Current USD; broad SITC food</x:v>
      </x:c>
      <x:c r="G264" s="2" t="str">
        <x:v>I-WBFOOD-BLR</x:v>
      </x:c>
      <x:c r="H264" s="2" t="str">
        <x:v>WB_food_import_share;WB_imports_usd</x:v>
      </x:c>
      <x:c r="I264" s="2" t="str"/>
      <x:c r="J264" s="2" t="str">
        <x:v>Calculation_Audit stable ID; Countries country row</x:v>
      </x:c>
      <x:c r="K264" s="2" t="str">
        <x:v>scripts/olam-analyse.py: food_import</x:v>
      </x:c>
      <x:c r="L264" s="2" t="str">
        <x:v>Country atlas</x:v>
      </x:c>
      <x:c r="M264" s="2" t="str">
        <x:v>Includes multiple foods; no volume/capture or Olam revenue estimate</x:v>
      </x:c>
    </x:row>
    <x:row r="265" ht="70" customHeight="1">
      <x:c r="A265" s="2" t="str">
        <x:v>C-WBFOOD-BEL</x:v>
      </x:c>
      <x:c r="B265" s="2" t="str">
        <x:v>Broad food import proxy, not eligible category demand</x:v>
      </x:c>
      <x:c r="C265" s="2" t="str">
        <x:v>Same-year food merchandise-import share /100 × total merchandise imports</x:v>
      </x:c>
      <x:c r="D265" s="2" t="str">
        <x:v>BEL, 2024, exact matched observations in country-panel.csv</x:v>
      </x:c>
      <x:c r="E265" s="2" t="n">
        <x:v>62134254449.57687</x:v>
      </x:c>
      <x:c r="F265" s="2" t="str">
        <x:v>Current USD; broad SITC food</x:v>
      </x:c>
      <x:c r="G265" s="2" t="str">
        <x:v>I-WBFOOD-BEL</x:v>
      </x:c>
      <x:c r="H265" s="2" t="str">
        <x:v>WB_food_import_share;WB_imports_usd</x:v>
      </x:c>
      <x:c r="I265" s="2" t="str"/>
      <x:c r="J265" s="2" t="str">
        <x:v>Calculation_Audit stable ID; Countries country row</x:v>
      </x:c>
      <x:c r="K265" s="2" t="str">
        <x:v>scripts/olam-analyse.py: food_import</x:v>
      </x:c>
      <x:c r="L265" s="2" t="str">
        <x:v>Country atlas</x:v>
      </x:c>
      <x:c r="M265" s="2" t="str">
        <x:v>Includes multiple foods; no volume/capture or Olam revenue estimate</x:v>
      </x:c>
    </x:row>
    <x:row r="266" ht="70" customHeight="1">
      <x:c r="A266" s="2" t="str">
        <x:v>C-WBFOOD-BLZ</x:v>
      </x:c>
      <x:c r="B266" s="2" t="str">
        <x:v>Broad food import proxy, not eligible category demand</x:v>
      </x:c>
      <x:c r="C266" s="2" t="str">
        <x:v>Same-year food merchandise-import share /100 × total merchandise imports</x:v>
      </x:c>
      <x:c r="D266" s="2" t="str">
        <x:v>BLZ, 2025, exact matched observations in country-panel.csv</x:v>
      </x:c>
      <x:c r="E266" s="2" t="n">
        <x:v>276886598.6106161</x:v>
      </x:c>
      <x:c r="F266" s="2" t="str">
        <x:v>Current USD; broad SITC food</x:v>
      </x:c>
      <x:c r="G266" s="2" t="str">
        <x:v>I-WBFOOD-BLZ</x:v>
      </x:c>
      <x:c r="H266" s="2" t="str">
        <x:v>WB_food_import_share;WB_imports_usd</x:v>
      </x:c>
      <x:c r="I266" s="2" t="str"/>
      <x:c r="J266" s="2" t="str">
        <x:v>Calculation_Audit stable ID; Countries country row</x:v>
      </x:c>
      <x:c r="K266" s="2" t="str">
        <x:v>scripts/olam-analyse.py: food_import</x:v>
      </x:c>
      <x:c r="L266" s="2" t="str">
        <x:v>Country atlas</x:v>
      </x:c>
      <x:c r="M266" s="2" t="str">
        <x:v>Includes multiple foods; no volume/capture or Olam revenue estimate</x:v>
      </x:c>
    </x:row>
    <x:row r="267" ht="70" customHeight="1">
      <x:c r="A267" s="2" t="str">
        <x:v>C-WBFOOD-BEN</x:v>
      </x:c>
      <x:c r="B267" s="2" t="str">
        <x:v>Broad food import proxy, not eligible category demand</x:v>
      </x:c>
      <x:c r="C267" s="2" t="str">
        <x:v>Same-year food merchandise-import share /100 × total merchandise imports</x:v>
      </x:c>
      <x:c r="D267" s="2" t="str">
        <x:v>BEN, 2024, exact matched observations in country-panel.csv</x:v>
      </x:c>
      <x:c r="E267" s="2" t="n">
        <x:v>1608602507.6312127</x:v>
      </x:c>
      <x:c r="F267" s="2" t="str">
        <x:v>Current USD; broad SITC food</x:v>
      </x:c>
      <x:c r="G267" s="2" t="str">
        <x:v>I-WBFOOD-BEN</x:v>
      </x:c>
      <x:c r="H267" s="2" t="str">
        <x:v>WB_food_import_share;WB_imports_usd</x:v>
      </x:c>
      <x:c r="I267" s="2" t="str"/>
      <x:c r="J267" s="2" t="str">
        <x:v>Calculation_Audit stable ID; Countries country row</x:v>
      </x:c>
      <x:c r="K267" s="2" t="str">
        <x:v>scripts/olam-analyse.py: food_import</x:v>
      </x:c>
      <x:c r="L267" s="2" t="str">
        <x:v>Country atlas</x:v>
      </x:c>
      <x:c r="M267" s="2" t="str">
        <x:v>Includes multiple foods; no volume/capture or Olam revenue estimate</x:v>
      </x:c>
    </x:row>
    <x:row r="268" ht="70" customHeight="1">
      <x:c r="A268" s="2" t="str">
        <x:v>C-WBFOOD-BTN</x:v>
      </x:c>
      <x:c r="B268" s="2" t="str">
        <x:v>Broad food import proxy, not eligible category demand</x:v>
      </x:c>
      <x:c r="C268" s="2" t="str">
        <x:v>Same-year food merchandise-import share /100 × total merchandise imports</x:v>
      </x:c>
      <x:c r="D268" s="2" t="str">
        <x:v>BTN, 2025, exact matched observations in country-panel.csv</x:v>
      </x:c>
      <x:c r="E268" s="2" t="n">
        <x:v>249712404.46984825</x:v>
      </x:c>
      <x:c r="F268" s="2" t="str">
        <x:v>Current USD; broad SITC food</x:v>
      </x:c>
      <x:c r="G268" s="2" t="str">
        <x:v>I-WBFOOD-BTN</x:v>
      </x:c>
      <x:c r="H268" s="2" t="str">
        <x:v>WB_food_import_share;WB_imports_usd</x:v>
      </x:c>
      <x:c r="I268" s="2" t="str"/>
      <x:c r="J268" s="2" t="str">
        <x:v>Calculation_Audit stable ID; Countries country row</x:v>
      </x:c>
      <x:c r="K268" s="2" t="str">
        <x:v>scripts/olam-analyse.py: food_import</x:v>
      </x:c>
      <x:c r="L268" s="2" t="str">
        <x:v>Country atlas</x:v>
      </x:c>
      <x:c r="M268" s="2" t="str">
        <x:v>Includes multiple foods; no volume/capture or Olam revenue estimate</x:v>
      </x:c>
    </x:row>
    <x:row r="269" ht="70" customHeight="1">
      <x:c r="A269" s="2" t="str">
        <x:v>C-WBFOOD-BOL</x:v>
      </x:c>
      <x:c r="B269" s="2" t="str">
        <x:v>Broad food import proxy, not eligible category demand</x:v>
      </x:c>
      <x:c r="C269" s="2" t="str">
        <x:v>Same-year food merchandise-import share /100 × total merchandise imports</x:v>
      </x:c>
      <x:c r="D269" s="2" t="str">
        <x:v>BOL, 2024, exact matched observations in country-panel.csv</x:v>
      </x:c>
      <x:c r="E269" s="2" t="n">
        <x:v>744125651.5016854</x:v>
      </x:c>
      <x:c r="F269" s="2" t="str">
        <x:v>Current USD; broad SITC food</x:v>
      </x:c>
      <x:c r="G269" s="2" t="str">
        <x:v>I-WBFOOD-BOL</x:v>
      </x:c>
      <x:c r="H269" s="2" t="str">
        <x:v>WB_food_import_share;WB_imports_usd</x:v>
      </x:c>
      <x:c r="I269" s="2" t="str"/>
      <x:c r="J269" s="2" t="str">
        <x:v>Calculation_Audit stable ID; Countries country row</x:v>
      </x:c>
      <x:c r="K269" s="2" t="str">
        <x:v>scripts/olam-analyse.py: food_import</x:v>
      </x:c>
      <x:c r="L269" s="2" t="str">
        <x:v>Country atlas</x:v>
      </x:c>
      <x:c r="M269" s="2" t="str">
        <x:v>Includes multiple foods; no volume/capture or Olam revenue estimate</x:v>
      </x:c>
    </x:row>
    <x:row r="270" ht="70" customHeight="1">
      <x:c r="A270" s="2" t="str">
        <x:v>C-WBFOOD-BIH</x:v>
      </x:c>
      <x:c r="B270" s="2" t="str">
        <x:v>Broad food import proxy, not eligible category demand</x:v>
      </x:c>
      <x:c r="C270" s="2" t="str">
        <x:v>Same-year food merchandise-import share /100 × total merchandise imports</x:v>
      </x:c>
      <x:c r="D270" s="2" t="str">
        <x:v>BIH, 2025, exact matched observations in country-panel.csv</x:v>
      </x:c>
      <x:c r="E270" s="2" t="n">
        <x:v>3151899554.624047</x:v>
      </x:c>
      <x:c r="F270" s="2" t="str">
        <x:v>Current USD; broad SITC food</x:v>
      </x:c>
      <x:c r="G270" s="2" t="str">
        <x:v>I-WBFOOD-BIH</x:v>
      </x:c>
      <x:c r="H270" s="2" t="str">
        <x:v>WB_food_import_share;WB_imports_usd</x:v>
      </x:c>
      <x:c r="I270" s="2" t="str"/>
      <x:c r="J270" s="2" t="str">
        <x:v>Calculation_Audit stable ID; Countries country row</x:v>
      </x:c>
      <x:c r="K270" s="2" t="str">
        <x:v>scripts/olam-analyse.py: food_import</x:v>
      </x:c>
      <x:c r="L270" s="2" t="str">
        <x:v>Country atlas</x:v>
      </x:c>
      <x:c r="M270" s="2" t="str">
        <x:v>Includes multiple foods; no volume/capture or Olam revenue estimate</x:v>
      </x:c>
    </x:row>
    <x:row r="271" ht="70" customHeight="1">
      <x:c r="A271" s="2" t="str">
        <x:v>C-WBFOOD-BWA</x:v>
      </x:c>
      <x:c r="B271" s="2" t="str">
        <x:v>Broad food import proxy, not eligible category demand</x:v>
      </x:c>
      <x:c r="C271" s="2" t="str">
        <x:v>Same-year food merchandise-import share /100 × total merchandise imports</x:v>
      </x:c>
      <x:c r="D271" s="2" t="str">
        <x:v>BWA, 2023, exact matched observations in country-panel.csv</x:v>
      </x:c>
      <x:c r="E271" s="2" t="n">
        <x:v>1054350036.7949239</x:v>
      </x:c>
      <x:c r="F271" s="2" t="str">
        <x:v>Current USD; broad SITC food</x:v>
      </x:c>
      <x:c r="G271" s="2" t="str">
        <x:v>I-WBFOOD-BWA</x:v>
      </x:c>
      <x:c r="H271" s="2" t="str">
        <x:v>WB_food_import_share;WB_imports_usd</x:v>
      </x:c>
      <x:c r="I271" s="2" t="str"/>
      <x:c r="J271" s="2" t="str">
        <x:v>Calculation_Audit stable ID; Countries country row</x:v>
      </x:c>
      <x:c r="K271" s="2" t="str">
        <x:v>scripts/olam-analyse.py: food_import</x:v>
      </x:c>
      <x:c r="L271" s="2" t="str">
        <x:v>Country atlas</x:v>
      </x:c>
      <x:c r="M271" s="2" t="str">
        <x:v>Includes multiple foods; no volume/capture or Olam revenue estimate</x:v>
      </x:c>
    </x:row>
    <x:row r="272" ht="70" customHeight="1">
      <x:c r="A272" s="2" t="str">
        <x:v>C-WBFOOD-BRA</x:v>
      </x:c>
      <x:c r="B272" s="2" t="str">
        <x:v>Broad food import proxy, not eligible category demand</x:v>
      </x:c>
      <x:c r="C272" s="2" t="str">
        <x:v>Same-year food merchandise-import share /100 × total merchandise imports</x:v>
      </x:c>
      <x:c r="D272" s="2" t="str">
        <x:v>BRA, 2025, exact matched observations in country-panel.csv</x:v>
      </x:c>
      <x:c r="E272" s="2" t="n">
        <x:v>16226920091.855171</x:v>
      </x:c>
      <x:c r="F272" s="2" t="str">
        <x:v>Current USD; broad SITC food</x:v>
      </x:c>
      <x:c r="G272" s="2" t="str">
        <x:v>I-WBFOOD-BRA</x:v>
      </x:c>
      <x:c r="H272" s="2" t="str">
        <x:v>WB_food_import_share;WB_imports_usd</x:v>
      </x:c>
      <x:c r="I272" s="2" t="str"/>
      <x:c r="J272" s="2" t="str">
        <x:v>Calculation_Audit stable ID; Countries country row</x:v>
      </x:c>
      <x:c r="K272" s="2" t="str">
        <x:v>scripts/olam-analyse.py: food_import</x:v>
      </x:c>
      <x:c r="L272" s="2" t="str">
        <x:v>Country atlas</x:v>
      </x:c>
      <x:c r="M272" s="2" t="str">
        <x:v>Includes multiple foods; no volume/capture or Olam revenue estimate</x:v>
      </x:c>
    </x:row>
    <x:row r="273" ht="70" customHeight="1">
      <x:c r="A273" s="2" t="str">
        <x:v>C-WBFOOD-BRN</x:v>
      </x:c>
      <x:c r="B273" s="2" t="str">
        <x:v>Broad food import proxy, not eligible category demand</x:v>
      </x:c>
      <x:c r="C273" s="2" t="str">
        <x:v>Same-year food merchandise-import share /100 × total merchandise imports</x:v>
      </x:c>
      <x:c r="D273" s="2" t="str">
        <x:v>BRN, 2024, exact matched observations in country-panel.csv</x:v>
      </x:c>
      <x:c r="E273" s="2" t="n">
        <x:v>595913146.2251436</x:v>
      </x:c>
      <x:c r="F273" s="2" t="str">
        <x:v>Current USD; broad SITC food</x:v>
      </x:c>
      <x:c r="G273" s="2" t="str">
        <x:v>I-WBFOOD-BRN</x:v>
      </x:c>
      <x:c r="H273" s="2" t="str">
        <x:v>WB_food_import_share;WB_imports_usd</x:v>
      </x:c>
      <x:c r="I273" s="2" t="str"/>
      <x:c r="J273" s="2" t="str">
        <x:v>Calculation_Audit stable ID; Countries country row</x:v>
      </x:c>
      <x:c r="K273" s="2" t="str">
        <x:v>scripts/olam-analyse.py: food_import</x:v>
      </x:c>
      <x:c r="L273" s="2" t="str">
        <x:v>Country atlas</x:v>
      </x:c>
      <x:c r="M273" s="2" t="str">
        <x:v>Includes multiple foods; no volume/capture or Olam revenue estimate</x:v>
      </x:c>
    </x:row>
    <x:row r="274" ht="70" customHeight="1">
      <x:c r="A274" s="2" t="str">
        <x:v>C-WBFOOD-BGR</x:v>
      </x:c>
      <x:c r="B274" s="2" t="str">
        <x:v>Broad food import proxy, not eligible category demand</x:v>
      </x:c>
      <x:c r="C274" s="2" t="str">
        <x:v>Same-year food merchandise-import share /100 × total merchandise imports</x:v>
      </x:c>
      <x:c r="D274" s="2" t="str">
        <x:v>BGR, 2024, exact matched observations in country-panel.csv</x:v>
      </x:c>
      <x:c r="E274" s="2" t="n">
        <x:v>7261748940.630695</x:v>
      </x:c>
      <x:c r="F274" s="2" t="str">
        <x:v>Current USD; broad SITC food</x:v>
      </x:c>
      <x:c r="G274" s="2" t="str">
        <x:v>I-WBFOOD-BGR</x:v>
      </x:c>
      <x:c r="H274" s="2" t="str">
        <x:v>WB_food_import_share;WB_imports_usd</x:v>
      </x:c>
      <x:c r="I274" s="2" t="str"/>
      <x:c r="J274" s="2" t="str">
        <x:v>Calculation_Audit stable ID; Countries country row</x:v>
      </x:c>
      <x:c r="K274" s="2" t="str">
        <x:v>scripts/olam-analyse.py: food_import</x:v>
      </x:c>
      <x:c r="L274" s="2" t="str">
        <x:v>Country atlas</x:v>
      </x:c>
      <x:c r="M274" s="2" t="str">
        <x:v>Includes multiple foods; no volume/capture or Olam revenue estimate</x:v>
      </x:c>
    </x:row>
    <x:row r="275" ht="70" customHeight="1">
      <x:c r="A275" s="2" t="str">
        <x:v>C-WBFOOD-BFA</x:v>
      </x:c>
      <x:c r="B275" s="2" t="str">
        <x:v>Broad food import proxy, not eligible category demand</x:v>
      </x:c>
      <x:c r="C275" s="2" t="str">
        <x:v>Same-year food merchandise-import share /100 × total merchandise imports</x:v>
      </x:c>
      <x:c r="D275" s="2" t="str">
        <x:v>BFA, 2024, exact matched observations in country-panel.csv</x:v>
      </x:c>
      <x:c r="E275" s="2" t="n">
        <x:v>719463814.3152906</x:v>
      </x:c>
      <x:c r="F275" s="2" t="str">
        <x:v>Current USD; broad SITC food</x:v>
      </x:c>
      <x:c r="G275" s="2" t="str">
        <x:v>I-WBFOOD-BFA</x:v>
      </x:c>
      <x:c r="H275" s="2" t="str">
        <x:v>WB_food_import_share;WB_imports_usd</x:v>
      </x:c>
      <x:c r="I275" s="2" t="str"/>
      <x:c r="J275" s="2" t="str">
        <x:v>Calculation_Audit stable ID; Countries country row</x:v>
      </x:c>
      <x:c r="K275" s="2" t="str">
        <x:v>scripts/olam-analyse.py: food_import</x:v>
      </x:c>
      <x:c r="L275" s="2" t="str">
        <x:v>Country atlas</x:v>
      </x:c>
      <x:c r="M275" s="2" t="str">
        <x:v>Includes multiple foods; no volume/capture or Olam revenue estimate</x:v>
      </x:c>
    </x:row>
    <x:row r="276" ht="70" customHeight="1">
      <x:c r="A276" s="2" t="str">
        <x:v>C-WBFOOD-BDI</x:v>
      </x:c>
      <x:c r="B276" s="2" t="str">
        <x:v>Broad food import proxy, not eligible category demand</x:v>
      </x:c>
      <x:c r="C276" s="2" t="str">
        <x:v>Same-year food merchandise-import share /100 × total merchandise imports</x:v>
      </x:c>
      <x:c r="D276" s="2" t="str">
        <x:v>BDI, 2023, exact matched observations in country-panel.csv</x:v>
      </x:c>
      <x:c r="E276" s="2" t="n">
        <x:v>163585867.63748187</x:v>
      </x:c>
      <x:c r="F276" s="2" t="str">
        <x:v>Current USD; broad SITC food</x:v>
      </x:c>
      <x:c r="G276" s="2" t="str">
        <x:v>I-WBFOOD-BDI</x:v>
      </x:c>
      <x:c r="H276" s="2" t="str">
        <x:v>WB_food_import_share;WB_imports_usd</x:v>
      </x:c>
      <x:c r="I276" s="2" t="str"/>
      <x:c r="J276" s="2" t="str">
        <x:v>Calculation_Audit stable ID; Countries country row</x:v>
      </x:c>
      <x:c r="K276" s="2" t="str">
        <x:v>scripts/olam-analyse.py: food_import</x:v>
      </x:c>
      <x:c r="L276" s="2" t="str">
        <x:v>Country atlas</x:v>
      </x:c>
      <x:c r="M276" s="2" t="str">
        <x:v>Includes multiple foods; no volume/capture or Olam revenue estimate</x:v>
      </x:c>
    </x:row>
    <x:row r="277" ht="70" customHeight="1">
      <x:c r="A277" s="2" t="str">
        <x:v>C-WBFOOD-CPV</x:v>
      </x:c>
      <x:c r="B277" s="2" t="str">
        <x:v>Broad food import proxy, not eligible category demand</x:v>
      </x:c>
      <x:c r="C277" s="2" t="str">
        <x:v>Same-year food merchandise-import share /100 × total merchandise imports</x:v>
      </x:c>
      <x:c r="D277" s="2" t="str">
        <x:v>CPV, 2024, exact matched observations in country-panel.csv</x:v>
      </x:c>
      <x:c r="E277" s="2" t="n">
        <x:v>608562990.217463</x:v>
      </x:c>
      <x:c r="F277" s="2" t="str">
        <x:v>Current USD; broad SITC food</x:v>
      </x:c>
      <x:c r="G277" s="2" t="str">
        <x:v>I-WBFOOD-CPV</x:v>
      </x:c>
      <x:c r="H277" s="2" t="str">
        <x:v>WB_food_import_share;WB_imports_usd</x:v>
      </x:c>
      <x:c r="I277" s="2" t="str"/>
      <x:c r="J277" s="2" t="str">
        <x:v>Calculation_Audit stable ID; Countries country row</x:v>
      </x:c>
      <x:c r="K277" s="2" t="str">
        <x:v>scripts/olam-analyse.py: food_import</x:v>
      </x:c>
      <x:c r="L277" s="2" t="str">
        <x:v>Country atlas</x:v>
      </x:c>
      <x:c r="M277" s="2" t="str">
        <x:v>Includes multiple foods; no volume/capture or Olam revenue estimate</x:v>
      </x:c>
    </x:row>
    <x:row r="278" ht="70" customHeight="1">
      <x:c r="A278" s="2" t="str">
        <x:v>C-WBFOOD-KHM</x:v>
      </x:c>
      <x:c r="B278" s="2" t="str">
        <x:v>Broad food import proxy, not eligible category demand</x:v>
      </x:c>
      <x:c r="C278" s="2" t="str">
        <x:v>Same-year food merchandise-import share /100 × total merchandise imports</x:v>
      </x:c>
      <x:c r="D278" s="2" t="str">
        <x:v>KHM, 2024, exact matched observations in country-panel.csv</x:v>
      </x:c>
      <x:c r="E278" s="2" t="n">
        <x:v>2140805676.9942493</x:v>
      </x:c>
      <x:c r="F278" s="2" t="str">
        <x:v>Current USD; broad SITC food</x:v>
      </x:c>
      <x:c r="G278" s="2" t="str">
        <x:v>I-WBFOOD-KHM</x:v>
      </x:c>
      <x:c r="H278" s="2" t="str">
        <x:v>WB_food_import_share;WB_imports_usd</x:v>
      </x:c>
      <x:c r="I278" s="2" t="str"/>
      <x:c r="J278" s="2" t="str">
        <x:v>Calculation_Audit stable ID; Countries country row</x:v>
      </x:c>
      <x:c r="K278" s="2" t="str">
        <x:v>scripts/olam-analyse.py: food_import</x:v>
      </x:c>
      <x:c r="L278" s="2" t="str">
        <x:v>Country atlas</x:v>
      </x:c>
      <x:c r="M278" s="2" t="str">
        <x:v>Includes multiple foods; no volume/capture or Olam revenue estimate</x:v>
      </x:c>
    </x:row>
    <x:row r="279" ht="70" customHeight="1">
      <x:c r="A279" s="2" t="str">
        <x:v>C-WBFOOD-CMR</x:v>
      </x:c>
      <x:c r="B279" s="2" t="str">
        <x:v>Broad food import proxy, not eligible category demand</x:v>
      </x:c>
      <x:c r="C279" s="2" t="str">
        <x:v>Same-year food merchandise-import share /100 × total merchandise imports</x:v>
      </x:c>
      <x:c r="D279" s="2" t="str">
        <x:v>CMR, 2023, exact matched observations in country-panel.csv</x:v>
      </x:c>
      <x:c r="E279" s="2" t="n">
        <x:v>1790205446.3931196</x:v>
      </x:c>
      <x:c r="F279" s="2" t="str">
        <x:v>Current USD; broad SITC food</x:v>
      </x:c>
      <x:c r="G279" s="2" t="str">
        <x:v>I-WBFOOD-CMR</x:v>
      </x:c>
      <x:c r="H279" s="2" t="str">
        <x:v>WB_food_import_share;WB_imports_usd</x:v>
      </x:c>
      <x:c r="I279" s="2" t="str"/>
      <x:c r="J279" s="2" t="str">
        <x:v>Calculation_Audit stable ID; Countries country row</x:v>
      </x:c>
      <x:c r="K279" s="2" t="str">
        <x:v>scripts/olam-analyse.py: food_import</x:v>
      </x:c>
      <x:c r="L279" s="2" t="str">
        <x:v>Country atlas</x:v>
      </x:c>
      <x:c r="M279" s="2" t="str">
        <x:v>Includes multiple foods; no volume/capture or Olam revenue estimate</x:v>
      </x:c>
    </x:row>
    <x:row r="280" ht="70" customHeight="1">
      <x:c r="A280" s="2" t="str">
        <x:v>C-WBFOOD-CAN</x:v>
      </x:c>
      <x:c r="B280" s="2" t="str">
        <x:v>Broad food import proxy, not eligible category demand</x:v>
      </x:c>
      <x:c r="C280" s="2" t="str">
        <x:v>Same-year food merchandise-import share /100 × total merchandise imports</x:v>
      </x:c>
      <x:c r="D280" s="2" t="str">
        <x:v>CAN, 2024, exact matched observations in country-panel.csv</x:v>
      </x:c>
      <x:c r="E280" s="2" t="n">
        <x:v>52738198428.644005</x:v>
      </x:c>
      <x:c r="F280" s="2" t="str">
        <x:v>Current USD; broad SITC food</x:v>
      </x:c>
      <x:c r="G280" s="2" t="str">
        <x:v>I-WBFOOD-CAN</x:v>
      </x:c>
      <x:c r="H280" s="2" t="str">
        <x:v>WB_food_import_share;WB_imports_usd</x:v>
      </x:c>
      <x:c r="I280" s="2" t="str"/>
      <x:c r="J280" s="2" t="str">
        <x:v>Calculation_Audit stable ID; Countries country row</x:v>
      </x:c>
      <x:c r="K280" s="2" t="str">
        <x:v>scripts/olam-analyse.py: food_import</x:v>
      </x:c>
      <x:c r="L280" s="2" t="str">
        <x:v>Country atlas</x:v>
      </x:c>
      <x:c r="M280" s="2" t="str">
        <x:v>Includes multiple foods; no volume/capture or Olam revenue estimate</x:v>
      </x:c>
    </x:row>
    <x:row r="281" ht="70" customHeight="1">
      <x:c r="A281" s="2" t="str">
        <x:v>C-WBFOOD-CAF</x:v>
      </x:c>
      <x:c r="B281" s="2" t="str">
        <x:v>Broad food import proxy, not eligible category demand</x:v>
      </x:c>
      <x:c r="C281" s="2" t="str">
        <x:v>Same-year food merchandise-import share /100 × total merchandise imports</x:v>
      </x:c>
      <x:c r="D281" s="2" t="str">
        <x:v>CAF, 2024, exact matched observations in country-panel.csv</x:v>
      </x:c>
      <x:c r="E281" s="2" t="n">
        <x:v>111490341.11110164</x:v>
      </x:c>
      <x:c r="F281" s="2" t="str">
        <x:v>Current USD; broad SITC food</x:v>
      </x:c>
      <x:c r="G281" s="2" t="str">
        <x:v>I-WBFOOD-CAF</x:v>
      </x:c>
      <x:c r="H281" s="2" t="str">
        <x:v>WB_food_import_share;WB_imports_usd</x:v>
      </x:c>
      <x:c r="I281" s="2" t="str"/>
      <x:c r="J281" s="2" t="str">
        <x:v>Calculation_Audit stable ID; Countries country row</x:v>
      </x:c>
      <x:c r="K281" s="2" t="str">
        <x:v>scripts/olam-analyse.py: food_import</x:v>
      </x:c>
      <x:c r="L281" s="2" t="str">
        <x:v>Country atlas</x:v>
      </x:c>
      <x:c r="M281" s="2" t="str">
        <x:v>Includes multiple foods; no volume/capture or Olam revenue estimate</x:v>
      </x:c>
    </x:row>
    <x:row r="282" ht="70" customHeight="1">
      <x:c r="A282" s="2" t="str">
        <x:v>C-WBFOOD-CHL</x:v>
      </x:c>
      <x:c r="B282" s="2" t="str">
        <x:v>Broad food import proxy, not eligible category demand</x:v>
      </x:c>
      <x:c r="C282" s="2" t="str">
        <x:v>Same-year food merchandise-import share /100 × total merchandise imports</x:v>
      </x:c>
      <x:c r="D282" s="2" t="str">
        <x:v>CHL, 2025, exact matched observations in country-panel.csv</x:v>
      </x:c>
      <x:c r="E282" s="2" t="n">
        <x:v>10727237465.438208</x:v>
      </x:c>
      <x:c r="F282" s="2" t="str">
        <x:v>Current USD; broad SITC food</x:v>
      </x:c>
      <x:c r="G282" s="2" t="str">
        <x:v>I-WBFOOD-CHL</x:v>
      </x:c>
      <x:c r="H282" s="2" t="str">
        <x:v>WB_food_import_share;WB_imports_usd</x:v>
      </x:c>
      <x:c r="I282" s="2" t="str"/>
      <x:c r="J282" s="2" t="str">
        <x:v>Calculation_Audit stable ID; Countries country row</x:v>
      </x:c>
      <x:c r="K282" s="2" t="str">
        <x:v>scripts/olam-analyse.py: food_import</x:v>
      </x:c>
      <x:c r="L282" s="2" t="str">
        <x:v>Country atlas</x:v>
      </x:c>
      <x:c r="M282" s="2" t="str">
        <x:v>Includes multiple foods; no volume/capture or Olam revenue estimate</x:v>
      </x:c>
    </x:row>
    <x:row r="283" ht="70" customHeight="1">
      <x:c r="A283" s="2" t="str">
        <x:v>C-WBFOOD-CHN</x:v>
      </x:c>
      <x:c r="B283" s="2" t="str">
        <x:v>Broad food import proxy, not eligible category demand</x:v>
      </x:c>
      <x:c r="C283" s="2" t="str">
        <x:v>Same-year food merchandise-import share /100 × total merchandise imports</x:v>
      </x:c>
      <x:c r="D283" s="2" t="str">
        <x:v>CHN, 2024, exact matched observations in country-panel.csv</x:v>
      </x:c>
      <x:c r="E283" s="2" t="n">
        <x:v>209434671437.8839</x:v>
      </x:c>
      <x:c r="F283" s="2" t="str">
        <x:v>Current USD; broad SITC food</x:v>
      </x:c>
      <x:c r="G283" s="2" t="str">
        <x:v>I-WBFOOD-CHN</x:v>
      </x:c>
      <x:c r="H283" s="2" t="str">
        <x:v>WB_food_import_share;WB_imports_usd</x:v>
      </x:c>
      <x:c r="I283" s="2" t="str"/>
      <x:c r="J283" s="2" t="str">
        <x:v>Calculation_Audit stable ID; Countries country row</x:v>
      </x:c>
      <x:c r="K283" s="2" t="str">
        <x:v>scripts/olam-analyse.py: food_import</x:v>
      </x:c>
      <x:c r="L283" s="2" t="str">
        <x:v>Country atlas</x:v>
      </x:c>
      <x:c r="M283" s="2" t="str">
        <x:v>Includes multiple foods; no volume/capture or Olam revenue estimate</x:v>
      </x:c>
    </x:row>
    <x:row r="284" ht="70" customHeight="1">
      <x:c r="A284" s="2" t="str">
        <x:v>C-WBFOOD-COL</x:v>
      </x:c>
      <x:c r="B284" s="2" t="str">
        <x:v>Broad food import proxy, not eligible category demand</x:v>
      </x:c>
      <x:c r="C284" s="2" t="str">
        <x:v>Same-year food merchandise-import share /100 × total merchandise imports</x:v>
      </x:c>
      <x:c r="D284" s="2" t="str">
        <x:v>COL, 2024, exact matched observations in country-panel.csv</x:v>
      </x:c>
      <x:c r="E284" s="2" t="n">
        <x:v>8812424967.658024</x:v>
      </x:c>
      <x:c r="F284" s="2" t="str">
        <x:v>Current USD; broad SITC food</x:v>
      </x:c>
      <x:c r="G284" s="2" t="str">
        <x:v>I-WBFOOD-COL</x:v>
      </x:c>
      <x:c r="H284" s="2" t="str">
        <x:v>WB_food_import_share;WB_imports_usd</x:v>
      </x:c>
      <x:c r="I284" s="2" t="str"/>
      <x:c r="J284" s="2" t="str">
        <x:v>Calculation_Audit stable ID; Countries country row</x:v>
      </x:c>
      <x:c r="K284" s="2" t="str">
        <x:v>scripts/olam-analyse.py: food_import</x:v>
      </x:c>
      <x:c r="L284" s="2" t="str">
        <x:v>Country atlas</x:v>
      </x:c>
      <x:c r="M284" s="2" t="str">
        <x:v>Includes multiple foods; no volume/capture or Olam revenue estimate</x:v>
      </x:c>
    </x:row>
    <x:row r="285" ht="70" customHeight="1">
      <x:c r="A285" s="2" t="str">
        <x:v>C-WBFOOD-COM</x:v>
      </x:c>
      <x:c r="B285" s="2" t="str">
        <x:v>Broad food import proxy, not eligible category demand</x:v>
      </x:c>
      <x:c r="C285" s="2" t="str">
        <x:v>Same-year food merchandise-import share /100 × total merchandise imports</x:v>
      </x:c>
      <x:c r="D285" s="2" t="str">
        <x:v>COM, 2023, exact matched observations in country-panel.csv</x:v>
      </x:c>
      <x:c r="E285" s="2" t="n">
        <x:v>150603397.3188956</x:v>
      </x:c>
      <x:c r="F285" s="2" t="str">
        <x:v>Current USD; broad SITC food</x:v>
      </x:c>
      <x:c r="G285" s="2" t="str">
        <x:v>I-WBFOOD-COM</x:v>
      </x:c>
      <x:c r="H285" s="2" t="str">
        <x:v>WB_food_import_share;WB_imports_usd</x:v>
      </x:c>
      <x:c r="I285" s="2" t="str"/>
      <x:c r="J285" s="2" t="str">
        <x:v>Calculation_Audit stable ID; Countries country row</x:v>
      </x:c>
      <x:c r="K285" s="2" t="str">
        <x:v>scripts/olam-analyse.py: food_import</x:v>
      </x:c>
      <x:c r="L285" s="2" t="str">
        <x:v>Country atlas</x:v>
      </x:c>
      <x:c r="M285" s="2" t="str">
        <x:v>Includes multiple foods; no volume/capture or Olam revenue estimate</x:v>
      </x:c>
    </x:row>
    <x:row r="286" ht="70" customHeight="1">
      <x:c r="A286" s="2" t="str">
        <x:v>C-WBFOOD-COG</x:v>
      </x:c>
      <x:c r="B286" s="2" t="str">
        <x:v>Broad food import proxy, not eligible category demand</x:v>
      </x:c>
      <x:c r="C286" s="2" t="str">
        <x:v>Same-year food merchandise-import share /100 × total merchandise imports</x:v>
      </x:c>
      <x:c r="D286" s="2" t="str">
        <x:v>COG, 2023, exact matched observations in country-panel.csv</x:v>
      </x:c>
      <x:c r="E286" s="2" t="n">
        <x:v>997882679.388699</x:v>
      </x:c>
      <x:c r="F286" s="2" t="str">
        <x:v>Current USD; broad SITC food</x:v>
      </x:c>
      <x:c r="G286" s="2" t="str">
        <x:v>I-WBFOOD-COG</x:v>
      </x:c>
      <x:c r="H286" s="2" t="str">
        <x:v>WB_food_import_share;WB_imports_usd</x:v>
      </x:c>
      <x:c r="I286" s="2" t="str"/>
      <x:c r="J286" s="2" t="str">
        <x:v>Calculation_Audit stable ID; Countries country row</x:v>
      </x:c>
      <x:c r="K286" s="2" t="str">
        <x:v>scripts/olam-analyse.py: food_import</x:v>
      </x:c>
      <x:c r="L286" s="2" t="str">
        <x:v>Country atlas</x:v>
      </x:c>
      <x:c r="M286" s="2" t="str">
        <x:v>Includes multiple foods; no volume/capture or Olam revenue estimate</x:v>
      </x:c>
    </x:row>
    <x:row r="287" ht="70" customHeight="1">
      <x:c r="A287" s="2" t="str">
        <x:v>C-WBFOOD-CRI</x:v>
      </x:c>
      <x:c r="B287" s="2" t="str">
        <x:v>Broad food import proxy, not eligible category demand</x:v>
      </x:c>
      <x:c r="C287" s="2" t="str">
        <x:v>Same-year food merchandise-import share /100 × total merchandise imports</x:v>
      </x:c>
      <x:c r="D287" s="2" t="str">
        <x:v>CRI, 2024, exact matched observations in country-panel.csv</x:v>
      </x:c>
      <x:c r="E287" s="2" t="n">
        <x:v>3507461528.8276005</x:v>
      </x:c>
      <x:c r="F287" s="2" t="str">
        <x:v>Current USD; broad SITC food</x:v>
      </x:c>
      <x:c r="G287" s="2" t="str">
        <x:v>I-WBFOOD-CRI</x:v>
      </x:c>
      <x:c r="H287" s="2" t="str">
        <x:v>WB_food_import_share;WB_imports_usd</x:v>
      </x:c>
      <x:c r="I287" s="2" t="str"/>
      <x:c r="J287" s="2" t="str">
        <x:v>Calculation_Audit stable ID; Countries country row</x:v>
      </x:c>
      <x:c r="K287" s="2" t="str">
        <x:v>scripts/olam-analyse.py: food_import</x:v>
      </x:c>
      <x:c r="L287" s="2" t="str">
        <x:v>Country atlas</x:v>
      </x:c>
      <x:c r="M287" s="2" t="str">
        <x:v>Includes multiple foods; no volume/capture or Olam revenue estimate</x:v>
      </x:c>
    </x:row>
    <x:row r="288" ht="70" customHeight="1">
      <x:c r="A288" s="2" t="str">
        <x:v>C-WBFOOD-HRV</x:v>
      </x:c>
      <x:c r="B288" s="2" t="str">
        <x:v>Broad food import proxy, not eligible category demand</x:v>
      </x:c>
      <x:c r="C288" s="2" t="str">
        <x:v>Same-year food merchandise-import share /100 × total merchandise imports</x:v>
      </x:c>
      <x:c r="D288" s="2" t="str">
        <x:v>HRV, 2024, exact matched observations in country-panel.csv</x:v>
      </x:c>
      <x:c r="E288" s="2" t="n">
        <x:v>6724780531.433829</x:v>
      </x:c>
      <x:c r="F288" s="2" t="str">
        <x:v>Current USD; broad SITC food</x:v>
      </x:c>
      <x:c r="G288" s="2" t="str">
        <x:v>I-WBFOOD-HRV</x:v>
      </x:c>
      <x:c r="H288" s="2" t="str">
        <x:v>WB_food_import_share;WB_imports_usd</x:v>
      </x:c>
      <x:c r="I288" s="2" t="str"/>
      <x:c r="J288" s="2" t="str">
        <x:v>Calculation_Audit stable ID; Countries country row</x:v>
      </x:c>
      <x:c r="K288" s="2" t="str">
        <x:v>scripts/olam-analyse.py: food_import</x:v>
      </x:c>
      <x:c r="L288" s="2" t="str">
        <x:v>Country atlas</x:v>
      </x:c>
      <x:c r="M288" s="2" t="str">
        <x:v>Includes multiple foods; no volume/capture or Olam revenue estimate</x:v>
      </x:c>
    </x:row>
    <x:row r="289" ht="70" customHeight="1">
      <x:c r="A289" s="2" t="str">
        <x:v>C-WBFOOD-CUB</x:v>
      </x:c>
      <x:c r="B289" s="2" t="str">
        <x:v>Broad food import proxy, not eligible category demand</x:v>
      </x:c>
      <x:c r="C289" s="2" t="str">
        <x:v>Same-year food merchandise-import share /100 × total merchandise imports</x:v>
      </x:c>
      <x:c r="D289" s="2" t="str">
        <x:v>CUB, 2022, exact matched observations in country-panel.csv</x:v>
      </x:c>
      <x:c r="E289" s="2" t="n">
        <x:v>2479026006.344521</x:v>
      </x:c>
      <x:c r="F289" s="2" t="str">
        <x:v>Current USD; broad SITC food</x:v>
      </x:c>
      <x:c r="G289" s="2" t="str">
        <x:v>I-WBFOOD-CUB</x:v>
      </x:c>
      <x:c r="H289" s="2" t="str">
        <x:v>WB_food_import_share;WB_imports_usd</x:v>
      </x:c>
      <x:c r="I289" s="2" t="str"/>
      <x:c r="J289" s="2" t="str">
        <x:v>Calculation_Audit stable ID; Countries country row</x:v>
      </x:c>
      <x:c r="K289" s="2" t="str">
        <x:v>scripts/olam-analyse.py: food_import</x:v>
      </x:c>
      <x:c r="L289" s="2" t="str">
        <x:v>Country atlas</x:v>
      </x:c>
      <x:c r="M289" s="2" t="str">
        <x:v>Includes multiple foods; no volume/capture or Olam revenue estimate</x:v>
      </x:c>
    </x:row>
    <x:row r="290" ht="70" customHeight="1">
      <x:c r="A290" s="2" t="str">
        <x:v>C-WBFOOD-CYP</x:v>
      </x:c>
      <x:c r="B290" s="2" t="str">
        <x:v>Broad food import proxy, not eligible category demand</x:v>
      </x:c>
      <x:c r="C290" s="2" t="str">
        <x:v>Same-year food merchandise-import share /100 × total merchandise imports</x:v>
      </x:c>
      <x:c r="D290" s="2" t="str">
        <x:v>CYP, 2024, exact matched observations in country-panel.csv</x:v>
      </x:c>
      <x:c r="E290" s="2" t="n">
        <x:v>2064142361.8809397</x:v>
      </x:c>
      <x:c r="F290" s="2" t="str">
        <x:v>Current USD; broad SITC food</x:v>
      </x:c>
      <x:c r="G290" s="2" t="str">
        <x:v>I-WBFOOD-CYP</x:v>
      </x:c>
      <x:c r="H290" s="2" t="str">
        <x:v>WB_food_import_share;WB_imports_usd</x:v>
      </x:c>
      <x:c r="I290" s="2" t="str"/>
      <x:c r="J290" s="2" t="str">
        <x:v>Calculation_Audit stable ID; Countries country row</x:v>
      </x:c>
      <x:c r="K290" s="2" t="str">
        <x:v>scripts/olam-analyse.py: food_import</x:v>
      </x:c>
      <x:c r="L290" s="2" t="str">
        <x:v>Country atlas</x:v>
      </x:c>
      <x:c r="M290" s="2" t="str">
        <x:v>Includes multiple foods; no volume/capture or Olam revenue estimate</x:v>
      </x:c>
    </x:row>
    <x:row r="291" ht="70" customHeight="1">
      <x:c r="A291" s="2" t="str">
        <x:v>C-WBFOOD-CZE</x:v>
      </x:c>
      <x:c r="B291" s="2" t="str">
        <x:v>Broad food import proxy, not eligible category demand</x:v>
      </x:c>
      <x:c r="C291" s="2" t="str">
        <x:v>Same-year food merchandise-import share /100 × total merchandise imports</x:v>
      </x:c>
      <x:c r="D291" s="2" t="str">
        <x:v>CZE, 2024, exact matched observations in country-panel.csv</x:v>
      </x:c>
      <x:c r="E291" s="2" t="n">
        <x:v>15731066139.102625</x:v>
      </x:c>
      <x:c r="F291" s="2" t="str">
        <x:v>Current USD; broad SITC food</x:v>
      </x:c>
      <x:c r="G291" s="2" t="str">
        <x:v>I-WBFOOD-CZE</x:v>
      </x:c>
      <x:c r="H291" s="2" t="str">
        <x:v>WB_food_import_share;WB_imports_usd</x:v>
      </x:c>
      <x:c r="I291" s="2" t="str"/>
      <x:c r="J291" s="2" t="str">
        <x:v>Calculation_Audit stable ID; Countries country row</x:v>
      </x:c>
      <x:c r="K291" s="2" t="str">
        <x:v>scripts/olam-analyse.py: food_import</x:v>
      </x:c>
      <x:c r="L291" s="2" t="str">
        <x:v>Country atlas</x:v>
      </x:c>
      <x:c r="M291" s="2" t="str">
        <x:v>Includes multiple foods; no volume/capture or Olam revenue estimate</x:v>
      </x:c>
    </x:row>
    <x:row r="292" ht="70" customHeight="1">
      <x:c r="A292" s="2" t="str">
        <x:v>C-WBFOOD-CIV</x:v>
      </x:c>
      <x:c r="B292" s="2" t="str">
        <x:v>Broad food import proxy, not eligible category demand</x:v>
      </x:c>
      <x:c r="C292" s="2" t="str">
        <x:v>Same-year food merchandise-import share /100 × total merchandise imports</x:v>
      </x:c>
      <x:c r="D292" s="2" t="str">
        <x:v>CIV, 2024, exact matched observations in country-panel.csv</x:v>
      </x:c>
      <x:c r="E292" s="2" t="n">
        <x:v>3522187892.849888</x:v>
      </x:c>
      <x:c r="F292" s="2" t="str">
        <x:v>Current USD; broad SITC food</x:v>
      </x:c>
      <x:c r="G292" s="2" t="str">
        <x:v>I-WBFOOD-CIV</x:v>
      </x:c>
      <x:c r="H292" s="2" t="str">
        <x:v>WB_food_import_share;WB_imports_usd</x:v>
      </x:c>
      <x:c r="I292" s="2" t="str"/>
      <x:c r="J292" s="2" t="str">
        <x:v>Calculation_Audit stable ID; Countries country row</x:v>
      </x:c>
      <x:c r="K292" s="2" t="str">
        <x:v>scripts/olam-analyse.py: food_import</x:v>
      </x:c>
      <x:c r="L292" s="2" t="str">
        <x:v>Country atlas</x:v>
      </x:c>
      <x:c r="M292" s="2" t="str">
        <x:v>Includes multiple foods; no volume/capture or Olam revenue estimate</x:v>
      </x:c>
    </x:row>
    <x:row r="293" ht="70" customHeight="1">
      <x:c r="A293" s="2" t="str">
        <x:v>C-WBFOOD-COD</x:v>
      </x:c>
      <x:c r="B293" s="2" t="str">
        <x:v>Broad food import proxy, not eligible category demand</x:v>
      </x:c>
      <x:c r="C293" s="2" t="str">
        <x:v>Same-year food merchandise-import share /100 × total merchandise imports</x:v>
      </x:c>
      <x:c r="D293" s="2" t="str">
        <x:v>COD, 2023, exact matched observations in country-panel.csv</x:v>
      </x:c>
      <x:c r="E293" s="2" t="n">
        <x:v>1217064532.1801777</x:v>
      </x:c>
      <x:c r="F293" s="2" t="str">
        <x:v>Current USD; broad SITC food</x:v>
      </x:c>
      <x:c r="G293" s="2" t="str">
        <x:v>I-WBFOOD-COD</x:v>
      </x:c>
      <x:c r="H293" s="2" t="str">
        <x:v>WB_food_import_share;WB_imports_usd</x:v>
      </x:c>
      <x:c r="I293" s="2" t="str"/>
      <x:c r="J293" s="2" t="str">
        <x:v>Calculation_Audit stable ID; Countries country row</x:v>
      </x:c>
      <x:c r="K293" s="2" t="str">
        <x:v>scripts/olam-analyse.py: food_import</x:v>
      </x:c>
      <x:c r="L293" s="2" t="str">
        <x:v>Country atlas</x:v>
      </x:c>
      <x:c r="M293" s="2" t="str">
        <x:v>Includes multiple foods; no volume/capture or Olam revenue estimate</x:v>
      </x:c>
    </x:row>
    <x:row r="294" ht="70" customHeight="1">
      <x:c r="A294" s="2" t="str">
        <x:v>C-WBFOOD-DNK</x:v>
      </x:c>
      <x:c r="B294" s="2" t="str">
        <x:v>Broad food import proxy, not eligible category demand</x:v>
      </x:c>
      <x:c r="C294" s="2" t="str">
        <x:v>Same-year food merchandise-import share /100 × total merchandise imports</x:v>
      </x:c>
      <x:c r="D294" s="2" t="str">
        <x:v>DNK, 2025, exact matched observations in country-panel.csv</x:v>
      </x:c>
      <x:c r="E294" s="2" t="n">
        <x:v>18474340292.202385</x:v>
      </x:c>
      <x:c r="F294" s="2" t="str">
        <x:v>Current USD; broad SITC food</x:v>
      </x:c>
      <x:c r="G294" s="2" t="str">
        <x:v>I-WBFOOD-DNK</x:v>
      </x:c>
      <x:c r="H294" s="2" t="str">
        <x:v>WB_food_import_share;WB_imports_usd</x:v>
      </x:c>
      <x:c r="I294" s="2" t="str"/>
      <x:c r="J294" s="2" t="str">
        <x:v>Calculation_Audit stable ID; Countries country row</x:v>
      </x:c>
      <x:c r="K294" s="2" t="str">
        <x:v>scripts/olam-analyse.py: food_import</x:v>
      </x:c>
      <x:c r="L294" s="2" t="str">
        <x:v>Country atlas</x:v>
      </x:c>
      <x:c r="M294" s="2" t="str">
        <x:v>Includes multiple foods; no volume/capture or Olam revenue estimate</x:v>
      </x:c>
    </x:row>
    <x:row r="295" ht="70" customHeight="1">
      <x:c r="A295" s="2" t="str">
        <x:v>C-WBFOOD-DJI</x:v>
      </x:c>
      <x:c r="B295" s="2" t="str">
        <x:v>Broad food import proxy, not eligible category demand</x:v>
      </x:c>
      <x:c r="C295" s="2" t="str">
        <x:v>Same-year food merchandise-import share /100 × total merchandise imports</x:v>
      </x:c>
      <x:c r="D295" s="2" t="str">
        <x:v>DJI, 2023, exact matched observations in country-panel.csv</x:v>
      </x:c>
      <x:c r="E295" s="2" t="n">
        <x:v>2041817341.2828631</x:v>
      </x:c>
      <x:c r="F295" s="2" t="str">
        <x:v>Current USD; broad SITC food</x:v>
      </x:c>
      <x:c r="G295" s="2" t="str">
        <x:v>I-WBFOOD-DJI</x:v>
      </x:c>
      <x:c r="H295" s="2" t="str">
        <x:v>WB_food_import_share;WB_imports_usd</x:v>
      </x:c>
      <x:c r="I295" s="2" t="str"/>
      <x:c r="J295" s="2" t="str">
        <x:v>Calculation_Audit stable ID; Countries country row</x:v>
      </x:c>
      <x:c r="K295" s="2" t="str">
        <x:v>scripts/olam-analyse.py: food_import</x:v>
      </x:c>
      <x:c r="L295" s="2" t="str">
        <x:v>Country atlas</x:v>
      </x:c>
      <x:c r="M295" s="2" t="str">
        <x:v>Includes multiple foods; no volume/capture or Olam revenue estimate</x:v>
      </x:c>
    </x:row>
    <x:row r="296" ht="70" customHeight="1">
      <x:c r="A296" s="2" t="str">
        <x:v>C-WBFOOD-DMA</x:v>
      </x:c>
      <x:c r="B296" s="2" t="str">
        <x:v>Broad food import proxy, not eligible category demand</x:v>
      </x:c>
      <x:c r="C296" s="2" t="str">
        <x:v>Same-year food merchandise-import share /100 × total merchandise imports</x:v>
      </x:c>
      <x:c r="D296" s="2" t="str">
        <x:v>DMA, 2023, exact matched observations in country-panel.csv</x:v>
      </x:c>
      <x:c r="E296" s="2" t="n">
        <x:v>75983048.36405323</x:v>
      </x:c>
      <x:c r="F296" s="2" t="str">
        <x:v>Current USD; broad SITC food</x:v>
      </x:c>
      <x:c r="G296" s="2" t="str">
        <x:v>I-WBFOOD-DMA</x:v>
      </x:c>
      <x:c r="H296" s="2" t="str">
        <x:v>WB_food_import_share;WB_imports_usd</x:v>
      </x:c>
      <x:c r="I296" s="2" t="str"/>
      <x:c r="J296" s="2" t="str">
        <x:v>Calculation_Audit stable ID; Countries country row</x:v>
      </x:c>
      <x:c r="K296" s="2" t="str">
        <x:v>scripts/olam-analyse.py: food_import</x:v>
      </x:c>
      <x:c r="L296" s="2" t="str">
        <x:v>Country atlas</x:v>
      </x:c>
      <x:c r="M296" s="2" t="str">
        <x:v>Includes multiple foods; no volume/capture or Olam revenue estimate</x:v>
      </x:c>
    </x:row>
    <x:row r="297" ht="70" customHeight="1">
      <x:c r="A297" s="2" t="str">
        <x:v>C-WBFOOD-DOM</x:v>
      </x:c>
      <x:c r="B297" s="2" t="str">
        <x:v>Broad food import proxy, not eligible category demand</x:v>
      </x:c>
      <x:c r="C297" s="2" t="str">
        <x:v>Same-year food merchandise-import share /100 × total merchandise imports</x:v>
      </x:c>
      <x:c r="D297" s="2" t="str">
        <x:v>DOM, 2024, exact matched observations in country-panel.csv</x:v>
      </x:c>
      <x:c r="E297" s="2" t="n">
        <x:v>5140518489.511417</x:v>
      </x:c>
      <x:c r="F297" s="2" t="str">
        <x:v>Current USD; broad SITC food</x:v>
      </x:c>
      <x:c r="G297" s="2" t="str">
        <x:v>I-WBFOOD-DOM</x:v>
      </x:c>
      <x:c r="H297" s="2" t="str">
        <x:v>WB_food_import_share;WB_imports_usd</x:v>
      </x:c>
      <x:c r="I297" s="2" t="str"/>
      <x:c r="J297" s="2" t="str">
        <x:v>Calculation_Audit stable ID; Countries country row</x:v>
      </x:c>
      <x:c r="K297" s="2" t="str">
        <x:v>scripts/olam-analyse.py: food_import</x:v>
      </x:c>
      <x:c r="L297" s="2" t="str">
        <x:v>Country atlas</x:v>
      </x:c>
      <x:c r="M297" s="2" t="str">
        <x:v>Includes multiple foods; no volume/capture or Olam revenue estimate</x:v>
      </x:c>
    </x:row>
    <x:row r="298" ht="70" customHeight="1">
      <x:c r="A298" s="2" t="str">
        <x:v>C-WBFOOD-ECU</x:v>
      </x:c>
      <x:c r="B298" s="2" t="str">
        <x:v>Broad food import proxy, not eligible category demand</x:v>
      </x:c>
      <x:c r="C298" s="2" t="str">
        <x:v>Same-year food merchandise-import share /100 × total merchandise imports</x:v>
      </x:c>
      <x:c r="D298" s="2" t="str">
        <x:v>ECU, 2024, exact matched observations in country-panel.csv</x:v>
      </x:c>
      <x:c r="E298" s="2" t="n">
        <x:v>3605714419.8050356</x:v>
      </x:c>
      <x:c r="F298" s="2" t="str">
        <x:v>Current USD; broad SITC food</x:v>
      </x:c>
      <x:c r="G298" s="2" t="str">
        <x:v>I-WBFOOD-ECU</x:v>
      </x:c>
      <x:c r="H298" s="2" t="str">
        <x:v>WB_food_import_share;WB_imports_usd</x:v>
      </x:c>
      <x:c r="I298" s="2" t="str"/>
      <x:c r="J298" s="2" t="str">
        <x:v>Calculation_Audit stable ID; Countries country row</x:v>
      </x:c>
      <x:c r="K298" s="2" t="str">
        <x:v>scripts/olam-analyse.py: food_import</x:v>
      </x:c>
      <x:c r="L298" s="2" t="str">
        <x:v>Country atlas</x:v>
      </x:c>
      <x:c r="M298" s="2" t="str">
        <x:v>Includes multiple foods; no volume/capture or Olam revenue estimate</x:v>
      </x:c>
    </x:row>
    <x:row r="299" ht="70" customHeight="1">
      <x:c r="A299" s="2" t="str">
        <x:v>C-WBFOOD-EGY</x:v>
      </x:c>
      <x:c r="B299" s="2" t="str">
        <x:v>Broad food import proxy, not eligible category demand</x:v>
      </x:c>
      <x:c r="C299" s="2" t="str">
        <x:v>Same-year food merchandise-import share /100 × total merchandise imports</x:v>
      </x:c>
      <x:c r="D299" s="2" t="str">
        <x:v>EGY, 2024, exact matched observations in country-panel.csv</x:v>
      </x:c>
      <x:c r="E299" s="2" t="n">
        <x:v>17598365051.113136</x:v>
      </x:c>
      <x:c r="F299" s="2" t="str">
        <x:v>Current USD; broad SITC food</x:v>
      </x:c>
      <x:c r="G299" s="2" t="str">
        <x:v>I-WBFOOD-EGY</x:v>
      </x:c>
      <x:c r="H299" s="2" t="str">
        <x:v>WB_food_import_share;WB_imports_usd</x:v>
      </x:c>
      <x:c r="I299" s="2" t="str"/>
      <x:c r="J299" s="2" t="str">
        <x:v>Calculation_Audit stable ID; Countries country row</x:v>
      </x:c>
      <x:c r="K299" s="2" t="str">
        <x:v>scripts/olam-analyse.py: food_import</x:v>
      </x:c>
      <x:c r="L299" s="2" t="str">
        <x:v>Country atlas</x:v>
      </x:c>
      <x:c r="M299" s="2" t="str">
        <x:v>Includes multiple foods; no volume/capture or Olam revenue estimate</x:v>
      </x:c>
    </x:row>
    <x:row r="300" ht="70" customHeight="1">
      <x:c r="A300" s="2" t="str">
        <x:v>C-WBFOOD-SLV</x:v>
      </x:c>
      <x:c r="B300" s="2" t="str">
        <x:v>Broad food import proxy, not eligible category demand</x:v>
      </x:c>
      <x:c r="C300" s="2" t="str">
        <x:v>Same-year food merchandise-import share /100 × total merchandise imports</x:v>
      </x:c>
      <x:c r="D300" s="2" t="str">
        <x:v>SLV, 2024, exact matched observations in country-panel.csv</x:v>
      </x:c>
      <x:c r="E300" s="2" t="n">
        <x:v>3168995940.2476444</x:v>
      </x:c>
      <x:c r="F300" s="2" t="str">
        <x:v>Current USD; broad SITC food</x:v>
      </x:c>
      <x:c r="G300" s="2" t="str">
        <x:v>I-WBFOOD-SLV</x:v>
      </x:c>
      <x:c r="H300" s="2" t="str">
        <x:v>WB_food_import_share;WB_imports_usd</x:v>
      </x:c>
      <x:c r="I300" s="2" t="str"/>
      <x:c r="J300" s="2" t="str">
        <x:v>Calculation_Audit stable ID; Countries country row</x:v>
      </x:c>
      <x:c r="K300" s="2" t="str">
        <x:v>scripts/olam-analyse.py: food_import</x:v>
      </x:c>
      <x:c r="L300" s="2" t="str">
        <x:v>Country atlas</x:v>
      </x:c>
      <x:c r="M300" s="2" t="str">
        <x:v>Includes multiple foods; no volume/capture or Olam revenue estimate</x:v>
      </x:c>
    </x:row>
    <x:row r="301" ht="70" customHeight="1">
      <x:c r="A301" s="2" t="str">
        <x:v>C-WBFOOD-ERI</x:v>
      </x:c>
      <x:c r="B301" s="2" t="str">
        <x:v>Broad food import proxy, not eligible category demand</x:v>
      </x:c>
      <x:c r="C301" s="2" t="str">
        <x:v>Same-year food merchandise-import share /100 × total merchandise imports</x:v>
      </x:c>
      <x:c r="D301" s="2" t="str">
        <x:v>ERI, 2003, exact matched observations in country-panel.csv</x:v>
      </x:c>
      <x:c r="E301" s="2" t="n">
        <x:v>197324072.0143033</x:v>
      </x:c>
      <x:c r="F301" s="2" t="str">
        <x:v>Current USD; broad SITC food</x:v>
      </x:c>
      <x:c r="G301" s="2" t="str">
        <x:v>I-WBFOOD-ERI</x:v>
      </x:c>
      <x:c r="H301" s="2" t="str">
        <x:v>WB_food_import_share;WB_imports_usd</x:v>
      </x:c>
      <x:c r="I301" s="2" t="str"/>
      <x:c r="J301" s="2" t="str">
        <x:v>Calculation_Audit stable ID; Countries country row</x:v>
      </x:c>
      <x:c r="K301" s="2" t="str">
        <x:v>scripts/olam-analyse.py: food_import</x:v>
      </x:c>
      <x:c r="L301" s="2" t="str">
        <x:v>Country atlas</x:v>
      </x:c>
      <x:c r="M301" s="2" t="str">
        <x:v>Includes multiple foods; no volume/capture or Olam revenue estimate</x:v>
      </x:c>
    </x:row>
    <x:row r="302" ht="70" customHeight="1">
      <x:c r="A302" s="2" t="str">
        <x:v>C-WBFOOD-EST</x:v>
      </x:c>
      <x:c r="B302" s="2" t="str">
        <x:v>Broad food import proxy, not eligible category demand</x:v>
      </x:c>
      <x:c r="C302" s="2" t="str">
        <x:v>Same-year food merchandise-import share /100 × total merchandise imports</x:v>
      </x:c>
      <x:c r="D302" s="2" t="str">
        <x:v>EST, 2024, exact matched observations in country-panel.csv</x:v>
      </x:c>
      <x:c r="E302" s="2" t="n">
        <x:v>3198208332.142931</x:v>
      </x:c>
      <x:c r="F302" s="2" t="str">
        <x:v>Current USD; broad SITC food</x:v>
      </x:c>
      <x:c r="G302" s="2" t="str">
        <x:v>I-WBFOOD-EST</x:v>
      </x:c>
      <x:c r="H302" s="2" t="str">
        <x:v>WB_food_import_share;WB_imports_usd</x:v>
      </x:c>
      <x:c r="I302" s="2" t="str"/>
      <x:c r="J302" s="2" t="str">
        <x:v>Calculation_Audit stable ID; Countries country row</x:v>
      </x:c>
      <x:c r="K302" s="2" t="str">
        <x:v>scripts/olam-analyse.py: food_import</x:v>
      </x:c>
      <x:c r="L302" s="2" t="str">
        <x:v>Country atlas</x:v>
      </x:c>
      <x:c r="M302" s="2" t="str">
        <x:v>Includes multiple foods; no volume/capture or Olam revenue estimate</x:v>
      </x:c>
    </x:row>
    <x:row r="303" ht="70" customHeight="1">
      <x:c r="A303" s="2" t="str">
        <x:v>C-WBFOOD-SWZ</x:v>
      </x:c>
      <x:c r="B303" s="2" t="str">
        <x:v>Broad food import proxy, not eligible category demand</x:v>
      </x:c>
      <x:c r="C303" s="2" t="str">
        <x:v>Same-year food merchandise-import share /100 × total merchandise imports</x:v>
      </x:c>
      <x:c r="D303" s="2" t="str">
        <x:v>SWZ, 2023, exact matched observations in country-panel.csv</x:v>
      </x:c>
      <x:c r="E303" s="2" t="n">
        <x:v>399290010.0365942</x:v>
      </x:c>
      <x:c r="F303" s="2" t="str">
        <x:v>Current USD; broad SITC food</x:v>
      </x:c>
      <x:c r="G303" s="2" t="str">
        <x:v>I-WBFOOD-SWZ</x:v>
      </x:c>
      <x:c r="H303" s="2" t="str">
        <x:v>WB_food_import_share;WB_imports_usd</x:v>
      </x:c>
      <x:c r="I303" s="2" t="str"/>
      <x:c r="J303" s="2" t="str">
        <x:v>Calculation_Audit stable ID; Countries country row</x:v>
      </x:c>
      <x:c r="K303" s="2" t="str">
        <x:v>scripts/olam-analyse.py: food_import</x:v>
      </x:c>
      <x:c r="L303" s="2" t="str">
        <x:v>Country atlas</x:v>
      </x:c>
      <x:c r="M303" s="2" t="str">
        <x:v>Includes multiple foods; no volume/capture or Olam revenue estimate</x:v>
      </x:c>
    </x:row>
    <x:row r="304" ht="70" customHeight="1">
      <x:c r="A304" s="2" t="str">
        <x:v>C-WBFOOD-ETH</x:v>
      </x:c>
      <x:c r="B304" s="2" t="str">
        <x:v>Broad food import proxy, not eligible category demand</x:v>
      </x:c>
      <x:c r="C304" s="2" t="str">
        <x:v>Same-year food merchandise-import share /100 × total merchandise imports</x:v>
      </x:c>
      <x:c r="D304" s="2" t="str">
        <x:v>ETH, 2023, exact matched observations in country-panel.csv</x:v>
      </x:c>
      <x:c r="E304" s="2" t="n">
        <x:v>2387563737.8398194</x:v>
      </x:c>
      <x:c r="F304" s="2" t="str">
        <x:v>Current USD; broad SITC food</x:v>
      </x:c>
      <x:c r="G304" s="2" t="str">
        <x:v>I-WBFOOD-ETH</x:v>
      </x:c>
      <x:c r="H304" s="2" t="str">
        <x:v>WB_food_import_share;WB_imports_usd</x:v>
      </x:c>
      <x:c r="I304" s="2" t="str"/>
      <x:c r="J304" s="2" t="str">
        <x:v>Calculation_Audit stable ID; Countries country row</x:v>
      </x:c>
      <x:c r="K304" s="2" t="str">
        <x:v>scripts/olam-analyse.py: food_import</x:v>
      </x:c>
      <x:c r="L304" s="2" t="str">
        <x:v>Country atlas</x:v>
      </x:c>
      <x:c r="M304" s="2" t="str">
        <x:v>Includes multiple foods; no volume/capture or Olam revenue estimate</x:v>
      </x:c>
    </x:row>
    <x:row r="305" ht="70" customHeight="1">
      <x:c r="A305" s="2" t="str">
        <x:v>C-WBFOOD-FJI</x:v>
      </x:c>
      <x:c r="B305" s="2" t="str">
        <x:v>Broad food import proxy, not eligible category demand</x:v>
      </x:c>
      <x:c r="C305" s="2" t="str">
        <x:v>Same-year food merchandise-import share /100 × total merchandise imports</x:v>
      </x:c>
      <x:c r="D305" s="2" t="str">
        <x:v>FJI, 2024, exact matched observations in country-panel.csv</x:v>
      </x:c>
      <x:c r="E305" s="2" t="n">
        <x:v>586991460.0482217</x:v>
      </x:c>
      <x:c r="F305" s="2" t="str">
        <x:v>Current USD; broad SITC food</x:v>
      </x:c>
      <x:c r="G305" s="2" t="str">
        <x:v>I-WBFOOD-FJI</x:v>
      </x:c>
      <x:c r="H305" s="2" t="str">
        <x:v>WB_food_import_share;WB_imports_usd</x:v>
      </x:c>
      <x:c r="I305" s="2" t="str"/>
      <x:c r="J305" s="2" t="str">
        <x:v>Calculation_Audit stable ID; Countries country row</x:v>
      </x:c>
      <x:c r="K305" s="2" t="str">
        <x:v>scripts/olam-analyse.py: food_import</x:v>
      </x:c>
      <x:c r="L305" s="2" t="str">
        <x:v>Country atlas</x:v>
      </x:c>
      <x:c r="M305" s="2" t="str">
        <x:v>Includes multiple foods; no volume/capture or Olam revenue estimate</x:v>
      </x:c>
    </x:row>
    <x:row r="306" ht="70" customHeight="1">
      <x:c r="A306" s="2" t="str">
        <x:v>C-WBFOOD-FIN</x:v>
      </x:c>
      <x:c r="B306" s="2" t="str">
        <x:v>Broad food import proxy, not eligible category demand</x:v>
      </x:c>
      <x:c r="C306" s="2" t="str">
        <x:v>Same-year food merchandise-import share /100 × total merchandise imports</x:v>
      </x:c>
      <x:c r="D306" s="2" t="str">
        <x:v>FIN, 2024, exact matched observations in country-panel.csv</x:v>
      </x:c>
      <x:c r="E306" s="2" t="n">
        <x:v>7148700096.286494</x:v>
      </x:c>
      <x:c r="F306" s="2" t="str">
        <x:v>Current USD; broad SITC food</x:v>
      </x:c>
      <x:c r="G306" s="2" t="str">
        <x:v>I-WBFOOD-FIN</x:v>
      </x:c>
      <x:c r="H306" s="2" t="str">
        <x:v>WB_food_import_share;WB_imports_usd</x:v>
      </x:c>
      <x:c r="I306" s="2" t="str"/>
      <x:c r="J306" s="2" t="str">
        <x:v>Calculation_Audit stable ID; Countries country row</x:v>
      </x:c>
      <x:c r="K306" s="2" t="str">
        <x:v>scripts/olam-analyse.py: food_import</x:v>
      </x:c>
      <x:c r="L306" s="2" t="str">
        <x:v>Country atlas</x:v>
      </x:c>
      <x:c r="M306" s="2" t="str">
        <x:v>Includes multiple foods; no volume/capture or Olam revenue estimate</x:v>
      </x:c>
    </x:row>
    <x:row r="307" ht="70" customHeight="1">
      <x:c r="A307" s="2" t="str">
        <x:v>C-WBFOOD-FRA</x:v>
      </x:c>
      <x:c r="B307" s="2" t="str">
        <x:v>Broad food import proxy, not eligible category demand</x:v>
      </x:c>
      <x:c r="C307" s="2" t="str">
        <x:v>Same-year food merchandise-import share /100 × total merchandise imports</x:v>
      </x:c>
      <x:c r="D307" s="2" t="str">
        <x:v>FRA, 2024, exact matched observations in country-panel.csv</x:v>
      </x:c>
      <x:c r="E307" s="2" t="n">
        <x:v>79665104219.84392</x:v>
      </x:c>
      <x:c r="F307" s="2" t="str">
        <x:v>Current USD; broad SITC food</x:v>
      </x:c>
      <x:c r="G307" s="2" t="str">
        <x:v>I-WBFOOD-FRA</x:v>
      </x:c>
      <x:c r="H307" s="2" t="str">
        <x:v>WB_food_import_share;WB_imports_usd</x:v>
      </x:c>
      <x:c r="I307" s="2" t="str"/>
      <x:c r="J307" s="2" t="str">
        <x:v>Calculation_Audit stable ID; Countries country row</x:v>
      </x:c>
      <x:c r="K307" s="2" t="str">
        <x:v>scripts/olam-analyse.py: food_import</x:v>
      </x:c>
      <x:c r="L307" s="2" t="str">
        <x:v>Country atlas</x:v>
      </x:c>
      <x:c r="M307" s="2" t="str">
        <x:v>Includes multiple foods; no volume/capture or Olam revenue estimate</x:v>
      </x:c>
    </x:row>
    <x:row r="308" ht="70" customHeight="1">
      <x:c r="A308" s="2" t="str">
        <x:v>C-WBFOOD-GAB</x:v>
      </x:c>
      <x:c r="B308" s="2" t="str">
        <x:v>Broad food import proxy, not eligible category demand</x:v>
      </x:c>
      <x:c r="C308" s="2" t="str">
        <x:v>Same-year food merchandise-import share /100 × total merchandise imports</x:v>
      </x:c>
      <x:c r="D308" s="2" t="str">
        <x:v>GAB, 2023, exact matched observations in country-panel.csv</x:v>
      </x:c>
      <x:c r="E308" s="2" t="n">
        <x:v>662734341.1497755</x:v>
      </x:c>
      <x:c r="F308" s="2" t="str">
        <x:v>Current USD; broad SITC food</x:v>
      </x:c>
      <x:c r="G308" s="2" t="str">
        <x:v>I-WBFOOD-GAB</x:v>
      </x:c>
      <x:c r="H308" s="2" t="str">
        <x:v>WB_food_import_share;WB_imports_usd</x:v>
      </x:c>
      <x:c r="I308" s="2" t="str"/>
      <x:c r="J308" s="2" t="str">
        <x:v>Calculation_Audit stable ID; Countries country row</x:v>
      </x:c>
      <x:c r="K308" s="2" t="str">
        <x:v>scripts/olam-analyse.py: food_import</x:v>
      </x:c>
      <x:c r="L308" s="2" t="str">
        <x:v>Country atlas</x:v>
      </x:c>
      <x:c r="M308" s="2" t="str">
        <x:v>Includes multiple foods; no volume/capture or Olam revenue estimate</x:v>
      </x:c>
    </x:row>
    <x:row r="309" ht="70" customHeight="1">
      <x:c r="A309" s="2" t="str">
        <x:v>C-WBFOOD-GMB</x:v>
      </x:c>
      <x:c r="B309" s="2" t="str">
        <x:v>Broad food import proxy, not eligible category demand</x:v>
      </x:c>
      <x:c r="C309" s="2" t="str">
        <x:v>Same-year food merchandise-import share /100 × total merchandise imports</x:v>
      </x:c>
      <x:c r="D309" s="2" t="str">
        <x:v>GMB, 2024, exact matched observations in country-panel.csv</x:v>
      </x:c>
      <x:c r="E309" s="2" t="n">
        <x:v>217433923.13417095</x:v>
      </x:c>
      <x:c r="F309" s="2" t="str">
        <x:v>Current USD; broad SITC food</x:v>
      </x:c>
      <x:c r="G309" s="2" t="str">
        <x:v>I-WBFOOD-GMB</x:v>
      </x:c>
      <x:c r="H309" s="2" t="str">
        <x:v>WB_food_import_share;WB_imports_usd</x:v>
      </x:c>
      <x:c r="I309" s="2" t="str"/>
      <x:c r="J309" s="2" t="str">
        <x:v>Calculation_Audit stable ID; Countries country row</x:v>
      </x:c>
      <x:c r="K309" s="2" t="str">
        <x:v>scripts/olam-analyse.py: food_import</x:v>
      </x:c>
      <x:c r="L309" s="2" t="str">
        <x:v>Country atlas</x:v>
      </x:c>
      <x:c r="M309" s="2" t="str">
        <x:v>Includes multiple foods; no volume/capture or Olam revenue estimate</x:v>
      </x:c>
    </x:row>
    <x:row r="310" ht="70" customHeight="1">
      <x:c r="A310" s="2" t="str">
        <x:v>C-WBFOOD-GEO</x:v>
      </x:c>
      <x:c r="B310" s="2" t="str">
        <x:v>Broad food import proxy, not eligible category demand</x:v>
      </x:c>
      <x:c r="C310" s="2" t="str">
        <x:v>Same-year food merchandise-import share /100 × total merchandise imports</x:v>
      </x:c>
      <x:c r="D310" s="2" t="str">
        <x:v>GEO, 2024, exact matched observations in country-panel.csv</x:v>
      </x:c>
      <x:c r="E310" s="2" t="n">
        <x:v>2104083250.179856</x:v>
      </x:c>
      <x:c r="F310" s="2" t="str">
        <x:v>Current USD; broad SITC food</x:v>
      </x:c>
      <x:c r="G310" s="2" t="str">
        <x:v>I-WBFOOD-GEO</x:v>
      </x:c>
      <x:c r="H310" s="2" t="str">
        <x:v>WB_food_import_share;WB_imports_usd</x:v>
      </x:c>
      <x:c r="I310" s="2" t="str"/>
      <x:c r="J310" s="2" t="str">
        <x:v>Calculation_Audit stable ID; Countries country row</x:v>
      </x:c>
      <x:c r="K310" s="2" t="str">
        <x:v>scripts/olam-analyse.py: food_import</x:v>
      </x:c>
      <x:c r="L310" s="2" t="str">
        <x:v>Country atlas</x:v>
      </x:c>
      <x:c r="M310" s="2" t="str">
        <x:v>Includes multiple foods; no volume/capture or Olam revenue estimate</x:v>
      </x:c>
    </x:row>
    <x:row r="311" ht="70" customHeight="1">
      <x:c r="A311" s="2" t="str">
        <x:v>C-WBFOOD-DEU</x:v>
      </x:c>
      <x:c r="B311" s="2" t="str">
        <x:v>Broad food import proxy, not eligible category demand</x:v>
      </x:c>
      <x:c r="C311" s="2" t="str">
        <x:v>Same-year food merchandise-import share /100 × total merchandise imports</x:v>
      </x:c>
      <x:c r="D311" s="2" t="str">
        <x:v>DEU, 2024, exact matched observations in country-panel.csv</x:v>
      </x:c>
      <x:c r="E311" s="2" t="n">
        <x:v>129540345133.0316</x:v>
      </x:c>
      <x:c r="F311" s="2" t="str">
        <x:v>Current USD; broad SITC food</x:v>
      </x:c>
      <x:c r="G311" s="2" t="str">
        <x:v>I-WBFOOD-DEU</x:v>
      </x:c>
      <x:c r="H311" s="2" t="str">
        <x:v>WB_food_import_share;WB_imports_usd</x:v>
      </x:c>
      <x:c r="I311" s="2" t="str"/>
      <x:c r="J311" s="2" t="str">
        <x:v>Calculation_Audit stable ID; Countries country row</x:v>
      </x:c>
      <x:c r="K311" s="2" t="str">
        <x:v>scripts/olam-analyse.py: food_import</x:v>
      </x:c>
      <x:c r="L311" s="2" t="str">
        <x:v>Country atlas</x:v>
      </x:c>
      <x:c r="M311" s="2" t="str">
        <x:v>Includes multiple foods; no volume/capture or Olam revenue estimate</x:v>
      </x:c>
    </x:row>
    <x:row r="312" ht="70" customHeight="1">
      <x:c r="A312" s="2" t="str">
        <x:v>C-WBFOOD-GHA</x:v>
      </x:c>
      <x:c r="B312" s="2" t="str">
        <x:v>Broad food import proxy, not eligible category demand</x:v>
      </x:c>
      <x:c r="C312" s="2" t="str">
        <x:v>Same-year food merchandise-import share /100 × total merchandise imports</x:v>
      </x:c>
      <x:c r="D312" s="2" t="str">
        <x:v>GHA, 2023, exact matched observations in country-panel.csv</x:v>
      </x:c>
      <x:c r="E312" s="2" t="n">
        <x:v>1918465572.7958875</x:v>
      </x:c>
      <x:c r="F312" s="2" t="str">
        <x:v>Current USD; broad SITC food</x:v>
      </x:c>
      <x:c r="G312" s="2" t="str">
        <x:v>I-WBFOOD-GHA</x:v>
      </x:c>
      <x:c r="H312" s="2" t="str">
        <x:v>WB_food_import_share;WB_imports_usd</x:v>
      </x:c>
      <x:c r="I312" s="2" t="str"/>
      <x:c r="J312" s="2" t="str">
        <x:v>Calculation_Audit stable ID; Countries country row</x:v>
      </x:c>
      <x:c r="K312" s="2" t="str">
        <x:v>scripts/olam-analyse.py: food_import</x:v>
      </x:c>
      <x:c r="L312" s="2" t="str">
        <x:v>Country atlas</x:v>
      </x:c>
      <x:c r="M312" s="2" t="str">
        <x:v>Includes multiple foods; no volume/capture or Olam revenue estimate</x:v>
      </x:c>
    </x:row>
    <x:row r="313" ht="70" customHeight="1">
      <x:c r="A313" s="2" t="str">
        <x:v>C-WBFOOD-GRC</x:v>
      </x:c>
      <x:c r="B313" s="2" t="str">
        <x:v>Broad food import proxy, not eligible category demand</x:v>
      </x:c>
      <x:c r="C313" s="2" t="str">
        <x:v>Same-year food merchandise-import share /100 × total merchandise imports</x:v>
      </x:c>
      <x:c r="D313" s="2" t="str">
        <x:v>GRC, 2024, exact matched observations in country-panel.csv</x:v>
      </x:c>
      <x:c r="E313" s="2" t="n">
        <x:v>12094682376.261883</x:v>
      </x:c>
      <x:c r="F313" s="2" t="str">
        <x:v>Current USD; broad SITC food</x:v>
      </x:c>
      <x:c r="G313" s="2" t="str">
        <x:v>I-WBFOOD-GRC</x:v>
      </x:c>
      <x:c r="H313" s="2" t="str">
        <x:v>WB_food_import_share;WB_imports_usd</x:v>
      </x:c>
      <x:c r="I313" s="2" t="str"/>
      <x:c r="J313" s="2" t="str">
        <x:v>Calculation_Audit stable ID; Countries country row</x:v>
      </x:c>
      <x:c r="K313" s="2" t="str">
        <x:v>scripts/olam-analyse.py: food_import</x:v>
      </x:c>
      <x:c r="L313" s="2" t="str">
        <x:v>Country atlas</x:v>
      </x:c>
      <x:c r="M313" s="2" t="str">
        <x:v>Includes multiple foods; no volume/capture or Olam revenue estimate</x:v>
      </x:c>
    </x:row>
    <x:row r="314" ht="70" customHeight="1">
      <x:c r="A314" s="2" t="str">
        <x:v>C-WBFOOD-GRD</x:v>
      </x:c>
      <x:c r="B314" s="2" t="str">
        <x:v>Broad food import proxy, not eligible category demand</x:v>
      </x:c>
      <x:c r="C314" s="2" t="str">
        <x:v>Same-year food merchandise-import share /100 × total merchandise imports</x:v>
      </x:c>
      <x:c r="D314" s="2" t="str">
        <x:v>GRD, 2024, exact matched observations in country-panel.csv</x:v>
      </x:c>
      <x:c r="E314" s="2" t="n">
        <x:v>153547490.14876923</x:v>
      </x:c>
      <x:c r="F314" s="2" t="str">
        <x:v>Current USD; broad SITC food</x:v>
      </x:c>
      <x:c r="G314" s="2" t="str">
        <x:v>I-WBFOOD-GRD</x:v>
      </x:c>
      <x:c r="H314" s="2" t="str">
        <x:v>WB_food_import_share;WB_imports_usd</x:v>
      </x:c>
      <x:c r="I314" s="2" t="str"/>
      <x:c r="J314" s="2" t="str">
        <x:v>Calculation_Audit stable ID; Countries country row</x:v>
      </x:c>
      <x:c r="K314" s="2" t="str">
        <x:v>scripts/olam-analyse.py: food_import</x:v>
      </x:c>
      <x:c r="L314" s="2" t="str">
        <x:v>Country atlas</x:v>
      </x:c>
      <x:c r="M314" s="2" t="str">
        <x:v>Includes multiple foods; no volume/capture or Olam revenue estimate</x:v>
      </x:c>
    </x:row>
    <x:row r="315" ht="70" customHeight="1">
      <x:c r="A315" s="2" t="str">
        <x:v>C-WBFOOD-GTM</x:v>
      </x:c>
      <x:c r="B315" s="2" t="str">
        <x:v>Broad food import proxy, not eligible category demand</x:v>
      </x:c>
      <x:c r="C315" s="2" t="str">
        <x:v>Same-year food merchandise-import share /100 × total merchandise imports</x:v>
      </x:c>
      <x:c r="D315" s="2" t="str">
        <x:v>GTM, 2024, exact matched observations in country-panel.csv</x:v>
      </x:c>
      <x:c r="E315" s="2" t="n">
        <x:v>5656719292.372824</x:v>
      </x:c>
      <x:c r="F315" s="2" t="str">
        <x:v>Current USD; broad SITC food</x:v>
      </x:c>
      <x:c r="G315" s="2" t="str">
        <x:v>I-WBFOOD-GTM</x:v>
      </x:c>
      <x:c r="H315" s="2" t="str">
        <x:v>WB_food_import_share;WB_imports_usd</x:v>
      </x:c>
      <x:c r="I315" s="2" t="str"/>
      <x:c r="J315" s="2" t="str">
        <x:v>Calculation_Audit stable ID; Countries country row</x:v>
      </x:c>
      <x:c r="K315" s="2" t="str">
        <x:v>scripts/olam-analyse.py: food_import</x:v>
      </x:c>
      <x:c r="L315" s="2" t="str">
        <x:v>Country atlas</x:v>
      </x:c>
      <x:c r="M315" s="2" t="str">
        <x:v>Includes multiple foods; no volume/capture or Olam revenue estimate</x:v>
      </x:c>
    </x:row>
    <x:row r="316" ht="70" customHeight="1">
      <x:c r="A316" s="2" t="str">
        <x:v>C-WBFOOD-GIN</x:v>
      </x:c>
      <x:c r="B316" s="2" t="str">
        <x:v>Broad food import proxy, not eligible category demand</x:v>
      </x:c>
      <x:c r="C316" s="2" t="str">
        <x:v>Same-year food merchandise-import share /100 × total merchandise imports</x:v>
      </x:c>
      <x:c r="D316" s="2" t="str">
        <x:v>GIN, 2016, exact matched observations in country-panel.csv</x:v>
      </x:c>
      <x:c r="E316" s="2" t="n">
        <x:v>1177024563.9214342</x:v>
      </x:c>
      <x:c r="F316" s="2" t="str">
        <x:v>Current USD; broad SITC food</x:v>
      </x:c>
      <x:c r="G316" s="2" t="str">
        <x:v>I-WBFOOD-GIN</x:v>
      </x:c>
      <x:c r="H316" s="2" t="str">
        <x:v>WB_food_import_share;WB_imports_usd</x:v>
      </x:c>
      <x:c r="I316" s="2" t="str"/>
      <x:c r="J316" s="2" t="str">
        <x:v>Calculation_Audit stable ID; Countries country row</x:v>
      </x:c>
      <x:c r="K316" s="2" t="str">
        <x:v>scripts/olam-analyse.py: food_import</x:v>
      </x:c>
      <x:c r="L316" s="2" t="str">
        <x:v>Country atlas</x:v>
      </x:c>
      <x:c r="M316" s="2" t="str">
        <x:v>Includes multiple foods; no volume/capture or Olam revenue estimate</x:v>
      </x:c>
    </x:row>
    <x:row r="317" ht="70" customHeight="1">
      <x:c r="A317" s="2" t="str">
        <x:v>C-WBFOOD-GNB</x:v>
      </x:c>
      <x:c r="B317" s="2" t="str">
        <x:v>Broad food import proxy, not eligible category demand</x:v>
      </x:c>
      <x:c r="C317" s="2" t="str">
        <x:v>Same-year food merchandise-import share /100 × total merchandise imports</x:v>
      </x:c>
      <x:c r="D317" s="2" t="str">
        <x:v>GNB, 2018, exact matched observations in country-panel.csv</x:v>
      </x:c>
      <x:c r="E317" s="2" t="n">
        <x:v>143900713.44062883</x:v>
      </x:c>
      <x:c r="F317" s="2" t="str">
        <x:v>Current USD; broad SITC food</x:v>
      </x:c>
      <x:c r="G317" s="2" t="str">
        <x:v>I-WBFOOD-GNB</x:v>
      </x:c>
      <x:c r="H317" s="2" t="str">
        <x:v>WB_food_import_share;WB_imports_usd</x:v>
      </x:c>
      <x:c r="I317" s="2" t="str"/>
      <x:c r="J317" s="2" t="str">
        <x:v>Calculation_Audit stable ID; Countries country row</x:v>
      </x:c>
      <x:c r="K317" s="2" t="str">
        <x:v>scripts/olam-analyse.py: food_import</x:v>
      </x:c>
      <x:c r="L317" s="2" t="str">
        <x:v>Country atlas</x:v>
      </x:c>
      <x:c r="M317" s="2" t="str">
        <x:v>Includes multiple foods; no volume/capture or Olam revenue estimate</x:v>
      </x:c>
    </x:row>
    <x:row r="318" ht="70" customHeight="1">
      <x:c r="A318" s="2" t="str">
        <x:v>C-WBFOOD-GUY</x:v>
      </x:c>
      <x:c r="B318" s="2" t="str">
        <x:v>Broad food import proxy, not eligible category demand</x:v>
      </x:c>
      <x:c r="C318" s="2" t="str">
        <x:v>Same-year food merchandise-import share /100 × total merchandise imports</x:v>
      </x:c>
      <x:c r="D318" s="2" t="str">
        <x:v>GUY, 2025, exact matched observations in country-panel.csv</x:v>
      </x:c>
      <x:c r="E318" s="2" t="n">
        <x:v>661648381.9422116</x:v>
      </x:c>
      <x:c r="F318" s="2" t="str">
        <x:v>Current USD; broad SITC food</x:v>
      </x:c>
      <x:c r="G318" s="2" t="str">
        <x:v>I-WBFOOD-GUY</x:v>
      </x:c>
      <x:c r="H318" s="2" t="str">
        <x:v>WB_food_import_share;WB_imports_usd</x:v>
      </x:c>
      <x:c r="I318" s="2" t="str"/>
      <x:c r="J318" s="2" t="str">
        <x:v>Calculation_Audit stable ID; Countries country row</x:v>
      </x:c>
      <x:c r="K318" s="2" t="str">
        <x:v>scripts/olam-analyse.py: food_import</x:v>
      </x:c>
      <x:c r="L318" s="2" t="str">
        <x:v>Country atlas</x:v>
      </x:c>
      <x:c r="M318" s="2" t="str">
        <x:v>Includes multiple foods; no volume/capture or Olam revenue estimate</x:v>
      </x:c>
    </x:row>
    <x:row r="319" ht="70" customHeight="1">
      <x:c r="A319" s="2" t="str">
        <x:v>C-WBFOOD-HTI</x:v>
      </x:c>
      <x:c r="B319" s="2" t="str">
        <x:v>Broad food import proxy, not eligible category demand</x:v>
      </x:c>
      <x:c r="C319" s="2" t="str">
        <x:v>Same-year food merchandise-import share /100 × total merchandise imports</x:v>
      </x:c>
      <x:c r="D319" s="2" t="str">
        <x:v>HTI, 2016, exact matched observations in country-panel.csv</x:v>
      </x:c>
      <x:c r="E319" s="2" t="n">
        <x:v>1410716550.9494019</x:v>
      </x:c>
      <x:c r="F319" s="2" t="str">
        <x:v>Current USD; broad SITC food</x:v>
      </x:c>
      <x:c r="G319" s="2" t="str">
        <x:v>I-WBFOOD-HTI</x:v>
      </x:c>
      <x:c r="H319" s="2" t="str">
        <x:v>WB_food_import_share;WB_imports_usd</x:v>
      </x:c>
      <x:c r="I319" s="2" t="str"/>
      <x:c r="J319" s="2" t="str">
        <x:v>Calculation_Audit stable ID; Countries country row</x:v>
      </x:c>
      <x:c r="K319" s="2" t="str">
        <x:v>scripts/olam-analyse.py: food_import</x:v>
      </x:c>
      <x:c r="L319" s="2" t="str">
        <x:v>Country atlas</x:v>
      </x:c>
      <x:c r="M319" s="2" t="str">
        <x:v>Includes multiple foods; no volume/capture or Olam revenue estimate</x:v>
      </x:c>
    </x:row>
    <x:row r="320" ht="70" customHeight="1">
      <x:c r="A320" s="2" t="str">
        <x:v>C-WBFOOD-HND</x:v>
      </x:c>
      <x:c r="B320" s="2" t="str">
        <x:v>Broad food import proxy, not eligible category demand</x:v>
      </x:c>
      <x:c r="C320" s="2" t="str">
        <x:v>Same-year food merchandise-import share /100 × total merchandise imports</x:v>
      </x:c>
      <x:c r="D320" s="2" t="str">
        <x:v>HND, 2024, exact matched observations in country-panel.csv</x:v>
      </x:c>
      <x:c r="E320" s="2" t="n">
        <x:v>3456003814.5955815</x:v>
      </x:c>
      <x:c r="F320" s="2" t="str">
        <x:v>Current USD; broad SITC food</x:v>
      </x:c>
      <x:c r="G320" s="2" t="str">
        <x:v>I-WBFOOD-HND</x:v>
      </x:c>
      <x:c r="H320" s="2" t="str">
        <x:v>WB_food_import_share;WB_imports_usd</x:v>
      </x:c>
      <x:c r="I320" s="2" t="str"/>
      <x:c r="J320" s="2" t="str">
        <x:v>Calculation_Audit stable ID; Countries country row</x:v>
      </x:c>
      <x:c r="K320" s="2" t="str">
        <x:v>scripts/olam-analyse.py: food_import</x:v>
      </x:c>
      <x:c r="L320" s="2" t="str">
        <x:v>Country atlas</x:v>
      </x:c>
      <x:c r="M320" s="2" t="str">
        <x:v>Includes multiple foods; no volume/capture or Olam revenue estimate</x:v>
      </x:c>
    </x:row>
    <x:row r="321" ht="70" customHeight="1">
      <x:c r="A321" s="2" t="str">
        <x:v>C-WBFOOD-HUN</x:v>
      </x:c>
      <x:c r="B321" s="2" t="str">
        <x:v>Broad food import proxy, not eligible category demand</x:v>
      </x:c>
      <x:c r="C321" s="2" t="str">
        <x:v>Same-year food merchandise-import share /100 × total merchandise imports</x:v>
      </x:c>
      <x:c r="D321" s="2" t="str">
        <x:v>HUN, 2025, exact matched observations in country-panel.csv</x:v>
      </x:c>
      <x:c r="E321" s="2" t="n">
        <x:v>11223376500.537548</x:v>
      </x:c>
      <x:c r="F321" s="2" t="str">
        <x:v>Current USD; broad SITC food</x:v>
      </x:c>
      <x:c r="G321" s="2" t="str">
        <x:v>I-WBFOOD-HUN</x:v>
      </x:c>
      <x:c r="H321" s="2" t="str">
        <x:v>WB_food_import_share;WB_imports_usd</x:v>
      </x:c>
      <x:c r="I321" s="2" t="str"/>
      <x:c r="J321" s="2" t="str">
        <x:v>Calculation_Audit stable ID; Countries country row</x:v>
      </x:c>
      <x:c r="K321" s="2" t="str">
        <x:v>scripts/olam-analyse.py: food_import</x:v>
      </x:c>
      <x:c r="L321" s="2" t="str">
        <x:v>Country atlas</x:v>
      </x:c>
      <x:c r="M321" s="2" t="str">
        <x:v>Includes multiple foods; no volume/capture or Olam revenue estimate</x:v>
      </x:c>
    </x:row>
    <x:row r="322" ht="70" customHeight="1">
      <x:c r="A322" s="2" t="str">
        <x:v>C-WBFOOD-ISL</x:v>
      </x:c>
      <x:c r="B322" s="2" t="str">
        <x:v>Broad food import proxy, not eligible category demand</x:v>
      </x:c>
      <x:c r="C322" s="2" t="str">
        <x:v>Same-year food merchandise-import share /100 × total merchandise imports</x:v>
      </x:c>
      <x:c r="D322" s="2" t="str">
        <x:v>ISL, 2025, exact matched observations in country-panel.csv</x:v>
      </x:c>
      <x:c r="E322" s="2" t="n">
        <x:v>1211318201.596844</x:v>
      </x:c>
      <x:c r="F322" s="2" t="str">
        <x:v>Current USD; broad SITC food</x:v>
      </x:c>
      <x:c r="G322" s="2" t="str">
        <x:v>I-WBFOOD-ISL</x:v>
      </x:c>
      <x:c r="H322" s="2" t="str">
        <x:v>WB_food_import_share;WB_imports_usd</x:v>
      </x:c>
      <x:c r="I322" s="2" t="str"/>
      <x:c r="J322" s="2" t="str">
        <x:v>Calculation_Audit stable ID; Countries country row</x:v>
      </x:c>
      <x:c r="K322" s="2" t="str">
        <x:v>scripts/olam-analyse.py: food_import</x:v>
      </x:c>
      <x:c r="L322" s="2" t="str">
        <x:v>Country atlas</x:v>
      </x:c>
      <x:c r="M322" s="2" t="str">
        <x:v>Includes multiple foods; no volume/capture or Olam revenue estimate</x:v>
      </x:c>
    </x:row>
    <x:row r="323" ht="70" customHeight="1">
      <x:c r="A323" s="2" t="str">
        <x:v>C-WBFOOD-IND</x:v>
      </x:c>
      <x:c r="B323" s="2" t="str">
        <x:v>Broad food import proxy, not eligible category demand</x:v>
      </x:c>
      <x:c r="C323" s="2" t="str">
        <x:v>Same-year food merchandise-import share /100 × total merchandise imports</x:v>
      </x:c>
      <x:c r="D323" s="2" t="str">
        <x:v>IND, 2024, exact matched observations in country-panel.csv</x:v>
      </x:c>
      <x:c r="E323" s="2" t="n">
        <x:v>36353451674.99419</x:v>
      </x:c>
      <x:c r="F323" s="2" t="str">
        <x:v>Current USD; broad SITC food</x:v>
      </x:c>
      <x:c r="G323" s="2" t="str">
        <x:v>I-WBFOOD-IND</x:v>
      </x:c>
      <x:c r="H323" s="2" t="str">
        <x:v>WB_food_import_share;WB_imports_usd</x:v>
      </x:c>
      <x:c r="I323" s="2" t="str"/>
      <x:c r="J323" s="2" t="str">
        <x:v>Calculation_Audit stable ID; Countries country row</x:v>
      </x:c>
      <x:c r="K323" s="2" t="str">
        <x:v>scripts/olam-analyse.py: food_import</x:v>
      </x:c>
      <x:c r="L323" s="2" t="str">
        <x:v>Country atlas</x:v>
      </x:c>
      <x:c r="M323" s="2" t="str">
        <x:v>Includes multiple foods; no volume/capture or Olam revenue estimate</x:v>
      </x:c>
    </x:row>
    <x:row r="324" ht="70" customHeight="1">
      <x:c r="A324" s="2" t="str">
        <x:v>C-WBFOOD-IDN</x:v>
      </x:c>
      <x:c r="B324" s="2" t="str">
        <x:v>Broad food import proxy, not eligible category demand</x:v>
      </x:c>
      <x:c r="C324" s="2" t="str">
        <x:v>Same-year food merchandise-import share /100 × total merchandise imports</x:v>
      </x:c>
      <x:c r="D324" s="2" t="str">
        <x:v>IDN, 2025, exact matched observations in country-panel.csv</x:v>
      </x:c>
      <x:c r="E324" s="2" t="n">
        <x:v>24688441582.426815</x:v>
      </x:c>
      <x:c r="F324" s="2" t="str">
        <x:v>Current USD; broad SITC food</x:v>
      </x:c>
      <x:c r="G324" s="2" t="str">
        <x:v>I-WBFOOD-IDN</x:v>
      </x:c>
      <x:c r="H324" s="2" t="str">
        <x:v>WB_food_import_share;WB_imports_usd</x:v>
      </x:c>
      <x:c r="I324" s="2" t="str"/>
      <x:c r="J324" s="2" t="str">
        <x:v>Calculation_Audit stable ID; Countries country row</x:v>
      </x:c>
      <x:c r="K324" s="2" t="str">
        <x:v>scripts/olam-analyse.py: food_import</x:v>
      </x:c>
      <x:c r="L324" s="2" t="str">
        <x:v>Country atlas</x:v>
      </x:c>
      <x:c r="M324" s="2" t="str">
        <x:v>Includes multiple foods; no volume/capture or Olam revenue estimate</x:v>
      </x:c>
    </x:row>
    <x:row r="325" ht="70" customHeight="1">
      <x:c r="A325" s="2" t="str">
        <x:v>C-WBFOOD-IRN</x:v>
      </x:c>
      <x:c r="B325" s="2" t="str">
        <x:v>Broad food import proxy, not eligible category demand</x:v>
      </x:c>
      <x:c r="C325" s="2" t="str">
        <x:v>Same-year food merchandise-import share /100 × total merchandise imports</x:v>
      </x:c>
      <x:c r="D325" s="2" t="str">
        <x:v>IRN, 2022, exact matched observations in country-panel.csv</x:v>
      </x:c>
      <x:c r="E325" s="2" t="n">
        <x:v>17317866344.925434</x:v>
      </x:c>
      <x:c r="F325" s="2" t="str">
        <x:v>Current USD; broad SITC food</x:v>
      </x:c>
      <x:c r="G325" s="2" t="str">
        <x:v>I-WBFOOD-IRN</x:v>
      </x:c>
      <x:c r="H325" s="2" t="str">
        <x:v>WB_food_import_share;WB_imports_usd</x:v>
      </x:c>
      <x:c r="I325" s="2" t="str"/>
      <x:c r="J325" s="2" t="str">
        <x:v>Calculation_Audit stable ID; Countries country row</x:v>
      </x:c>
      <x:c r="K325" s="2" t="str">
        <x:v>scripts/olam-analyse.py: food_import</x:v>
      </x:c>
      <x:c r="L325" s="2" t="str">
        <x:v>Country atlas</x:v>
      </x:c>
      <x:c r="M325" s="2" t="str">
        <x:v>Includes multiple foods; no volume/capture or Olam revenue estimate</x:v>
      </x:c>
    </x:row>
    <x:row r="326" ht="70" customHeight="1">
      <x:c r="A326" s="2" t="str">
        <x:v>C-WBFOOD-IRQ</x:v>
      </x:c>
      <x:c r="B326" s="2" t="str">
        <x:v>Broad food import proxy, not eligible category demand</x:v>
      </x:c>
      <x:c r="C326" s="2" t="str">
        <x:v>Same-year food merchandise-import share /100 × total merchandise imports</x:v>
      </x:c>
      <x:c r="D326" s="2" t="str">
        <x:v>IRQ, 2014, exact matched observations in country-panel.csv</x:v>
      </x:c>
      <x:c r="E326" s="2" t="n">
        <x:v>4216939693.495306</x:v>
      </x:c>
      <x:c r="F326" s="2" t="str">
        <x:v>Current USD; broad SITC food</x:v>
      </x:c>
      <x:c r="G326" s="2" t="str">
        <x:v>I-WBFOOD-IRQ</x:v>
      </x:c>
      <x:c r="H326" s="2" t="str">
        <x:v>WB_food_import_share;WB_imports_usd</x:v>
      </x:c>
      <x:c r="I326" s="2" t="str"/>
      <x:c r="J326" s="2" t="str">
        <x:v>Calculation_Audit stable ID; Countries country row</x:v>
      </x:c>
      <x:c r="K326" s="2" t="str">
        <x:v>scripts/olam-analyse.py: food_import</x:v>
      </x:c>
      <x:c r="L326" s="2" t="str">
        <x:v>Country atlas</x:v>
      </x:c>
      <x:c r="M326" s="2" t="str">
        <x:v>Includes multiple foods; no volume/capture or Olam revenue estimate</x:v>
      </x:c>
    </x:row>
    <x:row r="327" ht="70" customHeight="1">
      <x:c r="A327" s="2" t="str">
        <x:v>C-WBFOOD-IRL</x:v>
      </x:c>
      <x:c r="B327" s="2" t="str">
        <x:v>Broad food import proxy, not eligible category demand</x:v>
      </x:c>
      <x:c r="C327" s="2" t="str">
        <x:v>Same-year food merchandise-import share /100 × total merchandise imports</x:v>
      </x:c>
      <x:c r="D327" s="2" t="str">
        <x:v>IRL, 2024, exact matched observations in country-panel.csv</x:v>
      </x:c>
      <x:c r="E327" s="2" t="n">
        <x:v>13551142022.544493</x:v>
      </x:c>
      <x:c r="F327" s="2" t="str">
        <x:v>Current USD; broad SITC food</x:v>
      </x:c>
      <x:c r="G327" s="2" t="str">
        <x:v>I-WBFOOD-IRL</x:v>
      </x:c>
      <x:c r="H327" s="2" t="str">
        <x:v>WB_food_import_share;WB_imports_usd</x:v>
      </x:c>
      <x:c r="I327" s="2" t="str"/>
      <x:c r="J327" s="2" t="str">
        <x:v>Calculation_Audit stable ID; Countries country row</x:v>
      </x:c>
      <x:c r="K327" s="2" t="str">
        <x:v>scripts/olam-analyse.py: food_import</x:v>
      </x:c>
      <x:c r="L327" s="2" t="str">
        <x:v>Country atlas</x:v>
      </x:c>
      <x:c r="M327" s="2" t="str">
        <x:v>Includes multiple foods; no volume/capture or Olam revenue estimate</x:v>
      </x:c>
    </x:row>
    <x:row r="328" ht="70" customHeight="1">
      <x:c r="A328" s="2" t="str">
        <x:v>C-WBFOOD-ISR</x:v>
      </x:c>
      <x:c r="B328" s="2" t="str">
        <x:v>Broad food import proxy, not eligible category demand</x:v>
      </x:c>
      <x:c r="C328" s="2" t="str">
        <x:v>Same-year food merchandise-import share /100 × total merchandise imports</x:v>
      </x:c>
      <x:c r="D328" s="2" t="str">
        <x:v>ISR, 2024, exact matched observations in country-panel.csv</x:v>
      </x:c>
      <x:c r="E328" s="2" t="n">
        <x:v>9696094194.014727</x:v>
      </x:c>
      <x:c r="F328" s="2" t="str">
        <x:v>Current USD; broad SITC food</x:v>
      </x:c>
      <x:c r="G328" s="2" t="str">
        <x:v>I-WBFOOD-ISR</x:v>
      </x:c>
      <x:c r="H328" s="2" t="str">
        <x:v>WB_food_import_share;WB_imports_usd</x:v>
      </x:c>
      <x:c r="I328" s="2" t="str"/>
      <x:c r="J328" s="2" t="str">
        <x:v>Calculation_Audit stable ID; Countries country row</x:v>
      </x:c>
      <x:c r="K328" s="2" t="str">
        <x:v>scripts/olam-analyse.py: food_import</x:v>
      </x:c>
      <x:c r="L328" s="2" t="str">
        <x:v>Country atlas</x:v>
      </x:c>
      <x:c r="M328" s="2" t="str">
        <x:v>Includes multiple foods; no volume/capture or Olam revenue estimate</x:v>
      </x:c>
    </x:row>
    <x:row r="329" ht="70" customHeight="1">
      <x:c r="A329" s="2" t="str">
        <x:v>C-WBFOOD-ITA</x:v>
      </x:c>
      <x:c r="B329" s="2" t="str">
        <x:v>Broad food import proxy, not eligible category demand</x:v>
      </x:c>
      <x:c r="C329" s="2" t="str">
        <x:v>Same-year food merchandise-import share /100 × total merchandise imports</x:v>
      </x:c>
      <x:c r="D329" s="2" t="str">
        <x:v>ITA, 2024, exact matched observations in country-panel.csv</x:v>
      </x:c>
      <x:c r="E329" s="2" t="n">
        <x:v>69698335602.25407</x:v>
      </x:c>
      <x:c r="F329" s="2" t="str">
        <x:v>Current USD; broad SITC food</x:v>
      </x:c>
      <x:c r="G329" s="2" t="str">
        <x:v>I-WBFOOD-ITA</x:v>
      </x:c>
      <x:c r="H329" s="2" t="str">
        <x:v>WB_food_import_share;WB_imports_usd</x:v>
      </x:c>
      <x:c r="I329" s="2" t="str"/>
      <x:c r="J329" s="2" t="str">
        <x:v>Calculation_Audit stable ID; Countries country row</x:v>
      </x:c>
      <x:c r="K329" s="2" t="str">
        <x:v>scripts/olam-analyse.py: food_import</x:v>
      </x:c>
      <x:c r="L329" s="2" t="str">
        <x:v>Country atlas</x:v>
      </x:c>
      <x:c r="M329" s="2" t="str">
        <x:v>Includes multiple foods; no volume/capture or Olam revenue estimate</x:v>
      </x:c>
    </x:row>
    <x:row r="330" ht="70" customHeight="1">
      <x:c r="A330" s="2" t="str">
        <x:v>C-WBFOOD-JAM</x:v>
      </x:c>
      <x:c r="B330" s="2" t="str">
        <x:v>Broad food import proxy, not eligible category demand</x:v>
      </x:c>
      <x:c r="C330" s="2" t="str">
        <x:v>Same-year food merchandise-import share /100 × total merchandise imports</x:v>
      </x:c>
      <x:c r="D330" s="2" t="str">
        <x:v>JAM, 2023, exact matched observations in country-panel.csv</x:v>
      </x:c>
      <x:c r="E330" s="2" t="n">
        <x:v>1557473548.5443795</x:v>
      </x:c>
      <x:c r="F330" s="2" t="str">
        <x:v>Current USD; broad SITC food</x:v>
      </x:c>
      <x:c r="G330" s="2" t="str">
        <x:v>I-WBFOOD-JAM</x:v>
      </x:c>
      <x:c r="H330" s="2" t="str">
        <x:v>WB_food_import_share;WB_imports_usd</x:v>
      </x:c>
      <x:c r="I330" s="2" t="str"/>
      <x:c r="J330" s="2" t="str">
        <x:v>Calculation_Audit stable ID; Countries country row</x:v>
      </x:c>
      <x:c r="K330" s="2" t="str">
        <x:v>scripts/olam-analyse.py: food_import</x:v>
      </x:c>
      <x:c r="L330" s="2" t="str">
        <x:v>Country atlas</x:v>
      </x:c>
      <x:c r="M330" s="2" t="str">
        <x:v>Includes multiple foods; no volume/capture or Olam revenue estimate</x:v>
      </x:c>
    </x:row>
    <x:row r="331" ht="70" customHeight="1">
      <x:c r="A331" s="2" t="str">
        <x:v>C-WBFOOD-JPN</x:v>
      </x:c>
      <x:c r="B331" s="2" t="str">
        <x:v>Broad food import proxy, not eligible category demand</x:v>
      </x:c>
      <x:c r="C331" s="2" t="str">
        <x:v>Same-year food merchandise-import share /100 × total merchandise imports</x:v>
      </x:c>
      <x:c r="D331" s="2" t="str">
        <x:v>JPN, 2025, exact matched observations in country-panel.csv</x:v>
      </x:c>
      <x:c r="E331" s="2" t="n">
        <x:v>73854014731.20944</x:v>
      </x:c>
      <x:c r="F331" s="2" t="str">
        <x:v>Current USD; broad SITC food</x:v>
      </x:c>
      <x:c r="G331" s="2" t="str">
        <x:v>I-WBFOOD-JPN</x:v>
      </x:c>
      <x:c r="H331" s="2" t="str">
        <x:v>WB_food_import_share;WB_imports_usd</x:v>
      </x:c>
      <x:c r="I331" s="2" t="str"/>
      <x:c r="J331" s="2" t="str">
        <x:v>Calculation_Audit stable ID; Countries country row</x:v>
      </x:c>
      <x:c r="K331" s="2" t="str">
        <x:v>scripts/olam-analyse.py: food_import</x:v>
      </x:c>
      <x:c r="L331" s="2" t="str">
        <x:v>Country atlas</x:v>
      </x:c>
      <x:c r="M331" s="2" t="str">
        <x:v>Includes multiple foods; no volume/capture or Olam revenue estimate</x:v>
      </x:c>
    </x:row>
    <x:row r="332" ht="70" customHeight="1">
      <x:c r="A332" s="2" t="str">
        <x:v>C-WBFOOD-JOR</x:v>
      </x:c>
      <x:c r="B332" s="2" t="str">
        <x:v>Broad food import proxy, not eligible category demand</x:v>
      </x:c>
      <x:c r="C332" s="2" t="str">
        <x:v>Same-year food merchandise-import share /100 × total merchandise imports</x:v>
      </x:c>
      <x:c r="D332" s="2" t="str">
        <x:v>JOR, 2024, exact matched observations in country-panel.csv</x:v>
      </x:c>
      <x:c r="E332" s="2" t="n">
        <x:v>5559229378.151394</x:v>
      </x:c>
      <x:c r="F332" s="2" t="str">
        <x:v>Current USD; broad SITC food</x:v>
      </x:c>
      <x:c r="G332" s="2" t="str">
        <x:v>I-WBFOOD-JOR</x:v>
      </x:c>
      <x:c r="H332" s="2" t="str">
        <x:v>WB_food_import_share;WB_imports_usd</x:v>
      </x:c>
      <x:c r="I332" s="2" t="str"/>
      <x:c r="J332" s="2" t="str">
        <x:v>Calculation_Audit stable ID; Countries country row</x:v>
      </x:c>
      <x:c r="K332" s="2" t="str">
        <x:v>scripts/olam-analyse.py: food_import</x:v>
      </x:c>
      <x:c r="L332" s="2" t="str">
        <x:v>Country atlas</x:v>
      </x:c>
      <x:c r="M332" s="2" t="str">
        <x:v>Includes multiple foods; no volume/capture or Olam revenue estimate</x:v>
      </x:c>
    </x:row>
    <x:row r="333" ht="70" customHeight="1">
      <x:c r="A333" s="2" t="str">
        <x:v>C-WBFOOD-KAZ</x:v>
      </x:c>
      <x:c r="B333" s="2" t="str">
        <x:v>Broad food import proxy, not eligible category demand</x:v>
      </x:c>
      <x:c r="C333" s="2" t="str">
        <x:v>Same-year food merchandise-import share /100 × total merchandise imports</x:v>
      </x:c>
      <x:c r="D333" s="2" t="str">
        <x:v>KAZ, 2024, exact matched observations in country-panel.csv</x:v>
      </x:c>
      <x:c r="E333" s="2" t="n">
        <x:v>6485505633.842246</x:v>
      </x:c>
      <x:c r="F333" s="2" t="str">
        <x:v>Current USD; broad SITC food</x:v>
      </x:c>
      <x:c r="G333" s="2" t="str">
        <x:v>I-WBFOOD-KAZ</x:v>
      </x:c>
      <x:c r="H333" s="2" t="str">
        <x:v>WB_food_import_share;WB_imports_usd</x:v>
      </x:c>
      <x:c r="I333" s="2" t="str"/>
      <x:c r="J333" s="2" t="str">
        <x:v>Calculation_Audit stable ID; Countries country row</x:v>
      </x:c>
      <x:c r="K333" s="2" t="str">
        <x:v>scripts/olam-analyse.py: food_import</x:v>
      </x:c>
      <x:c r="L333" s="2" t="str">
        <x:v>Country atlas</x:v>
      </x:c>
      <x:c r="M333" s="2" t="str">
        <x:v>Includes multiple foods; no volume/capture or Olam revenue estimate</x:v>
      </x:c>
    </x:row>
    <x:row r="334" ht="70" customHeight="1">
      <x:c r="A334" s="2" t="str">
        <x:v>C-WBFOOD-KEN</x:v>
      </x:c>
      <x:c r="B334" s="2" t="str">
        <x:v>Broad food import proxy, not eligible category demand</x:v>
      </x:c>
      <x:c r="C334" s="2" t="str">
        <x:v>Same-year food merchandise-import share /100 × total merchandise imports</x:v>
      </x:c>
      <x:c r="D334" s="2" t="str">
        <x:v>KEN, 2024, exact matched observations in country-panel.csv</x:v>
      </x:c>
      <x:c r="E334" s="2" t="n">
        <x:v>3265992016.644896</x:v>
      </x:c>
      <x:c r="F334" s="2" t="str">
        <x:v>Current USD; broad SITC food</x:v>
      </x:c>
      <x:c r="G334" s="2" t="str">
        <x:v>I-WBFOOD-KEN</x:v>
      </x:c>
      <x:c r="H334" s="2" t="str">
        <x:v>WB_food_import_share;WB_imports_usd</x:v>
      </x:c>
      <x:c r="I334" s="2" t="str"/>
      <x:c r="J334" s="2" t="str">
        <x:v>Calculation_Audit stable ID; Countries country row</x:v>
      </x:c>
      <x:c r="K334" s="2" t="str">
        <x:v>scripts/olam-analyse.py: food_import</x:v>
      </x:c>
      <x:c r="L334" s="2" t="str">
        <x:v>Country atlas</x:v>
      </x:c>
      <x:c r="M334" s="2" t="str">
        <x:v>Includes multiple foods; no volume/capture or Olam revenue estimate</x:v>
      </x:c>
    </x:row>
    <x:row r="335" ht="70" customHeight="1">
      <x:c r="A335" s="2" t="str">
        <x:v>C-WBFOOD-KIR</x:v>
      </x:c>
      <x:c r="B335" s="2" t="str">
        <x:v>Broad food import proxy, not eligible category demand</x:v>
      </x:c>
      <x:c r="C335" s="2" t="str">
        <x:v>Same-year food merchandise-import share /100 × total merchandise imports</x:v>
      </x:c>
      <x:c r="D335" s="2" t="str">
        <x:v>KIR, 2021, exact matched observations in country-panel.csv</x:v>
      </x:c>
      <x:c r="E335" s="2" t="n">
        <x:v>72942155.05429988</x:v>
      </x:c>
      <x:c r="F335" s="2" t="str">
        <x:v>Current USD; broad SITC food</x:v>
      </x:c>
      <x:c r="G335" s="2" t="str">
        <x:v>I-WBFOOD-KIR</x:v>
      </x:c>
      <x:c r="H335" s="2" t="str">
        <x:v>WB_food_import_share;WB_imports_usd</x:v>
      </x:c>
      <x:c r="I335" s="2" t="str"/>
      <x:c r="J335" s="2" t="str">
        <x:v>Calculation_Audit stable ID; Countries country row</x:v>
      </x:c>
      <x:c r="K335" s="2" t="str">
        <x:v>scripts/olam-analyse.py: food_import</x:v>
      </x:c>
      <x:c r="L335" s="2" t="str">
        <x:v>Country atlas</x:v>
      </x:c>
      <x:c r="M335" s="2" t="str">
        <x:v>Includes multiple foods; no volume/capture or Olam revenue estimate</x:v>
      </x:c>
    </x:row>
    <x:row r="336" ht="70" customHeight="1">
      <x:c r="A336" s="2" t="str">
        <x:v>C-WBFOOD-KWT</x:v>
      </x:c>
      <x:c r="B336" s="2" t="str">
        <x:v>Broad food import proxy, not eligible category demand</x:v>
      </x:c>
      <x:c r="C336" s="2" t="str">
        <x:v>Same-year food merchandise-import share /100 × total merchandise imports</x:v>
      </x:c>
      <x:c r="D336" s="2" t="str">
        <x:v>KWT, 2024, exact matched observations in country-panel.csv</x:v>
      </x:c>
      <x:c r="E336" s="2" t="n">
        <x:v>6656623700.110077</x:v>
      </x:c>
      <x:c r="F336" s="2" t="str">
        <x:v>Current USD; broad SITC food</x:v>
      </x:c>
      <x:c r="G336" s="2" t="str">
        <x:v>I-WBFOOD-KWT</x:v>
      </x:c>
      <x:c r="H336" s="2" t="str">
        <x:v>WB_food_import_share;WB_imports_usd</x:v>
      </x:c>
      <x:c r="I336" s="2" t="str"/>
      <x:c r="J336" s="2" t="str">
        <x:v>Calculation_Audit stable ID; Countries country row</x:v>
      </x:c>
      <x:c r="K336" s="2" t="str">
        <x:v>scripts/olam-analyse.py: food_import</x:v>
      </x:c>
      <x:c r="L336" s="2" t="str">
        <x:v>Country atlas</x:v>
      </x:c>
      <x:c r="M336" s="2" t="str">
        <x:v>Includes multiple foods; no volume/capture or Olam revenue estimate</x:v>
      </x:c>
    </x:row>
    <x:row r="337" ht="70" customHeight="1">
      <x:c r="A337" s="2" t="str">
        <x:v>C-WBFOOD-KGZ</x:v>
      </x:c>
      <x:c r="B337" s="2" t="str">
        <x:v>Broad food import proxy, not eligible category demand</x:v>
      </x:c>
      <x:c r="C337" s="2" t="str">
        <x:v>Same-year food merchandise-import share /100 × total merchandise imports</x:v>
      </x:c>
      <x:c r="D337" s="2" t="str">
        <x:v>KGZ, 2025, exact matched observations in country-panel.csv</x:v>
      </x:c>
      <x:c r="E337" s="2" t="n">
        <x:v>1628565076.7057798</x:v>
      </x:c>
      <x:c r="F337" s="2" t="str">
        <x:v>Current USD; broad SITC food</x:v>
      </x:c>
      <x:c r="G337" s="2" t="str">
        <x:v>I-WBFOOD-KGZ</x:v>
      </x:c>
      <x:c r="H337" s="2" t="str">
        <x:v>WB_food_import_share;WB_imports_usd</x:v>
      </x:c>
      <x:c r="I337" s="2" t="str"/>
      <x:c r="J337" s="2" t="str">
        <x:v>Calculation_Audit stable ID; Countries country row</x:v>
      </x:c>
      <x:c r="K337" s="2" t="str">
        <x:v>scripts/olam-analyse.py: food_import</x:v>
      </x:c>
      <x:c r="L337" s="2" t="str">
        <x:v>Country atlas</x:v>
      </x:c>
      <x:c r="M337" s="2" t="str">
        <x:v>Includes multiple foods; no volume/capture or Olam revenue estimate</x:v>
      </x:c>
    </x:row>
    <x:row r="338" ht="70" customHeight="1">
      <x:c r="A338" s="2" t="str">
        <x:v>C-WBFOOD-LAO</x:v>
      </x:c>
      <x:c r="B338" s="2" t="str">
        <x:v>Broad food import proxy, not eligible category demand</x:v>
      </x:c>
      <x:c r="C338" s="2" t="str">
        <x:v>Same-year food merchandise-import share /100 × total merchandise imports</x:v>
      </x:c>
      <x:c r="D338" s="2" t="str">
        <x:v>LAO, 2023, exact matched observations in country-panel.csv</x:v>
      </x:c>
      <x:c r="E338" s="2" t="n">
        <x:v>970554086.3018605</x:v>
      </x:c>
      <x:c r="F338" s="2" t="str">
        <x:v>Current USD; broad SITC food</x:v>
      </x:c>
      <x:c r="G338" s="2" t="str">
        <x:v>I-WBFOOD-LAO</x:v>
      </x:c>
      <x:c r="H338" s="2" t="str">
        <x:v>WB_food_import_share;WB_imports_usd</x:v>
      </x:c>
      <x:c r="I338" s="2" t="str"/>
      <x:c r="J338" s="2" t="str">
        <x:v>Calculation_Audit stable ID; Countries country row</x:v>
      </x:c>
      <x:c r="K338" s="2" t="str">
        <x:v>scripts/olam-analyse.py: food_import</x:v>
      </x:c>
      <x:c r="L338" s="2" t="str">
        <x:v>Country atlas</x:v>
      </x:c>
      <x:c r="M338" s="2" t="str">
        <x:v>Includes multiple foods; no volume/capture or Olam revenue estimate</x:v>
      </x:c>
    </x:row>
    <x:row r="339" ht="70" customHeight="1">
      <x:c r="A339" s="2" t="str">
        <x:v>C-WBFOOD-LVA</x:v>
      </x:c>
      <x:c r="B339" s="2" t="str">
        <x:v>Broad food import proxy, not eligible category demand</x:v>
      </x:c>
      <x:c r="C339" s="2" t="str">
        <x:v>Same-year food merchandise-import share /100 × total merchandise imports</x:v>
      </x:c>
      <x:c r="D339" s="2" t="str">
        <x:v>LVA, 2025, exact matched observations in country-panel.csv</x:v>
      </x:c>
      <x:c r="E339" s="2" t="n">
        <x:v>4691964771.072992</x:v>
      </x:c>
      <x:c r="F339" s="2" t="str">
        <x:v>Current USD; broad SITC food</x:v>
      </x:c>
      <x:c r="G339" s="2" t="str">
        <x:v>I-WBFOOD-LVA</x:v>
      </x:c>
      <x:c r="H339" s="2" t="str">
        <x:v>WB_food_import_share;WB_imports_usd</x:v>
      </x:c>
      <x:c r="I339" s="2" t="str"/>
      <x:c r="J339" s="2" t="str">
        <x:v>Calculation_Audit stable ID; Countries country row</x:v>
      </x:c>
      <x:c r="K339" s="2" t="str">
        <x:v>scripts/olam-analyse.py: food_import</x:v>
      </x:c>
      <x:c r="L339" s="2" t="str">
        <x:v>Country atlas</x:v>
      </x:c>
      <x:c r="M339" s="2" t="str">
        <x:v>Includes multiple foods; no volume/capture or Olam revenue estimate</x:v>
      </x:c>
    </x:row>
    <x:row r="340" ht="70" customHeight="1">
      <x:c r="A340" s="2" t="str">
        <x:v>C-WBFOOD-LBN</x:v>
      </x:c>
      <x:c r="B340" s="2" t="str">
        <x:v>Broad food import proxy, not eligible category demand</x:v>
      </x:c>
      <x:c r="C340" s="2" t="str">
        <x:v>Same-year food merchandise-import share /100 × total merchandise imports</x:v>
      </x:c>
      <x:c r="D340" s="2" t="str">
        <x:v>LBN, 2024, exact matched observations in country-panel.csv</x:v>
      </x:c>
      <x:c r="E340" s="2" t="n">
        <x:v>3210566571.0703545</x:v>
      </x:c>
      <x:c r="F340" s="2" t="str">
        <x:v>Current USD; broad SITC food</x:v>
      </x:c>
      <x:c r="G340" s="2" t="str">
        <x:v>I-WBFOOD-LBN</x:v>
      </x:c>
      <x:c r="H340" s="2" t="str">
        <x:v>WB_food_import_share;WB_imports_usd</x:v>
      </x:c>
      <x:c r="I340" s="2" t="str"/>
      <x:c r="J340" s="2" t="str">
        <x:v>Calculation_Audit stable ID; Countries country row</x:v>
      </x:c>
      <x:c r="K340" s="2" t="str">
        <x:v>scripts/olam-analyse.py: food_import</x:v>
      </x:c>
      <x:c r="L340" s="2" t="str">
        <x:v>Country atlas</x:v>
      </x:c>
      <x:c r="M340" s="2" t="str">
        <x:v>Includes multiple foods; no volume/capture or Olam revenue estimate</x:v>
      </x:c>
    </x:row>
    <x:row r="341" ht="70" customHeight="1">
      <x:c r="A341" s="2" t="str">
        <x:v>C-WBFOOD-LSO</x:v>
      </x:c>
      <x:c r="B341" s="2" t="str">
        <x:v>Broad food import proxy, not eligible category demand</x:v>
      </x:c>
      <x:c r="C341" s="2" t="str">
        <x:v>Same-year food merchandise-import share /100 × total merchandise imports</x:v>
      </x:c>
      <x:c r="D341" s="2" t="str">
        <x:v>LSO, 2024, exact matched observations in country-panel.csv</x:v>
      </x:c>
      <x:c r="E341" s="2" t="n">
        <x:v>425303911.4971407</x:v>
      </x:c>
      <x:c r="F341" s="2" t="str">
        <x:v>Current USD; broad SITC food</x:v>
      </x:c>
      <x:c r="G341" s="2" t="str">
        <x:v>I-WBFOOD-LSO</x:v>
      </x:c>
      <x:c r="H341" s="2" t="str">
        <x:v>WB_food_import_share;WB_imports_usd</x:v>
      </x:c>
      <x:c r="I341" s="2" t="str"/>
      <x:c r="J341" s="2" t="str">
        <x:v>Calculation_Audit stable ID; Countries country row</x:v>
      </x:c>
      <x:c r="K341" s="2" t="str">
        <x:v>scripts/olam-analyse.py: food_import</x:v>
      </x:c>
      <x:c r="L341" s="2" t="str">
        <x:v>Country atlas</x:v>
      </x:c>
      <x:c r="M341" s="2" t="str">
        <x:v>Includes multiple foods; no volume/capture or Olam revenue estimate</x:v>
      </x:c>
    </x:row>
    <x:row r="342" ht="70" customHeight="1">
      <x:c r="A342" s="2" t="str">
        <x:v>C-WBFOOD-LBR</x:v>
      </x:c>
      <x:c r="B342" s="2" t="str">
        <x:v>Broad food import proxy, not eligible category demand</x:v>
      </x:c>
      <x:c r="C342" s="2" t="str">
        <x:v>Same-year food merchandise-import share /100 × total merchandise imports</x:v>
      </x:c>
      <x:c r="D342" s="2" t="str">
        <x:v>LBR, 2023, exact matched observations in country-panel.csv</x:v>
      </x:c>
      <x:c r="E342" s="2" t="n">
        <x:v>479356445.70442045</x:v>
      </x:c>
      <x:c r="F342" s="2" t="str">
        <x:v>Current USD; broad SITC food</x:v>
      </x:c>
      <x:c r="G342" s="2" t="str">
        <x:v>I-WBFOOD-LBR</x:v>
      </x:c>
      <x:c r="H342" s="2" t="str">
        <x:v>WB_food_import_share;WB_imports_usd</x:v>
      </x:c>
      <x:c r="I342" s="2" t="str"/>
      <x:c r="J342" s="2" t="str">
        <x:v>Calculation_Audit stable ID; Countries country row</x:v>
      </x:c>
      <x:c r="K342" s="2" t="str">
        <x:v>scripts/olam-analyse.py: food_import</x:v>
      </x:c>
      <x:c r="L342" s="2" t="str">
        <x:v>Country atlas</x:v>
      </x:c>
      <x:c r="M342" s="2" t="str">
        <x:v>Includes multiple foods; no volume/capture or Olam revenue estimate</x:v>
      </x:c>
    </x:row>
    <x:row r="343" ht="70" customHeight="1">
      <x:c r="A343" s="2" t="str">
        <x:v>C-WBFOOD-LBY</x:v>
      </x:c>
      <x:c r="B343" s="2" t="str">
        <x:v>Broad food import proxy, not eligible category demand</x:v>
      </x:c>
      <x:c r="C343" s="2" t="str">
        <x:v>Same-year food merchandise-import share /100 × total merchandise imports</x:v>
      </x:c>
      <x:c r="D343" s="2" t="str">
        <x:v>LBY, 2019, exact matched observations in country-panel.csv</x:v>
      </x:c>
      <x:c r="E343" s="2" t="n">
        <x:v>3262985503.1166077</x:v>
      </x:c>
      <x:c r="F343" s="2" t="str">
        <x:v>Current USD; broad SITC food</x:v>
      </x:c>
      <x:c r="G343" s="2" t="str">
        <x:v>I-WBFOOD-LBY</x:v>
      </x:c>
      <x:c r="H343" s="2" t="str">
        <x:v>WB_food_import_share;WB_imports_usd</x:v>
      </x:c>
      <x:c r="I343" s="2" t="str"/>
      <x:c r="J343" s="2" t="str">
        <x:v>Calculation_Audit stable ID; Countries country row</x:v>
      </x:c>
      <x:c r="K343" s="2" t="str">
        <x:v>scripts/olam-analyse.py: food_import</x:v>
      </x:c>
      <x:c r="L343" s="2" t="str">
        <x:v>Country atlas</x:v>
      </x:c>
      <x:c r="M343" s="2" t="str">
        <x:v>Includes multiple foods; no volume/capture or Olam revenue estimate</x:v>
      </x:c>
    </x:row>
    <x:row r="344" ht="70" customHeight="1">
      <x:c r="A344" s="2" t="str">
        <x:v>C-WBFOOD-LTU</x:v>
      </x:c>
      <x:c r="B344" s="2" t="str">
        <x:v>Broad food import proxy, not eligible category demand</x:v>
      </x:c>
      <x:c r="C344" s="2" t="str">
        <x:v>Same-year food merchandise-import share /100 × total merchandise imports</x:v>
      </x:c>
      <x:c r="D344" s="2" t="str">
        <x:v>LTU, 2025, exact matched observations in country-panel.csv</x:v>
      </x:c>
      <x:c r="E344" s="2" t="n">
        <x:v>6405877944.929144</x:v>
      </x:c>
      <x:c r="F344" s="2" t="str">
        <x:v>Current USD; broad SITC food</x:v>
      </x:c>
      <x:c r="G344" s="2" t="str">
        <x:v>I-WBFOOD-LTU</x:v>
      </x:c>
      <x:c r="H344" s="2" t="str">
        <x:v>WB_food_import_share;WB_imports_usd</x:v>
      </x:c>
      <x:c r="I344" s="2" t="str"/>
      <x:c r="J344" s="2" t="str">
        <x:v>Calculation_Audit stable ID; Countries country row</x:v>
      </x:c>
      <x:c r="K344" s="2" t="str">
        <x:v>scripts/olam-analyse.py: food_import</x:v>
      </x:c>
      <x:c r="L344" s="2" t="str">
        <x:v>Country atlas</x:v>
      </x:c>
      <x:c r="M344" s="2" t="str">
        <x:v>Includes multiple foods; no volume/capture or Olam revenue estimate</x:v>
      </x:c>
    </x:row>
    <x:row r="345" ht="70" customHeight="1">
      <x:c r="A345" s="2" t="str">
        <x:v>C-WBFOOD-LUX</x:v>
      </x:c>
      <x:c r="B345" s="2" t="str">
        <x:v>Broad food import proxy, not eligible category demand</x:v>
      </x:c>
      <x:c r="C345" s="2" t="str">
        <x:v>Same-year food merchandise-import share /100 × total merchandise imports</x:v>
      </x:c>
      <x:c r="D345" s="2" t="str">
        <x:v>LUX, 2024, exact matched observations in country-panel.csv</x:v>
      </x:c>
      <x:c r="E345" s="2" t="n">
        <x:v>3847562809.2581306</x:v>
      </x:c>
      <x:c r="F345" s="2" t="str">
        <x:v>Current USD; broad SITC food</x:v>
      </x:c>
      <x:c r="G345" s="2" t="str">
        <x:v>I-WBFOOD-LUX</x:v>
      </x:c>
      <x:c r="H345" s="2" t="str">
        <x:v>WB_food_import_share;WB_imports_usd</x:v>
      </x:c>
      <x:c r="I345" s="2" t="str"/>
      <x:c r="J345" s="2" t="str">
        <x:v>Calculation_Audit stable ID; Countries country row</x:v>
      </x:c>
      <x:c r="K345" s="2" t="str">
        <x:v>scripts/olam-analyse.py: food_import</x:v>
      </x:c>
      <x:c r="L345" s="2" t="str">
        <x:v>Country atlas</x:v>
      </x:c>
      <x:c r="M345" s="2" t="str">
        <x:v>Includes multiple foods; no volume/capture or Olam revenue estimate</x:v>
      </x:c>
    </x:row>
    <x:row r="346" ht="70" customHeight="1">
      <x:c r="A346" s="2" t="str">
        <x:v>C-WBFOOD-MDG</x:v>
      </x:c>
      <x:c r="B346" s="2" t="str">
        <x:v>Broad food import proxy, not eligible category demand</x:v>
      </x:c>
      <x:c r="C346" s="2" t="str">
        <x:v>Same-year food merchandise-import share /100 × total merchandise imports</x:v>
      </x:c>
      <x:c r="D346" s="2" t="str">
        <x:v>MDG, 2024, exact matched observations in country-panel.csv</x:v>
      </x:c>
      <x:c r="E346" s="2" t="n">
        <x:v>887169610.788788</x:v>
      </x:c>
      <x:c r="F346" s="2" t="str">
        <x:v>Current USD; broad SITC food</x:v>
      </x:c>
      <x:c r="G346" s="2" t="str">
        <x:v>I-WBFOOD-MDG</x:v>
      </x:c>
      <x:c r="H346" s="2" t="str">
        <x:v>WB_food_import_share;WB_imports_usd</x:v>
      </x:c>
      <x:c r="I346" s="2" t="str"/>
      <x:c r="J346" s="2" t="str">
        <x:v>Calculation_Audit stable ID; Countries country row</x:v>
      </x:c>
      <x:c r="K346" s="2" t="str">
        <x:v>scripts/olam-analyse.py: food_import</x:v>
      </x:c>
      <x:c r="L346" s="2" t="str">
        <x:v>Country atlas</x:v>
      </x:c>
      <x:c r="M346" s="2" t="str">
        <x:v>Includes multiple foods; no volume/capture or Olam revenue estimate</x:v>
      </x:c>
    </x:row>
    <x:row r="347" ht="70" customHeight="1">
      <x:c r="A347" s="2" t="str">
        <x:v>C-WBFOOD-MWI</x:v>
      </x:c>
      <x:c r="B347" s="2" t="str">
        <x:v>Broad food import proxy, not eligible category demand</x:v>
      </x:c>
      <x:c r="C347" s="2" t="str">
        <x:v>Same-year food merchandise-import share /100 × total merchandise imports</x:v>
      </x:c>
      <x:c r="D347" s="2" t="str">
        <x:v>MWI, 2024, exact matched observations in country-panel.csv</x:v>
      </x:c>
      <x:c r="E347" s="2" t="n">
        <x:v>391020857.05394167</x:v>
      </x:c>
      <x:c r="F347" s="2" t="str">
        <x:v>Current USD; broad SITC food</x:v>
      </x:c>
      <x:c r="G347" s="2" t="str">
        <x:v>I-WBFOOD-MWI</x:v>
      </x:c>
      <x:c r="H347" s="2" t="str">
        <x:v>WB_food_import_share;WB_imports_usd</x:v>
      </x:c>
      <x:c r="I347" s="2" t="str"/>
      <x:c r="J347" s="2" t="str">
        <x:v>Calculation_Audit stable ID; Countries country row</x:v>
      </x:c>
      <x:c r="K347" s="2" t="str">
        <x:v>scripts/olam-analyse.py: food_import</x:v>
      </x:c>
      <x:c r="L347" s="2" t="str">
        <x:v>Country atlas</x:v>
      </x:c>
      <x:c r="M347" s="2" t="str">
        <x:v>Includes multiple foods; no volume/capture or Olam revenue estimate</x:v>
      </x:c>
    </x:row>
    <x:row r="348" ht="70" customHeight="1">
      <x:c r="A348" s="2" t="str">
        <x:v>C-WBFOOD-MYS</x:v>
      </x:c>
      <x:c r="B348" s="2" t="str">
        <x:v>Broad food import proxy, not eligible category demand</x:v>
      </x:c>
      <x:c r="C348" s="2" t="str">
        <x:v>Same-year food merchandise-import share /100 × total merchandise imports</x:v>
      </x:c>
      <x:c r="D348" s="2" t="str">
        <x:v>MYS, 2025, exact matched observations in country-panel.csv</x:v>
      </x:c>
      <x:c r="E348" s="2" t="n">
        <x:v>28183520114.770557</x:v>
      </x:c>
      <x:c r="F348" s="2" t="str">
        <x:v>Current USD; broad SITC food</x:v>
      </x:c>
      <x:c r="G348" s="2" t="str">
        <x:v>I-WBFOOD-MYS</x:v>
      </x:c>
      <x:c r="H348" s="2" t="str">
        <x:v>WB_food_import_share;WB_imports_usd</x:v>
      </x:c>
      <x:c r="I348" s="2" t="str"/>
      <x:c r="J348" s="2" t="str">
        <x:v>Calculation_Audit stable ID; Countries country row</x:v>
      </x:c>
      <x:c r="K348" s="2" t="str">
        <x:v>scripts/olam-analyse.py: food_import</x:v>
      </x:c>
      <x:c r="L348" s="2" t="str">
        <x:v>Country atlas</x:v>
      </x:c>
      <x:c r="M348" s="2" t="str">
        <x:v>Includes multiple foods; no volume/capture or Olam revenue estimate</x:v>
      </x:c>
    </x:row>
    <x:row r="349" ht="70" customHeight="1">
      <x:c r="A349" s="2" t="str">
        <x:v>C-WBFOOD-MDV</x:v>
      </x:c>
      <x:c r="B349" s="2" t="str">
        <x:v>Broad food import proxy, not eligible category demand</x:v>
      </x:c>
      <x:c r="C349" s="2" t="str">
        <x:v>Same-year food merchandise-import share /100 × total merchandise imports</x:v>
      </x:c>
      <x:c r="D349" s="2" t="str">
        <x:v>MDV, 2024, exact matched observations in country-panel.csv</x:v>
      </x:c>
      <x:c r="E349" s="2" t="n">
        <x:v>772641604.7532047</x:v>
      </x:c>
      <x:c r="F349" s="2" t="str">
        <x:v>Current USD; broad SITC food</x:v>
      </x:c>
      <x:c r="G349" s="2" t="str">
        <x:v>I-WBFOOD-MDV</x:v>
      </x:c>
      <x:c r="H349" s="2" t="str">
        <x:v>WB_food_import_share;WB_imports_usd</x:v>
      </x:c>
      <x:c r="I349" s="2" t="str"/>
      <x:c r="J349" s="2" t="str">
        <x:v>Calculation_Audit stable ID; Countries country row</x:v>
      </x:c>
      <x:c r="K349" s="2" t="str">
        <x:v>scripts/olam-analyse.py: food_import</x:v>
      </x:c>
      <x:c r="L349" s="2" t="str">
        <x:v>Country atlas</x:v>
      </x:c>
      <x:c r="M349" s="2" t="str">
        <x:v>Includes multiple foods; no volume/capture or Olam revenue estimate</x:v>
      </x:c>
    </x:row>
    <x:row r="350" ht="70" customHeight="1">
      <x:c r="A350" s="2" t="str">
        <x:v>C-WBFOOD-MLI</x:v>
      </x:c>
      <x:c r="B350" s="2" t="str">
        <x:v>Broad food import proxy, not eligible category demand</x:v>
      </x:c>
      <x:c r="C350" s="2" t="str">
        <x:v>Same-year food merchandise-import share /100 × total merchandise imports</x:v>
      </x:c>
      <x:c r="D350" s="2" t="str">
        <x:v>MLI, 2023, exact matched observations in country-panel.csv</x:v>
      </x:c>
      <x:c r="E350" s="2" t="n">
        <x:v>943659639.2413805</x:v>
      </x:c>
      <x:c r="F350" s="2" t="str">
        <x:v>Current USD; broad SITC food</x:v>
      </x:c>
      <x:c r="G350" s="2" t="str">
        <x:v>I-WBFOOD-MLI</x:v>
      </x:c>
      <x:c r="H350" s="2" t="str">
        <x:v>WB_food_import_share;WB_imports_usd</x:v>
      </x:c>
      <x:c r="I350" s="2" t="str"/>
      <x:c r="J350" s="2" t="str">
        <x:v>Calculation_Audit stable ID; Countries country row</x:v>
      </x:c>
      <x:c r="K350" s="2" t="str">
        <x:v>scripts/olam-analyse.py: food_import</x:v>
      </x:c>
      <x:c r="L350" s="2" t="str">
        <x:v>Country atlas</x:v>
      </x:c>
      <x:c r="M350" s="2" t="str">
        <x:v>Includes multiple foods; no volume/capture or Olam revenue estimate</x:v>
      </x:c>
    </x:row>
    <x:row r="351" ht="70" customHeight="1">
      <x:c r="A351" s="2" t="str">
        <x:v>C-WBFOOD-MLT</x:v>
      </x:c>
      <x:c r="B351" s="2" t="str">
        <x:v>Broad food import proxy, not eligible category demand</x:v>
      </x:c>
      <x:c r="C351" s="2" t="str">
        <x:v>Same-year food merchandise-import share /100 × total merchandise imports</x:v>
      </x:c>
      <x:c r="D351" s="2" t="str">
        <x:v>MLT, 2024, exact matched observations in country-panel.csv</x:v>
      </x:c>
      <x:c r="E351" s="2" t="n">
        <x:v>1129675631.2671711</x:v>
      </x:c>
      <x:c r="F351" s="2" t="str">
        <x:v>Current USD; broad SITC food</x:v>
      </x:c>
      <x:c r="G351" s="2" t="str">
        <x:v>I-WBFOOD-MLT</x:v>
      </x:c>
      <x:c r="H351" s="2" t="str">
        <x:v>WB_food_import_share;WB_imports_usd</x:v>
      </x:c>
      <x:c r="I351" s="2" t="str"/>
      <x:c r="J351" s="2" t="str">
        <x:v>Calculation_Audit stable ID; Countries country row</x:v>
      </x:c>
      <x:c r="K351" s="2" t="str">
        <x:v>scripts/olam-analyse.py: food_import</x:v>
      </x:c>
      <x:c r="L351" s="2" t="str">
        <x:v>Country atlas</x:v>
      </x:c>
      <x:c r="M351" s="2" t="str">
        <x:v>Includes multiple foods; no volume/capture or Olam revenue estimate</x:v>
      </x:c>
    </x:row>
    <x:row r="352" ht="70" customHeight="1">
      <x:c r="A352" s="2" t="str">
        <x:v>C-WBFOOD-MRT</x:v>
      </x:c>
      <x:c r="B352" s="2" t="str">
        <x:v>Broad food import proxy, not eligible category demand</x:v>
      </x:c>
      <x:c r="C352" s="2" t="str">
        <x:v>Same-year food merchandise-import share /100 × total merchandise imports</x:v>
      </x:c>
      <x:c r="D352" s="2" t="str">
        <x:v>MRT, 2024, exact matched observations in country-panel.csv</x:v>
      </x:c>
      <x:c r="E352" s="2" t="n">
        <x:v>1149873266.7344294</x:v>
      </x:c>
      <x:c r="F352" s="2" t="str">
        <x:v>Current USD; broad SITC food</x:v>
      </x:c>
      <x:c r="G352" s="2" t="str">
        <x:v>I-WBFOOD-MRT</x:v>
      </x:c>
      <x:c r="H352" s="2" t="str">
        <x:v>WB_food_import_share;WB_imports_usd</x:v>
      </x:c>
      <x:c r="I352" s="2" t="str"/>
      <x:c r="J352" s="2" t="str">
        <x:v>Calculation_Audit stable ID; Countries country row</x:v>
      </x:c>
      <x:c r="K352" s="2" t="str">
        <x:v>scripts/olam-analyse.py: food_import</x:v>
      </x:c>
      <x:c r="L352" s="2" t="str">
        <x:v>Country atlas</x:v>
      </x:c>
      <x:c r="M352" s="2" t="str">
        <x:v>Includes multiple foods; no volume/capture or Olam revenue estimate</x:v>
      </x:c>
    </x:row>
    <x:row r="353" ht="70" customHeight="1">
      <x:c r="A353" s="2" t="str">
        <x:v>C-WBFOOD-MUS</x:v>
      </x:c>
      <x:c r="B353" s="2" t="str">
        <x:v>Broad food import proxy, not eligible category demand</x:v>
      </x:c>
      <x:c r="C353" s="2" t="str">
        <x:v>Same-year food merchandise-import share /100 × total merchandise imports</x:v>
      </x:c>
      <x:c r="D353" s="2" t="str">
        <x:v>MUS, 2024, exact matched observations in country-panel.csv</x:v>
      </x:c>
      <x:c r="E353" s="2" t="n">
        <x:v>1451933478.9772015</x:v>
      </x:c>
      <x:c r="F353" s="2" t="str">
        <x:v>Current USD; broad SITC food</x:v>
      </x:c>
      <x:c r="G353" s="2" t="str">
        <x:v>I-WBFOOD-MUS</x:v>
      </x:c>
      <x:c r="H353" s="2" t="str">
        <x:v>WB_food_import_share;WB_imports_usd</x:v>
      </x:c>
      <x:c r="I353" s="2" t="str"/>
      <x:c r="J353" s="2" t="str">
        <x:v>Calculation_Audit stable ID; Countries country row</x:v>
      </x:c>
      <x:c r="K353" s="2" t="str">
        <x:v>scripts/olam-analyse.py: food_import</x:v>
      </x:c>
      <x:c r="L353" s="2" t="str">
        <x:v>Country atlas</x:v>
      </x:c>
      <x:c r="M353" s="2" t="str">
        <x:v>Includes multiple foods; no volume/capture or Olam revenue estimate</x:v>
      </x:c>
    </x:row>
    <x:row r="354" ht="70" customHeight="1">
      <x:c r="A354" s="2" t="str">
        <x:v>C-WBFOOD-MEX</x:v>
      </x:c>
      <x:c r="B354" s="2" t="str">
        <x:v>Broad food import proxy, not eligible category demand</x:v>
      </x:c>
      <x:c r="C354" s="2" t="str">
        <x:v>Same-year food merchandise-import share /100 × total merchandise imports</x:v>
      </x:c>
      <x:c r="D354" s="2" t="str">
        <x:v>MEX, 2025, exact matched observations in country-panel.csv</x:v>
      </x:c>
      <x:c r="E354" s="2" t="n">
        <x:v>43194344355.36752</x:v>
      </x:c>
      <x:c r="F354" s="2" t="str">
        <x:v>Current USD; broad SITC food</x:v>
      </x:c>
      <x:c r="G354" s="2" t="str">
        <x:v>I-WBFOOD-MEX</x:v>
      </x:c>
      <x:c r="H354" s="2" t="str">
        <x:v>WB_food_import_share;WB_imports_usd</x:v>
      </x:c>
      <x:c r="I354" s="2" t="str"/>
      <x:c r="J354" s="2" t="str">
        <x:v>Calculation_Audit stable ID; Countries country row</x:v>
      </x:c>
      <x:c r="K354" s="2" t="str">
        <x:v>scripts/olam-analyse.py: food_import</x:v>
      </x:c>
      <x:c r="L354" s="2" t="str">
        <x:v>Country atlas</x:v>
      </x:c>
      <x:c r="M354" s="2" t="str">
        <x:v>Includes multiple foods; no volume/capture or Olam revenue estimate</x:v>
      </x:c>
    </x:row>
    <x:row r="355" ht="70" customHeight="1">
      <x:c r="A355" s="2" t="str">
        <x:v>C-WBFOOD-FSM</x:v>
      </x:c>
      <x:c r="B355" s="2" t="str">
        <x:v>Broad food import proxy, not eligible category demand</x:v>
      </x:c>
      <x:c r="C355" s="2" t="str">
        <x:v>Same-year food merchandise-import share /100 × total merchandise imports</x:v>
      </x:c>
      <x:c r="D355" s="2" t="str">
        <x:v>FSM, 2013, exact matched observations in country-panel.csv</x:v>
      </x:c>
      <x:c r="E355" s="2" t="n">
        <x:v>52196116.24639562</x:v>
      </x:c>
      <x:c r="F355" s="2" t="str">
        <x:v>Current USD; broad SITC food</x:v>
      </x:c>
      <x:c r="G355" s="2" t="str">
        <x:v>I-WBFOOD-FSM</x:v>
      </x:c>
      <x:c r="H355" s="2" t="str">
        <x:v>WB_food_import_share;WB_imports_usd</x:v>
      </x:c>
      <x:c r="I355" s="2" t="str"/>
      <x:c r="J355" s="2" t="str">
        <x:v>Calculation_Audit stable ID; Countries country row</x:v>
      </x:c>
      <x:c r="K355" s="2" t="str">
        <x:v>scripts/olam-analyse.py: food_import</x:v>
      </x:c>
      <x:c r="L355" s="2" t="str">
        <x:v>Country atlas</x:v>
      </x:c>
      <x:c r="M355" s="2" t="str">
        <x:v>Includes multiple foods; no volume/capture or Olam revenue estimate</x:v>
      </x:c>
    </x:row>
    <x:row r="356" ht="70" customHeight="1">
      <x:c r="A356" s="2" t="str">
        <x:v>C-WBFOOD-MNG</x:v>
      </x:c>
      <x:c r="B356" s="2" t="str">
        <x:v>Broad food import proxy, not eligible category demand</x:v>
      </x:c>
      <x:c r="C356" s="2" t="str">
        <x:v>Same-year food merchandise-import share /100 × total merchandise imports</x:v>
      </x:c>
      <x:c r="D356" s="2" t="str">
        <x:v>MNG, 2023, exact matched observations in country-panel.csv</x:v>
      </x:c>
      <x:c r="E356" s="2" t="n">
        <x:v>1018448902.5490338</x:v>
      </x:c>
      <x:c r="F356" s="2" t="str">
        <x:v>Current USD; broad SITC food</x:v>
      </x:c>
      <x:c r="G356" s="2" t="str">
        <x:v>I-WBFOOD-MNG</x:v>
      </x:c>
      <x:c r="H356" s="2" t="str">
        <x:v>WB_food_import_share;WB_imports_usd</x:v>
      </x:c>
      <x:c r="I356" s="2" t="str"/>
      <x:c r="J356" s="2" t="str">
        <x:v>Calculation_Audit stable ID; Countries country row</x:v>
      </x:c>
      <x:c r="K356" s="2" t="str">
        <x:v>scripts/olam-analyse.py: food_import</x:v>
      </x:c>
      <x:c r="L356" s="2" t="str">
        <x:v>Country atlas</x:v>
      </x:c>
      <x:c r="M356" s="2" t="str">
        <x:v>Includes multiple foods; no volume/capture or Olam revenue estimate</x:v>
      </x:c>
    </x:row>
    <x:row r="357" ht="70" customHeight="1">
      <x:c r="A357" s="2" t="str">
        <x:v>C-WBFOOD-MNE</x:v>
      </x:c>
      <x:c r="B357" s="2" t="str">
        <x:v>Broad food import proxy, not eligible category demand</x:v>
      </x:c>
      <x:c r="C357" s="2" t="str">
        <x:v>Same-year food merchandise-import share /100 × total merchandise imports</x:v>
      </x:c>
      <x:c r="D357" s="2" t="str">
        <x:v>MNE, 2024, exact matched observations in country-panel.csv</x:v>
      </x:c>
      <x:c r="E357" s="2" t="n">
        <x:v>1038413787.3255388</x:v>
      </x:c>
      <x:c r="F357" s="2" t="str">
        <x:v>Current USD; broad SITC food</x:v>
      </x:c>
      <x:c r="G357" s="2" t="str">
        <x:v>I-WBFOOD-MNE</x:v>
      </x:c>
      <x:c r="H357" s="2" t="str">
        <x:v>WB_food_import_share;WB_imports_usd</x:v>
      </x:c>
      <x:c r="I357" s="2" t="str"/>
      <x:c r="J357" s="2" t="str">
        <x:v>Calculation_Audit stable ID; Countries country row</x:v>
      </x:c>
      <x:c r="K357" s="2" t="str">
        <x:v>scripts/olam-analyse.py: food_import</x:v>
      </x:c>
      <x:c r="L357" s="2" t="str">
        <x:v>Country atlas</x:v>
      </x:c>
      <x:c r="M357" s="2" t="str">
        <x:v>Includes multiple foods; no volume/capture or Olam revenue estimate</x:v>
      </x:c>
    </x:row>
    <x:row r="358" ht="70" customHeight="1">
      <x:c r="A358" s="2" t="str">
        <x:v>C-WBFOOD-MAR</x:v>
      </x:c>
      <x:c r="B358" s="2" t="str">
        <x:v>Broad food import proxy, not eligible category demand</x:v>
      </x:c>
      <x:c r="C358" s="2" t="str">
        <x:v>Same-year food merchandise-import share /100 × total merchandise imports</x:v>
      </x:c>
      <x:c r="D358" s="2" t="str">
        <x:v>MAR, 2024, exact matched observations in country-panel.csv</x:v>
      </x:c>
      <x:c r="E358" s="2" t="n">
        <x:v>8463887509.776004</x:v>
      </x:c>
      <x:c r="F358" s="2" t="str">
        <x:v>Current USD; broad SITC food</x:v>
      </x:c>
      <x:c r="G358" s="2" t="str">
        <x:v>I-WBFOOD-MAR</x:v>
      </x:c>
      <x:c r="H358" s="2" t="str">
        <x:v>WB_food_import_share;WB_imports_usd</x:v>
      </x:c>
      <x:c r="I358" s="2" t="str"/>
      <x:c r="J358" s="2" t="str">
        <x:v>Calculation_Audit stable ID; Countries country row</x:v>
      </x:c>
      <x:c r="K358" s="2" t="str">
        <x:v>scripts/olam-analyse.py: food_import</x:v>
      </x:c>
      <x:c r="L358" s="2" t="str">
        <x:v>Country atlas</x:v>
      </x:c>
      <x:c r="M358" s="2" t="str">
        <x:v>Includes multiple foods; no volume/capture or Olam revenue estimate</x:v>
      </x:c>
    </x:row>
    <x:row r="359" ht="70" customHeight="1">
      <x:c r="A359" s="2" t="str">
        <x:v>C-WBFOOD-MOZ</x:v>
      </x:c>
      <x:c r="B359" s="2" t="str">
        <x:v>Broad food import proxy, not eligible category demand</x:v>
      </x:c>
      <x:c r="C359" s="2" t="str">
        <x:v>Same-year food merchandise-import share /100 × total merchandise imports</x:v>
      </x:c>
      <x:c r="D359" s="2" t="str">
        <x:v>MOZ, 2024, exact matched observations in country-panel.csv</x:v>
      </x:c>
      <x:c r="E359" s="2" t="n">
        <x:v>1804725966.4594724</x:v>
      </x:c>
      <x:c r="F359" s="2" t="str">
        <x:v>Current USD; broad SITC food</x:v>
      </x:c>
      <x:c r="G359" s="2" t="str">
        <x:v>I-WBFOOD-MOZ</x:v>
      </x:c>
      <x:c r="H359" s="2" t="str">
        <x:v>WB_food_import_share;WB_imports_usd</x:v>
      </x:c>
      <x:c r="I359" s="2" t="str"/>
      <x:c r="J359" s="2" t="str">
        <x:v>Calculation_Audit stable ID; Countries country row</x:v>
      </x:c>
      <x:c r="K359" s="2" t="str">
        <x:v>scripts/olam-analyse.py: food_import</x:v>
      </x:c>
      <x:c r="L359" s="2" t="str">
        <x:v>Country atlas</x:v>
      </x:c>
      <x:c r="M359" s="2" t="str">
        <x:v>Includes multiple foods; no volume/capture or Olam revenue estimate</x:v>
      </x:c>
    </x:row>
    <x:row r="360" ht="70" customHeight="1">
      <x:c r="A360" s="2" t="str">
        <x:v>C-WBFOOD-MMR</x:v>
      </x:c>
      <x:c r="B360" s="2" t="str">
        <x:v>Broad food import proxy, not eligible category demand</x:v>
      </x:c>
      <x:c r="C360" s="2" t="str">
        <x:v>Same-year food merchandise-import share /100 × total merchandise imports</x:v>
      </x:c>
      <x:c r="D360" s="2" t="str">
        <x:v>MMR, 2024, exact matched observations in country-panel.csv</x:v>
      </x:c>
      <x:c r="E360" s="2" t="n">
        <x:v>1212591664.825881</x:v>
      </x:c>
      <x:c r="F360" s="2" t="str">
        <x:v>Current USD; broad SITC food</x:v>
      </x:c>
      <x:c r="G360" s="2" t="str">
        <x:v>I-WBFOOD-MMR</x:v>
      </x:c>
      <x:c r="H360" s="2" t="str">
        <x:v>WB_food_import_share;WB_imports_usd</x:v>
      </x:c>
      <x:c r="I360" s="2" t="str"/>
      <x:c r="J360" s="2" t="str">
        <x:v>Calculation_Audit stable ID; Countries country row</x:v>
      </x:c>
      <x:c r="K360" s="2" t="str">
        <x:v>scripts/olam-analyse.py: food_import</x:v>
      </x:c>
      <x:c r="L360" s="2" t="str">
        <x:v>Country atlas</x:v>
      </x:c>
      <x:c r="M360" s="2" t="str">
        <x:v>Includes multiple foods; no volume/capture or Olam revenue estimate</x:v>
      </x:c>
    </x:row>
    <x:row r="361" ht="70" customHeight="1">
      <x:c r="A361" s="2" t="str">
        <x:v>C-WBFOOD-NAM</x:v>
      </x:c>
      <x:c r="B361" s="2" t="str">
        <x:v>Broad food import proxy, not eligible category demand</x:v>
      </x:c>
      <x:c r="C361" s="2" t="str">
        <x:v>Same-year food merchandise-import share /100 × total merchandise imports</x:v>
      </x:c>
      <x:c r="D361" s="2" t="str">
        <x:v>NAM, 2024, exact matched observations in country-panel.csv</x:v>
      </x:c>
      <x:c r="E361" s="2" t="n">
        <x:v>1173936025.4273493</x:v>
      </x:c>
      <x:c r="F361" s="2" t="str">
        <x:v>Current USD; broad SITC food</x:v>
      </x:c>
      <x:c r="G361" s="2" t="str">
        <x:v>I-WBFOOD-NAM</x:v>
      </x:c>
      <x:c r="H361" s="2" t="str">
        <x:v>WB_food_import_share;WB_imports_usd</x:v>
      </x:c>
      <x:c r="I361" s="2" t="str"/>
      <x:c r="J361" s="2" t="str">
        <x:v>Calculation_Audit stable ID; Countries country row</x:v>
      </x:c>
      <x:c r="K361" s="2" t="str">
        <x:v>scripts/olam-analyse.py: food_import</x:v>
      </x:c>
      <x:c r="L361" s="2" t="str">
        <x:v>Country atlas</x:v>
      </x:c>
      <x:c r="M361" s="2" t="str">
        <x:v>Includes multiple foods; no volume/capture or Olam revenue estimate</x:v>
      </x:c>
    </x:row>
    <x:row r="362" ht="70" customHeight="1">
      <x:c r="A362" s="2" t="str">
        <x:v>C-WBFOOD-NPL</x:v>
      </x:c>
      <x:c r="B362" s="2" t="str">
        <x:v>Broad food import proxy, not eligible category demand</x:v>
      </x:c>
      <x:c r="C362" s="2" t="str">
        <x:v>Same-year food merchandise-import share /100 × total merchandise imports</x:v>
      </x:c>
      <x:c r="D362" s="2" t="str">
        <x:v>NPL, 2022, exact matched observations in country-panel.csv</x:v>
      </x:c>
      <x:c r="E362" s="2" t="n">
        <x:v>2467074499.2321577</x:v>
      </x:c>
      <x:c r="F362" s="2" t="str">
        <x:v>Current USD; broad SITC food</x:v>
      </x:c>
      <x:c r="G362" s="2" t="str">
        <x:v>I-WBFOOD-NPL</x:v>
      </x:c>
      <x:c r="H362" s="2" t="str">
        <x:v>WB_food_import_share;WB_imports_usd</x:v>
      </x:c>
      <x:c r="I362" s="2" t="str"/>
      <x:c r="J362" s="2" t="str">
        <x:v>Calculation_Audit stable ID; Countries country row</x:v>
      </x:c>
      <x:c r="K362" s="2" t="str">
        <x:v>scripts/olam-analyse.py: food_import</x:v>
      </x:c>
      <x:c r="L362" s="2" t="str">
        <x:v>Country atlas</x:v>
      </x:c>
      <x:c r="M362" s="2" t="str">
        <x:v>Includes multiple foods; no volume/capture or Olam revenue estimate</x:v>
      </x:c>
    </x:row>
    <x:row r="363" ht="70" customHeight="1">
      <x:c r="A363" s="2" t="str">
        <x:v>C-WBFOOD-NLD</x:v>
      </x:c>
      <x:c r="B363" s="2" t="str">
        <x:v>Broad food import proxy, not eligible category demand</x:v>
      </x:c>
      <x:c r="C363" s="2" t="str">
        <x:v>Same-year food merchandise-import share /100 × total merchandise imports</x:v>
      </x:c>
      <x:c r="D363" s="2" t="str">
        <x:v>NLD, 2024, exact matched observations in country-panel.csv</x:v>
      </x:c>
      <x:c r="E363" s="2" t="n">
        <x:v>108375015749.1762</x:v>
      </x:c>
      <x:c r="F363" s="2" t="str">
        <x:v>Current USD; broad SITC food</x:v>
      </x:c>
      <x:c r="G363" s="2" t="str">
        <x:v>I-WBFOOD-NLD</x:v>
      </x:c>
      <x:c r="H363" s="2" t="str">
        <x:v>WB_food_import_share;WB_imports_usd</x:v>
      </x:c>
      <x:c r="I363" s="2" t="str"/>
      <x:c r="J363" s="2" t="str">
        <x:v>Calculation_Audit stable ID; Countries country row</x:v>
      </x:c>
      <x:c r="K363" s="2" t="str">
        <x:v>scripts/olam-analyse.py: food_import</x:v>
      </x:c>
      <x:c r="L363" s="2" t="str">
        <x:v>Country atlas</x:v>
      </x:c>
      <x:c r="M363" s="2" t="str">
        <x:v>Includes multiple foods; no volume/capture or Olam revenue estimate</x:v>
      </x:c>
    </x:row>
    <x:row r="364" ht="70" customHeight="1">
      <x:c r="A364" s="2" t="str">
        <x:v>C-WBFOOD-NZL</x:v>
      </x:c>
      <x:c r="B364" s="2" t="str">
        <x:v>Broad food import proxy, not eligible category demand</x:v>
      </x:c>
      <x:c r="C364" s="2" t="str">
        <x:v>Same-year food merchandise-import share /100 × total merchandise imports</x:v>
      </x:c>
      <x:c r="D364" s="2" t="str">
        <x:v>NZL, 2025, exact matched observations in country-panel.csv</x:v>
      </x:c>
      <x:c r="E364" s="2" t="n">
        <x:v>6091539100.05747</x:v>
      </x:c>
      <x:c r="F364" s="2" t="str">
        <x:v>Current USD; broad SITC food</x:v>
      </x:c>
      <x:c r="G364" s="2" t="str">
        <x:v>I-WBFOOD-NZL</x:v>
      </x:c>
      <x:c r="H364" s="2" t="str">
        <x:v>WB_food_import_share;WB_imports_usd</x:v>
      </x:c>
      <x:c r="I364" s="2" t="str"/>
      <x:c r="J364" s="2" t="str">
        <x:v>Calculation_Audit stable ID; Countries country row</x:v>
      </x:c>
      <x:c r="K364" s="2" t="str">
        <x:v>scripts/olam-analyse.py: food_import</x:v>
      </x:c>
      <x:c r="L364" s="2" t="str">
        <x:v>Country atlas</x:v>
      </x:c>
      <x:c r="M364" s="2" t="str">
        <x:v>Includes multiple foods; no volume/capture or Olam revenue estimate</x:v>
      </x:c>
    </x:row>
    <x:row r="365" ht="70" customHeight="1">
      <x:c r="A365" s="2" t="str">
        <x:v>C-WBFOOD-NIC</x:v>
      </x:c>
      <x:c r="B365" s="2" t="str">
        <x:v>Broad food import proxy, not eligible category demand</x:v>
      </x:c>
      <x:c r="C365" s="2" t="str">
        <x:v>Same-year food merchandise-import share /100 × total merchandise imports</x:v>
      </x:c>
      <x:c r="D365" s="2" t="str">
        <x:v>NIC, 2024, exact matched observations in country-panel.csv</x:v>
      </x:c>
      <x:c r="E365" s="2" t="n">
        <x:v>1898647237.676474</x:v>
      </x:c>
      <x:c r="F365" s="2" t="str">
        <x:v>Current USD; broad SITC food</x:v>
      </x:c>
      <x:c r="G365" s="2" t="str">
        <x:v>I-WBFOOD-NIC</x:v>
      </x:c>
      <x:c r="H365" s="2" t="str">
        <x:v>WB_food_import_share;WB_imports_usd</x:v>
      </x:c>
      <x:c r="I365" s="2" t="str"/>
      <x:c r="J365" s="2" t="str">
        <x:v>Calculation_Audit stable ID; Countries country row</x:v>
      </x:c>
      <x:c r="K365" s="2" t="str">
        <x:v>scripts/olam-analyse.py: food_import</x:v>
      </x:c>
      <x:c r="L365" s="2" t="str">
        <x:v>Country atlas</x:v>
      </x:c>
      <x:c r="M365" s="2" t="str">
        <x:v>Includes multiple foods; no volume/capture or Olam revenue estimate</x:v>
      </x:c>
    </x:row>
    <x:row r="366" ht="70" customHeight="1">
      <x:c r="A366" s="2" t="str">
        <x:v>C-WBFOOD-NER</x:v>
      </x:c>
      <x:c r="B366" s="2" t="str">
        <x:v>Broad food import proxy, not eligible category demand</x:v>
      </x:c>
      <x:c r="C366" s="2" t="str">
        <x:v>Same-year food merchandise-import share /100 × total merchandise imports</x:v>
      </x:c>
      <x:c r="D366" s="2" t="str">
        <x:v>NER, 2024, exact matched observations in country-panel.csv</x:v>
      </x:c>
      <x:c r="E366" s="2" t="n">
        <x:v>957211632.1311792</x:v>
      </x:c>
      <x:c r="F366" s="2" t="str">
        <x:v>Current USD; broad SITC food</x:v>
      </x:c>
      <x:c r="G366" s="2" t="str">
        <x:v>I-WBFOOD-NER</x:v>
      </x:c>
      <x:c r="H366" s="2" t="str">
        <x:v>WB_food_import_share;WB_imports_usd</x:v>
      </x:c>
      <x:c r="I366" s="2" t="str"/>
      <x:c r="J366" s="2" t="str">
        <x:v>Calculation_Audit stable ID; Countries country row</x:v>
      </x:c>
      <x:c r="K366" s="2" t="str">
        <x:v>scripts/olam-analyse.py: food_import</x:v>
      </x:c>
      <x:c r="L366" s="2" t="str">
        <x:v>Country atlas</x:v>
      </x:c>
      <x:c r="M366" s="2" t="str">
        <x:v>Includes multiple foods; no volume/capture or Olam revenue estimate</x:v>
      </x:c>
    </x:row>
    <x:row r="367" ht="70" customHeight="1">
      <x:c r="A367" s="2" t="str">
        <x:v>C-WBFOOD-NGA</x:v>
      </x:c>
      <x:c r="B367" s="2" t="str">
        <x:v>Broad food import proxy, not eligible category demand</x:v>
      </x:c>
      <x:c r="C367" s="2" t="str">
        <x:v>Same-year food merchandise-import share /100 × total merchandise imports</x:v>
      </x:c>
      <x:c r="D367" s="2" t="str">
        <x:v>NGA, 2024, exact matched observations in country-panel.csv</x:v>
      </x:c>
      <x:c r="E367" s="2" t="n">
        <x:v>4545672778.745587</x:v>
      </x:c>
      <x:c r="F367" s="2" t="str">
        <x:v>Current USD; broad SITC food</x:v>
      </x:c>
      <x:c r="G367" s="2" t="str">
        <x:v>I-WBFOOD-NGA</x:v>
      </x:c>
      <x:c r="H367" s="2" t="str">
        <x:v>WB_food_import_share;WB_imports_usd</x:v>
      </x:c>
      <x:c r="I367" s="2" t="str"/>
      <x:c r="J367" s="2" t="str">
        <x:v>Calculation_Audit stable ID; Countries country row</x:v>
      </x:c>
      <x:c r="K367" s="2" t="str">
        <x:v>scripts/olam-analyse.py: food_import</x:v>
      </x:c>
      <x:c r="L367" s="2" t="str">
        <x:v>Country atlas</x:v>
      </x:c>
      <x:c r="M367" s="2" t="str">
        <x:v>Includes multiple foods; no volume/capture or Olam revenue estimate</x:v>
      </x:c>
    </x:row>
    <x:row r="368" ht="70" customHeight="1">
      <x:c r="A368" s="2" t="str">
        <x:v>C-WBFOOD-MKD</x:v>
      </x:c>
      <x:c r="B368" s="2" t="str">
        <x:v>Broad food import proxy, not eligible category demand</x:v>
      </x:c>
      <x:c r="C368" s="2" t="str">
        <x:v>Same-year food merchandise-import share /100 × total merchandise imports</x:v>
      </x:c>
      <x:c r="D368" s="2" t="str">
        <x:v>MKD, 2024, exact matched observations in country-panel.csv</x:v>
      </x:c>
      <x:c r="E368" s="2" t="n">
        <x:v>1403172578.691468</x:v>
      </x:c>
      <x:c r="F368" s="2" t="str">
        <x:v>Current USD; broad SITC food</x:v>
      </x:c>
      <x:c r="G368" s="2" t="str">
        <x:v>I-WBFOOD-MKD</x:v>
      </x:c>
      <x:c r="H368" s="2" t="str">
        <x:v>WB_food_import_share;WB_imports_usd</x:v>
      </x:c>
      <x:c r="I368" s="2" t="str"/>
      <x:c r="J368" s="2" t="str">
        <x:v>Calculation_Audit stable ID; Countries country row</x:v>
      </x:c>
      <x:c r="K368" s="2" t="str">
        <x:v>scripts/olam-analyse.py: food_import</x:v>
      </x:c>
      <x:c r="L368" s="2" t="str">
        <x:v>Country atlas</x:v>
      </x:c>
      <x:c r="M368" s="2" t="str">
        <x:v>Includes multiple foods; no volume/capture or Olam revenue estimate</x:v>
      </x:c>
    </x:row>
    <x:row r="369" ht="70" customHeight="1">
      <x:c r="A369" s="2" t="str">
        <x:v>C-WBFOOD-NOR</x:v>
      </x:c>
      <x:c r="B369" s="2" t="str">
        <x:v>Broad food import proxy, not eligible category demand</x:v>
      </x:c>
      <x:c r="C369" s="2" t="str">
        <x:v>Same-year food merchandise-import share /100 × total merchandise imports</x:v>
      </x:c>
      <x:c r="D369" s="2" t="str">
        <x:v>NOR, 2025, exact matched observations in country-panel.csv</x:v>
      </x:c>
      <x:c r="E369" s="2" t="n">
        <x:v>11913988875.386265</x:v>
      </x:c>
      <x:c r="F369" s="2" t="str">
        <x:v>Current USD; broad SITC food</x:v>
      </x:c>
      <x:c r="G369" s="2" t="str">
        <x:v>I-WBFOOD-NOR</x:v>
      </x:c>
      <x:c r="H369" s="2" t="str">
        <x:v>WB_food_import_share;WB_imports_usd</x:v>
      </x:c>
      <x:c r="I369" s="2" t="str"/>
      <x:c r="J369" s="2" t="str">
        <x:v>Calculation_Audit stable ID; Countries country row</x:v>
      </x:c>
      <x:c r="K369" s="2" t="str">
        <x:v>scripts/olam-analyse.py: food_import</x:v>
      </x:c>
      <x:c r="L369" s="2" t="str">
        <x:v>Country atlas</x:v>
      </x:c>
      <x:c r="M369" s="2" t="str">
        <x:v>Includes multiple foods; no volume/capture or Olam revenue estimate</x:v>
      </x:c>
    </x:row>
    <x:row r="370" ht="70" customHeight="1">
      <x:c r="A370" s="2" t="str">
        <x:v>C-WBFOOD-OMN</x:v>
      </x:c>
      <x:c r="B370" s="2" t="str">
        <x:v>Broad food import proxy, not eligible category demand</x:v>
      </x:c>
      <x:c r="C370" s="2" t="str">
        <x:v>Same-year food merchandise-import share /100 × total merchandise imports</x:v>
      </x:c>
      <x:c r="D370" s="2" t="str">
        <x:v>OMN, 2024, exact matched observations in country-panel.csv</x:v>
      </x:c>
      <x:c r="E370" s="2" t="n">
        <x:v>6036934615.077476</x:v>
      </x:c>
      <x:c r="F370" s="2" t="str">
        <x:v>Current USD; broad SITC food</x:v>
      </x:c>
      <x:c r="G370" s="2" t="str">
        <x:v>I-WBFOOD-OMN</x:v>
      </x:c>
      <x:c r="H370" s="2" t="str">
        <x:v>WB_food_import_share;WB_imports_usd</x:v>
      </x:c>
      <x:c r="I370" s="2" t="str"/>
      <x:c r="J370" s="2" t="str">
        <x:v>Calculation_Audit stable ID; Countries country row</x:v>
      </x:c>
      <x:c r="K370" s="2" t="str">
        <x:v>scripts/olam-analyse.py: food_import</x:v>
      </x:c>
      <x:c r="L370" s="2" t="str">
        <x:v>Country atlas</x:v>
      </x:c>
      <x:c r="M370" s="2" t="str">
        <x:v>Includes multiple foods; no volume/capture or Olam revenue estimate</x:v>
      </x:c>
    </x:row>
    <x:row r="371" ht="70" customHeight="1">
      <x:c r="A371" s="2" t="str">
        <x:v>C-WBFOOD-PAK</x:v>
      </x:c>
      <x:c r="B371" s="2" t="str">
        <x:v>Broad food import proxy, not eligible category demand</x:v>
      </x:c>
      <x:c r="C371" s="2" t="str">
        <x:v>Same-year food merchandise-import share /100 × total merchandise imports</x:v>
      </x:c>
      <x:c r="D371" s="2" t="str">
        <x:v>PAK, 2024, exact matched observations in country-panel.csv</x:v>
      </x:c>
      <x:c r="E371" s="2" t="n">
        <x:v>8379735144.687548</x:v>
      </x:c>
      <x:c r="F371" s="2" t="str">
        <x:v>Current USD; broad SITC food</x:v>
      </x:c>
      <x:c r="G371" s="2" t="str">
        <x:v>I-WBFOOD-PAK</x:v>
      </x:c>
      <x:c r="H371" s="2" t="str">
        <x:v>WB_food_import_share;WB_imports_usd</x:v>
      </x:c>
      <x:c r="I371" s="2" t="str"/>
      <x:c r="J371" s="2" t="str">
        <x:v>Calculation_Audit stable ID; Countries country row</x:v>
      </x:c>
      <x:c r="K371" s="2" t="str">
        <x:v>scripts/olam-analyse.py: food_import</x:v>
      </x:c>
      <x:c r="L371" s="2" t="str">
        <x:v>Country atlas</x:v>
      </x:c>
      <x:c r="M371" s="2" t="str">
        <x:v>Includes multiple foods; no volume/capture or Olam revenue estimate</x:v>
      </x:c>
    </x:row>
    <x:row r="372" ht="70" customHeight="1">
      <x:c r="A372" s="2" t="str">
        <x:v>C-WBFOOD-PLW</x:v>
      </x:c>
      <x:c r="B372" s="2" t="str">
        <x:v>Broad food import proxy, not eligible category demand</x:v>
      </x:c>
      <x:c r="C372" s="2" t="str">
        <x:v>Same-year food merchandise-import share /100 × total merchandise imports</x:v>
      </x:c>
      <x:c r="D372" s="2" t="str">
        <x:v>PLW, 2018, exact matched observations in country-panel.csv</x:v>
      </x:c>
      <x:c r="E372" s="2" t="n">
        <x:v>40403335.559681244</x:v>
      </x:c>
      <x:c r="F372" s="2" t="str">
        <x:v>Current USD; broad SITC food</x:v>
      </x:c>
      <x:c r="G372" s="2" t="str">
        <x:v>I-WBFOOD-PLW</x:v>
      </x:c>
      <x:c r="H372" s="2" t="str">
        <x:v>WB_food_import_share;WB_imports_usd</x:v>
      </x:c>
      <x:c r="I372" s="2" t="str"/>
      <x:c r="J372" s="2" t="str">
        <x:v>Calculation_Audit stable ID; Countries country row</x:v>
      </x:c>
      <x:c r="K372" s="2" t="str">
        <x:v>scripts/olam-analyse.py: food_import</x:v>
      </x:c>
      <x:c r="L372" s="2" t="str">
        <x:v>Country atlas</x:v>
      </x:c>
      <x:c r="M372" s="2" t="str">
        <x:v>Includes multiple foods; no volume/capture or Olam revenue estimate</x:v>
      </x:c>
    </x:row>
    <x:row r="373" ht="70" customHeight="1">
      <x:c r="A373" s="2" t="str">
        <x:v>C-WBFOOD-PAN</x:v>
      </x:c>
      <x:c r="B373" s="2" t="str">
        <x:v>Broad food import proxy, not eligible category demand</x:v>
      </x:c>
      <x:c r="C373" s="2" t="str">
        <x:v>Same-year food merchandise-import share /100 × total merchandise imports</x:v>
      </x:c>
      <x:c r="D373" s="2" t="str">
        <x:v>PAN, 2024, exact matched observations in country-panel.csv</x:v>
      </x:c>
      <x:c r="E373" s="2" t="n">
        <x:v>4998224452.48518</x:v>
      </x:c>
      <x:c r="F373" s="2" t="str">
        <x:v>Current USD; broad SITC food</x:v>
      </x:c>
      <x:c r="G373" s="2" t="str">
        <x:v>I-WBFOOD-PAN</x:v>
      </x:c>
      <x:c r="H373" s="2" t="str">
        <x:v>WB_food_import_share;WB_imports_usd</x:v>
      </x:c>
      <x:c r="I373" s="2" t="str"/>
      <x:c r="J373" s="2" t="str">
        <x:v>Calculation_Audit stable ID; Countries country row</x:v>
      </x:c>
      <x:c r="K373" s="2" t="str">
        <x:v>scripts/olam-analyse.py: food_import</x:v>
      </x:c>
      <x:c r="L373" s="2" t="str">
        <x:v>Country atlas</x:v>
      </x:c>
      <x:c r="M373" s="2" t="str">
        <x:v>Includes multiple foods; no volume/capture or Olam revenue estimate</x:v>
      </x:c>
    </x:row>
    <x:row r="374" ht="70" customHeight="1">
      <x:c r="A374" s="2" t="str">
        <x:v>C-WBFOOD-PNG</x:v>
      </x:c>
      <x:c r="B374" s="2" t="str">
        <x:v>Broad food import proxy, not eligible category demand</x:v>
      </x:c>
      <x:c r="C374" s="2" t="str">
        <x:v>Same-year food merchandise-import share /100 × total merchandise imports</x:v>
      </x:c>
      <x:c r="D374" s="2" t="str">
        <x:v>PNG, 2023, exact matched observations in country-panel.csv</x:v>
      </x:c>
      <x:c r="E374" s="2" t="n">
        <x:v>891879444.1693001</x:v>
      </x:c>
      <x:c r="F374" s="2" t="str">
        <x:v>Current USD; broad SITC food</x:v>
      </x:c>
      <x:c r="G374" s="2" t="str">
        <x:v>I-WBFOOD-PNG</x:v>
      </x:c>
      <x:c r="H374" s="2" t="str">
        <x:v>WB_food_import_share;WB_imports_usd</x:v>
      </x:c>
      <x:c r="I374" s="2" t="str"/>
      <x:c r="J374" s="2" t="str">
        <x:v>Calculation_Audit stable ID; Countries country row</x:v>
      </x:c>
      <x:c r="K374" s="2" t="str">
        <x:v>scripts/olam-analyse.py: food_import</x:v>
      </x:c>
      <x:c r="L374" s="2" t="str">
        <x:v>Country atlas</x:v>
      </x:c>
      <x:c r="M374" s="2" t="str">
        <x:v>Includes multiple foods; no volume/capture or Olam revenue estimate</x:v>
      </x:c>
    </x:row>
    <x:row r="375" ht="70" customHeight="1">
      <x:c r="A375" s="2" t="str">
        <x:v>C-WBFOOD-PRY</x:v>
      </x:c>
      <x:c r="B375" s="2" t="str">
        <x:v>Broad food import proxy, not eligible category demand</x:v>
      </x:c>
      <x:c r="C375" s="2" t="str">
        <x:v>Same-year food merchandise-import share /100 × total merchandise imports</x:v>
      </x:c>
      <x:c r="D375" s="2" t="str">
        <x:v>PRY, 2025, exact matched observations in country-panel.csv</x:v>
      </x:c>
      <x:c r="E375" s="2" t="n">
        <x:v>1492771074.0706718</x:v>
      </x:c>
      <x:c r="F375" s="2" t="str">
        <x:v>Current USD; broad SITC food</x:v>
      </x:c>
      <x:c r="G375" s="2" t="str">
        <x:v>I-WBFOOD-PRY</x:v>
      </x:c>
      <x:c r="H375" s="2" t="str">
        <x:v>WB_food_import_share;WB_imports_usd</x:v>
      </x:c>
      <x:c r="I375" s="2" t="str"/>
      <x:c r="J375" s="2" t="str">
        <x:v>Calculation_Audit stable ID; Countries country row</x:v>
      </x:c>
      <x:c r="K375" s="2" t="str">
        <x:v>scripts/olam-analyse.py: food_import</x:v>
      </x:c>
      <x:c r="L375" s="2" t="str">
        <x:v>Country atlas</x:v>
      </x:c>
      <x:c r="M375" s="2" t="str">
        <x:v>Includes multiple foods; no volume/capture or Olam revenue estimate</x:v>
      </x:c>
    </x:row>
    <x:row r="376" ht="70" customHeight="1">
      <x:c r="A376" s="2" t="str">
        <x:v>C-WBFOOD-PER</x:v>
      </x:c>
      <x:c r="B376" s="2" t="str">
        <x:v>Broad food import proxy, not eligible category demand</x:v>
      </x:c>
      <x:c r="C376" s="2" t="str">
        <x:v>Same-year food merchandise-import share /100 × total merchandise imports</x:v>
      </x:c>
      <x:c r="D376" s="2" t="str">
        <x:v>PER, 2024, exact matched observations in country-panel.csv</x:v>
      </x:c>
      <x:c r="E376" s="2" t="n">
        <x:v>6583080591.7393675</x:v>
      </x:c>
      <x:c r="F376" s="2" t="str">
        <x:v>Current USD; broad SITC food</x:v>
      </x:c>
      <x:c r="G376" s="2" t="str">
        <x:v>I-WBFOOD-PER</x:v>
      </x:c>
      <x:c r="H376" s="2" t="str">
        <x:v>WB_food_import_share;WB_imports_usd</x:v>
      </x:c>
      <x:c r="I376" s="2" t="str"/>
      <x:c r="J376" s="2" t="str">
        <x:v>Calculation_Audit stable ID; Countries country row</x:v>
      </x:c>
      <x:c r="K376" s="2" t="str">
        <x:v>scripts/olam-analyse.py: food_import</x:v>
      </x:c>
      <x:c r="L376" s="2" t="str">
        <x:v>Country atlas</x:v>
      </x:c>
      <x:c r="M376" s="2" t="str">
        <x:v>Includes multiple foods; no volume/capture or Olam revenue estimate</x:v>
      </x:c>
    </x:row>
    <x:row r="377" ht="70" customHeight="1">
      <x:c r="A377" s="2" t="str">
        <x:v>C-WBFOOD-PHL</x:v>
      </x:c>
      <x:c r="B377" s="2" t="str">
        <x:v>Broad food import proxy, not eligible category demand</x:v>
      </x:c>
      <x:c r="C377" s="2" t="str">
        <x:v>Same-year food merchandise-import share /100 × total merchandise imports</x:v>
      </x:c>
      <x:c r="D377" s="2" t="str">
        <x:v>PHL, 2024, exact matched observations in country-panel.csv</x:v>
      </x:c>
      <x:c r="E377" s="2" t="n">
        <x:v>20245108970.196888</x:v>
      </x:c>
      <x:c r="F377" s="2" t="str">
        <x:v>Current USD; broad SITC food</x:v>
      </x:c>
      <x:c r="G377" s="2" t="str">
        <x:v>I-WBFOOD-PHL</x:v>
      </x:c>
      <x:c r="H377" s="2" t="str">
        <x:v>WB_food_import_share;WB_imports_usd</x:v>
      </x:c>
      <x:c r="I377" s="2" t="str"/>
      <x:c r="J377" s="2" t="str">
        <x:v>Calculation_Audit stable ID; Countries country row</x:v>
      </x:c>
      <x:c r="K377" s="2" t="str">
        <x:v>scripts/olam-analyse.py: food_import</x:v>
      </x:c>
      <x:c r="L377" s="2" t="str">
        <x:v>Country atlas</x:v>
      </x:c>
      <x:c r="M377" s="2" t="str">
        <x:v>Includes multiple foods; no volume/capture or Olam revenue estimate</x:v>
      </x:c>
    </x:row>
    <x:row r="378" ht="70" customHeight="1">
      <x:c r="A378" s="2" t="str">
        <x:v>C-WBFOOD-POL</x:v>
      </x:c>
      <x:c r="B378" s="2" t="str">
        <x:v>Broad food import proxy, not eligible category demand</x:v>
      </x:c>
      <x:c r="C378" s="2" t="str">
        <x:v>Same-year food merchandise-import share /100 × total merchandise imports</x:v>
      </x:c>
      <x:c r="D378" s="2" t="str">
        <x:v>POL, 2024, exact matched observations in country-panel.csv</x:v>
      </x:c>
      <x:c r="E378" s="2" t="n">
        <x:v>37163711310.023224</x:v>
      </x:c>
      <x:c r="F378" s="2" t="str">
        <x:v>Current USD; broad SITC food</x:v>
      </x:c>
      <x:c r="G378" s="2" t="str">
        <x:v>I-WBFOOD-POL</x:v>
      </x:c>
      <x:c r="H378" s="2" t="str">
        <x:v>WB_food_import_share;WB_imports_usd</x:v>
      </x:c>
      <x:c r="I378" s="2" t="str"/>
      <x:c r="J378" s="2" t="str">
        <x:v>Calculation_Audit stable ID; Countries country row</x:v>
      </x:c>
      <x:c r="K378" s="2" t="str">
        <x:v>scripts/olam-analyse.py: food_import</x:v>
      </x:c>
      <x:c r="L378" s="2" t="str">
        <x:v>Country atlas</x:v>
      </x:c>
      <x:c r="M378" s="2" t="str">
        <x:v>Includes multiple foods; no volume/capture or Olam revenue estimate</x:v>
      </x:c>
    </x:row>
    <x:row r="379" ht="70" customHeight="1">
      <x:c r="A379" s="2" t="str">
        <x:v>C-WBFOOD-PRT</x:v>
      </x:c>
      <x:c r="B379" s="2" t="str">
        <x:v>Broad food import proxy, not eligible category demand</x:v>
      </x:c>
      <x:c r="C379" s="2" t="str">
        <x:v>Same-year food merchandise-import share /100 × total merchandise imports</x:v>
      </x:c>
      <x:c r="D379" s="2" t="str">
        <x:v>PRT, 2025, exact matched observations in country-panel.csv</x:v>
      </x:c>
      <x:c r="E379" s="2" t="n">
        <x:v>20007764958.142635</x:v>
      </x:c>
      <x:c r="F379" s="2" t="str">
        <x:v>Current USD; broad SITC food</x:v>
      </x:c>
      <x:c r="G379" s="2" t="str">
        <x:v>I-WBFOOD-PRT</x:v>
      </x:c>
      <x:c r="H379" s="2" t="str">
        <x:v>WB_food_import_share;WB_imports_usd</x:v>
      </x:c>
      <x:c r="I379" s="2" t="str"/>
      <x:c r="J379" s="2" t="str">
        <x:v>Calculation_Audit stable ID; Countries country row</x:v>
      </x:c>
      <x:c r="K379" s="2" t="str">
        <x:v>scripts/olam-analyse.py: food_import</x:v>
      </x:c>
      <x:c r="L379" s="2" t="str">
        <x:v>Country atlas</x:v>
      </x:c>
      <x:c r="M379" s="2" t="str">
        <x:v>Includes multiple foods; no volume/capture or Olam revenue estimate</x:v>
      </x:c>
    </x:row>
    <x:row r="380" ht="70" customHeight="1">
      <x:c r="A380" s="2" t="str">
        <x:v>C-WBFOOD-QAT</x:v>
      </x:c>
      <x:c r="B380" s="2" t="str">
        <x:v>Broad food import proxy, not eligible category demand</x:v>
      </x:c>
      <x:c r="C380" s="2" t="str">
        <x:v>Same-year food merchandise-import share /100 × total merchandise imports</x:v>
      </x:c>
      <x:c r="D380" s="2" t="str">
        <x:v>QAT, 2024, exact matched observations in country-panel.csv</x:v>
      </x:c>
      <x:c r="E380" s="2" t="n">
        <x:v>4003485454.598779</x:v>
      </x:c>
      <x:c r="F380" s="2" t="str">
        <x:v>Current USD; broad SITC food</x:v>
      </x:c>
      <x:c r="G380" s="2" t="str">
        <x:v>I-WBFOOD-QAT</x:v>
      </x:c>
      <x:c r="H380" s="2" t="str">
        <x:v>WB_food_import_share;WB_imports_usd</x:v>
      </x:c>
      <x:c r="I380" s="2" t="str"/>
      <x:c r="J380" s="2" t="str">
        <x:v>Calculation_Audit stable ID; Countries country row</x:v>
      </x:c>
      <x:c r="K380" s="2" t="str">
        <x:v>scripts/olam-analyse.py: food_import</x:v>
      </x:c>
      <x:c r="L380" s="2" t="str">
        <x:v>Country atlas</x:v>
      </x:c>
      <x:c r="M380" s="2" t="str">
        <x:v>Includes multiple foods; no volume/capture or Olam revenue estimate</x:v>
      </x:c>
    </x:row>
    <x:row r="381" ht="70" customHeight="1">
      <x:c r="A381" s="2" t="str">
        <x:v>C-WBFOOD-KOR</x:v>
      </x:c>
      <x:c r="B381" s="2" t="str">
        <x:v>Broad food import proxy, not eligible category demand</x:v>
      </x:c>
      <x:c r="C381" s="2" t="str">
        <x:v>Same-year food merchandise-import share /100 × total merchandise imports</x:v>
      </x:c>
      <x:c r="D381" s="2" t="str">
        <x:v>KOR, 2024, exact matched observations in country-panel.csv</x:v>
      </x:c>
      <x:c r="E381" s="2" t="n">
        <x:v>39732796329.56</x:v>
      </x:c>
      <x:c r="F381" s="2" t="str">
        <x:v>Current USD; broad SITC food</x:v>
      </x:c>
      <x:c r="G381" s="2" t="str">
        <x:v>I-WBFOOD-KOR</x:v>
      </x:c>
      <x:c r="H381" s="2" t="str">
        <x:v>WB_food_import_share;WB_imports_usd</x:v>
      </x:c>
      <x:c r="I381" s="2" t="str"/>
      <x:c r="J381" s="2" t="str">
        <x:v>Calculation_Audit stable ID; Countries country row</x:v>
      </x:c>
      <x:c r="K381" s="2" t="str">
        <x:v>scripts/olam-analyse.py: food_import</x:v>
      </x:c>
      <x:c r="L381" s="2" t="str">
        <x:v>Country atlas</x:v>
      </x:c>
      <x:c r="M381" s="2" t="str">
        <x:v>Includes multiple foods; no volume/capture or Olam revenue estimate</x:v>
      </x:c>
    </x:row>
    <x:row r="382" ht="70" customHeight="1">
      <x:c r="A382" s="2" t="str">
        <x:v>C-WBFOOD-MDA</x:v>
      </x:c>
      <x:c r="B382" s="2" t="str">
        <x:v>Broad food import proxy, not eligible category demand</x:v>
      </x:c>
      <x:c r="C382" s="2" t="str">
        <x:v>Same-year food merchandise-import share /100 × total merchandise imports</x:v>
      </x:c>
      <x:c r="D382" s="2" t="str">
        <x:v>MDA, 2024, exact matched observations in country-panel.csv</x:v>
      </x:c>
      <x:c r="E382" s="2" t="n">
        <x:v>1395864141.143493</x:v>
      </x:c>
      <x:c r="F382" s="2" t="str">
        <x:v>Current USD; broad SITC food</x:v>
      </x:c>
      <x:c r="G382" s="2" t="str">
        <x:v>I-WBFOOD-MDA</x:v>
      </x:c>
      <x:c r="H382" s="2" t="str">
        <x:v>WB_food_import_share;WB_imports_usd</x:v>
      </x:c>
      <x:c r="I382" s="2" t="str"/>
      <x:c r="J382" s="2" t="str">
        <x:v>Calculation_Audit stable ID; Countries country row</x:v>
      </x:c>
      <x:c r="K382" s="2" t="str">
        <x:v>scripts/olam-analyse.py: food_import</x:v>
      </x:c>
      <x:c r="L382" s="2" t="str">
        <x:v>Country atlas</x:v>
      </x:c>
      <x:c r="M382" s="2" t="str">
        <x:v>Includes multiple foods; no volume/capture or Olam revenue estimate</x:v>
      </x:c>
    </x:row>
    <x:row r="383" ht="70" customHeight="1">
      <x:c r="A383" s="2" t="str">
        <x:v>C-WBFOOD-ROU</x:v>
      </x:c>
      <x:c r="B383" s="2" t="str">
        <x:v>Broad food import proxy, not eligible category demand</x:v>
      </x:c>
      <x:c r="C383" s="2" t="str">
        <x:v>Same-year food merchandise-import share /100 × total merchandise imports</x:v>
      </x:c>
      <x:c r="D383" s="2" t="str">
        <x:v>ROU, 2024, exact matched observations in country-panel.csv</x:v>
      </x:c>
      <x:c r="E383" s="2" t="n">
        <x:v>14592229550.142183</x:v>
      </x:c>
      <x:c r="F383" s="2" t="str">
        <x:v>Current USD; broad SITC food</x:v>
      </x:c>
      <x:c r="G383" s="2" t="str">
        <x:v>I-WBFOOD-ROU</x:v>
      </x:c>
      <x:c r="H383" s="2" t="str">
        <x:v>WB_food_import_share;WB_imports_usd</x:v>
      </x:c>
      <x:c r="I383" s="2" t="str"/>
      <x:c r="J383" s="2" t="str">
        <x:v>Calculation_Audit stable ID; Countries country row</x:v>
      </x:c>
      <x:c r="K383" s="2" t="str">
        <x:v>scripts/olam-analyse.py: food_import</x:v>
      </x:c>
      <x:c r="L383" s="2" t="str">
        <x:v>Country atlas</x:v>
      </x:c>
      <x:c r="M383" s="2" t="str">
        <x:v>Includes multiple foods; no volume/capture or Olam revenue estimate</x:v>
      </x:c>
    </x:row>
    <x:row r="384" ht="70" customHeight="1">
      <x:c r="A384" s="2" t="str">
        <x:v>C-WBFOOD-RUS</x:v>
      </x:c>
      <x:c r="B384" s="2" t="str">
        <x:v>Broad food import proxy, not eligible category demand</x:v>
      </x:c>
      <x:c r="C384" s="2" t="str">
        <x:v>Same-year food merchandise-import share /100 × total merchandise imports</x:v>
      </x:c>
      <x:c r="D384" s="2" t="str">
        <x:v>RUS, 2021, exact matched observations in country-panel.csv</x:v>
      </x:c>
      <x:c r="E384" s="2" t="n">
        <x:v>32689193358.729317</x:v>
      </x:c>
      <x:c r="F384" s="2" t="str">
        <x:v>Current USD; broad SITC food</x:v>
      </x:c>
      <x:c r="G384" s="2" t="str">
        <x:v>I-WBFOOD-RUS</x:v>
      </x:c>
      <x:c r="H384" s="2" t="str">
        <x:v>WB_food_import_share;WB_imports_usd</x:v>
      </x:c>
      <x:c r="I384" s="2" t="str"/>
      <x:c r="J384" s="2" t="str">
        <x:v>Calculation_Audit stable ID; Countries country row</x:v>
      </x:c>
      <x:c r="K384" s="2" t="str">
        <x:v>scripts/olam-analyse.py: food_import</x:v>
      </x:c>
      <x:c r="L384" s="2" t="str">
        <x:v>Country atlas</x:v>
      </x:c>
      <x:c r="M384" s="2" t="str">
        <x:v>Includes multiple foods; no volume/capture or Olam revenue estimate</x:v>
      </x:c>
    </x:row>
    <x:row r="385" ht="70" customHeight="1">
      <x:c r="A385" s="2" t="str">
        <x:v>C-WBFOOD-RWA</x:v>
      </x:c>
      <x:c r="B385" s="2" t="str">
        <x:v>Broad food import proxy, not eligible category demand</x:v>
      </x:c>
      <x:c r="C385" s="2" t="str">
        <x:v>Same-year food merchandise-import share /100 × total merchandise imports</x:v>
      </x:c>
      <x:c r="D385" s="2" t="str">
        <x:v>RWA, 2022, exact matched observations in country-panel.csv</x:v>
      </x:c>
      <x:c r="E385" s="2" t="n">
        <x:v>1002356989.837338</x:v>
      </x:c>
      <x:c r="F385" s="2" t="str">
        <x:v>Current USD; broad SITC food</x:v>
      </x:c>
      <x:c r="G385" s="2" t="str">
        <x:v>I-WBFOOD-RWA</x:v>
      </x:c>
      <x:c r="H385" s="2" t="str">
        <x:v>WB_food_import_share;WB_imports_usd</x:v>
      </x:c>
      <x:c r="I385" s="2" t="str"/>
      <x:c r="J385" s="2" t="str">
        <x:v>Calculation_Audit stable ID; Countries country row</x:v>
      </x:c>
      <x:c r="K385" s="2" t="str">
        <x:v>scripts/olam-analyse.py: food_import</x:v>
      </x:c>
      <x:c r="L385" s="2" t="str">
        <x:v>Country atlas</x:v>
      </x:c>
      <x:c r="M385" s="2" t="str">
        <x:v>Includes multiple foods; no volume/capture or Olam revenue estimate</x:v>
      </x:c>
    </x:row>
    <x:row r="386" ht="70" customHeight="1">
      <x:c r="A386" s="2" t="str">
        <x:v>C-WBFOOD-KNA</x:v>
      </x:c>
      <x:c r="B386" s="2" t="str">
        <x:v>Broad food import proxy, not eligible category demand</x:v>
      </x:c>
      <x:c r="C386" s="2" t="str">
        <x:v>Same-year food merchandise-import share /100 × total merchandise imports</x:v>
      </x:c>
      <x:c r="D386" s="2" t="str">
        <x:v>KNA, 2017, exact matched observations in country-panel.csv</x:v>
      </x:c>
      <x:c r="E386" s="2" t="n">
        <x:v>78439335.32722318</x:v>
      </x:c>
      <x:c r="F386" s="2" t="str">
        <x:v>Current USD; broad SITC food</x:v>
      </x:c>
      <x:c r="G386" s="2" t="str">
        <x:v>I-WBFOOD-KNA</x:v>
      </x:c>
      <x:c r="H386" s="2" t="str">
        <x:v>WB_food_import_share;WB_imports_usd</x:v>
      </x:c>
      <x:c r="I386" s="2" t="str"/>
      <x:c r="J386" s="2" t="str">
        <x:v>Calculation_Audit stable ID; Countries country row</x:v>
      </x:c>
      <x:c r="K386" s="2" t="str">
        <x:v>scripts/olam-analyse.py: food_import</x:v>
      </x:c>
      <x:c r="L386" s="2" t="str">
        <x:v>Country atlas</x:v>
      </x:c>
      <x:c r="M386" s="2" t="str">
        <x:v>Includes multiple foods; no volume/capture or Olam revenue estimate</x:v>
      </x:c>
    </x:row>
    <x:row r="387" ht="70" customHeight="1">
      <x:c r="A387" s="2" t="str">
        <x:v>C-WBFOOD-LCA</x:v>
      </x:c>
      <x:c r="B387" s="2" t="str">
        <x:v>Broad food import proxy, not eligible category demand</x:v>
      </x:c>
      <x:c r="C387" s="2" t="str">
        <x:v>Same-year food merchandise-import share /100 × total merchandise imports</x:v>
      </x:c>
      <x:c r="D387" s="2" t="str">
        <x:v>LCA, 2020, exact matched observations in country-panel.csv</x:v>
      </x:c>
      <x:c r="E387" s="2" t="n">
        <x:v>139320946.3522852</x:v>
      </x:c>
      <x:c r="F387" s="2" t="str">
        <x:v>Current USD; broad SITC food</x:v>
      </x:c>
      <x:c r="G387" s="2" t="str">
        <x:v>I-WBFOOD-LCA</x:v>
      </x:c>
      <x:c r="H387" s="2" t="str">
        <x:v>WB_food_import_share;WB_imports_usd</x:v>
      </x:c>
      <x:c r="I387" s="2" t="str"/>
      <x:c r="J387" s="2" t="str">
        <x:v>Calculation_Audit stable ID; Countries country row</x:v>
      </x:c>
      <x:c r="K387" s="2" t="str">
        <x:v>scripts/olam-analyse.py: food_import</x:v>
      </x:c>
      <x:c r="L387" s="2" t="str">
        <x:v>Country atlas</x:v>
      </x:c>
      <x:c r="M387" s="2" t="str">
        <x:v>Includes multiple foods; no volume/capture or Olam revenue estimate</x:v>
      </x:c>
    </x:row>
    <x:row r="388" ht="70" customHeight="1">
      <x:c r="A388" s="2" t="str">
        <x:v>C-WBFOOD-VCT</x:v>
      </x:c>
      <x:c r="B388" s="2" t="str">
        <x:v>Broad food import proxy, not eligible category demand</x:v>
      </x:c>
      <x:c r="C388" s="2" t="str">
        <x:v>Same-year food merchandise-import share /100 × total merchandise imports</x:v>
      </x:c>
      <x:c r="D388" s="2" t="str">
        <x:v>VCT, 2023, exact matched observations in country-panel.csv</x:v>
      </x:c>
      <x:c r="E388" s="2" t="n">
        <x:v>118542155.84744492</x:v>
      </x:c>
      <x:c r="F388" s="2" t="str">
        <x:v>Current USD; broad SITC food</x:v>
      </x:c>
      <x:c r="G388" s="2" t="str">
        <x:v>I-WBFOOD-VCT</x:v>
      </x:c>
      <x:c r="H388" s="2" t="str">
        <x:v>WB_food_import_share;WB_imports_usd</x:v>
      </x:c>
      <x:c r="I388" s="2" t="str"/>
      <x:c r="J388" s="2" t="str">
        <x:v>Calculation_Audit stable ID; Countries country row</x:v>
      </x:c>
      <x:c r="K388" s="2" t="str">
        <x:v>scripts/olam-analyse.py: food_import</x:v>
      </x:c>
      <x:c r="L388" s="2" t="str">
        <x:v>Country atlas</x:v>
      </x:c>
      <x:c r="M388" s="2" t="str">
        <x:v>Includes multiple foods; no volume/capture or Olam revenue estimate</x:v>
      </x:c>
    </x:row>
    <x:row r="389" ht="70" customHeight="1">
      <x:c r="A389" s="2" t="str">
        <x:v>C-WBFOOD-WSM</x:v>
      </x:c>
      <x:c r="B389" s="2" t="str">
        <x:v>Broad food import proxy, not eligible category demand</x:v>
      </x:c>
      <x:c r="C389" s="2" t="str">
        <x:v>Same-year food merchandise-import share /100 × total merchandise imports</x:v>
      </x:c>
      <x:c r="D389" s="2" t="str">
        <x:v>WSM, 2024, exact matched observations in country-panel.csv</x:v>
      </x:c>
      <x:c r="E389" s="2" t="n">
        <x:v>145197308.3270937</x:v>
      </x:c>
      <x:c r="F389" s="2" t="str">
        <x:v>Current USD; broad SITC food</x:v>
      </x:c>
      <x:c r="G389" s="2" t="str">
        <x:v>I-WBFOOD-WSM</x:v>
      </x:c>
      <x:c r="H389" s="2" t="str">
        <x:v>WB_food_import_share;WB_imports_usd</x:v>
      </x:c>
      <x:c r="I389" s="2" t="str"/>
      <x:c r="J389" s="2" t="str">
        <x:v>Calculation_Audit stable ID; Countries country row</x:v>
      </x:c>
      <x:c r="K389" s="2" t="str">
        <x:v>scripts/olam-analyse.py: food_import</x:v>
      </x:c>
      <x:c r="L389" s="2" t="str">
        <x:v>Country atlas</x:v>
      </x:c>
      <x:c r="M389" s="2" t="str">
        <x:v>Includes multiple foods; no volume/capture or Olam revenue estimate</x:v>
      </x:c>
    </x:row>
    <x:row r="390" ht="70" customHeight="1">
      <x:c r="A390" s="2" t="str">
        <x:v>C-WBFOOD-STP</x:v>
      </x:c>
      <x:c r="B390" s="2" t="str">
        <x:v>Broad food import proxy, not eligible category demand</x:v>
      </x:c>
      <x:c r="C390" s="2" t="str">
        <x:v>Same-year food merchandise-import share /100 × total merchandise imports</x:v>
      </x:c>
      <x:c r="D390" s="2" t="str">
        <x:v>STP, 2023, exact matched observations in country-panel.csv</x:v>
      </x:c>
      <x:c r="E390" s="2" t="n">
        <x:v>58539324.17557372</x:v>
      </x:c>
      <x:c r="F390" s="2" t="str">
        <x:v>Current USD; broad SITC food</x:v>
      </x:c>
      <x:c r="G390" s="2" t="str">
        <x:v>I-WBFOOD-STP</x:v>
      </x:c>
      <x:c r="H390" s="2" t="str">
        <x:v>WB_food_import_share;WB_imports_usd</x:v>
      </x:c>
      <x:c r="I390" s="2" t="str"/>
      <x:c r="J390" s="2" t="str">
        <x:v>Calculation_Audit stable ID; Countries country row</x:v>
      </x:c>
      <x:c r="K390" s="2" t="str">
        <x:v>scripts/olam-analyse.py: food_import</x:v>
      </x:c>
      <x:c r="L390" s="2" t="str">
        <x:v>Country atlas</x:v>
      </x:c>
      <x:c r="M390" s="2" t="str">
        <x:v>Includes multiple foods; no volume/capture or Olam revenue estimate</x:v>
      </x:c>
    </x:row>
    <x:row r="391" ht="70" customHeight="1">
      <x:c r="A391" s="2" t="str">
        <x:v>C-WBFOOD-SAU</x:v>
      </x:c>
      <x:c r="B391" s="2" t="str">
        <x:v>Broad food import proxy, not eligible category demand</x:v>
      </x:c>
      <x:c r="C391" s="2" t="str">
        <x:v>Same-year food merchandise-import share /100 × total merchandise imports</x:v>
      </x:c>
      <x:c r="D391" s="2" t="str">
        <x:v>SAU, 2024, exact matched observations in country-panel.csv</x:v>
      </x:c>
      <x:c r="E391" s="2" t="n">
        <x:v>30152408748.531284</x:v>
      </x:c>
      <x:c r="F391" s="2" t="str">
        <x:v>Current USD; broad SITC food</x:v>
      </x:c>
      <x:c r="G391" s="2" t="str">
        <x:v>I-WBFOOD-SAU</x:v>
      </x:c>
      <x:c r="H391" s="2" t="str">
        <x:v>WB_food_import_share;WB_imports_usd</x:v>
      </x:c>
      <x:c r="I391" s="2" t="str"/>
      <x:c r="J391" s="2" t="str">
        <x:v>Calculation_Audit stable ID; Countries country row</x:v>
      </x:c>
      <x:c r="K391" s="2" t="str">
        <x:v>scripts/olam-analyse.py: food_import</x:v>
      </x:c>
      <x:c r="L391" s="2" t="str">
        <x:v>Country atlas</x:v>
      </x:c>
      <x:c r="M391" s="2" t="str">
        <x:v>Includes multiple foods; no volume/capture or Olam revenue estimate</x:v>
      </x:c>
    </x:row>
    <x:row r="392" ht="70" customHeight="1">
      <x:c r="A392" s="2" t="str">
        <x:v>C-WBFOOD-SEN</x:v>
      </x:c>
      <x:c r="B392" s="2" t="str">
        <x:v>Broad food import proxy, not eligible category demand</x:v>
      </x:c>
      <x:c r="C392" s="2" t="str">
        <x:v>Same-year food merchandise-import share /100 × total merchandise imports</x:v>
      </x:c>
      <x:c r="D392" s="2" t="str">
        <x:v>SEN, 2024, exact matched observations in country-panel.csv</x:v>
      </x:c>
      <x:c r="E392" s="2" t="n">
        <x:v>2162657226.0690823</x:v>
      </x:c>
      <x:c r="F392" s="2" t="str">
        <x:v>Current USD; broad SITC food</x:v>
      </x:c>
      <x:c r="G392" s="2" t="str">
        <x:v>I-WBFOOD-SEN</x:v>
      </x:c>
      <x:c r="H392" s="2" t="str">
        <x:v>WB_food_import_share;WB_imports_usd</x:v>
      </x:c>
      <x:c r="I392" s="2" t="str"/>
      <x:c r="J392" s="2" t="str">
        <x:v>Calculation_Audit stable ID; Countries country row</x:v>
      </x:c>
      <x:c r="K392" s="2" t="str">
        <x:v>scripts/olam-analyse.py: food_import</x:v>
      </x:c>
      <x:c r="L392" s="2" t="str">
        <x:v>Country atlas</x:v>
      </x:c>
      <x:c r="M392" s="2" t="str">
        <x:v>Includes multiple foods; no volume/capture or Olam revenue estimate</x:v>
      </x:c>
    </x:row>
    <x:row r="393" ht="70" customHeight="1">
      <x:c r="A393" s="2" t="str">
        <x:v>C-WBFOOD-SRB</x:v>
      </x:c>
      <x:c r="B393" s="2" t="str">
        <x:v>Broad food import proxy, not eligible category demand</x:v>
      </x:c>
      <x:c r="C393" s="2" t="str">
        <x:v>Same-year food merchandise-import share /100 × total merchandise imports</x:v>
      </x:c>
      <x:c r="D393" s="2" t="str">
        <x:v>SRB, 2007, exact matched observations in country-panel.csv</x:v>
      </x:c>
      <x:c r="E393" s="2" t="n">
        <x:v>1107134216.1694326</x:v>
      </x:c>
      <x:c r="F393" s="2" t="str">
        <x:v>Current USD; broad SITC food</x:v>
      </x:c>
      <x:c r="G393" s="2" t="str">
        <x:v>I-WBFOOD-SRB</x:v>
      </x:c>
      <x:c r="H393" s="2" t="str">
        <x:v>WB_food_import_share;WB_imports_usd</x:v>
      </x:c>
      <x:c r="I393" s="2" t="str"/>
      <x:c r="J393" s="2" t="str">
        <x:v>Calculation_Audit stable ID; Countries country row</x:v>
      </x:c>
      <x:c r="K393" s="2" t="str">
        <x:v>scripts/olam-analyse.py: food_import</x:v>
      </x:c>
      <x:c r="L393" s="2" t="str">
        <x:v>Country atlas</x:v>
      </x:c>
      <x:c r="M393" s="2" t="str">
        <x:v>Includes multiple foods; no volume/capture or Olam revenue estimate</x:v>
      </x:c>
    </x:row>
    <x:row r="394" ht="70" customHeight="1">
      <x:c r="A394" s="2" t="str">
        <x:v>C-WBFOOD-SYC</x:v>
      </x:c>
      <x:c r="B394" s="2" t="str">
        <x:v>Broad food import proxy, not eligible category demand</x:v>
      </x:c>
      <x:c r="C394" s="2" t="str">
        <x:v>Same-year food merchandise-import share /100 × total merchandise imports</x:v>
      </x:c>
      <x:c r="D394" s="2" t="str">
        <x:v>SYC, 2024, exact matched observations in country-panel.csv</x:v>
      </x:c>
      <x:c r="E394" s="2" t="n">
        <x:v>377518200.46535337</x:v>
      </x:c>
      <x:c r="F394" s="2" t="str">
        <x:v>Current USD; broad SITC food</x:v>
      </x:c>
      <x:c r="G394" s="2" t="str">
        <x:v>I-WBFOOD-SYC</x:v>
      </x:c>
      <x:c r="H394" s="2" t="str">
        <x:v>WB_food_import_share;WB_imports_usd</x:v>
      </x:c>
      <x:c r="I394" s="2" t="str"/>
      <x:c r="J394" s="2" t="str">
        <x:v>Calculation_Audit stable ID; Countries country row</x:v>
      </x:c>
      <x:c r="K394" s="2" t="str">
        <x:v>scripts/olam-analyse.py: food_import</x:v>
      </x:c>
      <x:c r="L394" s="2" t="str">
        <x:v>Country atlas</x:v>
      </x:c>
      <x:c r="M394" s="2" t="str">
        <x:v>Includes multiple foods; no volume/capture or Olam revenue estimate</x:v>
      </x:c>
    </x:row>
    <x:row r="395" ht="70" customHeight="1">
      <x:c r="A395" s="2" t="str">
        <x:v>C-WBFOOD-SLE</x:v>
      </x:c>
      <x:c r="B395" s="2" t="str">
        <x:v>Broad food import proxy, not eligible category demand</x:v>
      </x:c>
      <x:c r="C395" s="2" t="str">
        <x:v>Same-year food merchandise-import share /100 × total merchandise imports</x:v>
      </x:c>
      <x:c r="D395" s="2" t="str">
        <x:v>SLE, 2018, exact matched observations in country-panel.csv</x:v>
      </x:c>
      <x:c r="E395" s="2" t="n">
        <x:v>437163317.8278171</x:v>
      </x:c>
      <x:c r="F395" s="2" t="str">
        <x:v>Current USD; broad SITC food</x:v>
      </x:c>
      <x:c r="G395" s="2" t="str">
        <x:v>I-WBFOOD-SLE</x:v>
      </x:c>
      <x:c r="H395" s="2" t="str">
        <x:v>WB_food_import_share;WB_imports_usd</x:v>
      </x:c>
      <x:c r="I395" s="2" t="str"/>
      <x:c r="J395" s="2" t="str">
        <x:v>Calculation_Audit stable ID; Countries country row</x:v>
      </x:c>
      <x:c r="K395" s="2" t="str">
        <x:v>scripts/olam-analyse.py: food_import</x:v>
      </x:c>
      <x:c r="L395" s="2" t="str">
        <x:v>Country atlas</x:v>
      </x:c>
      <x:c r="M395" s="2" t="str">
        <x:v>Includes multiple foods; no volume/capture or Olam revenue estimate</x:v>
      </x:c>
    </x:row>
    <x:row r="396" ht="70" customHeight="1">
      <x:c r="A396" s="2" t="str">
        <x:v>C-WBFOOD-SGP</x:v>
      </x:c>
      <x:c r="B396" s="2" t="str">
        <x:v>Broad food import proxy, not eligible category demand</x:v>
      </x:c>
      <x:c r="C396" s="2" t="str">
        <x:v>Same-year food merchandise-import share /100 × total merchandise imports</x:v>
      </x:c>
      <x:c r="D396" s="2" t="str">
        <x:v>SGP, 2024, exact matched observations in country-panel.csv</x:v>
      </x:c>
      <x:c r="E396" s="2" t="n">
        <x:v>16756311869.639526</x:v>
      </x:c>
      <x:c r="F396" s="2" t="str">
        <x:v>Current USD; broad SITC food</x:v>
      </x:c>
      <x:c r="G396" s="2" t="str">
        <x:v>I-WBFOOD-SGP</x:v>
      </x:c>
      <x:c r="H396" s="2" t="str">
        <x:v>WB_food_import_share;WB_imports_usd</x:v>
      </x:c>
      <x:c r="I396" s="2" t="str"/>
      <x:c r="J396" s="2" t="str">
        <x:v>Calculation_Audit stable ID; Countries country row</x:v>
      </x:c>
      <x:c r="K396" s="2" t="str">
        <x:v>scripts/olam-analyse.py: food_import</x:v>
      </x:c>
      <x:c r="L396" s="2" t="str">
        <x:v>Country atlas</x:v>
      </x:c>
      <x:c r="M396" s="2" t="str">
        <x:v>Includes multiple foods; no volume/capture or Olam revenue estimate</x:v>
      </x:c>
    </x:row>
    <x:row r="397" ht="70" customHeight="1">
      <x:c r="A397" s="2" t="str">
        <x:v>C-WBFOOD-SVK</x:v>
      </x:c>
      <x:c r="B397" s="2" t="str">
        <x:v>Broad food import proxy, not eligible category demand</x:v>
      </x:c>
      <x:c r="C397" s="2" t="str">
        <x:v>Same-year food merchandise-import share /100 × total merchandise imports</x:v>
      </x:c>
      <x:c r="D397" s="2" t="str">
        <x:v>SVK, 2024, exact matched observations in country-panel.csv</x:v>
      </x:c>
      <x:c r="E397" s="2" t="n">
        <x:v>8257356693.28558</x:v>
      </x:c>
      <x:c r="F397" s="2" t="str">
        <x:v>Current USD; broad SITC food</x:v>
      </x:c>
      <x:c r="G397" s="2" t="str">
        <x:v>I-WBFOOD-SVK</x:v>
      </x:c>
      <x:c r="H397" s="2" t="str">
        <x:v>WB_food_import_share;WB_imports_usd</x:v>
      </x:c>
      <x:c r="I397" s="2" t="str"/>
      <x:c r="J397" s="2" t="str">
        <x:v>Calculation_Audit stable ID; Countries country row</x:v>
      </x:c>
      <x:c r="K397" s="2" t="str">
        <x:v>scripts/olam-analyse.py: food_import</x:v>
      </x:c>
      <x:c r="L397" s="2" t="str">
        <x:v>Country atlas</x:v>
      </x:c>
      <x:c r="M397" s="2" t="str">
        <x:v>Includes multiple foods; no volume/capture or Olam revenue estimate</x:v>
      </x:c>
    </x:row>
    <x:row r="398" ht="70" customHeight="1">
      <x:c r="A398" s="2" t="str">
        <x:v>C-WBFOOD-SVN</x:v>
      </x:c>
      <x:c r="B398" s="2" t="str">
        <x:v>Broad food import proxy, not eligible category demand</x:v>
      </x:c>
      <x:c r="C398" s="2" t="str">
        <x:v>Same-year food merchandise-import share /100 × total merchandise imports</x:v>
      </x:c>
      <x:c r="D398" s="2" t="str">
        <x:v>SVN, 2024, exact matched observations in country-panel.csv</x:v>
      </x:c>
      <x:c r="E398" s="2" t="n">
        <x:v>4517146779.663229</x:v>
      </x:c>
      <x:c r="F398" s="2" t="str">
        <x:v>Current USD; broad SITC food</x:v>
      </x:c>
      <x:c r="G398" s="2" t="str">
        <x:v>I-WBFOOD-SVN</x:v>
      </x:c>
      <x:c r="H398" s="2" t="str">
        <x:v>WB_food_import_share;WB_imports_usd</x:v>
      </x:c>
      <x:c r="I398" s="2" t="str"/>
      <x:c r="J398" s="2" t="str">
        <x:v>Calculation_Audit stable ID; Countries country row</x:v>
      </x:c>
      <x:c r="K398" s="2" t="str">
        <x:v>scripts/olam-analyse.py: food_import</x:v>
      </x:c>
      <x:c r="L398" s="2" t="str">
        <x:v>Country atlas</x:v>
      </x:c>
      <x:c r="M398" s="2" t="str">
        <x:v>Includes multiple foods; no volume/capture or Olam revenue estimate</x:v>
      </x:c>
    </x:row>
    <x:row r="399" ht="70" customHeight="1">
      <x:c r="A399" s="2" t="str">
        <x:v>C-WBFOOD-SLB</x:v>
      </x:c>
      <x:c r="B399" s="2" t="str">
        <x:v>Broad food import proxy, not eligible category demand</x:v>
      </x:c>
      <x:c r="C399" s="2" t="str">
        <x:v>Same-year food merchandise-import share /100 × total merchandise imports</x:v>
      </x:c>
      <x:c r="D399" s="2" t="str">
        <x:v>SLB, 2018, exact matched observations in country-panel.csv</x:v>
      </x:c>
      <x:c r="E399" s="2" t="n">
        <x:v>133389434.6145737</x:v>
      </x:c>
      <x:c r="F399" s="2" t="str">
        <x:v>Current USD; broad SITC food</x:v>
      </x:c>
      <x:c r="G399" s="2" t="str">
        <x:v>I-WBFOOD-SLB</x:v>
      </x:c>
      <x:c r="H399" s="2" t="str">
        <x:v>WB_food_import_share;WB_imports_usd</x:v>
      </x:c>
      <x:c r="I399" s="2" t="str"/>
      <x:c r="J399" s="2" t="str">
        <x:v>Calculation_Audit stable ID; Countries country row</x:v>
      </x:c>
      <x:c r="K399" s="2" t="str">
        <x:v>scripts/olam-analyse.py: food_import</x:v>
      </x:c>
      <x:c r="L399" s="2" t="str">
        <x:v>Country atlas</x:v>
      </x:c>
      <x:c r="M399" s="2" t="str">
        <x:v>Includes multiple foods; no volume/capture or Olam revenue estimate</x:v>
      </x:c>
    </x:row>
    <x:row r="400" ht="70" customHeight="1">
      <x:c r="A400" s="2" t="str">
        <x:v>C-WBFOOD-ZAF</x:v>
      </x:c>
      <x:c r="B400" s="2" t="str">
        <x:v>Broad food import proxy, not eligible category demand</x:v>
      </x:c>
      <x:c r="C400" s="2" t="str">
        <x:v>Same-year food merchandise-import share /100 × total merchandise imports</x:v>
      </x:c>
      <x:c r="D400" s="2" t="str">
        <x:v>ZAF, 2025, exact matched observations in country-panel.csv</x:v>
      </x:c>
      <x:c r="E400" s="2" t="n">
        <x:v>9173948103.854956</x:v>
      </x:c>
      <x:c r="F400" s="2" t="str">
        <x:v>Current USD; broad SITC food</x:v>
      </x:c>
      <x:c r="G400" s="2" t="str">
        <x:v>I-WBFOOD-ZAF</x:v>
      </x:c>
      <x:c r="H400" s="2" t="str">
        <x:v>WB_food_import_share;WB_imports_usd</x:v>
      </x:c>
      <x:c r="I400" s="2" t="str"/>
      <x:c r="J400" s="2" t="str">
        <x:v>Calculation_Audit stable ID; Countries country row</x:v>
      </x:c>
      <x:c r="K400" s="2" t="str">
        <x:v>scripts/olam-analyse.py: food_import</x:v>
      </x:c>
      <x:c r="L400" s="2" t="str">
        <x:v>Country atlas</x:v>
      </x:c>
      <x:c r="M400" s="2" t="str">
        <x:v>Includes multiple foods; no volume/capture or Olam revenue estimate</x:v>
      </x:c>
    </x:row>
    <x:row r="401" ht="70" customHeight="1">
      <x:c r="A401" s="2" t="str">
        <x:v>C-WBFOOD-ESP</x:v>
      </x:c>
      <x:c r="B401" s="2" t="str">
        <x:v>Broad food import proxy, not eligible category demand</x:v>
      </x:c>
      <x:c r="C401" s="2" t="str">
        <x:v>Same-year food merchandise-import share /100 × total merchandise imports</x:v>
      </x:c>
      <x:c r="D401" s="2" t="str">
        <x:v>ESP, 2024, exact matched observations in country-panel.csv</x:v>
      </x:c>
      <x:c r="E401" s="2" t="n">
        <x:v>59725409305.01281</x:v>
      </x:c>
      <x:c r="F401" s="2" t="str">
        <x:v>Current USD; broad SITC food</x:v>
      </x:c>
      <x:c r="G401" s="2" t="str">
        <x:v>I-WBFOOD-ESP</x:v>
      </x:c>
      <x:c r="H401" s="2" t="str">
        <x:v>WB_food_import_share;WB_imports_usd</x:v>
      </x:c>
      <x:c r="I401" s="2" t="str"/>
      <x:c r="J401" s="2" t="str">
        <x:v>Calculation_Audit stable ID; Countries country row</x:v>
      </x:c>
      <x:c r="K401" s="2" t="str">
        <x:v>scripts/olam-analyse.py: food_import</x:v>
      </x:c>
      <x:c r="L401" s="2" t="str">
        <x:v>Country atlas</x:v>
      </x:c>
      <x:c r="M401" s="2" t="str">
        <x:v>Includes multiple foods; no volume/capture or Olam revenue estimate</x:v>
      </x:c>
    </x:row>
    <x:row r="402" ht="70" customHeight="1">
      <x:c r="A402" s="2" t="str">
        <x:v>C-WBFOOD-LKA</x:v>
      </x:c>
      <x:c r="B402" s="2" t="str">
        <x:v>Broad food import proxy, not eligible category demand</x:v>
      </x:c>
      <x:c r="C402" s="2" t="str">
        <x:v>Same-year food merchandise-import share /100 × total merchandise imports</x:v>
      </x:c>
      <x:c r="D402" s="2" t="str">
        <x:v>LKA, 2024, exact matched observations in country-panel.csv</x:v>
      </x:c>
      <x:c r="E402" s="2" t="n">
        <x:v>2881422041.147365</x:v>
      </x:c>
      <x:c r="F402" s="2" t="str">
        <x:v>Current USD; broad SITC food</x:v>
      </x:c>
      <x:c r="G402" s="2" t="str">
        <x:v>I-WBFOOD-LKA</x:v>
      </x:c>
      <x:c r="H402" s="2" t="str">
        <x:v>WB_food_import_share;WB_imports_usd</x:v>
      </x:c>
      <x:c r="I402" s="2" t="str"/>
      <x:c r="J402" s="2" t="str">
        <x:v>Calculation_Audit stable ID; Countries country row</x:v>
      </x:c>
      <x:c r="K402" s="2" t="str">
        <x:v>scripts/olam-analyse.py: food_import</x:v>
      </x:c>
      <x:c r="L402" s="2" t="str">
        <x:v>Country atlas</x:v>
      </x:c>
      <x:c r="M402" s="2" t="str">
        <x:v>Includes multiple foods; no volume/capture or Olam revenue estimate</x:v>
      </x:c>
    </x:row>
    <x:row r="403" ht="70" customHeight="1">
      <x:c r="A403" s="2" t="str">
        <x:v>C-WBFOOD-SDN</x:v>
      </x:c>
      <x:c r="B403" s="2" t="str">
        <x:v>Broad food import proxy, not eligible category demand</x:v>
      </x:c>
      <x:c r="C403" s="2" t="str">
        <x:v>Same-year food merchandise-import share /100 × total merchandise imports</x:v>
      </x:c>
      <x:c r="D403" s="2" t="str">
        <x:v>SDN, 2018, exact matched observations in country-panel.csv</x:v>
      </x:c>
      <x:c r="E403" s="2" t="n">
        <x:v>2347941820.0765934</x:v>
      </x:c>
      <x:c r="F403" s="2" t="str">
        <x:v>Current USD; broad SITC food</x:v>
      </x:c>
      <x:c r="G403" s="2" t="str">
        <x:v>I-WBFOOD-SDN</x:v>
      </x:c>
      <x:c r="H403" s="2" t="str">
        <x:v>WB_food_import_share;WB_imports_usd</x:v>
      </x:c>
      <x:c r="I403" s="2" t="str"/>
      <x:c r="J403" s="2" t="str">
        <x:v>Calculation_Audit stable ID; Countries country row</x:v>
      </x:c>
      <x:c r="K403" s="2" t="str">
        <x:v>scripts/olam-analyse.py: food_import</x:v>
      </x:c>
      <x:c r="L403" s="2" t="str">
        <x:v>Country atlas</x:v>
      </x:c>
      <x:c r="M403" s="2" t="str">
        <x:v>Includes multiple foods; no volume/capture or Olam revenue estimate</x:v>
      </x:c>
    </x:row>
    <x:row r="404" ht="70" customHeight="1">
      <x:c r="A404" s="2" t="str">
        <x:v>C-WBFOOD-SUR</x:v>
      </x:c>
      <x:c r="B404" s="2" t="str">
        <x:v>Broad food import proxy, not eligible category demand</x:v>
      </x:c>
      <x:c r="C404" s="2" t="str">
        <x:v>Same-year food merchandise-import share /100 × total merchandise imports</x:v>
      </x:c>
      <x:c r="D404" s="2" t="str">
        <x:v>SUR, 2024, exact matched observations in country-panel.csv</x:v>
      </x:c>
      <x:c r="E404" s="2" t="n">
        <x:v>271460918.466405</x:v>
      </x:c>
      <x:c r="F404" s="2" t="str">
        <x:v>Current USD; broad SITC food</x:v>
      </x:c>
      <x:c r="G404" s="2" t="str">
        <x:v>I-WBFOOD-SUR</x:v>
      </x:c>
      <x:c r="H404" s="2" t="str">
        <x:v>WB_food_import_share;WB_imports_usd</x:v>
      </x:c>
      <x:c r="I404" s="2" t="str"/>
      <x:c r="J404" s="2" t="str">
        <x:v>Calculation_Audit stable ID; Countries country row</x:v>
      </x:c>
      <x:c r="K404" s="2" t="str">
        <x:v>scripts/olam-analyse.py: food_import</x:v>
      </x:c>
      <x:c r="L404" s="2" t="str">
        <x:v>Country atlas</x:v>
      </x:c>
      <x:c r="M404" s="2" t="str">
        <x:v>Includes multiple foods; no volume/capture or Olam revenue estimate</x:v>
      </x:c>
    </x:row>
    <x:row r="405" ht="70" customHeight="1">
      <x:c r="A405" s="2" t="str">
        <x:v>C-WBFOOD-SWE</x:v>
      </x:c>
      <x:c r="B405" s="2" t="str">
        <x:v>Broad food import proxy, not eligible category demand</x:v>
      </x:c>
      <x:c r="C405" s="2" t="str">
        <x:v>Same-year food merchandise-import share /100 × total merchandise imports</x:v>
      </x:c>
      <x:c r="D405" s="2" t="str">
        <x:v>SWE, 2024, exact matched observations in country-panel.csv</x:v>
      </x:c>
      <x:c r="E405" s="2" t="n">
        <x:v>21149534801.525703</x:v>
      </x:c>
      <x:c r="F405" s="2" t="str">
        <x:v>Current USD; broad SITC food</x:v>
      </x:c>
      <x:c r="G405" s="2" t="str">
        <x:v>I-WBFOOD-SWE</x:v>
      </x:c>
      <x:c r="H405" s="2" t="str">
        <x:v>WB_food_import_share;WB_imports_usd</x:v>
      </x:c>
      <x:c r="I405" s="2" t="str"/>
      <x:c r="J405" s="2" t="str">
        <x:v>Calculation_Audit stable ID; Countries country row</x:v>
      </x:c>
      <x:c r="K405" s="2" t="str">
        <x:v>scripts/olam-analyse.py: food_import</x:v>
      </x:c>
      <x:c r="L405" s="2" t="str">
        <x:v>Country atlas</x:v>
      </x:c>
      <x:c r="M405" s="2" t="str">
        <x:v>Includes multiple foods; no volume/capture or Olam revenue estimate</x:v>
      </x:c>
    </x:row>
    <x:row r="406" ht="70" customHeight="1">
      <x:c r="A406" s="2" t="str">
        <x:v>C-WBFOOD-CHE</x:v>
      </x:c>
      <x:c r="B406" s="2" t="str">
        <x:v>Broad food import proxy, not eligible category demand</x:v>
      </x:c>
      <x:c r="C406" s="2" t="str">
        <x:v>Same-year food merchandise-import share /100 × total merchandise imports</x:v>
      </x:c>
      <x:c r="D406" s="2" t="str">
        <x:v>CHE, 2024, exact matched observations in country-panel.csv</x:v>
      </x:c>
      <x:c r="E406" s="2" t="n">
        <x:v>17260038030.645496</x:v>
      </x:c>
      <x:c r="F406" s="2" t="str">
        <x:v>Current USD; broad SITC food</x:v>
      </x:c>
      <x:c r="G406" s="2" t="str">
        <x:v>I-WBFOOD-CHE</x:v>
      </x:c>
      <x:c r="H406" s="2" t="str">
        <x:v>WB_food_import_share;WB_imports_usd</x:v>
      </x:c>
      <x:c r="I406" s="2" t="str"/>
      <x:c r="J406" s="2" t="str">
        <x:v>Calculation_Audit stable ID; Countries country row</x:v>
      </x:c>
      <x:c r="K406" s="2" t="str">
        <x:v>scripts/olam-analyse.py: food_import</x:v>
      </x:c>
      <x:c r="L406" s="2" t="str">
        <x:v>Country atlas</x:v>
      </x:c>
      <x:c r="M406" s="2" t="str">
        <x:v>Includes multiple foods; no volume/capture or Olam revenue estimate</x:v>
      </x:c>
    </x:row>
    <x:row r="407" ht="70" customHeight="1">
      <x:c r="A407" s="2" t="str">
        <x:v>C-WBFOOD-SYR</x:v>
      </x:c>
      <x:c r="B407" s="2" t="str">
        <x:v>Broad food import proxy, not eligible category demand</x:v>
      </x:c>
      <x:c r="C407" s="2" t="str">
        <x:v>Same-year food merchandise-import share /100 × total merchandise imports</x:v>
      </x:c>
      <x:c r="D407" s="2" t="str">
        <x:v>SYR, 2010, exact matched observations in country-panel.csv</x:v>
      </x:c>
      <x:c r="E407" s="2" t="n">
        <x:v>3694720975.4071794</x:v>
      </x:c>
      <x:c r="F407" s="2" t="str">
        <x:v>Current USD; broad SITC food</x:v>
      </x:c>
      <x:c r="G407" s="2" t="str">
        <x:v>I-WBFOOD-SYR</x:v>
      </x:c>
      <x:c r="H407" s="2" t="str">
        <x:v>WB_food_import_share;WB_imports_usd</x:v>
      </x:c>
      <x:c r="I407" s="2" t="str"/>
      <x:c r="J407" s="2" t="str">
        <x:v>Calculation_Audit stable ID; Countries country row</x:v>
      </x:c>
      <x:c r="K407" s="2" t="str">
        <x:v>scripts/olam-analyse.py: food_import</x:v>
      </x:c>
      <x:c r="L407" s="2" t="str">
        <x:v>Country atlas</x:v>
      </x:c>
      <x:c r="M407" s="2" t="str">
        <x:v>Includes multiple foods; no volume/capture or Olam revenue estimate</x:v>
      </x:c>
    </x:row>
    <x:row r="408" ht="70" customHeight="1">
      <x:c r="A408" s="2" t="str">
        <x:v>C-WBFOOD-TJK</x:v>
      </x:c>
      <x:c r="B408" s="2" t="str">
        <x:v>Broad food import proxy, not eligible category demand</x:v>
      </x:c>
      <x:c r="C408" s="2" t="str">
        <x:v>Same-year food merchandise-import share /100 × total merchandise imports</x:v>
      </x:c>
      <x:c r="D408" s="2" t="str">
        <x:v>TJK, 2023, exact matched observations in country-panel.csv</x:v>
      </x:c>
      <x:c r="E408" s="2" t="n">
        <x:v>1555862691.534611</x:v>
      </x:c>
      <x:c r="F408" s="2" t="str">
        <x:v>Current USD; broad SITC food</x:v>
      </x:c>
      <x:c r="G408" s="2" t="str">
        <x:v>I-WBFOOD-TJK</x:v>
      </x:c>
      <x:c r="H408" s="2" t="str">
        <x:v>WB_food_import_share;WB_imports_usd</x:v>
      </x:c>
      <x:c r="I408" s="2" t="str"/>
      <x:c r="J408" s="2" t="str">
        <x:v>Calculation_Audit stable ID; Countries country row</x:v>
      </x:c>
      <x:c r="K408" s="2" t="str">
        <x:v>scripts/olam-analyse.py: food_import</x:v>
      </x:c>
      <x:c r="L408" s="2" t="str">
        <x:v>Country atlas</x:v>
      </x:c>
      <x:c r="M408" s="2" t="str">
        <x:v>Includes multiple foods; no volume/capture or Olam revenue estimate</x:v>
      </x:c>
    </x:row>
    <x:row r="409" ht="70" customHeight="1">
      <x:c r="A409" s="2" t="str">
        <x:v>C-WBFOOD-THA</x:v>
      </x:c>
      <x:c r="B409" s="2" t="str">
        <x:v>Broad food import proxy, not eligible category demand</x:v>
      </x:c>
      <x:c r="C409" s="2" t="str">
        <x:v>Same-year food merchandise-import share /100 × total merchandise imports</x:v>
      </x:c>
      <x:c r="D409" s="2" t="str">
        <x:v>THA, 2024, exact matched observations in country-panel.csv</x:v>
      </x:c>
      <x:c r="E409" s="2" t="n">
        <x:v>20128796041.193356</x:v>
      </x:c>
      <x:c r="F409" s="2" t="str">
        <x:v>Current USD; broad SITC food</x:v>
      </x:c>
      <x:c r="G409" s="2" t="str">
        <x:v>I-WBFOOD-THA</x:v>
      </x:c>
      <x:c r="H409" s="2" t="str">
        <x:v>WB_food_import_share;WB_imports_usd</x:v>
      </x:c>
      <x:c r="I409" s="2" t="str"/>
      <x:c r="J409" s="2" t="str">
        <x:v>Calculation_Audit stable ID; Countries country row</x:v>
      </x:c>
      <x:c r="K409" s="2" t="str">
        <x:v>scripts/olam-analyse.py: food_import</x:v>
      </x:c>
      <x:c r="L409" s="2" t="str">
        <x:v>Country atlas</x:v>
      </x:c>
      <x:c r="M409" s="2" t="str">
        <x:v>Includes multiple foods; no volume/capture or Olam revenue estimate</x:v>
      </x:c>
    </x:row>
    <x:row r="410" ht="70" customHeight="1">
      <x:c r="A410" s="2" t="str">
        <x:v>C-WBFOOD-TLS</x:v>
      </x:c>
      <x:c r="B410" s="2" t="str">
        <x:v>Broad food import proxy, not eligible category demand</x:v>
      </x:c>
      <x:c r="C410" s="2" t="str">
        <x:v>Same-year food merchandise-import share /100 × total merchandise imports</x:v>
      </x:c>
      <x:c r="D410" s="2" t="str">
        <x:v>TLS, 2023, exact matched observations in country-panel.csv</x:v>
      </x:c>
      <x:c r="E410" s="2" t="n">
        <x:v>253625110.1800985</x:v>
      </x:c>
      <x:c r="F410" s="2" t="str">
        <x:v>Current USD; broad SITC food</x:v>
      </x:c>
      <x:c r="G410" s="2" t="str">
        <x:v>I-WBFOOD-TLS</x:v>
      </x:c>
      <x:c r="H410" s="2" t="str">
        <x:v>WB_food_import_share;WB_imports_usd</x:v>
      </x:c>
      <x:c r="I410" s="2" t="str"/>
      <x:c r="J410" s="2" t="str">
        <x:v>Calculation_Audit stable ID; Countries country row</x:v>
      </x:c>
      <x:c r="K410" s="2" t="str">
        <x:v>scripts/olam-analyse.py: food_import</x:v>
      </x:c>
      <x:c r="L410" s="2" t="str">
        <x:v>Country atlas</x:v>
      </x:c>
      <x:c r="M410" s="2" t="str">
        <x:v>Includes multiple foods; no volume/capture or Olam revenue estimate</x:v>
      </x:c>
    </x:row>
    <x:row r="411" ht="70" customHeight="1">
      <x:c r="A411" s="2" t="str">
        <x:v>C-WBFOOD-TGO</x:v>
      </x:c>
      <x:c r="B411" s="2" t="str">
        <x:v>Broad food import proxy, not eligible category demand</x:v>
      </x:c>
      <x:c r="C411" s="2" t="str">
        <x:v>Same-year food merchandise-import share /100 × total merchandise imports</x:v>
      </x:c>
      <x:c r="D411" s="2" t="str">
        <x:v>TGO, 2024, exact matched observations in country-panel.csv</x:v>
      </x:c>
      <x:c r="E411" s="2" t="n">
        <x:v>569161693.1168905</x:v>
      </x:c>
      <x:c r="F411" s="2" t="str">
        <x:v>Current USD; broad SITC food</x:v>
      </x:c>
      <x:c r="G411" s="2" t="str">
        <x:v>I-WBFOOD-TGO</x:v>
      </x:c>
      <x:c r="H411" s="2" t="str">
        <x:v>WB_food_import_share;WB_imports_usd</x:v>
      </x:c>
      <x:c r="I411" s="2" t="str"/>
      <x:c r="J411" s="2" t="str">
        <x:v>Calculation_Audit stable ID; Countries country row</x:v>
      </x:c>
      <x:c r="K411" s="2" t="str">
        <x:v>scripts/olam-analyse.py: food_import</x:v>
      </x:c>
      <x:c r="L411" s="2" t="str">
        <x:v>Country atlas</x:v>
      </x:c>
      <x:c r="M411" s="2" t="str">
        <x:v>Includes multiple foods; no volume/capture or Olam revenue estimate</x:v>
      </x:c>
    </x:row>
    <x:row r="412" ht="70" customHeight="1">
      <x:c r="A412" s="2" t="str">
        <x:v>C-WBFOOD-TON</x:v>
      </x:c>
      <x:c r="B412" s="2" t="str">
        <x:v>Broad food import proxy, not eligible category demand</x:v>
      </x:c>
      <x:c r="C412" s="2" t="str">
        <x:v>Same-year food merchandise-import share /100 × total merchandise imports</x:v>
      </x:c>
      <x:c r="D412" s="2" t="str">
        <x:v>TON, 2023, exact matched observations in country-panel.csv</x:v>
      </x:c>
      <x:c r="E412" s="2" t="n">
        <x:v>74771511.93691875</x:v>
      </x:c>
      <x:c r="F412" s="2" t="str">
        <x:v>Current USD; broad SITC food</x:v>
      </x:c>
      <x:c r="G412" s="2" t="str">
        <x:v>I-WBFOOD-TON</x:v>
      </x:c>
      <x:c r="H412" s="2" t="str">
        <x:v>WB_food_import_share;WB_imports_usd</x:v>
      </x:c>
      <x:c r="I412" s="2" t="str"/>
      <x:c r="J412" s="2" t="str">
        <x:v>Calculation_Audit stable ID; Countries country row</x:v>
      </x:c>
      <x:c r="K412" s="2" t="str">
        <x:v>scripts/olam-analyse.py: food_import</x:v>
      </x:c>
      <x:c r="L412" s="2" t="str">
        <x:v>Country atlas</x:v>
      </x:c>
      <x:c r="M412" s="2" t="str">
        <x:v>Includes multiple foods; no volume/capture or Olam revenue estimate</x:v>
      </x:c>
    </x:row>
    <x:row r="413" ht="70" customHeight="1">
      <x:c r="A413" s="2" t="str">
        <x:v>C-WBFOOD-TTO</x:v>
      </x:c>
      <x:c r="B413" s="2" t="str">
        <x:v>Broad food import proxy, not eligible category demand</x:v>
      </x:c>
      <x:c r="C413" s="2" t="str">
        <x:v>Same-year food merchandise-import share /100 × total merchandise imports</x:v>
      </x:c>
      <x:c r="D413" s="2" t="str">
        <x:v>TTO, 2024, exact matched observations in country-panel.csv</x:v>
      </x:c>
      <x:c r="E413" s="2" t="n">
        <x:v>1260802781.056288</x:v>
      </x:c>
      <x:c r="F413" s="2" t="str">
        <x:v>Current USD; broad SITC food</x:v>
      </x:c>
      <x:c r="G413" s="2" t="str">
        <x:v>I-WBFOOD-TTO</x:v>
      </x:c>
      <x:c r="H413" s="2" t="str">
        <x:v>WB_food_import_share;WB_imports_usd</x:v>
      </x:c>
      <x:c r="I413" s="2" t="str"/>
      <x:c r="J413" s="2" t="str">
        <x:v>Calculation_Audit stable ID; Countries country row</x:v>
      </x:c>
      <x:c r="K413" s="2" t="str">
        <x:v>scripts/olam-analyse.py: food_import</x:v>
      </x:c>
      <x:c r="L413" s="2" t="str">
        <x:v>Country atlas</x:v>
      </x:c>
      <x:c r="M413" s="2" t="str">
        <x:v>Includes multiple foods; no volume/capture or Olam revenue estimate</x:v>
      </x:c>
    </x:row>
    <x:row r="414" ht="70" customHeight="1">
      <x:c r="A414" s="2" t="str">
        <x:v>C-WBFOOD-TUN</x:v>
      </x:c>
      <x:c r="B414" s="2" t="str">
        <x:v>Broad food import proxy, not eligible category demand</x:v>
      </x:c>
      <x:c r="C414" s="2" t="str">
        <x:v>Same-year food merchandise-import share /100 × total merchandise imports</x:v>
      </x:c>
      <x:c r="D414" s="2" t="str">
        <x:v>TUN, 2024, exact matched observations in country-panel.csv</x:v>
      </x:c>
      <x:c r="E414" s="2" t="n">
        <x:v>2998833454.35892</x:v>
      </x:c>
      <x:c r="F414" s="2" t="str">
        <x:v>Current USD; broad SITC food</x:v>
      </x:c>
      <x:c r="G414" s="2" t="str">
        <x:v>I-WBFOOD-TUN</x:v>
      </x:c>
      <x:c r="H414" s="2" t="str">
        <x:v>WB_food_import_share;WB_imports_usd</x:v>
      </x:c>
      <x:c r="I414" s="2" t="str"/>
      <x:c r="J414" s="2" t="str">
        <x:v>Calculation_Audit stable ID; Countries country row</x:v>
      </x:c>
      <x:c r="K414" s="2" t="str">
        <x:v>scripts/olam-analyse.py: food_import</x:v>
      </x:c>
      <x:c r="L414" s="2" t="str">
        <x:v>Country atlas</x:v>
      </x:c>
      <x:c r="M414" s="2" t="str">
        <x:v>Includes multiple foods; no volume/capture or Olam revenue estimate</x:v>
      </x:c>
    </x:row>
    <x:row r="415" ht="70" customHeight="1">
      <x:c r="A415" s="2" t="str">
        <x:v>C-WBFOOD-TKM</x:v>
      </x:c>
      <x:c r="B415" s="2" t="str">
        <x:v>Broad food import proxy, not eligible category demand</x:v>
      </x:c>
      <x:c r="C415" s="2" t="str">
        <x:v>Same-year food merchandise-import share /100 × total merchandise imports</x:v>
      </x:c>
      <x:c r="D415" s="2" t="str">
        <x:v>TKM, 2000, exact matched observations in country-panel.csv</x:v>
      </x:c>
      <x:c r="E415" s="2" t="n">
        <x:v>209732293.29485548</x:v>
      </x:c>
      <x:c r="F415" s="2" t="str">
        <x:v>Current USD; broad SITC food</x:v>
      </x:c>
      <x:c r="G415" s="2" t="str">
        <x:v>I-WBFOOD-TKM</x:v>
      </x:c>
      <x:c r="H415" s="2" t="str">
        <x:v>WB_food_import_share;WB_imports_usd</x:v>
      </x:c>
      <x:c r="I415" s="2" t="str"/>
      <x:c r="J415" s="2" t="str">
        <x:v>Calculation_Audit stable ID; Countries country row</x:v>
      </x:c>
      <x:c r="K415" s="2" t="str">
        <x:v>scripts/olam-analyse.py: food_import</x:v>
      </x:c>
      <x:c r="L415" s="2" t="str">
        <x:v>Country atlas</x:v>
      </x:c>
      <x:c r="M415" s="2" t="str">
        <x:v>Includes multiple foods; no volume/capture or Olam revenue estimate</x:v>
      </x:c>
    </x:row>
    <x:row r="416" ht="70" customHeight="1">
      <x:c r="A416" s="2" t="str">
        <x:v>C-WBFOOD-TUV</x:v>
      </x:c>
      <x:c r="B416" s="2" t="str">
        <x:v>Broad food import proxy, not eligible category demand</x:v>
      </x:c>
      <x:c r="C416" s="2" t="str">
        <x:v>Same-year food merchandise-import share /100 × total merchandise imports</x:v>
      </x:c>
      <x:c r="D416" s="2" t="str">
        <x:v>TUV, 2008, exact matched observations in country-panel.csv</x:v>
      </x:c>
      <x:c r="E416" s="2" t="n">
        <x:v>5600447.915124739</x:v>
      </x:c>
      <x:c r="F416" s="2" t="str">
        <x:v>Current USD; broad SITC food</x:v>
      </x:c>
      <x:c r="G416" s="2" t="str">
        <x:v>I-WBFOOD-TUV</x:v>
      </x:c>
      <x:c r="H416" s="2" t="str">
        <x:v>WB_food_import_share;WB_imports_usd</x:v>
      </x:c>
      <x:c r="I416" s="2" t="str"/>
      <x:c r="J416" s="2" t="str">
        <x:v>Calculation_Audit stable ID; Countries country row</x:v>
      </x:c>
      <x:c r="K416" s="2" t="str">
        <x:v>scripts/olam-analyse.py: food_import</x:v>
      </x:c>
      <x:c r="L416" s="2" t="str">
        <x:v>Country atlas</x:v>
      </x:c>
      <x:c r="M416" s="2" t="str">
        <x:v>Includes multiple foods; no volume/capture or Olam revenue estimate</x:v>
      </x:c>
    </x:row>
    <x:row r="417" ht="70" customHeight="1">
      <x:c r="A417" s="2" t="str">
        <x:v>C-WBFOOD-TUR</x:v>
      </x:c>
      <x:c r="B417" s="2" t="str">
        <x:v>Broad food import proxy, not eligible category demand</x:v>
      </x:c>
      <x:c r="C417" s="2" t="str">
        <x:v>Same-year food merchandise-import share /100 × total merchandise imports</x:v>
      </x:c>
      <x:c r="D417" s="2" t="str">
        <x:v>TUR, 2024, exact matched observations in country-panel.csv</x:v>
      </x:c>
      <x:c r="E417" s="2" t="n">
        <x:v>21380173402.183914</x:v>
      </x:c>
      <x:c r="F417" s="2" t="str">
        <x:v>Current USD; broad SITC food</x:v>
      </x:c>
      <x:c r="G417" s="2" t="str">
        <x:v>I-WBFOOD-TUR</x:v>
      </x:c>
      <x:c r="H417" s="2" t="str">
        <x:v>WB_food_import_share;WB_imports_usd</x:v>
      </x:c>
      <x:c r="I417" s="2" t="str"/>
      <x:c r="J417" s="2" t="str">
        <x:v>Calculation_Audit stable ID; Countries country row</x:v>
      </x:c>
      <x:c r="K417" s="2" t="str">
        <x:v>scripts/olam-analyse.py: food_import</x:v>
      </x:c>
      <x:c r="L417" s="2" t="str">
        <x:v>Country atlas</x:v>
      </x:c>
      <x:c r="M417" s="2" t="str">
        <x:v>Includes multiple foods; no volume/capture or Olam revenue estimate</x:v>
      </x:c>
    </x:row>
    <x:row r="418" ht="70" customHeight="1">
      <x:c r="A418" s="2" t="str">
        <x:v>C-WBFOOD-UGA</x:v>
      </x:c>
      <x:c r="B418" s="2" t="str">
        <x:v>Broad food import proxy, not eligible category demand</x:v>
      </x:c>
      <x:c r="C418" s="2" t="str">
        <x:v>Same-year food merchandise-import share /100 × total merchandise imports</x:v>
      </x:c>
      <x:c r="D418" s="2" t="str">
        <x:v>UGA, 2024, exact matched observations in country-panel.csv</x:v>
      </x:c>
      <x:c r="E418" s="2" t="n">
        <x:v>1485028663.9236047</x:v>
      </x:c>
      <x:c r="F418" s="2" t="str">
        <x:v>Current USD; broad SITC food</x:v>
      </x:c>
      <x:c r="G418" s="2" t="str">
        <x:v>I-WBFOOD-UGA</x:v>
      </x:c>
      <x:c r="H418" s="2" t="str">
        <x:v>WB_food_import_share;WB_imports_usd</x:v>
      </x:c>
      <x:c r="I418" s="2" t="str"/>
      <x:c r="J418" s="2" t="str">
        <x:v>Calculation_Audit stable ID; Countries country row</x:v>
      </x:c>
      <x:c r="K418" s="2" t="str">
        <x:v>scripts/olam-analyse.py: food_import</x:v>
      </x:c>
      <x:c r="L418" s="2" t="str">
        <x:v>Country atlas</x:v>
      </x:c>
      <x:c r="M418" s="2" t="str">
        <x:v>Includes multiple foods; no volume/capture or Olam revenue estimate</x:v>
      </x:c>
    </x:row>
    <x:row r="419" ht="70" customHeight="1">
      <x:c r="A419" s="2" t="str">
        <x:v>C-WBFOOD-UKR</x:v>
      </x:c>
      <x:c r="B419" s="2" t="str">
        <x:v>Broad food import proxy, not eligible category demand</x:v>
      </x:c>
      <x:c r="C419" s="2" t="str">
        <x:v>Same-year food merchandise-import share /100 × total merchandise imports</x:v>
      </x:c>
      <x:c r="D419" s="2" t="str">
        <x:v>UKR, 2024, exact matched observations in country-panel.csv</x:v>
      </x:c>
      <x:c r="E419" s="2" t="n">
        <x:v>7422219074.538817</x:v>
      </x:c>
      <x:c r="F419" s="2" t="str">
        <x:v>Current USD; broad SITC food</x:v>
      </x:c>
      <x:c r="G419" s="2" t="str">
        <x:v>I-WBFOOD-UKR</x:v>
      </x:c>
      <x:c r="H419" s="2" t="str">
        <x:v>WB_food_import_share;WB_imports_usd</x:v>
      </x:c>
      <x:c r="I419" s="2" t="str"/>
      <x:c r="J419" s="2" t="str">
        <x:v>Calculation_Audit stable ID; Countries country row</x:v>
      </x:c>
      <x:c r="K419" s="2" t="str">
        <x:v>scripts/olam-analyse.py: food_import</x:v>
      </x:c>
      <x:c r="L419" s="2" t="str">
        <x:v>Country atlas</x:v>
      </x:c>
      <x:c r="M419" s="2" t="str">
        <x:v>Includes multiple foods; no volume/capture or Olam revenue estimate</x:v>
      </x:c>
    </x:row>
    <x:row r="420" ht="70" customHeight="1">
      <x:c r="A420" s="2" t="str">
        <x:v>C-WBFOOD-ARE</x:v>
      </x:c>
      <x:c r="B420" s="2" t="str">
        <x:v>Broad food import proxy, not eligible category demand</x:v>
      </x:c>
      <x:c r="C420" s="2" t="str">
        <x:v>Same-year food merchandise-import share /100 × total merchandise imports</x:v>
      </x:c>
      <x:c r="D420" s="2" t="str">
        <x:v>ARE, 2023, exact matched observations in country-panel.csv</x:v>
      </x:c>
      <x:c r="E420" s="2" t="n">
        <x:v>23474888200.932762</x:v>
      </x:c>
      <x:c r="F420" s="2" t="str">
        <x:v>Current USD; broad SITC food</x:v>
      </x:c>
      <x:c r="G420" s="2" t="str">
        <x:v>I-WBFOOD-ARE</x:v>
      </x:c>
      <x:c r="H420" s="2" t="str">
        <x:v>WB_food_import_share;WB_imports_usd</x:v>
      </x:c>
      <x:c r="I420" s="2" t="str"/>
      <x:c r="J420" s="2" t="str">
        <x:v>Calculation_Audit stable ID; Countries country row</x:v>
      </x:c>
      <x:c r="K420" s="2" t="str">
        <x:v>scripts/olam-analyse.py: food_import</x:v>
      </x:c>
      <x:c r="L420" s="2" t="str">
        <x:v>Country atlas</x:v>
      </x:c>
      <x:c r="M420" s="2" t="str">
        <x:v>Includes multiple foods; no volume/capture or Olam revenue estimate</x:v>
      </x:c>
    </x:row>
    <x:row r="421" ht="70" customHeight="1">
      <x:c r="A421" s="2" t="str">
        <x:v>C-WBFOOD-GBR</x:v>
      </x:c>
      <x:c r="B421" s="2" t="str">
        <x:v>Broad food import proxy, not eligible category demand</x:v>
      </x:c>
      <x:c r="C421" s="2" t="str">
        <x:v>Same-year food merchandise-import share /100 × total merchandise imports</x:v>
      </x:c>
      <x:c r="D421" s="2" t="str">
        <x:v>GBR, 2025, exact matched observations in country-panel.csv</x:v>
      </x:c>
      <x:c r="E421" s="2" t="n">
        <x:v>93031876694.23149</x:v>
      </x:c>
      <x:c r="F421" s="2" t="str">
        <x:v>Current USD; broad SITC food</x:v>
      </x:c>
      <x:c r="G421" s="2" t="str">
        <x:v>I-WBFOOD-GBR</x:v>
      </x:c>
      <x:c r="H421" s="2" t="str">
        <x:v>WB_food_import_share;WB_imports_usd</x:v>
      </x:c>
      <x:c r="I421" s="2" t="str"/>
      <x:c r="J421" s="2" t="str">
        <x:v>Calculation_Audit stable ID; Countries country row</x:v>
      </x:c>
      <x:c r="K421" s="2" t="str">
        <x:v>scripts/olam-analyse.py: food_import</x:v>
      </x:c>
      <x:c r="L421" s="2" t="str">
        <x:v>Country atlas</x:v>
      </x:c>
      <x:c r="M421" s="2" t="str">
        <x:v>Includes multiple foods; no volume/capture or Olam revenue estimate</x:v>
      </x:c>
    </x:row>
    <x:row r="422" ht="70" customHeight="1">
      <x:c r="A422" s="2" t="str">
        <x:v>C-WBFOOD-TZA</x:v>
      </x:c>
      <x:c r="B422" s="2" t="str">
        <x:v>Broad food import proxy, not eligible category demand</x:v>
      </x:c>
      <x:c r="C422" s="2" t="str">
        <x:v>Same-year food merchandise-import share /100 × total merchandise imports</x:v>
      </x:c>
      <x:c r="D422" s="2" t="str">
        <x:v>TZA, 2024, exact matched observations in country-panel.csv</x:v>
      </x:c>
      <x:c r="E422" s="2" t="n">
        <x:v>1305228826.4831173</x:v>
      </x:c>
      <x:c r="F422" s="2" t="str">
        <x:v>Current USD; broad SITC food</x:v>
      </x:c>
      <x:c r="G422" s="2" t="str">
        <x:v>I-WBFOOD-TZA</x:v>
      </x:c>
      <x:c r="H422" s="2" t="str">
        <x:v>WB_food_import_share;WB_imports_usd</x:v>
      </x:c>
      <x:c r="I422" s="2" t="str"/>
      <x:c r="J422" s="2" t="str">
        <x:v>Calculation_Audit stable ID; Countries country row</x:v>
      </x:c>
      <x:c r="K422" s="2" t="str">
        <x:v>scripts/olam-analyse.py: food_import</x:v>
      </x:c>
      <x:c r="L422" s="2" t="str">
        <x:v>Country atlas</x:v>
      </x:c>
      <x:c r="M422" s="2" t="str">
        <x:v>Includes multiple foods; no volume/capture or Olam revenue estimate</x:v>
      </x:c>
    </x:row>
    <x:row r="423" ht="70" customHeight="1">
      <x:c r="A423" s="2" t="str">
        <x:v>C-WBFOOD-USA</x:v>
      </x:c>
      <x:c r="B423" s="2" t="str">
        <x:v>Broad food import proxy, not eligible category demand</x:v>
      </x:c>
      <x:c r="C423" s="2" t="str">
        <x:v>Same-year food merchandise-import share /100 × total merchandise imports</x:v>
      </x:c>
      <x:c r="D423" s="2" t="str">
        <x:v>USA, 2024, exact matched observations in country-panel.csv</x:v>
      </x:c>
      <x:c r="E423" s="2" t="n">
        <x:v>232809983536.10242</x:v>
      </x:c>
      <x:c r="F423" s="2" t="str">
        <x:v>Current USD; broad SITC food</x:v>
      </x:c>
      <x:c r="G423" s="2" t="str">
        <x:v>I-WBFOOD-USA</x:v>
      </x:c>
      <x:c r="H423" s="2" t="str">
        <x:v>WB_food_import_share;WB_imports_usd</x:v>
      </x:c>
      <x:c r="I423" s="2" t="str"/>
      <x:c r="J423" s="2" t="str">
        <x:v>Calculation_Audit stable ID; Countries country row</x:v>
      </x:c>
      <x:c r="K423" s="2" t="str">
        <x:v>scripts/olam-analyse.py: food_import</x:v>
      </x:c>
      <x:c r="L423" s="2" t="str">
        <x:v>Country atlas</x:v>
      </x:c>
      <x:c r="M423" s="2" t="str">
        <x:v>Includes multiple foods; no volume/capture or Olam revenue estimate</x:v>
      </x:c>
    </x:row>
    <x:row r="424" ht="70" customHeight="1">
      <x:c r="A424" s="2" t="str">
        <x:v>C-WBFOOD-URY</x:v>
      </x:c>
      <x:c r="B424" s="2" t="str">
        <x:v>Broad food import proxy, not eligible category demand</x:v>
      </x:c>
      <x:c r="C424" s="2" t="str">
        <x:v>Same-year food merchandise-import share /100 × total merchandise imports</x:v>
      </x:c>
      <x:c r="D424" s="2" t="str">
        <x:v>URY, 2024, exact matched observations in country-panel.csv</x:v>
      </x:c>
      <x:c r="E424" s="2" t="n">
        <x:v>1759547969.8426583</x:v>
      </x:c>
      <x:c r="F424" s="2" t="str">
        <x:v>Current USD; broad SITC food</x:v>
      </x:c>
      <x:c r="G424" s="2" t="str">
        <x:v>I-WBFOOD-URY</x:v>
      </x:c>
      <x:c r="H424" s="2" t="str">
        <x:v>WB_food_import_share;WB_imports_usd</x:v>
      </x:c>
      <x:c r="I424" s="2" t="str"/>
      <x:c r="J424" s="2" t="str">
        <x:v>Calculation_Audit stable ID; Countries country row</x:v>
      </x:c>
      <x:c r="K424" s="2" t="str">
        <x:v>scripts/olam-analyse.py: food_import</x:v>
      </x:c>
      <x:c r="L424" s="2" t="str">
        <x:v>Country atlas</x:v>
      </x:c>
      <x:c r="M424" s="2" t="str">
        <x:v>Includes multiple foods; no volume/capture or Olam revenue estimate</x:v>
      </x:c>
    </x:row>
    <x:row r="425" ht="70" customHeight="1">
      <x:c r="A425" s="2" t="str">
        <x:v>C-WBFOOD-UZB</x:v>
      </x:c>
      <x:c r="B425" s="2" t="str">
        <x:v>Broad food import proxy, not eligible category demand</x:v>
      </x:c>
      <x:c r="C425" s="2" t="str">
        <x:v>Same-year food merchandise-import share /100 × total merchandise imports</x:v>
      </x:c>
      <x:c r="D425" s="2" t="str">
        <x:v>UZB, 2024, exact matched observations in country-panel.csv</x:v>
      </x:c>
      <x:c r="E425" s="2" t="n">
        <x:v>4385907427.999414</x:v>
      </x:c>
      <x:c r="F425" s="2" t="str">
        <x:v>Current USD; broad SITC food</x:v>
      </x:c>
      <x:c r="G425" s="2" t="str">
        <x:v>I-WBFOOD-UZB</x:v>
      </x:c>
      <x:c r="H425" s="2" t="str">
        <x:v>WB_food_import_share;WB_imports_usd</x:v>
      </x:c>
      <x:c r="I425" s="2" t="str"/>
      <x:c r="J425" s="2" t="str">
        <x:v>Calculation_Audit stable ID; Countries country row</x:v>
      </x:c>
      <x:c r="K425" s="2" t="str">
        <x:v>scripts/olam-analyse.py: food_import</x:v>
      </x:c>
      <x:c r="L425" s="2" t="str">
        <x:v>Country atlas</x:v>
      </x:c>
      <x:c r="M425" s="2" t="str">
        <x:v>Includes multiple foods; no volume/capture or Olam revenue estimate</x:v>
      </x:c>
    </x:row>
    <x:row r="426" ht="70" customHeight="1">
      <x:c r="A426" s="2" t="str">
        <x:v>C-WBFOOD-VUT</x:v>
      </x:c>
      <x:c r="B426" s="2" t="str">
        <x:v>Broad food import proxy, not eligible category demand</x:v>
      </x:c>
      <x:c r="C426" s="2" t="str">
        <x:v>Same-year food merchandise-import share /100 × total merchandise imports</x:v>
      </x:c>
      <x:c r="D426" s="2" t="str">
        <x:v>VUT, 2011, exact matched observations in country-panel.csv</x:v>
      </x:c>
      <x:c r="E426" s="2" t="n">
        <x:v>75890955.4548575</x:v>
      </x:c>
      <x:c r="F426" s="2" t="str">
        <x:v>Current USD; broad SITC food</x:v>
      </x:c>
      <x:c r="G426" s="2" t="str">
        <x:v>I-WBFOOD-VUT</x:v>
      </x:c>
      <x:c r="H426" s="2" t="str">
        <x:v>WB_food_import_share;WB_imports_usd</x:v>
      </x:c>
      <x:c r="I426" s="2" t="str"/>
      <x:c r="J426" s="2" t="str">
        <x:v>Calculation_Audit stable ID; Countries country row</x:v>
      </x:c>
      <x:c r="K426" s="2" t="str">
        <x:v>scripts/olam-analyse.py: food_import</x:v>
      </x:c>
      <x:c r="L426" s="2" t="str">
        <x:v>Country atlas</x:v>
      </x:c>
      <x:c r="M426" s="2" t="str">
        <x:v>Includes multiple foods; no volume/capture or Olam revenue estimate</x:v>
      </x:c>
    </x:row>
    <x:row r="427" ht="70" customHeight="1">
      <x:c r="A427" s="2" t="str">
        <x:v>C-WBFOOD-VEN</x:v>
      </x:c>
      <x:c r="B427" s="2" t="str">
        <x:v>Broad food import proxy, not eligible category demand</x:v>
      </x:c>
      <x:c r="C427" s="2" t="str">
        <x:v>Same-year food merchandise-import share /100 × total merchandise imports</x:v>
      </x:c>
      <x:c r="D427" s="2" t="str">
        <x:v>VEN, 2013, exact matched observations in country-panel.csv</x:v>
      </x:c>
      <x:c r="E427" s="2" t="n">
        <x:v>8979250101.346407</x:v>
      </x:c>
      <x:c r="F427" s="2" t="str">
        <x:v>Current USD; broad SITC food</x:v>
      </x:c>
      <x:c r="G427" s="2" t="str">
        <x:v>I-WBFOOD-VEN</x:v>
      </x:c>
      <x:c r="H427" s="2" t="str">
        <x:v>WB_food_import_share;WB_imports_usd</x:v>
      </x:c>
      <x:c r="I427" s="2" t="str"/>
      <x:c r="J427" s="2" t="str">
        <x:v>Calculation_Audit stable ID; Countries country row</x:v>
      </x:c>
      <x:c r="K427" s="2" t="str">
        <x:v>scripts/olam-analyse.py: food_import</x:v>
      </x:c>
      <x:c r="L427" s="2" t="str">
        <x:v>Country atlas</x:v>
      </x:c>
      <x:c r="M427" s="2" t="str">
        <x:v>Includes multiple foods; no volume/capture or Olam revenue estimate</x:v>
      </x:c>
    </x:row>
    <x:row r="428" ht="70" customHeight="1">
      <x:c r="A428" s="2" t="str">
        <x:v>C-WBFOOD-VNM</x:v>
      </x:c>
      <x:c r="B428" s="2" t="str">
        <x:v>Broad food import proxy, not eligible category demand</x:v>
      </x:c>
      <x:c r="C428" s="2" t="str">
        <x:v>Same-year food merchandise-import share /100 × total merchandise imports</x:v>
      </x:c>
      <x:c r="D428" s="2" t="str">
        <x:v>VNM, 2023, exact matched observations in country-panel.csv</x:v>
      </x:c>
      <x:c r="E428" s="2" t="n">
        <x:v>28665117554.445892</x:v>
      </x:c>
      <x:c r="F428" s="2" t="str">
        <x:v>Current USD; broad SITC food</x:v>
      </x:c>
      <x:c r="G428" s="2" t="str">
        <x:v>I-WBFOOD-VNM</x:v>
      </x:c>
      <x:c r="H428" s="2" t="str">
        <x:v>WB_food_import_share;WB_imports_usd</x:v>
      </x:c>
      <x:c r="I428" s="2" t="str"/>
      <x:c r="J428" s="2" t="str">
        <x:v>Calculation_Audit stable ID; Countries country row</x:v>
      </x:c>
      <x:c r="K428" s="2" t="str">
        <x:v>scripts/olam-analyse.py: food_import</x:v>
      </x:c>
      <x:c r="L428" s="2" t="str">
        <x:v>Country atlas</x:v>
      </x:c>
      <x:c r="M428" s="2" t="str">
        <x:v>Includes multiple foods; no volume/capture or Olam revenue estimate</x:v>
      </x:c>
    </x:row>
    <x:row r="429" ht="70" customHeight="1">
      <x:c r="A429" s="2" t="str">
        <x:v>C-WBFOOD-YEM</x:v>
      </x:c>
      <x:c r="B429" s="2" t="str">
        <x:v>Broad food import proxy, not eligible category demand</x:v>
      </x:c>
      <x:c r="C429" s="2" t="str">
        <x:v>Same-year food merchandise-import share /100 × total merchandise imports</x:v>
      </x:c>
      <x:c r="D429" s="2" t="str">
        <x:v>YEM, 2019, exact matched observations in country-panel.csv</x:v>
      </x:c>
      <x:c r="E429" s="2" t="n">
        <x:v>1808757505.945069</x:v>
      </x:c>
      <x:c r="F429" s="2" t="str">
        <x:v>Current USD; broad SITC food</x:v>
      </x:c>
      <x:c r="G429" s="2" t="str">
        <x:v>I-WBFOOD-YEM</x:v>
      </x:c>
      <x:c r="H429" s="2" t="str">
        <x:v>WB_food_import_share;WB_imports_usd</x:v>
      </x:c>
      <x:c r="I429" s="2" t="str"/>
      <x:c r="J429" s="2" t="str">
        <x:v>Calculation_Audit stable ID; Countries country row</x:v>
      </x:c>
      <x:c r="K429" s="2" t="str">
        <x:v>scripts/olam-analyse.py: food_import</x:v>
      </x:c>
      <x:c r="L429" s="2" t="str">
        <x:v>Country atlas</x:v>
      </x:c>
      <x:c r="M429" s="2" t="str">
        <x:v>Includes multiple foods; no volume/capture or Olam revenue estimate</x:v>
      </x:c>
    </x:row>
    <x:row r="430" ht="70" customHeight="1">
      <x:c r="A430" s="2" t="str">
        <x:v>C-WBFOOD-ZMB</x:v>
      </x:c>
      <x:c r="B430" s="2" t="str">
        <x:v>Broad food import proxy, not eligible category demand</x:v>
      </x:c>
      <x:c r="C430" s="2" t="str">
        <x:v>Same-year food merchandise-import share /100 × total merchandise imports</x:v>
      </x:c>
      <x:c r="D430" s="2" t="str">
        <x:v>ZMB, 2024, exact matched observations in country-panel.csv</x:v>
      </x:c>
      <x:c r="E430" s="2" t="n">
        <x:v>882370198.5837479</x:v>
      </x:c>
      <x:c r="F430" s="2" t="str">
        <x:v>Current USD; broad SITC food</x:v>
      </x:c>
      <x:c r="G430" s="2" t="str">
        <x:v>I-WBFOOD-ZMB</x:v>
      </x:c>
      <x:c r="H430" s="2" t="str">
        <x:v>WB_food_import_share;WB_imports_usd</x:v>
      </x:c>
      <x:c r="I430" s="2" t="str"/>
      <x:c r="J430" s="2" t="str">
        <x:v>Calculation_Audit stable ID; Countries country row</x:v>
      </x:c>
      <x:c r="K430" s="2" t="str">
        <x:v>scripts/olam-analyse.py: food_import</x:v>
      </x:c>
      <x:c r="L430" s="2" t="str">
        <x:v>Country atlas</x:v>
      </x:c>
      <x:c r="M430" s="2" t="str">
        <x:v>Includes multiple foods; no volume/capture or Olam revenue estimate</x:v>
      </x:c>
    </x:row>
    <x:row r="431" ht="70" customHeight="1">
      <x:c r="A431" s="2" t="str">
        <x:v>C-WBFOOD-ZWE</x:v>
      </x:c>
      <x:c r="B431" s="2" t="str">
        <x:v>Broad food import proxy, not eligible category demand</x:v>
      </x:c>
      <x:c r="C431" s="2" t="str">
        <x:v>Same-year food merchandise-import share /100 × total merchandise imports</x:v>
      </x:c>
      <x:c r="D431" s="2" t="str">
        <x:v>ZWE, 2024, exact matched observations in country-panel.csv</x:v>
      </x:c>
      <x:c r="E431" s="2" t="n">
        <x:v>1800536737.8009546</x:v>
      </x:c>
      <x:c r="F431" s="2" t="str">
        <x:v>Current USD; broad SITC food</x:v>
      </x:c>
      <x:c r="G431" s="2" t="str">
        <x:v>I-WBFOOD-ZWE</x:v>
      </x:c>
      <x:c r="H431" s="2" t="str">
        <x:v>WB_food_import_share;WB_imports_usd</x:v>
      </x:c>
      <x:c r="I431" s="2" t="str"/>
      <x:c r="J431" s="2" t="str">
        <x:v>Calculation_Audit stable ID; Countries country row</x:v>
      </x:c>
      <x:c r="K431" s="2" t="str">
        <x:v>scripts/olam-analyse.py: food_import</x:v>
      </x:c>
      <x:c r="L431" s="2" t="str">
        <x:v>Country atlas</x:v>
      </x:c>
      <x:c r="M431" s="2" t="str">
        <x:v>Includes multiple foods; no volume/capture or Olam revenue estimate</x:v>
      </x:c>
    </x:row>
    <x:row r="432" ht="70" customHeight="1">
      <x:c r="A432" s="2" t="str">
        <x:v>C-CAPITAL</x:v>
      </x:c>
      <x:c r="B432" s="2" t="str">
        <x:v>Capital returns and value exposure</x:v>
      </x:c>
      <x:c r="C432" s="2" t="str">
        <x:v>Enumerate positive real discount-factor polynomial roots; ROIC=normalized NOPAT/(end PPE+NWC); payback=cumulative cash crossing</x:v>
      </x:c>
      <x:c r="D432" s="2" t="str">
        <x:v>[{"mode":"trade","scenario":"managed","NPV":0.35768624230170054,"IRR_roots":[0.112467775104],"IRR_interpretation":"Unique positive-discount-factor root","annual_payback_year":10,"annual_discounted_payback_year":24,"peak_annual_funding":2.9413770000000037,"NPV_per_peak_funding":0.12160503135154048,"closeout_PV":0.2889778043333594,"NPV_without_closeout":0.06870843796834114,"post2036_PV":1.4447570413376705,"post2036_PV_share_of_gross_positive_PV":0.46379043841650924,"franchise_terminal_PV":0.0,"year3_ROIC":0.09890536114462992,"year3_capital_turns":11.607475835245895,"definition":"Unlevered real USD. ROIC uses end-period net PPE+NWC and normalized 25% tax, not cash-tax-loss benefit; annual payback does not interpolate intra-year cash. No franchise terminal value."},{"mode":"trade","scenario":"integration","NPV":7.869359046008329,"IRR_roots":[0.398648655658],"IRR_interpretation":"Unique positive-discount-factor root","annual_payback_year":4,"annual_discounted_payback_year":5,"peak_annual_funding":1.5686896712328786,"NPV_per_peak_funding":5.016517409605669,"closeout_PV":0.2721287884880997,"NPV_without_closeout":7.597230257520229,"post2036_PV":4.44243377214161,"post2036_PV_share_of_gross_positive_PV":0.474717122946473,"franchise_terminal_PV":0.0,"year3_ROIC":0.3442793112035172,"year3_capital_turns":16.849982244601243,"definition":"Unlevered real USD. ROIC uses end-period net PPE+NWC and normalized 25% tax, not cash-tax-loss benefit; annual payback does not interpolate intra-year cash. No franchise terminal value."},{"mode":"trade","scenario":"fragmented","NPV":-10.136255746401934,"IRR_roots":[-0.137122735378],"IRR_interpretation":"Unique positive-discount-factor root","annual_payback_year":null,"annual_discounted_payback_year":null,"peak_annual_funding":22.84820444735882,"NPV_per_peak_funding":-0.4436346746526795,"closeout_PV":0.30778885964547525,"NPV_without_closeout":-10.44404460604741,"post2036_PV":-1.357049557711676,"post2036_PV_share_of_gross_positive_PV":-5.029678443636748,"franchise_terminal_PV":0.0,"year3_ROIC":-0.11268830174517792,"year3_capital_turns":6.142890326298819,"definition":"Unlevered real USD. ROIC uses end-period net PPE+NWC and normalized 25% tax, not cash-tax-loss benefit; annual payback does not interpolate intra-year cash. No franchise terminal value."},{"mode":"trade","scenario":"physical","NPV":-25.560849591724317,"IRR_roots":[-0.407815456078],"IRR_interpretation":"Unique positive-discount-factor root","annual_payback_year":null,"annual_discounted_payback_year":null,"peak_annual_funding":70.94921425008118,"NPV_per_peak_funding":-0.360269664180179,"closeout_PV":0.3950660581764834,"NPV_without_closeout":-25.9559156499008,"post2036_PV":-5.701673320677543,"post2036_PV_share_of_gross_positive_PV":-24.20903803355725,"franchise_terminal_PV":0.0,"year3_ROIC":-0.3398336763725446,"year3_capital_turns":4.566853437567628,"definition":"Unlevered real USD. ROIC uses end-period net PPE+NWC and normalized 25% tax, not cash-tax-loss benefit; annual payback does not interpolate intra-year cash. No franchise terminal value."},{"mode":"trade","scenario":"squeeze","NPV":-13.357503120599379,"IRR_roots":[-0.26206427547],"IRR_interpretation":"Unique positive-discount-factor root","annual_payback_year":null,"annual_discounted_payback_year":null,"peak_annual_funding":36.99873139726028,"NPV_per_peak_funding":-0.361025976193024,"closeout_PV":0.1871607140109395,"NPV_without_closeout":-13.544663834610319,"post2036_PV":-2.0780270925079423,"post2036_PV_share_of_gross_positive_PV":-14.812252634633637,"franchise_terminal_PV":0.0,"year3_ROIC":-0.21217025321111577,"year3_capital_turns":5.194752508762496,"definition":"Unlevered real USD. ROIC uses end-period net PPE+NWC and normalized 25% tax, not cash-tax-loss benefit; annual payback does not interpolate intra-year cash. No franchise terminal value."},{"mode":"trade","scenario":"nutrition","NPV":-0.5433706314193101,"IRR_roots":[0.085068996968],"IRR_interpretation":"Unique positive-discount-factor root","annual_payback_year":14,"annual_discounted_payback_year":null,"peak_annual_funding":4.071070447090416,"NPV_per_peak_funding":-0.13347119350579054,"closeout_PV":0.38010252986579984,"NPV_without_closeout":-0.9234731612851099,"post2036_PV":1.4871821355393458,"post2036_PV_share_of_gross_positive_PV":0.46691407586975897,"franchise_terminal_PV":0.0,"year3_ROIC":0.07747498383717258,"year3_capital_turns":9.10479830947019,"definition":"Unlevered real USD. ROIC uses end-period net PPE+NWC and normalized 25% tax, not cash-tax-loss benefit; annual payback does not interpolate intra-year cash. No franchise terminal value."},{"mode":"partner","scenario":"managed","NPV":10.817370364399231,"IRR_roots":[0.202782898515],"IRR_interpretation":"Unique positive-discount-factor root","annual_payback_year":6,"annual_discounted_payback_year":8,"peak_annual_funding":9.795726027397262,"NPV_per_peak_funding":1.1042949072018322,"closeout_PV":0.5461900166094749,"NPV_without_closeout":10.271180347789755,"post2036_PV":7.656500458595857,"post2036_PV_share_of_gross_positive_PV":0.3597139997569077,"franchise_terminal_PV":0.0,"year3_ROIC":0.18684299617632655,"year3_capital_turns":3.5436200263392856,"definition":"Unlevered real USD. ROIC uses end-period net PPE+NWC and normalized 25% tax, not cash-tax-loss benefit; annual payback does not interpolate intra-year cash. No franchise terminal value."},{"mode":"partner","scenario":"integration","NPV":20.592951494337385,"IRR_roots":[0.28381986333],"IRR_interpretation":"Unique positive-discount-factor root","annual_payback_year":5,"annual_discounted_payback_year":6,"peak_annual_funding":9.137024657534244,"NPV_per_peak_funding":2.2537918267908763,"closeout_PV":0.5673576072904493,"NPV_without_closeout":20.025593887046934,"post2036_PV":10.872703318727908,"post2036_PV_share_of_gross_positive_PV":0.3589456804409997,"franchise_terminal_PV":0.0,"year3_ROIC":0.28141906951457,"year3_capital_turns":4.1600015866092654,"definition":"Unlevered real USD. ROIC uses end-period net PPE+NWC and normalized 25% tax, not cash-tax-loss benefit; annual payback does not interpolate intra-year cash. No franchise terminal value."},{"mode":"partner","scenario":"fragmented","NPV":-3.5847305871200685,"IRR_roots":[0.081941712212],"IRR_interpretation":"Unique positive-discount-factor root","annual_payback_year":14,"annual_discounted_payback_year":null,"peak_annual_funding":12.709059419178088,"NPV_per_peak_funding":-0.282061045501973,"closeout_PV":0.4494049369812504,"NPV_without_closeout":-4.034135524101319,"post2036_PV":2.33429376460478,"post2036_PV_share_of_gross_positive_PV":0.24285239955555596,"franchise_terminal_PV":0.0,"year3_ROIC":0.07618297771996084,"year3_capital_turns":2.724409992215729,"definition":"Unlevered real USD. ROIC uses end-period net PPE+NWC and normalized 25% tax, not cash-tax-loss benefit; annual payback does not interpolate intra-year cash. No franchise terminal value."},{"mode":"partner","scenario":"physical","NPV":-17.395001416781703,"IRR_roots":[-0.064638823077],"IRR_interpretation":"Unique positive-discount-factor root","annual_payback_year":null,"annual_discounted_payback_year":null,"peak_annual_funding":27.95674091083143,"NPV_per_peak_funding":-0.6222113468899468,"closeout_PV":0.5242200839947374,"NPV_without_closeout":-17.91922150077644,"post2036_PV":-1.3684721673797406,"post2036_PV_share_of_gross_positive_PV":-1.6548760885448808,"franchise_terminal_PV":0.0,"year3_ROIC":-0.04197620336778026,"year3_capital_turns":2.3111021543650403,"definition":"Unlevered real USD. ROIC uses end-period net PPE+NWC and normalized 25% tax, not cash-tax-loss benefit; annual payback does not interpolate intra-year cash. No franchise terminal value."},{"mode":"partner","scenario":"squeeze","NPV":-9.82494869860839,"IRR_roots":[0.008176610503],"IRR_interpretation":"Unique positive-discount-factor root","annual_payback_year":25,"annual_discounted_payback_year":null,"peak_annual_funding":14.232439232876722,"NPV_per_peak_funding":-0.690320790262916,"closeout_PV":0.2590067989859538,"NPV_without_closeout":-10.083955497594344,"post2036_PV":0.0926388162039345,"post2036_PV_share_of_gross_positive_PV":0.021198723367474335,"franchise_terminal_PV":0.0,"year3_ROIC":0.019050908794359715,"year3_capital_turns":2.3877609632949452,"definition":"Unlevered real USD. ROIC uses end-period net PPE+NWC and normalized 25% tax, not cash-tax-loss benefit; annual payback does not interpolate intra-year cash. No franchise terminal value."},{"mode":"partner","scenario":"nutrition","NPV":10.071104437961292,"IRR_roots":[0.190933666382],"IRR_interpretation":"Unique positive-discount-factor root","annual_payback_year":6,"annual_discounted_payback_year":9,"peak_annual_funding":10.38084,"NPV_per_peak_funding":0.970162765051893,"closeout_PV":0.650708938187864,"NPV_without_closeout":9.420395499773429,"post2036_PV":7.600764481928649,"post2036_PV_share_of_gross_positive_PV":0.3604270113439216,"franchise_terminal_PV":0.0,"year3_ROIC":0.1766085280851699,"year3_capital_turns":3.3379053572206137,"definition":"Unlevered real USD. ROIC uses end-period net PPE+NWC and normalized 25% tax, not cash-tax-loss benefit; annual payback does not interpolate intra-year cash. No franchise terminal value."},{"mode":"plant","scenario":"managed","NPV":-1.7999419404754313,"IRR_roots":[0.090371889793],"IRR_interpretation":"Unique positive-discount-factor root","annual_payback_year":9,"annual_discounted_payback_year":null,"peak_annual_funding":22.564383561643837,"NPV_per_peak_funding":-0.07976916079086115,"closeout_PV":0.672379863023832,"NPV_without_closeout":-2.4723218034992636,"post2036_PV":5.276493468443403,"post2036_PV_share_of_gross_positive_PV":0.21308732420512114,"franchise_terminal_PV":0.0,"year3_ROIC":0.07197432986492461,"year3_capital_turns":1.9184774763487973,"definition":"Unlevered real USD. ROIC uses end-period net PPE+NWC and normalized 25% tax, not cash-tax-loss benefit; annual payback does not interpolate intra-year cash. No franchise terminal value."},{"mode":"plant","scenario":"integration","NPV":13.879461780773948,"IRR_roots":[0.152055716186],"IRR_interpretation":"Unique positive-discount-factor root","annual_payback_year":7,"annual_discounted_payback_year":10,"peak_annual_funding":21.728734246575343,"NPV_per_peak_funding":0.638760713038841,"closeout_PV":0.8427033117648247,"NPV_without_closeout":13.036758469009124,"post2036_PV":12.643872320313855,"post2036_PV_share_of_gross_positive_PV":0.3203996042616289,"franchise_terminal_PV":0.0,"year3_ROIC":0.12610379281593204,"year3_capital_turns":2.2104014142733877,"definition":"Unlevered real USD. ROIC uses end-period net PPE+NWC and normalized 25% tax, not cash-tax-loss benefit; annual payback does not interpolate intra-year cash. No franchise terminal value."},{"mode":"plant","scenario":"fragmented","NPV":-17.20394764958582,"IRR_roots":[0.005075146236],"IRR_interpretation":"Unique positive-discount-factor root","annual_payback_year":25,"annual_discounted_payback_year":null,"peak_annual_funding":25.97873621917809,"NPV_per_peak_funding":-0.6622318924384581,"closeout_PV":0.4936911446260897,"NPV_without_closeout":-17.69763879421191,"post2036_PV":-0.18186413992318232,"post2036_PV_share_of_gross_positive_PV":-0.015591403392874466,"franchise_terminal_PV":0.0,"year3_ROIC":0.013489837678553468,"year3_capital_turns":1.60001820570778,"definition":"Unlevered real USD. ROIC uses end-period net PPE+NWC and normalized 25% tax, not cash-tax-loss benefit; annual payback does not interpolate intra-year cash. No franchise terminal value."},{"mode":"plant","scenario":"physical","NPV":-33.292163663292115,"IRR_roots":[-0.132978687709],"IRR_interpretation":"Unique positive-discount-factor root","annual_payback_year":null,"annual_discounted_payback_year":null,"peak_annual_funding":57.89763621465281,"NPV_per_peak_funding":-0.5750176663493299,"closeout_PV":0.5658043535666495,"NPV_without_closeout":-33.85796801685876,"post2036_PV":-4.432559852928076,"post2036_PV_share_of_gross_positive_PV":-4.695620982377556,"franchise_terminal_PV":0.0,"year3_ROIC":-0.06774215327848386,"year3_capital_turns":1.410225651346896,"definition":"Unlevered real USD. ROIC uses end-period net PPE+NWC and normalized 25% tax, not cash-tax-loss benefit; annual payback does not interpolate intra-year cash. No franchise terminal value."},{"mode":"plant","scenario":"squeeze","NPV":-24.952075111496065,"IRR_roots":[-0.082797875888],"IRR_interpretation":"Unique positive-discount-factor root","annual_payback_year":null,"annual_discounted_payback_year":null,"peak_annual_funding":38.204532602739775,"NPV_per_peak_funding":-0.6531181881206072,"closeout_PV":0.28173377148264445,"NPV_without_closeout":-25.23380888297871,"post2036_PV":-2.306100762344556,"post2036_PV_share_of_gross_positive_PV":-0.5200988865507326,"franchise_terminal_PV":0.0,"year3_ROIC":-0.031974430639479315,"year3_capital_turns":1.397031366691561,"definition":"Unlevered real USD. ROIC uses end-period net PPE+NWC and normalized 25% tax, not cash-tax-loss benefit; annual payback does not interpolate intra-year cash. No franchise terminal value."},{"mode":"plant","scenario":"nutrition","NPV":-2.8782641183332043,"IRR_roots":[0.084776665854],"IRR_interpretation":"Unique positive-discount-factor root","annual_payback_year":10,"annual_discounted_payback_year":null,"peak_annual_funding":23.1676301369863,"NPV_per_peak_funding":-0.12423644979285808,"closeout_PV":0.7439729232248751,"NPV_without_closeout":-3.6222370415580794,"post2036_PV":4.952434257898219,"post2036_PV_share_of_gross_positive_PV":0.20395701689625284,"franchise_terminal_PV":0.0,"year3_ROIC":0.07232986493926076,"year3_capital_turns":1.8875238808679464,"definition":"Unlevered real USD. ROIC uses end-period net PPE+NWC and normalized 25% tax, not cash-tax-loss benefit; annual payback does not interpolate intra-year cash. No franchise terminal value."}]</x:v>
      </x:c>
      <x:c r="E432" s="2" t="str">
        <x:v>[{"mode":"trade","scenario":"managed","NPV":0.35768624230170054,"IRR_roots":[0.112467775104],"IRR_interpretation":"Unique positive-discount-factor root","annual_payback_year":10,"annual_discounted_payback_year":24,"peak_annual_funding":2.9413770000000037,"NPV_per_peak_funding":0.12160503135154048,"closeout_PV":0.2889778043333594,"NPV_without_closeout":0.06870843796834114,"post2036_PV":1.4447570413376705,"post2036_PV_share_of_gross_positive_PV":0.46379043841650924,"franchise_terminal_PV":0.0,"year3_ROIC":0.09890536114462992,"year3_capital_turns":11.607475835245895,"definition":"Unlevered real USD. ROIC uses end-period net PPE+NWC and normalized 25% tax, not cash-tax-loss benefit; annual payback does not interpolate intra-year cash. No franchise terminal value."},{"mode":"trade","scenario":"integration","NPV":7.869359046008329,"IRR_roots":[0.398648655658],"IRR_interpretation":"Unique positive-discount-factor root","annual_payback_year":4,"annual_discounted_payback_year":5,"peak_annual_funding":1.5686896712328786,"NPV_per_peak_funding":5.016517409605669,"closeout_PV":0.2721287884880997,"NPV_without_closeout":7.597230257520229,"post2036_PV":4.44243377214161,"post2036_PV_share_of_gross_positive_PV":0.474717122946473,"franchise_terminal_PV":0.0,"year3_ROIC":0.3442793112035172,"year3_capital_turns":16.849982244601243,"definition":"Unlevered real USD. ROIC uses end-period net PPE+NWC and normalized 25% tax, not cash-tax-loss benefit; annual payback does not interpolate intra-year cash. No franchise terminal value."},{"mode":"trade","scenario":"fragmented","NPV":-10.136255746401934,"IRR_roots":[-0.137122735378],"IRR_interpretation":"Unique positive-discount-factor root","annual_payback_year":null,"annual_discounted_payback_year":null,"peak_annual_funding":22.84820444735882,"NPV_per_peak_funding":-0.4436346746526795,"closeout_PV":0.30778885964547525,"NPV_without_closeout":-10.44404460604741,"post2036_PV":-1.357049557711676,"post2036_PV_share_of_gross_positive_PV":-5.029678443636748,"franchise_terminal_PV":0.0,"year3_ROIC":-0.11268830174517792,"year3_capital_turns":6.142890326298819,"definition":"Unlevered real USD. ROIC uses end-period net PPE+NWC and normalized 25% tax, not cash-tax-loss benefit; annual payback does not interpolate intra-year cash. No franchise terminal value."},{"mode":"trade","scenario":"physical","NPV":-25.560849591724317,"IRR_roots":[-0.407815456078],"IRR_interpretation":"Unique positive-discount-factor root","annual_payback_year":null,"annual_discounted_payback_year":null,"peak_annual_funding":70.94921425008118,"NPV_per_peak_funding":-0.360269664180179,"closeout_PV":0.3950660581764834,"NPV_without_closeout":-25.9559156499008,"post2036_PV":-5.701673320677543,"post2036_PV_share_of_gross_positive_PV":-24.20903803355725,"franchise_terminal_PV":0.0,"year3_ROIC":-0.3398336763725446,"year3_capital_turns":4.566853437567628,"definition":"Unlevered real USD. ROIC uses end-period net PPE+NWC and normalized 25% tax, not cash-tax-loss benefit; annual payback does not interpolate intra-year cash. No franchise terminal value."},{"mode":"trade","scenario":"squeeze","NPV":-13.357503120599379,"IRR_roots":[-0.26206427547],"IRR_interpretation":"Unique positive-discount-factor root","annual_payback_year":null,"annual_discounted_payback_year":null,"peak_annual_funding":36.99873139726028,"NPV_per_peak_funding":-0.361025976193024,"closeout_PV":0.1871607140109395,"NPV_without_closeout":-13.544663834610319,"post2036_PV":-2.0780270925079423,"post2036_PV_share_of_gross_positive_PV":-14.812252634633637,"franchise_terminal_PV":0.0,"year3_ROIC":-0.21217025321111577,"year3_capital_turns":5.194752508762496,"definition":"Unlevered real USD. ROIC uses end-period net PPE+NWC and normalized 25% tax, not cash-tax-loss benefit; annual payback does not interpolate intra-year cash. No franchise terminal value."},{"mode":"trade","scenario":"nutrition","NPV":-0.5433706314193101,"IRR_roots":[0.085068996968],"IRR_interpretation":"Unique positive-discount-factor root","annual_payback_year":14,"annual_discounted_payback_year":null,"peak_annual_funding":4.071070447090416,"NPV_per_peak_funding":-0.13347119350579054,"closeout_PV":0.38010252986579984,"NPV_without_closeout":-0.9234731612851099,"post2036_PV":1.4871821355393458,"post2036_PV_share_of_gross_positive_PV":0.46691407586975897,"franchise_terminal_PV":0.0,"year3_ROIC":0.07747498383717258,"year3_capital_turns":9.10479830947019,"definition":"Unlevered real USD. ROIC uses end-period net PPE+NWC and normalized 25% tax, not cash-tax-loss benefit; annual payback does not interpolate intra-year cash. No franchise terminal value."},{"mode":"partner","scenario":"managed","NPV":10.817370364399231,"IRR_roots":[0.202782898515],"IRR_interpretation":"Unique positive-discount-factor root","annual_payback_year":6,"annual_discounted_payback_year":8,"peak_annual_funding":9.795726027397262,"NPV_per_peak_funding":1.1042949072018322,"closeout_PV":0.5461900166094749,"NPV_without_closeout":10.271180347789755,"post2036_PV":7.656500458595857,"post2036_PV_share_of_gross_positive_PV":0.3597139997569077,"franchise_terminal_PV":0.0,"year3_ROIC":0.18684299617632655,"year3_capital_turns":3.5436200263392856,"definition":"Unlevered real USD. ROIC uses end-period net PPE+NWC and normalized 25% tax, not cash-tax-loss benefit; annual payback does not interpolate intra-year cash. No franchise terminal value."},{"mode":"partner","scenario":"integration","NPV":20.592951494337385,"IRR_roots":[0.28381986333],"IRR_interpretation":"Unique positive-discount-factor root","annual_payback_year":5,"annual_discounted_payback_year":6,"peak_annual_funding":9.137024657534244,"NPV_per_peak_funding":2.2537918267908763,"closeout_PV":0.5673576072904493,"NPV_without_closeout":20.025593887046934,"post2036_PV":10.872703318727908,"post2036_PV_share_of_gross_positive_PV":0.3589456804409997,"franchise_terminal_PV":0.0,"year3_ROIC":0.28141906951457,"year3_capital_turns":4.1600015866092654,"definition":"Unlevered real USD. ROIC uses end-period net PPE+NWC and normalized 25% tax, not cash-tax-loss benefit; annual payback does not interpolate intra-year cash. No franchise terminal value."},{"mode":"partner","scenario":"fragmented","NPV":-3.5847305871200685,"IRR_roots":[0.081941712212],"IRR_interpretation":"Unique positive-discount-factor root","annual_payback_year":14,"annual_discounted_payback_year":null,"peak_annual_funding":12.709059419178088,"NPV_per_peak_funding":-0.282061045501973,"closeout_PV":0.4494049369812504,"NPV_without_closeout":-4.034135524101319,"post2036_PV":2.33429376460478,"post2036_PV_share_of_gross_positive_PV":0.24285239955555596,"franchise_terminal_PV":0.0,"year3_ROIC":0.07618297771996084,"year3_capital_turns":2.724409992215729,"definition":"Unlevered real USD. ROIC uses end-period net PPE+NWC and normalized 25% tax, not cash-tax-loss benefit; annual payback does not interpolate intra-year cash. No franchise terminal value."},{"mode":"partner","scenario":"physical","NPV":-17.395001416781703,"IRR_roots":[-0.064638823077],"IRR_interpretation":"Unique positive-discount-factor root","annual_payback_year":null,"annual_discounted_payback_year":null,"peak_annual_funding":27.95674091083143,"NPV_per_peak_funding":-0.6222113468899468,"closeout_PV":0.5242200839947374,"NPV_without_closeout":-17.91922150077644,"post2036_PV":-1.3684721673797406,"post2036_PV_share_of_gross_positive_PV":-1.6548760885448808,"franchise_terminal_PV":0.0,"year3_ROIC":-0.04197620336778026,"year3_capital_turns":2.3111021543650403,"definition":"Unlevered real USD. ROIC uses end-period net PPE+NWC and normalized 25% tax, not cash-tax-loss benefit; annual payback does not interpolate intra-year cash. No franchise terminal value."},{"mode":"partner","scenario":"squeeze","NPV":-9.82494869860839,"IRR_roots":[0.008176610503],"IRR_interpretation":"Unique positive-discount-factor root","annual_payback_year":25,"annual_discounted_payback_year":null,"peak_annual_funding":14.232439232876722,"NPV_per_peak_funding":-0.690320790262916,"closeout_PV":0.2590067989859538,"NPV_without_closeout":-10.083955497594344,"post2036_PV":0.0926388162039345,"post2036_PV_share_of_gross_positive_PV":0.021198723367474335,"franchise_terminal_PV":0.0,"year3_ROIC":0.019050908794359715,"year3_capital_turns":2.3877609632949452,"definition":"Unlevered real USD. ROIC uses end-period net PPE+NWC and normalized 25% tax, not cash-tax-loss benefit; annual payback does not interpolate intra-year cash. No franchise terminal value."},{"mode":"partner","scenario":"nutrition","NPV":10.071104437961292,"IRR_roots":[0.190933666382],"IRR_interpretation":"Unique positive-discount-factor root","annual_payback_year":6,"annual_discounted_payback_year":9,"peak_annual_funding":10.38084,"NPV_per_peak_funding":0.970162765051893,"closeout_PV":0.650708938187864,"NPV_without_closeout":9.420395499773429,"post2036_PV":7.600764481928649,"post2036_PV_share_of_gross_positive_PV":0.3604270113439216,"franchise_terminal_PV":0.0,"year3_ROIC":0.1766085280851699,"year3_capital_turns":3.3379053572206137,"definition":"Unlevered real USD. ROIC uses end-period net PPE+NWC and normalized 25% tax, not cash-tax-loss benefit; annual payback does not interpolate intra-year cash. No franchise terminal value."},{"mode":"plant","scenario":"managed","NPV":-1.7999419404754313,"IRR_roots":[0.090371889793],"IRR_interpretation":"Unique positive-discount-factor root","annual_payback_year":9,"annual_discounted_payback_year":null,"peak_annual_funding":22.564383561643837,"NPV_per_peak_funding":-0.07976916079086115,"closeout_PV":0.672379863023832,"NPV_without_closeout":-2.4723218034992636,"post2036_PV":5.276493468443403,"post2036_PV_share_of_gross_positive_PV":0.21308732420512114,"franchise_terminal_PV":0.0,"year3_ROIC":0.07197432986492461,"year3_capital_turns":1.9184774763487973,"definition":"Unlevered real USD. ROIC uses end-period net PPE+NWC and normalized 25% tax, not cash-tax-loss benefit; annual payback does not interpolate intra-year cash. No franchise terminal value."},{"mode":"plant","scenario":"integration","NPV":13.879461780773948,"IRR_roots":[0.152055716186],"IRR_interpretation":"Unique positive-discount-factor root","annual_payback_year":7,"annual_discounted_payback_year":10,"peak_annual_funding":21.728734246575343,"NPV_per_peak_funding":0.638760713038841,"closeout_PV":0.8427033117648247,"NPV_without_closeout":13.036758469009124,"post2036_PV":12.643872320313855,"post2036_PV_share_of_gross_positive_PV":0.3203996042616289,"franchise_terminal_PV":0.0,"year3_ROIC":0.12610379281593204,"year3_capital_turns":2.2104014142733877,"definition":"Unlevered real USD. ROIC uses end-period net PPE+NWC and normalized 25% tax, not cash-tax-loss benefit; annual payback does not interpolate intra-year cash. No franchise terminal value."},{"mode":"plant","scenario":"fragmented","NPV":-17.20394764958582,"IRR_roots":[0.005075146236],"IRR_interpretation":"Unique positive-discount-factor root","annual_payback_year":25,"annual_discounted_payback_year":null,"peak_annual_funding":25.97873621917809,"NPV_per_peak_funding":-0.6622318924384581,"closeout_PV":0.4936911446260897,"NPV_without_closeout":-17.69763879421191,"post2036_PV":-0.18186413992318232,"post2036_PV_share_of_gross_positive_PV":-0.015591403392874466,"franchise_terminal_PV":0.0,"year3_ROIC":0.013489837678553468,"year3_capital_turns":1.60001820570778,"definition":"Unlevered real USD. ROIC uses end-period net PPE+NWC and normalized 25% tax, not cash-tax-loss benefit; annual payback does not interpolate intra-year cash. No franchise terminal value."},{"mode":"plant","scenario":"physical","NPV":-33.292163663292115,"IRR_roots":[-0.132978687709],"IRR_interpretation":"Unique positive-discount-factor root","annual_payback_year":null,"annual_discounted_payback_year":null,"peak_annual_funding":57.89763621465281,"NPV_per_peak_funding":-0.5750176663493299,"closeout_PV":0.5658043535666495,"NPV_without_closeout":-33.85796801685876,"post2036_PV":-4.432559852928076,"post2036_PV_share_of_gross_positive_PV":-4.695620982377556,"franchise_terminal_PV":0.0,"year3_ROIC":-0.06774215327848386,"year3_capital_turns":1.410225651346896,"definition":"Unlevered real USD. ROIC uses end-period net PPE+NWC and normalized 25% tax, not cash-tax-loss benefit; annual payback does not interpolate intra-year cash. No franchise terminal value."},{"mode":"plant","scenario":"squeeze","NPV":-24.952075111496065,"IRR_roots":[-0.082797875888],"IRR_interpretation":"Unique positive-discount-factor root","annual_payback_year":null,"annual_discounted_payback_year":null,"peak_annual_funding":38.204532602739775,"NPV_per_peak_funding":-0.6531181881206072,"closeout_PV":0.28173377148264445,"NPV_without_closeout":-25.23380888297871,"post2036_PV":-2.306100762344556,"post2036_PV_share_of_gross_positive_PV":-0.5200988865507326,"franchise_terminal_PV":0.0,"year3_ROIC":-0.031974430639479315,"year3_capital_turns":1.397031366691561,"definition":"Unlevered real USD. ROIC uses end-period net PPE+NWC and normalized 25% tax, not cash-tax-loss benefit; annual payback does not interpolate intra-year cash. No franchise terminal value."},{"mode":"plant","scenario":"nutrition","NPV":-2.8782641183332043,"IRR_roots":[0.084776665854],"IRR_interpretation":"Unique positive-discount-factor root","annual_payback_year":10,"annual_discounted_payback_year":null,"peak_annual_funding":23.1676301369863,"NPV_per_peak_funding":-0.12423644979285808,"closeout_PV":0.7439729232248751,"NPV_without_closeout":-3.6222370415580794,"post2036_PV":4.952434257898219,"post2036_PV_share_of_gross_positive_PV":0.20395701689625284,"franchise_terminal_PV":0.0,"year3_ROIC":0.07232986493926076,"year3_capital_turns":1.8875238808679464,"definition":"Unlevered real USD. ROIC uses end-period net PPE+NWC and normalized 25% tax, not cash-tax-loss benefit; annual payback does not interpolate intra-year cash. No franchise terminal value."}]</x:v>
      </x:c>
      <x:c r="F432" s="2" t="str">
        <x:v>USDm, fractions, years</x:v>
      </x:c>
      <x:c r="G432" s="2" t="str">
        <x:v>I-C-CAPITAL</x:v>
      </x:c>
      <x:c r="H432" s="2" t="str"/>
      <x:c r="I432" s="2" t="str">
        <x:v>A_TEMPLATE;A_SCENARIO;A_EXAMPLE</x:v>
      </x:c>
      <x:c r="J432" s="2" t="str">
        <x:v>Country_Financials; Capital_Metrics</x:v>
      </x:c>
      <x:c r="K432" s="2" t="str">
        <x:v>scripts/olam-extend-analysis.py</x:v>
      </x:c>
      <x:c r="L432" s="2" t="str">
        <x:v>Verification appendix</x:v>
      </x:c>
      <x:c r="M432" s="2" t="str">
        <x:v>Not a country/company investment estimate, calibrated distribution or observed causal effect</x:v>
      </x:c>
    </x:row>
    <x:row r="433" ht="70" customHeight="1">
      <x:c r="A433" s="2" t="str">
        <x:v>C-SENSITIVITY</x:v>
      </x:c>
      <x:c r="B433" s="2" t="str">
        <x:v>One/two-variable investment boundaries</x:v>
      </x:c>
      <x:c r="C433" s="2" t="str">
        <x:v>Rerun the identical 25-year cash_model, altering only declared input(s)</x:v>
      </x:c>
      <x:c r="D433" s="2" t="str">
        <x:v>{"one_variable_rows":630,"two_variable_rows":75}</x:v>
      </x:c>
      <x:c r="E433" s="2" t="str">
        <x:v>{"one_variable_rows":630,"two_variable_rows":75}</x:v>
      </x:c>
      <x:c r="F433" s="2" t="str">
        <x:v>USDm; tonnes; USD/t; days</x:v>
      </x:c>
      <x:c r="G433" s="2" t="str">
        <x:v>I-C-SENSITIVITY</x:v>
      </x:c>
      <x:c r="H433" s="2" t="str"/>
      <x:c r="I433" s="2" t="str">
        <x:v>A_TEMPLATE;A_SCENARIO;A_EXAMPLE</x:v>
      </x:c>
      <x:c r="J433" s="2" t="str">
        <x:v>Sensitivity; Boundary_Grid</x:v>
      </x:c>
      <x:c r="K433" s="2" t="str">
        <x:v>scripts/olam-extend-analysis.py</x:v>
      </x:c>
      <x:c r="L433" s="2" t="str">
        <x:v>Verification appendix</x:v>
      </x:c>
      <x:c r="M433" s="2" t="str">
        <x:v>Not a country/company investment estimate, calibrated distribution or observed causal effect</x:v>
      </x:c>
    </x:row>
    <x:row r="434" ht="70" customHeight="1">
      <x:c r="A434" s="2" t="str">
        <x:v>C-MONTHLY</x:v>
      </x:c>
      <x:c r="B434" s="2" t="str">
        <x:v>Seasonal inventory and settlement cash</x:v>
      </x:c>
      <x:c r="C434" s="2" t="str">
        <x:v>Stock_close=stock_open+production−deliveries; AR/AP balance accruals−collections/payments</x:v>
      </x:c>
      <x:c r="D434" s="2" t="str">
        <x:v>{"status":"Separate chosen steady-output seasonal teaching case; not the ramping DCF or an Olam forecast","opening_capex_USDm":20.0,"opening_inventory_USDm":2.72,"orders_total_t":100000.0,"production_total_t":99999.99999999999,"revenue_total_USDm":40.0,"operating_cash_year_USDm":3.386666666666664,"peak_monthly_funding_USDm":24.413333333333334,"rows":[{"month":1,"orders_delivered_t":6000.0,"production_t":8333.333333333334,"opening_stock_t":8000,"closing_stock_t":10333.333333333334,"revenue_USDm":2.4,"collections_USDm":0.48,"procurement_USDm":2.8333333333333335,"payments_USDm":0.5666666666666668,"AR_USDm":1.92,"inventory_USDm":3.5133333333333336,"AP_USDm":2.2666666666666666,"operating_cash_USDm":-0.2533333333333334,"cumulative_cash_USDm":-22.973333333333333},{"month":2,"orders_delivered_t":6000.0,"production_t":8333.333333333334,"opening_stock_t":10333.333333333334,"closing_stock_t":12666.666666666668,"revenue_USDm":2.4,"collections_USDm":2.4,"procurement_USDm":2.8333333333333335,"payments_USDm":2.833333333333334,"AR_USDm":1.92,"inventory_USDm":4.306666666666667,"AP_USDm":2.266666666666666,"operating_cash_USDm":-0.6000000000000006,"cumulative_cash_USDm":-23.573333333333334},{"month":3,"orders_delivered_t":7000.000000000001,"production_t":8333.333333333334,"opening_stock_t":12666.666666666668,"closing_stock_t":14000.0,"revenue_USDm":2.8000000000000003,"collections_USDm":2.48,"procurement_USDm":2.8333333333333335,"payments_USDm":2.833333333333334,"AR_USDm":2.24,"inventory_USDm":4.76,"AP_USDm":2.2666666666666657,"operating_cash_USDm":-0.5200000000000006,"cumulative_cash_USDm":-24.093333333333334},{"month":4,"orders_delivered_t":7000.000000000001,"production_t":8333.333333333334,"opening_stock_t":14000.0,"closing_stock_t":15333.333333333334,"revenue_USDm":2.8000000000000003,"collections_USDm":2.8000000000000003,"procurement_USDm":2.8333333333333335,"payments_USDm":2.833333333333334,"AR_USDm":2.24,"inventory_USDm":5.213333333333334,"AP_USDm":2.2666666666666653,"operating_cash_USDm":-0.20000000000000032,"cumulative_cash_USDm":-24.293333333333333},{"month":5,"orders_delivered_t":8000.0,"production_t":8333.333333333334,"opening_stock_t":15333.333333333334,"closing_stock_t":15666.666666666668,"revenue_USDm":3.2,"collections_USDm":2.8800000000000003,"procurement_USDm":2.8333333333333335,"payments_USDm":2.833333333333334,"AR_USDm":2.56,"inventory_USDm":5.326666666666667,"AP_USDm":2.266666666666665,"operating_cash_USDm":-0.12000000000000025,"cumulative_cash_USDm":-24.413333333333334},{"month":6,"orders_delivered_t":8000.0,"production_t":8333.333333333334,"opening_stock_t":15666.666666666668,"closing_stock_t":16000.000000000002,"revenue_USDm":3.2,"collections_USDm":3.2000000000000006,"procurement_USDm":2.8333333333333335,"payments_USDm":2.833333333333334,"AR_USDm":2.5599999999999996,"inventory_USDm":5.440000000000001,"AP_USDm":2.2666666666666644,"operating_cash_USDm":0.20000000000000004,"cumulative_cash_USDm":-24.213333333333335},{"month":7,"orders_delivered_t":9000.0,"production_t":8333.333333333334,"opening_stock_t":16000.000000000002,"closing_stock_t":15333.333333333336,"revenue_USDm":3.6,"collections_USDm":3.2800000000000007,"procurement_USDm":2.8333333333333335,"payments_USDm":2.833333333333334,"AR_USDm":2.879999999999999,"inventory_USDm":5.213333333333334,"AP_USDm":2.266666666666664,"operating_cash_USDm":0.28000000000000014,"cumulative_cash_USDm":-23.933333333333334},{"month":8,"orders_delivered_t":9000.0,"production_t":8333.333333333334,"opening_stock_t":15333.333333333336,"closing_stock_t":14666.66666666667,"revenue_USDm":3.6,"collections_USDm":3.6000000000000005,"procurement_USDm":2.8333333333333335,"payments_USDm":2.833333333333334,"AR_USDm":2.8799999999999986,"inventory_USDm":4.986666666666668,"AP_USDm":2.2666666666666635,"operating_cash_USDm":0.6,"cumulative_cash_USDm":-23.333333333333332},{"month":9,"orders_delivered_t":10000.0,"production_t":8333.333333333334,"opening_stock_t":14666.66666666667,"closing_stock_t":13000.000000000004,"revenue_USDm":4.0,"collections_USDm":3.6800000000000006,"procurement_USDm":2.8333333333333335,"payments_USDm":2.833333333333334,"AR_USDm":3.199999999999998,"inventory_USDm":4.420000000000001,"AP_USDm":2.266666666666663,"operating_cash_USDm":0.68,"cumulative_cash_USDm":-22.653333333333332},{"month":10,"orders_delivered_t":11000.0,"production_t":8333.333333333334,"opening_stock_t":13000.000000000004,"closing_stock_t":10333.333333333338,"revenue_USDm":4.4,"collections_USDm":4.08,"procurement_USDm":2.8333333333333335,"payments_USDm":2.833333333333334,"AR_USDm":3.5199999999999982,"inventory_USDm":3.513333333333335,"AP_USDm":2.2666666666666626,"operating_cash_USDm":1.0799999999999994,"cumulative_cash_USDm":-21.573333333333334},{"month":11,"orders_delivered_t":10000.0,"production_t":8333.333333333334,"opening_stock_t":10333.333333333338,"closing_stock_t":8666.666666666672,"revenue_USDm":4.0,"collections_USDm":4.32,"procurement_USDm":2.8333333333333335,"payments_USDm":2.833333333333334,"AR_USDm":3.199999999999998,"inventory_USDm":2.9466666666666685,"AP_USDm":2.266666666666662,"operating_cash_USDm":1.3199999999999996,"cumulative_cash_USDm":-20.253333333333334},{"month":12,"orders_delivered_t":9000.0,"production_t":8333.333333333334,"opening_stock_t":8666.666666666672,"closing_stock_t":8000.0000000000055,"revenue_USDm":3.6,"collections_USDm":3.9200000000000004,"procurement_USDm":2.8333333333333335,"payments_USDm":2.833333333333334,"AR_USDm":2.8799999999999977,"inventory_USDm":2.720000000000002,"AP_USDm":2.2666666666666617,"operating_cash_USDm":0.9199999999999998,"cumulative_cash_USDm":-19.333333333333336}],"limitations":"No taxes, maintenance, refunds or financing in this isolated timing example. 80% revenue and purchases settle next month. December receivable/payable carry into next year. Monthly peak must be measured for real cases."}</x:v>
      </x:c>
      <x:c r="E434" s="2" t="str">
        <x:v>{"status":"Separate chosen steady-output seasonal teaching case; not the ramping DCF or an Olam forecast","opening_capex_USDm":20.0,"opening_inventory_USDm":2.72,"orders_total_t":100000.0,"production_total_t":99999.99999999999,"revenue_total_USDm":40.0,"operating_cash_year_USDm":3.386666666666664,"peak_monthly_funding_USDm":24.413333333333334,"rows":[{"month":1,"orders_delivered_t":6000.0,"production_t":8333.333333333334,"opening_stock_t":8000,"closing_stock_t":10333.333333333334,"revenue_USDm":2.4,"collections_USDm":0.48,"procurement_USDm":2.8333333333333335,"payments_USDm":0.5666666666666668,"AR_USDm":1.92,"inventory_USDm":3.5133333333333336,"AP_USDm":2.2666666666666666,"operating_cash_USDm":-0.2533333333333334,"cumulative_cash_USDm":-22.973333333333333},{"month":2,"orders_delivered_t":6000.0,"production_t":8333.333333333334,"opening_stock_t":10333.333333333334,"closing_stock_t":12666.666666666668,"revenue_USDm":2.4,"collections_USDm":2.4,"procurement_USDm":2.8333333333333335,"payments_USDm":2.833333333333334,"AR_USDm":1.92,"inventory_USDm":4.306666666666667,"AP_USDm":2.266666666666666,"operating_cash_USDm":-0.6000000000000006,"cumulative_cash_USDm":-23.573333333333334},{"month":3,"orders_delivered_t":7000.000000000001,"production_t":8333.333333333334,"opening_stock_t":12666.666666666668,"closing_stock_t":14000.0,"revenue_USDm":2.8000000000000003,"collections_USDm":2.48,"procurement_USDm":2.8333333333333335,"payments_USDm":2.833333333333334,"AR_USDm":2.24,"inventory_USDm":4.76,"AP_USDm":2.2666666666666657,"operating_cash_USDm":-0.5200000000000006,"cumulative_cash_USDm":-24.093333333333334},{"month":4,"orders_delivered_t":7000.000000000001,"production_t":8333.333333333334,"opening_stock_t":14000.0,"closing_stock_t":15333.333333333334,"revenue_USDm":2.8000000000000003,"collections_USDm":2.8000000000000003,"procurement_USDm":2.8333333333333335,"payments_USDm":2.833333333333334,"AR_USDm":2.24,"inventory_USDm":5.213333333333334,"AP_USDm":2.2666666666666653,"operating_cash_USDm":-0.20000000000000032,"cumulative_cash_USDm":-24.293333333333333},{"month":5,"orders_delivered_t":8000.0,"production_t":8333.333333333334,"opening_stock_t":15333.333333333334,"closing_stock_t":15666.666666666668,"revenue_USDm":3.2,"collections_USDm":2.8800000000000003,"procurement_USDm":2.8333333333333335,"payments_USDm":2.833333333333334,"AR_USDm":2.56,"inventory_USDm":5.326666666666667,"AP_USDm":2.266666666666665,"operating_cash_USDm":-0.12000000000000025,"cumulative_cash_USDm":-24.413333333333334},{"month":6,"orders_delivered_t":8000.0,"production_t":8333.333333333334,"opening_stock_t":15666.666666666668,"closing_stock_t":16000.000000000002,"revenue_USDm":3.2,"collections_USDm":3.2000000000000006,"procurement_USDm":2.8333333333333335,"payments_USDm":2.833333333333334,"AR_USDm":2.5599999999999996,"inventory_USDm":5.440000000000001,"AP_USDm":2.2666666666666644,"operating_cash_USDm":0.20000000000000004,"cumulative_cash_USDm":-24.213333333333335},{"month":7,"orders_delivered_t":9000.0,"production_t":8333.333333333334,"opening_stock_t":16000.000000000002,"closing_stock_t":15333.333333333336,"revenue_USDm":3.6,"collections_USDm":3.2800000000000007,"procurement_USDm":2.8333333333333335,"payments_USDm":2.833333333333334,"AR_USDm":2.879999999999999,"inventory_USDm":5.213333333333334,"AP_USDm":2.266666666666664,"operating_cash_USDm":0.28000000000000014,"cumulative_cash_USDm":-23.933333333333334},{"month":8,"orders_delivered_t":9000.0,"production_t":8333.333333333334,"opening_stock_t":15333.333333333336,"closing_stock_t":14666.66666666667,"revenue_USDm":3.6,"collections_USDm":3.6000000000000005,"procurement_USDm":2.8333333333333335,"payments_USDm":2.833333333333334,"AR_USDm":2.8799999999999986,"inventory_USDm":4.986666666666668,"AP_USDm":2.2666666666666635,"operating_cash_USDm":0.6,"cumulative_cash_USDm":-23.333333333333332},{"month":9,"orders_delivered_t":10000.0,"production_t":8333.333333333334,"opening_stock_t":14666.66666666667,"closing_stock_t":13000.000000000004,"revenue_USDm":4.0,"collections_USDm":3.6800000000000006,"procurement_USDm":2.8333333333333335,"payments_USDm":2.833333333333334,"AR_USDm":3.199999999999998,"inventory_USDm":4.420000000000001,"AP_USDm":2.266666666666663,"operating_cash_USDm":0.68,"cumulative_cash_USDm":-22.653333333333332},{"month":10,"orders_delivered_t":11000.0,"production_t":8333.333333333334,"opening_stock_t":13000.000000000004,"closing_stock_t":10333.333333333338,"revenue_USDm":4.4,"collections_USDm":4.08,"procurement_USDm":2.8333333333333335,"payments_USDm":2.833333333333334,"AR_USDm":3.5199999999999982,"inventory_USDm":3.513333333333335,"AP_USDm":2.2666666666666626,"operating_cash_USDm":1.0799999999999994,"cumulative_cash_USDm":-21.573333333333334},{"month":11,"orders_delivered_t":10000.0,"production_t":8333.333333333334,"opening_stock_t":10333.333333333338,"closing_stock_t":8666.666666666672,"revenue_USDm":4.0,"collections_USDm":4.32,"procurement_USDm":2.8333333333333335,"payments_USDm":2.833333333333334,"AR_USDm":3.199999999999998,"inventory_USDm":2.9466666666666685,"AP_USDm":2.266666666666662,"operating_cash_USDm":1.3199999999999996,"cumulative_cash_USDm":-20.253333333333334},{"month":12,"orders_delivered_t":9000.0,"production_t":8333.333333333334,"opening_stock_t":8666.666666666672,"closing_stock_t":8000.0000000000055,"revenue_USDm":3.6,"collections_USDm":3.9200000000000004,"procurement_USDm":2.8333333333333335,"payments_USDm":2.833333333333334,"AR_USDm":2.8799999999999977,"inventory_USDm":2.720000000000002,"AP_USDm":2.2666666666666617,"operating_cash_USDm":0.9199999999999998,"cumulative_cash_USDm":-19.333333333333336}],"limitations":"No taxes, maintenance, refunds or financing in this isolated timing example. 80% revenue and purchases settle next month. December receivable/payable carry into next year. Monthly peak must be measured for real cases."}</x:v>
      </x:c>
      <x:c r="F434" s="2" t="str">
        <x:v>tonnes; USDm; month</x:v>
      </x:c>
      <x:c r="G434" s="2" t="str">
        <x:v>I-C-MONTHLY</x:v>
      </x:c>
      <x:c r="H434" s="2" t="str"/>
      <x:c r="I434" s="2" t="str">
        <x:v>A_TEMPLATE;A_SCENARIO;A_EXAMPLE</x:v>
      </x:c>
      <x:c r="J434" s="2" t="str">
        <x:v>Monthly_Cash</x:v>
      </x:c>
      <x:c r="K434" s="2" t="str">
        <x:v>scripts/olam-extend-analysis.py</x:v>
      </x:c>
      <x:c r="L434" s="2" t="str">
        <x:v>Verification appendix</x:v>
      </x:c>
      <x:c r="M434" s="2" t="str">
        <x:v>Not a country/company investment estimate, calibrated distribution or observed causal effect</x:v>
      </x:c>
    </x:row>
    <x:row r="435" ht="70" customHeight="1">
      <x:c r="A435" s="2" t="str">
        <x:v>C-DEPENDENCE</x:v>
      </x:c>
      <x:c r="B435" s="2" t="str">
        <x:v>Dependence and tails change liquidity exposure</x:v>
      </x:c>
      <x:c r="C435" s="2" t="str">
        <x:v>Covariance=L Lᵀ; numerical eigenvalue check; same cash model under alternate chosen shocks</x:v>
      </x:c>
      <x:c r="D435" s="2" t="str">
        <x:v>[{"generator":"dependent_normal","draws":2500,"seed":20261008,"p10_NPV":-18.906832371713023,"p50_NPV":-1.6547747253083456,"p90_NPV":21.524399860093865,"loss_CVaR95":29.141724356900287,"status":"Chosen dependence/tail sensitivity, no likelihood calibration"},{"generator":"independent_normal","draws":2500,"seed":20261008,"p10_NPV":-14.962667710787072,"p50_NPV":-2.422129640925471,"p90_NPV":12.366839514982134,"loss_CVaR95":22.712247350696167,"status":"Chosen dependence/tail sensitivity, no likelihood calibration"},{"generator":"dependent_student_t5","draws":2500,"seed":20261008,"p10_NPV":-17.503669063144304,"p50_NPV":-1.4993613578091232,"p90_NPV":18.286869917364907,"loss_CVaR95":29.227633449915963,"status":"Chosen dependence/tail sensitivity, no likelihood calibration"}]</x:v>
      </x:c>
      <x:c r="E435" s="2" t="str">
        <x:v>[{"generator":"dependent_normal","draws":2500,"seed":20261008,"p10_NPV":-18.906832371713023,"p50_NPV":-1.6547747253083456,"p90_NPV":21.524399860093865,"loss_CVaR95":29.141724356900287,"status":"Chosen dependence/tail sensitivity, no likelihood calibration"},{"generator":"independent_normal","draws":2500,"seed":20261008,"p10_NPV":-14.962667710787072,"p50_NPV":-2.422129640925471,"p90_NPV":12.366839514982134,"loss_CVaR95":22.712247350696167,"status":"Chosen dependence/tail sensitivity, no likelihood calibration"},{"generator":"dependent_student_t5","draws":2500,"seed":20261008,"p10_NPV":-17.503669063144304,"p50_NPV":-1.4993613578091232,"p90_NPV":18.286869917364907,"loss_CVaR95":29.227633449915963,"status":"Chosen dependence/tail sensitivity, no likelihood calibration"}]</x:v>
      </x:c>
      <x:c r="F435" s="2" t="str">
        <x:v>USDm; covariance in native driver units</x:v>
      </x:c>
      <x:c r="G435" s="2" t="str">
        <x:v>I-C-DEPENDENCE</x:v>
      </x:c>
      <x:c r="H435" s="2" t="str">
        <x:v>CVAR</x:v>
      </x:c>
      <x:c r="I435" s="2" t="str">
        <x:v>A_TEMPLATE;A_SCENARIO;A_EXAMPLE</x:v>
      </x:c>
      <x:c r="J435" s="2" t="str">
        <x:v>Simulation</x:v>
      </x:c>
      <x:c r="K435" s="2" t="str">
        <x:v>scripts/olam-extend-analysis.py</x:v>
      </x:c>
      <x:c r="L435" s="2" t="str">
        <x:v>Verification appendix</x:v>
      </x:c>
      <x:c r="M435" s="2" t="str">
        <x:v>Not a country/company investment estimate, calibrated distribution or observed causal effect</x:v>
      </x:c>
    </x:row>
    <x:row r="436" ht="70" customHeight="1">
      <x:c r="A436" s="2" t="str">
        <x:v>C-EVSI</x:v>
      </x:c>
      <x:c r="B436" s="2" t="str">
        <x:v>Imperfect information and optimal subsequent choice</x:v>
      </x:c>
      <x:c r="C436" s="2" t="str">
        <x:v>Σsignal P(signal)max_action E(NPV|signal)−max_action E(NPV)−study−delay</x:v>
      </x:c>
      <x:c r="D436" s="2" t="str">
        <x:v>{"prior":0.5,"accuracy":0.8,"good_NPV":10.0,"bad_NPV":-8.0,"study_cost":1.0,"delay_cost":0.5,"prior_best_EV":1.0,"posterior_best_EV":3.2,"gross_EVSI":2.2,"net_EVSI":0.7000000000000002,"net_EVPI":2.5,"accuracy_break_even":0.7222222222222222,"status":"Executed chosen Bayesian two-state example, USDm. Symmetric test accuracy and prior are assumptions, not estimated Olam probabilities."}</x:v>
      </x:c>
      <x:c r="E436" s="2" t="str">
        <x:v>{"prior":0.5,"accuracy":0.8,"good_NPV":10.0,"bad_NPV":-8.0,"study_cost":1.0,"delay_cost":0.5,"prior_best_EV":1.0,"posterior_best_EV":3.2,"gross_EVSI":2.2,"net_EVSI":0.7000000000000002,"net_EVPI":2.5,"accuracy_break_even":0.7222222222222222,"status":"Executed chosen Bayesian two-state example, USDm. Symmetric test accuracy and prior are assumptions, not estimated Olam probabilities."}</x:v>
      </x:c>
      <x:c r="F436" s="2" t="str">
        <x:v>USDm; chosen prior/accuracy fractions</x:v>
      </x:c>
      <x:c r="G436" s="2" t="str">
        <x:v>I-C-EVSI</x:v>
      </x:c>
      <x:c r="H436" s="2" t="str"/>
      <x:c r="I436" s="2" t="str">
        <x:v>A_TEMPLATE;A_SCENARIO;A_EXAMPLE</x:v>
      </x:c>
      <x:c r="J436" s="2" t="str">
        <x:v>Information_Value!A4:C18</x:v>
      </x:c>
      <x:c r="K436" s="2" t="str">
        <x:v>scripts/olam-extend-analysis.py</x:v>
      </x:c>
      <x:c r="L436" s="2" t="str">
        <x:v>Verification appendix</x:v>
      </x:c>
      <x:c r="M436" s="2" t="str">
        <x:v>Not a country/company investment estimate, calibrated distribution or observed causal effect</x:v>
      </x:c>
    </x:row>
    <x:row r="437" ht="70" customHeight="1">
      <x:c r="A437" s="2" t="str">
        <x:v>C-CAPACITY-MARKETING</x:v>
      </x:c>
      <x:c r="B437" s="2" t="str">
        <x:v>Marketing/capacity complementarity</x:v>
      </x:c>
      <x:c r="C437" s="2" t="str">
        <x:v>Incremental delivered tonnes ×60−500 marketing−200 service−repair if used</x:v>
      </x:c>
      <x:c r="D437" s="2" t="str">
        <x:v>{"baseline_orders_t":90,"capacity_t":100,"marketing_added_orders_t":30,"incremental_margin_USD_per_t":60,"marketing_USD":500,"service_USD":200,"capacity_repair_USD":300,"marketing_at_original_capacity_USD":-100,"marketing_with_capacity120_USD":1100,"combined_repair_and_marketing_USD":800,"status":"Executed one-period chosen example. Marketing alone destroys USD100 when supply binds; full headroom yields USD1,100; combined repair yields USD800. No causal effect or Olam result."}</x:v>
      </x:c>
      <x:c r="E437" s="2" t="str">
        <x:v>{"baseline_orders_t":90,"capacity_t":100,"marketing_added_orders_t":30,"incremental_margin_USD_per_t":60,"marketing_USD":500,"service_USD":200,"capacity_repair_USD":300,"marketing_at_original_capacity_USD":-100,"marketing_with_capacity120_USD":1100,"combined_repair_and_marketing_USD":800,"status":"Executed one-period chosen example. Marketing alone destroys USD100 when supply binds; full headroom yields USD1,100; combined repair yields USD800. No causal effect or Olam result."}</x:v>
      </x:c>
      <x:c r="F437" s="2" t="str">
        <x:v>USD, tonnes; one period</x:v>
      </x:c>
      <x:c r="G437" s="2" t="str">
        <x:v>I-C-CAPACITY-MARKETING</x:v>
      </x:c>
      <x:c r="H437" s="2" t="str"/>
      <x:c r="I437" s="2" t="str">
        <x:v>A_TEMPLATE;A_SCENARIO;A_EXAMPLE</x:v>
      </x:c>
      <x:c r="J437" s="2" t="str">
        <x:v>Marketing_Pilots</x:v>
      </x:c>
      <x:c r="K437" s="2" t="str">
        <x:v>scripts/olam-extend-analysis.py</x:v>
      </x:c>
      <x:c r="L437" s="2" t="str">
        <x:v>Verification appendix</x:v>
      </x:c>
      <x:c r="M437" s="2" t="str">
        <x:v>Not a country/company investment estimate, calibrated distribution or observed causal effect</x:v>
      </x:c>
    </x:row>
    <x:row r="438" ht="70" customHeight="1">
      <x:c r="A438" s="2" t="str">
        <x:v>C-NETWORK</x:v>
      </x:c>
      <x:c r="B438" s="2" t="str">
        <x:v>Physical, legal and route constrained allocation</x:v>
      </x:c>
      <x:c r="C438" s="2" t="str">
        <x:v>max Σroute q×margin; origin/demand/route capacities; blocked q=0</x:v>
      </x:c>
      <x:c r="D438" s="2" t="str">
        <x:v>{"origins":["A","B"],"destinations":["Buyer1","Buyer2","Buyer3"],"quantity_t":[60.0,30.0,0.0,10.0,50.0,30.0],"margins_USD_per_t":[30.0,25.0,10.0,20.0,35.0,15.0],"total_contribution_USD":4950.0,"source_and_demand_limits_t":[100,90,70,80,40],"constraint_slack_t":[10.0,0.0,0.0,0.0,10.0],"shadow_value_USD_per_t":[0.0,10.0,10.0,25.0,0.0],"status":"Chosen one-period flow LP. Net margin includes hypothetical delivery cost. Route A\u2192Buyer3 is structurally blocked; no penalty can authorize it. No actual network synergy or NPV is claimed."}</x:v>
      </x:c>
      <x:c r="E438" s="2" t="str">
        <x:v>{"origins":["A","B"],"destinations":["Buyer1","Buyer2","Buyer3"],"quantity_t":[60.0,30.0,0.0,10.0,50.0,30.0],"margins_USD_per_t":[30.0,25.0,10.0,20.0,35.0,15.0],"total_contribution_USD":4950.0,"source_and_demand_limits_t":[100,90,70,80,40],"constraint_slack_t":[10.0,0.0,0.0,0.0,10.0],"shadow_value_USD_per_t":[0.0,10.0,10.0,25.0,0.0],"status":"Chosen one-period flow LP. Net margin includes hypothetical delivery cost. Route A\u2192Buyer3 is structurally blocked; no penalty can authorize it. No actual network synergy or NPV is claimed."}</x:v>
      </x:c>
      <x:c r="F438" s="2" t="str">
        <x:v>USD; tonnes; one period</x:v>
      </x:c>
      <x:c r="G438" s="2" t="str">
        <x:v>I-C-NETWORK</x:v>
      </x:c>
      <x:c r="H438" s="2" t="str"/>
      <x:c r="I438" s="2" t="str">
        <x:v>A_TEMPLATE;A_SCENARIO;A_EXAMPLE</x:v>
      </x:c>
      <x:c r="J438" s="2" t="str">
        <x:v>Network</x:v>
      </x:c>
      <x:c r="K438" s="2" t="str">
        <x:v>scripts/olam-extend-analysis.py</x:v>
      </x:c>
      <x:c r="L438" s="2" t="str">
        <x:v>Verification appendix</x:v>
      </x:c>
      <x:c r="M438" s="2" t="str">
        <x:v>Not a country/company investment estimate, calibrated distribution or observed causal effect</x:v>
      </x:c>
    </x:row>
    <x:row r="439" ht="70" customHeight="1">
      <x:c r="A439" s="2" t="str">
        <x:v>C-ABLATION</x:v>
      </x:c>
      <x:c r="B439" s="2" t="str">
        <x:v>Same-input module ablation</x:v>
      </x:c>
      <x:c r="C439" s="2" t="str">
        <x:v>Rerun or reconcile baseline removing only the named component</x:v>
      </x:c>
      <x:c r="D439" s="2" t="str">
        <x:v>[{"module_removed":"Working capital and its closeout","baseline_NPV":-1.7999419404754313,"ablated_NPV":3.6116686606497206,"consequence":"Omitting cash investment overstates project value"},{"module_removed":"Physical capacity cap","baseline_NPV":-1.7999419404754313,"ablated_NPV":-1.7999419404754313,"consequence":"Headroom is immaterial in this managed case; adverse constraints remain relevant"},{"module_removed":"Learning decision update","baseline_NPV":0.7000000000000002,"ablated_NPV":-1.5,"consequence":"Paying for a study without changing a decision has only cost"}]</x:v>
      </x:c>
      <x:c r="E439" s="2" t="str">
        <x:v>[{"module_removed":"Working capital and its closeout","baseline_NPV":-1.7999419404754313,"ablated_NPV":3.6116686606497206,"consequence":"Omitting cash investment overstates project value"},{"module_removed":"Physical capacity cap","baseline_NPV":-1.7999419404754313,"ablated_NPV":-1.7999419404754313,"consequence":"Headroom is immaterial in this managed case; adverse constraints remain relevant"},{"module_removed":"Learning decision update","baseline_NPV":0.7000000000000002,"ablated_NPV":-1.5,"consequence":"Paying for a study without changing a decision has only cost"}]</x:v>
      </x:c>
      <x:c r="F439" s="2" t="str">
        <x:v>USDm</x:v>
      </x:c>
      <x:c r="G439" s="2" t="str">
        <x:v>I-C-ABLATION</x:v>
      </x:c>
      <x:c r="H439" s="2" t="str"/>
      <x:c r="I439" s="2" t="str">
        <x:v>A_TEMPLATE;A_SCENARIO;A_EXAMPLE</x:v>
      </x:c>
      <x:c r="J439" s="2" t="str">
        <x:v>Ablations</x:v>
      </x:c>
      <x:c r="K439" s="2" t="str">
        <x:v>scripts/olam-extend-analysis.py</x:v>
      </x:c>
      <x:c r="L439" s="2" t="str">
        <x:v>Verification appendix</x:v>
      </x:c>
      <x:c r="M439" s="2" t="str">
        <x:v>Not a country/company investment estimate, calibrated distribution or observed causal effect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</x:cols>
  <x:sheetData>
    <x:row r="1" ht="42" customHeight="1">
      <x:c r="A1" s="5" t="str">
        <x:v>Limitations / v1.1.0</x:v>
      </x:c>
      <x:c r="B1" s="2"/>
      <x:c r="C1" s="2"/>
    </x:row>
    <x:row r="2" ht="42" customHeight="1">
      <x:c r="A2" s="2" t="str">
        <x:v>Public evidence + chosen examples; no Olam internal investment valuation</x:v>
      </x:c>
      <x:c r="B2" s="2"/>
      <x:c r="C2" s="2"/>
    </x:row>
    <x:row r="3" ht="32" customHeight="1">
      <x:c r="A3" s="4" t="str">
        <x:v>Priority</x:v>
      </x:c>
      <x:c r="B3" s="4" t="str">
        <x:v>Missing evidence</x:v>
      </x:c>
      <x:c r="C3" s="4" t="str">
        <x:v>Decision consequence</x:v>
      </x:c>
    </x:row>
    <x:row r="4" ht="44" customHeight="1">
      <x:c r="A4" s="2" t="str">
        <x:v>1</x:v>
      </x:c>
      <x:c r="B4" s="2" t="str">
        <x:v>Orders, capture, prices and cost</x:v>
      </x:c>
      <x:c r="C4" s="2" t="str">
        <x:v>Can reverse NPV and priority</x:v>
      </x:c>
    </x:row>
    <x:row r="5" ht="44" customHeight="1">
      <x:c r="A5" s="2" t="str">
        <x:v>2</x:v>
      </x:c>
      <x:c r="B5" s="2" t="str">
        <x:v>Monthly WC, tax, FX and hedges</x:v>
      </x:c>
      <x:c r="C5" s="2" t="str">
        <x:v>Can create unfunded loss</x:v>
      </x:c>
    </x:row>
    <x:row r="6" ht="44" customHeight="1">
      <x:c r="A6" s="2" t="str">
        <x:v>3</x:v>
      </x:c>
      <x:c r="B6" s="2" t="str">
        <x:v>Capacity, yield, access and rights</x:v>
      </x:c>
      <x:c r="C6" s="2" t="str">
        <x:v>Can exclude project</x:v>
      </x:c>
    </x:row>
    <x:row r="7" ht="44" customHeight="1">
      <x:c r="A7" s="2" t="str">
        <x:v>4</x:v>
      </x:c>
      <x:c r="B7" s="2" t="str">
        <x:v>Basin / asset climate, competitors and causality</x:v>
      </x:c>
      <x:c r="C7" s="2" t="str">
        <x:v>Can reverse robustness</x:v>
      </x:c>
    </x:row>
    <x:row r="8" ht="44" customHeight="1">
      <x:c r="A8" s="2" t="str">
        <x:v>5</x:v>
      </x:c>
      <x:c r="B8" s="2" t="str">
        <x:v>No probability calibration</x:v>
      </x:c>
      <x:c r="C8" s="2" t="str">
        <x:v>Quantiles are not prediction intervals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3" hidden="0" customWidth="1"/>
    <x:col min="2" max="2" width="70" hidden="0" customWidth="1"/>
    <x:col min="3" max="3" width="45" hidden="0" customWidth="1"/>
    <x:col min="4" max="4" width="45" hidden="0" customWidth="1"/>
    <x:col min="5" max="5" width="45" hidden="0" customWidth="1"/>
    <x:col min="6" max="6" width="45" hidden="0" customWidth="1"/>
    <x:col min="7" max="7" width="45" hidden="0" customWidth="1"/>
    <x:col min="8" max="8" width="45" hidden="0" customWidth="1"/>
    <x:col min="9" max="9" width="45" hidden="0" customWidth="1"/>
  </x:cols>
  <x:sheetData>
    <x:row r="1" ht="100" customHeight="1">
      <x:c r="A1" s="5" t="str">
        <x:v>Inputs / v1.1.0</x:v>
      </x:c>
      <x:c r="B1" s="2"/>
      <x:c r="C1" s="2"/>
      <x:c r="D1" s="2"/>
      <x:c r="E1" s="2"/>
      <x:c r="F1" s="2"/>
      <x:c r="G1" s="2"/>
      <x:c r="H1" s="2"/>
      <x:c r="I1" s="2"/>
    </x:row>
    <x:row r="2" ht="100" customHeight="1">
      <x:c r="A2" s="2" t="str">
        <x:v>Public evidence + chosen examples; no Olam internal investment valuation</x:v>
      </x:c>
      <x:c r="B2" s="2"/>
      <x:c r="C2" s="2"/>
      <x:c r="D2" s="2"/>
      <x:c r="E2" s="2"/>
      <x:c r="F2" s="2"/>
      <x:c r="G2" s="2"/>
      <x:c r="H2" s="2"/>
      <x:c r="I2" s="2"/>
    </x:row>
    <x:row r="3" ht="100" customHeight="1">
      <x:c r="A3" s="4" t="str">
        <x:v>id</x:v>
      </x:c>
      <x:c r="B3" s="4" t="str">
        <x:v>value</x:v>
      </x:c>
      <x:c r="C3" s="4" t="str">
        <x:v>units</x:v>
      </x:c>
      <x:c r="D3" s="4" t="str">
        <x:v>classification</x:v>
      </x:c>
      <x:c r="E3" s="4" t="str">
        <x:v>source_ids</x:v>
      </x:c>
      <x:c r="F3" s="4" t="str">
        <x:v>owner</x:v>
      </x:c>
      <x:c r="G3" s="4" t="str">
        <x:v>reproduction_path</x:v>
      </x:c>
      <x:c r="H3" s="4" t="str">
        <x:v>rationale</x:v>
      </x:c>
      <x:c r="I3" s="4" t="str">
        <x:v>range_or_uncertainty</x:v>
      </x:c>
    </x:row>
    <x:row r="4" ht="100" customHeight="1">
      <x:c r="A4" s="2" t="str">
        <x:v>I_TEMPLATE_trade</x:v>
      </x:c>
      <x:c r="B4" s="2" t="str">
        <x:v>{"id":"trade","name":"Contracted trade","capex":1,"fixed":0.25,"capacity":150000,"cost":392,"price":400,"orders":100000,"dso":20,"dio":25,"dpo":20}</x:v>
      </x:c>
      <x:c r="C4" s="2" t="str">
        <x:v>Mixed: USDm, USD/t, tonnes, days</x:v>
      </x:c>
      <x:c r="D4" s="2" t="str">
        <x:v>Planning assumption</x:v>
      </x:c>
      <x:c r="E4" s="2" t="str"/>
      <x:c r="F4" s="2" t="str">
        <x:v>Finance / Strategy to validate</x:v>
      </x:c>
      <x:c r="G4" s="2" t="str">
        <x:v>analysis.json:modes.trade</x:v>
      </x:c>
      <x:c r="H4" s="2" t="str">
        <x:v>Transparent normalized assumption; not Olam/company calibration</x:v>
      </x:c>
      <x:c r="I4" s="2" t="str">
        <x:v>orders 0.7–1.3×; unit price/cost 0.9–1.1×; capex 0.5–1.5×; cash +0–40 days, chosen structural bounds</x:v>
      </x:c>
    </x:row>
    <x:row r="5" ht="100" customHeight="1">
      <x:c r="A5" s="2" t="str">
        <x:v>I_TEMPLATE_partner</x:v>
      </x:c>
      <x:c r="B5" s="2" t="str">
        <x:v>{"id":"partner","name":"Partner processing","capex":8,"fixed":1.2,"capacity":120000,"cost":352,"price":400,"orders":100000,"dso":35,"dio":45,"dpo":25}</x:v>
      </x:c>
      <x:c r="C5" s="2" t="str">
        <x:v>Mixed: USDm, USD/t, tonnes, days</x:v>
      </x:c>
      <x:c r="D5" s="2" t="str">
        <x:v>Planning assumption</x:v>
      </x:c>
      <x:c r="E5" s="2" t="str"/>
      <x:c r="F5" s="2" t="str">
        <x:v>Finance / Strategy to validate</x:v>
      </x:c>
      <x:c r="G5" s="2" t="str">
        <x:v>analysis.json:modes.partner</x:v>
      </x:c>
      <x:c r="H5" s="2" t="str">
        <x:v>Transparent normalized assumption; not Olam/company calibration</x:v>
      </x:c>
      <x:c r="I5" s="2" t="str">
        <x:v>orders 0.7–1.3×; unit price/cost 0.9–1.1×; capex 0.5–1.5×; cash +0–40 days, chosen structural bounds</x:v>
      </x:c>
    </x:row>
    <x:row r="6" ht="100" customHeight="1">
      <x:c r="A6" s="2" t="str">
        <x:v>I_TEMPLATE_plant</x:v>
      </x:c>
      <x:c r="B6" s="2" t="str">
        <x:v>{"id":"plant","name":"Owned processing","capex":20,"fixed":2,"capacity":150000,"cost":340,"price":400,"orders":100000,"dso":35,"dio":55,"dpo":25}</x:v>
      </x:c>
      <x:c r="C6" s="2" t="str">
        <x:v>Mixed: USDm, USD/t, tonnes, days</x:v>
      </x:c>
      <x:c r="D6" s="2" t="str">
        <x:v>Planning assumption</x:v>
      </x:c>
      <x:c r="E6" s="2" t="str"/>
      <x:c r="F6" s="2" t="str">
        <x:v>Finance / Strategy to validate</x:v>
      </x:c>
      <x:c r="G6" s="2" t="str">
        <x:v>analysis.json:modes.plant</x:v>
      </x:c>
      <x:c r="H6" s="2" t="str">
        <x:v>Transparent normalized assumption; not Olam/company calibration</x:v>
      </x:c>
      <x:c r="I6" s="2" t="str">
        <x:v>orders 0.7–1.3×; unit price/cost 0.9–1.1×; capex 0.5–1.5×; cash +0–40 days, chosen structural bounds</x:v>
      </x:c>
    </x:row>
    <x:row r="7" ht="100" customHeight="1">
      <x:c r="A7" s="2" t="str">
        <x:v>I_SCENARIO_managed</x:v>
      </x:c>
      <x:c r="B7" s="2" t="str">
        <x:v>Full input block in input-register.csv; analysis.json:scenarios.managed</x:v>
      </x:c>
      <x:c r="C7" s="2" t="str">
        <x:v>Multipliers; annual fraction; days</x:v>
      </x:c>
      <x:c r="D7" s="2" t="str">
        <x:v>Planning assumption</x:v>
      </x:c>
      <x:c r="E7" s="2" t="str"/>
      <x:c r="F7" s="2" t="str">
        <x:v>Finance / Strategy to validate</x:v>
      </x:c>
      <x:c r="G7" s="2" t="str">
        <x:v>analysis.json:scenarios.managed</x:v>
      </x:c>
      <x:c r="H7" s="2" t="str">
        <x:v>Transparent normalized assumption; not Olam/company calibration</x:v>
      </x:c>
      <x:c r="I7" s="2" t="str">
        <x:v>No empirical calibration; sensitivity or missing-data gate applies</x:v>
      </x:c>
    </x:row>
    <x:row r="8" ht="100" customHeight="1">
      <x:c r="A8" s="2" t="str">
        <x:v>I_SCENARIO_integration</x:v>
      </x:c>
      <x:c r="B8" s="2" t="str">
        <x:v>Full input block in input-register.csv; analysis.json:scenarios.integration</x:v>
      </x:c>
      <x:c r="C8" s="2" t="str">
        <x:v>Multipliers; annual fraction; days</x:v>
      </x:c>
      <x:c r="D8" s="2" t="str">
        <x:v>Planning assumption</x:v>
      </x:c>
      <x:c r="E8" s="2" t="str"/>
      <x:c r="F8" s="2" t="str">
        <x:v>Finance / Strategy to validate</x:v>
      </x:c>
      <x:c r="G8" s="2" t="str">
        <x:v>analysis.json:scenarios.integration</x:v>
      </x:c>
      <x:c r="H8" s="2" t="str">
        <x:v>Transparent normalized assumption; not Olam/company calibration</x:v>
      </x:c>
      <x:c r="I8" s="2" t="str">
        <x:v>No empirical calibration; sensitivity or missing-data gate applies</x:v>
      </x:c>
    </x:row>
    <x:row r="9" ht="100" customHeight="1">
      <x:c r="A9" s="2" t="str">
        <x:v>I_SCENARIO_fragmented</x:v>
      </x:c>
      <x:c r="B9" s="2" t="str">
        <x:v>Full input block in input-register.csv; analysis.json:scenarios.fragmented</x:v>
      </x:c>
      <x:c r="C9" s="2" t="str">
        <x:v>Multipliers; annual fraction; days</x:v>
      </x:c>
      <x:c r="D9" s="2" t="str">
        <x:v>Planning assumption</x:v>
      </x:c>
      <x:c r="E9" s="2" t="str"/>
      <x:c r="F9" s="2" t="str">
        <x:v>Finance / Strategy to validate</x:v>
      </x:c>
      <x:c r="G9" s="2" t="str">
        <x:v>analysis.json:scenarios.fragmented</x:v>
      </x:c>
      <x:c r="H9" s="2" t="str">
        <x:v>Transparent normalized assumption; not Olam/company calibration</x:v>
      </x:c>
      <x:c r="I9" s="2" t="str">
        <x:v>No empirical calibration; sensitivity or missing-data gate applies</x:v>
      </x:c>
    </x:row>
    <x:row r="10" ht="100" customHeight="1">
      <x:c r="A10" s="2" t="str">
        <x:v>I_SCENARIO_physical</x:v>
      </x:c>
      <x:c r="B10" s="2" t="str">
        <x:v>Full input block in input-register.csv; analysis.json:scenarios.physical</x:v>
      </x:c>
      <x:c r="C10" s="2" t="str">
        <x:v>Multipliers; annual fraction; days</x:v>
      </x:c>
      <x:c r="D10" s="2" t="str">
        <x:v>Planning assumption</x:v>
      </x:c>
      <x:c r="E10" s="2" t="str"/>
      <x:c r="F10" s="2" t="str">
        <x:v>Finance / Strategy to validate</x:v>
      </x:c>
      <x:c r="G10" s="2" t="str">
        <x:v>analysis.json:scenarios.physical</x:v>
      </x:c>
      <x:c r="H10" s="2" t="str">
        <x:v>Transparent normalized assumption; not Olam/company calibration</x:v>
      </x:c>
      <x:c r="I10" s="2" t="str">
        <x:v>No empirical calibration; sensitivity or missing-data gate applies</x:v>
      </x:c>
    </x:row>
    <x:row r="11" ht="100" customHeight="1">
      <x:c r="A11" s="2" t="str">
        <x:v>I_SCENARIO_squeeze</x:v>
      </x:c>
      <x:c r="B11" s="2" t="str">
        <x:v>Full input block in input-register.csv; analysis.json:scenarios.squeeze</x:v>
      </x:c>
      <x:c r="C11" s="2" t="str">
        <x:v>Multipliers; annual fraction; days</x:v>
      </x:c>
      <x:c r="D11" s="2" t="str">
        <x:v>Planning assumption</x:v>
      </x:c>
      <x:c r="E11" s="2" t="str"/>
      <x:c r="F11" s="2" t="str">
        <x:v>Finance / Strategy to validate</x:v>
      </x:c>
      <x:c r="G11" s="2" t="str">
        <x:v>analysis.json:scenarios.squeeze</x:v>
      </x:c>
      <x:c r="H11" s="2" t="str">
        <x:v>Transparent normalized assumption; not Olam/company calibration</x:v>
      </x:c>
      <x:c r="I11" s="2" t="str">
        <x:v>No empirical calibration; sensitivity or missing-data gate applies</x:v>
      </x:c>
    </x:row>
    <x:row r="12" ht="100" customHeight="1">
      <x:c r="A12" s="2" t="str">
        <x:v>I_SCENARIO_nutrition</x:v>
      </x:c>
      <x:c r="B12" s="2" t="str">
        <x:v>Full input block in input-register.csv; analysis.json:scenarios.nutrition</x:v>
      </x:c>
      <x:c r="C12" s="2" t="str">
        <x:v>Multipliers; annual fraction; days</x:v>
      </x:c>
      <x:c r="D12" s="2" t="str">
        <x:v>Planning assumption</x:v>
      </x:c>
      <x:c r="E12" s="2" t="str"/>
      <x:c r="F12" s="2" t="str">
        <x:v>Finance / Strategy to validate</x:v>
      </x:c>
      <x:c r="G12" s="2" t="str">
        <x:v>analysis.json:scenarios.nutrition</x:v>
      </x:c>
      <x:c r="H12" s="2" t="str">
        <x:v>Transparent normalized assumption; not Olam/company calibration</x:v>
      </x:c>
      <x:c r="I12" s="2" t="str">
        <x:v>No empirical calibration; sensitivity or missing-data gate applies</x:v>
      </x:c>
    </x:row>
    <x:row r="13" ht="100" customHeight="1">
      <x:c r="A13" s="2" t="str">
        <x:v>I_TEMPLATE</x:v>
      </x:c>
      <x:c r="B13" s="2" t="str">
        <x:v>Full input block in input-register.csv; analysis.json:modes</x:v>
      </x:c>
      <x:c r="C13" s="2" t="str">
        <x:v>Mixed normalized units</x:v>
      </x:c>
      <x:c r="D13" s="2" t="str">
        <x:v>Planning assumption</x:v>
      </x:c>
      <x:c r="E13" s="2" t="str"/>
      <x:c r="F13" s="2" t="str">
        <x:v>Finance / Strategy to validate</x:v>
      </x:c>
      <x:c r="G13" s="2" t="str">
        <x:v>analysis.json:modes</x:v>
      </x:c>
      <x:c r="H13" s="2" t="str">
        <x:v>Transparent normalized assumption; not Olam/company calibration</x:v>
      </x:c>
      <x:c r="I13" s="2" t="str">
        <x:v>No empirical calibration; sensitivity or missing-data gate applies</x:v>
      </x:c>
    </x:row>
    <x:row r="14" ht="100" customHeight="1">
      <x:c r="A14" s="2" t="str">
        <x:v>I_SCENARIO</x:v>
      </x:c>
      <x:c r="B14" s="2" t="str">
        <x:v>Full input block in input-register.csv; analysis.json:scenarios</x:v>
      </x:c>
      <x:c r="C14" s="2" t="str">
        <x:v>Multipliers/rate/days</x:v>
      </x:c>
      <x:c r="D14" s="2" t="str">
        <x:v>Planning assumption</x:v>
      </x:c>
      <x:c r="E14" s="2" t="str"/>
      <x:c r="F14" s="2" t="str">
        <x:v>Finance / Strategy to validate</x:v>
      </x:c>
      <x:c r="G14" s="2" t="str">
        <x:v>analysis.json:scenarios</x:v>
      </x:c>
      <x:c r="H14" s="2" t="str">
        <x:v>Transparent normalized assumption; not Olam/company calibration</x:v>
      </x:c>
      <x:c r="I14" s="2" t="str">
        <x:v>No empirical calibration; sensitivity or missing-data gate applies</x:v>
      </x:c>
    </x:row>
    <x:row r="15" ht="100" customHeight="1">
      <x:c r="A15" s="2" t="str">
        <x:v>I_LEGACY</x:v>
      </x:c>
      <x:c r="B15" s="2" t="str">
        <x:v>Full input block in input-register.csv; src/lib/olamNigeriaDecisionModel.ts:OLAM_NIGERIA_DEFAULT_MODEL</x:v>
      </x:c>
      <x:c r="C15" s="2" t="str">
        <x:v>NGN billion; fractions; days</x:v>
      </x:c>
      <x:c r="D15" s="2" t="str">
        <x:v>Planning assumption</x:v>
      </x:c>
      <x:c r="E15" s="2" t="str">
        <x:v>BASELINE</x:v>
      </x:c>
      <x:c r="F15" s="2" t="str">
        <x:v>Finance / Strategy to validate</x:v>
      </x:c>
      <x:c r="G15" s="2" t="str">
        <x:v>src/lib/olamNigeriaDecisionModel.ts:OLAM_NIGERIA_DEFAULT_MODEL</x:v>
      </x:c>
      <x:c r="H15" s="2" t="str">
        <x:v>Exact inherited screen assumptions; sales/import proxies cannot substitute for actual procurement cash</x:v>
      </x:c>
      <x:c r="I15" s="2" t="str">
        <x:v>No empirical calibration; sensitivity or missing-data gate applies</x:v>
      </x:c>
    </x:row>
    <x:row r="16" ht="100" customHeight="1">
      <x:c r="A16" s="2" t="str">
        <x:v>I_COVERAGE</x:v>
      </x:c>
      <x:c r="B16" s="2" t="str">
        <x:v>{"countries":195,"product_units":203,"worlds":6,"milestones":7,"matrix_rows":8526,"drivers":34}</x:v>
      </x:c>
      <x:c r="C16" s="2" t="str">
        <x:v>Counts</x:v>
      </x:c>
      <x:c r="D16" s="2" t="str">
        <x:v>Derived figure</x:v>
      </x:c>
      <x:c r="E16" s="2" t="str">
        <x:v>UN_M49;UN_MEMBERS;UN_OBSERVERS</x:v>
      </x:c>
      <x:c r="F16" s="2" t="str">
        <x:v>Finance / Strategy to validate</x:v>
      </x:c>
      <x:c r="G16" s="2" t="str">
        <x:v>analysis.json:summary; country-scenario-matrix.csv</x:v>
      </x:c>
      <x:c r="H16" s="2" t="str">
        <x:v>Exact generated universe/counts; membership sources establish universe only</x:v>
      </x:c>
      <x:c r="I16" s="2" t="str">
        <x:v>No empirical calibration; sensitivity or missing-data gate applies</x:v>
      </x:c>
    </x:row>
    <x:row r="17" ht="100" customHeight="1">
      <x:c r="A17" s="2" t="str">
        <x:v>I_OLS</x:v>
      </x:c>
      <x:c r="B17" s="2" t="str">
        <x:v>{"target":"annual log food production growth","predictors":"one-year lag income PPP log growth, urban share change/100, cereal yield log growth","train":"2002–2018","holdout":"2019–2022","imputation":false}</x:v>
      </x:c>
      <x:c r="C17" s="2" t="str">
        <x:v>Log growth; share change</x:v>
      </x:c>
      <x:c r="D17" s="2" t="str">
        <x:v>Reported fact</x:v>
      </x:c>
      <x:c r="E17" s="2" t="str">
        <x:v>WB_food_index;WB_income_ppp;WB_urban;WB_cereal_yield</x:v>
      </x:c>
      <x:c r="F17" s="2" t="str">
        <x:v>Finance / Strategy to validate</x:v>
      </x:c>
      <x:c r="G17" s="2" t="str">
        <x:v>research/olam-global/country-panel.csv; scripts/olam-analyse.py:regression</x:v>
      </x:c>
      <x:c r="H17" s="2" t="str">
        <x:v>Exact clean panel, filtering, lagging and estimation retained; latest-vintage retrospective validation</x:v>
      </x:c>
      <x:c r="I17" s="2" t="str">
        <x:v>No empirical calibration; sensitivity or missing-data gate applies</x:v>
      </x:c>
    </x:row>
    <x:row r="18" ht="100" customHeight="1">
      <x:c r="A18" s="2" t="str">
        <x:v>I_STRESS</x:v>
      </x:c>
      <x:c r="B18" s="2" t="str">
        <x:v>Full input block in input-register.csv; scripts/olam-analyse.py:stress; scripts/olam-extend-analysis.py:decision_experiments</x:v>
      </x:c>
      <x:c r="C18" s="2" t="str">
        <x:v>Mixed normalized driver units</x:v>
      </x:c>
      <x:c r="D18" s="2" t="str">
        <x:v>Planning assumption</x:v>
      </x:c>
      <x:c r="E18" s="2" t="str"/>
      <x:c r="F18" s="2" t="str">
        <x:v>Finance / Strategy to validate</x:v>
      </x:c>
      <x:c r="G18" s="2" t="str">
        <x:v>scripts/olam-analyse.py:stress; scripts/olam-extend-analysis.py:decision_experiments</x:v>
      </x:c>
      <x:c r="H18" s="2" t="str">
        <x:v>Chosen shocks; dependence/tail sensitivity distinct from parameter uncertainty, no calibrated probability</x:v>
      </x:c>
      <x:c r="I18" s="2" t="str">
        <x:v>No empirical calibration; sensitivity or missing-data gate applies</x:v>
      </x:c>
    </x:row>
    <x:row r="19" ht="100" customHeight="1">
      <x:c r="A19" s="2" t="str">
        <x:v>I_REGRET</x:v>
      </x:c>
      <x:c r="B19" s="2" t="str">
        <x:v>Full input block in input-register.csv; analysis.json:portfolio</x:v>
      </x:c>
      <x:c r="C19" s="2" t="str">
        <x:v>USDm payoff; unweighted worlds</x:v>
      </x:c>
      <x:c r="D19" s="2" t="str">
        <x:v>Planning assumption</x:v>
      </x:c>
      <x:c r="E19" s="2" t="str"/>
      <x:c r="F19" s="2" t="str">
        <x:v>Finance / Strategy to validate</x:v>
      </x:c>
      <x:c r="G19" s="2" t="str">
        <x:v>analysis.json:portfolio</x:v>
      </x:c>
      <x:c r="H19" s="2" t="str">
        <x:v>Same feasible actions and20 USDm aggregate envelope; chosen payoffs not observed country returns</x:v>
      </x:c>
      <x:c r="I19" s="2" t="str">
        <x:v>No empirical calibration; sensitivity or missing-data gate applies</x:v>
      </x:c>
    </x:row>
    <x:row r="20" ht="100" customHeight="1">
      <x:c r="A20" s="2" t="str">
        <x:v>I-E01</x:v>
      </x:c>
      <x:c r="B20" s="2" t="str">
        <x:v>703.7 / 28,666 × 100 = 2.4548%</x:v>
      </x:c>
      <x:c r="C20" s="2" t="str">
        <x:v>percent EBIT/revenue</x:v>
      </x:c>
      <x:c r="D20" s="2" t="str">
        <x:v>Reported fact</x:v>
      </x:c>
      <x:c r="E20" s="2" t="str">
        <x:v>CO_AR</x:v>
      </x:c>
      <x:c r="F20" s="2" t="str">
        <x:v>Finance / Strategy to validate</x:v>
      </x:c>
      <x:c r="G20" s="2" t="str">
        <x:v>scripts/olam-editorial.json:examples.C-E01</x:v>
      </x:c>
      <x:c r="H20" s="2" t="str">
        <x:v>The substitution records every teaching input and the arithmetic; values are chosen unless labelled reported</x:v>
      </x:c>
      <x:c r="I20" s="2" t="str">
        <x:v>No empirical calibration; sensitivity or missing-data gate applies</x:v>
      </x:c>
    </x:row>
    <x:row r="21" ht="100" customHeight="1">
      <x:c r="A21" s="2" t="str">
        <x:v>I-E02</x:v>
      </x:c>
      <x:c r="B21" s="2" t="str">
        <x:v>1m people × 0.1t × 50% access × 20% capture = 10,000t orders; min(10,000, 8,000, 7,000) = 7,000t.</x:v>
      </x:c>
      <x:c r="C21" s="2" t="str">
        <x:v>persons, tonnes/person, fractions, tonnes</x:v>
      </x:c>
      <x:c r="D21" s="2" t="str">
        <x:v>Planning assumption</x:v>
      </x:c>
      <x:c r="E21" s="2" t="str"/>
      <x:c r="F21" s="2" t="str">
        <x:v>Finance / Strategy to validate</x:v>
      </x:c>
      <x:c r="G21" s="2" t="str">
        <x:v>scripts/olam-editorial.json:examples.C-E02</x:v>
      </x:c>
      <x:c r="H21" s="2" t="str">
        <x:v>The substitution records every teaching input and the arithmetic; values are chosen unless labelled reported</x:v>
      </x:c>
      <x:c r="I21" s="2" t="str">
        <x:v>No empirical calibration; sensitivity or missing-data gate applies</x:v>
      </x:c>
    </x:row>
    <x:row r="22" ht="100" customHeight="1">
      <x:c r="A22" s="2" t="str">
        <x:v>I-E03</x:v>
      </x:c>
      <x:c r="B22" s="2" t="str">
        <x:v>100,000t × USD400/t = USD40m revenue; costs = USD34m; contribution = USD6m; less USD2m fixed cost = USD4m EBITDA.</x:v>
      </x:c>
      <x:c r="C22" s="2" t="str">
        <x:v>tonnes, USD/tonne, USD</x:v>
      </x:c>
      <x:c r="D22" s="2" t="str">
        <x:v>Planning assumption</x:v>
      </x:c>
      <x:c r="E22" s="2" t="str"/>
      <x:c r="F22" s="2" t="str">
        <x:v>Finance / Strategy to validate</x:v>
      </x:c>
      <x:c r="G22" s="2" t="str">
        <x:v>scripts/olam-editorial.json:examples.C-E03</x:v>
      </x:c>
      <x:c r="H22" s="2" t="str">
        <x:v>The substitution records every teaching input and the arithmetic; values are chosen unless labelled reported</x:v>
      </x:c>
      <x:c r="I22" s="2" t="str">
        <x:v>No empirical calibration; sensitivity or missing-data gate applies</x:v>
      </x:c>
    </x:row>
    <x:row r="23" ht="100" customHeight="1">
      <x:c r="A23" s="2" t="str">
        <x:v>I-E04</x:v>
      </x:c>
      <x:c r="B23" s="2" t="str">
        <x:v>100,000t output / 90% yield = 111,111t input; 6% by-product = 6,667t; 4% loss = 4,444t.</x:v>
      </x:c>
      <x:c r="C23" s="2" t="str">
        <x:v>tonnes, yield fractions, USD/tonne</x:v>
      </x:c>
      <x:c r="D23" s="2" t="str">
        <x:v>Planning assumption</x:v>
      </x:c>
      <x:c r="E23" s="2" t="str"/>
      <x:c r="F23" s="2" t="str">
        <x:v>Finance / Strategy to validate</x:v>
      </x:c>
      <x:c r="G23" s="2" t="str">
        <x:v>scripts/olam-editorial.json:examples.C-E04</x:v>
      </x:c>
      <x:c r="H23" s="2" t="str">
        <x:v>The substitution records every teaching input and the arithmetic; values are chosen unless labelled reported</x:v>
      </x:c>
      <x:c r="I23" s="2" t="str">
        <x:v>No empirical calibration; sensitivity or missing-data gate applies</x:v>
      </x:c>
    </x:row>
    <x:row r="24" ht="100" customHeight="1">
      <x:c r="A24" s="2" t="str">
        <x:v>I-E05</x:v>
      </x:c>
      <x:c r="B24" s="2" t="str">
        <x:v>Offer A: (USD30 + USD5) / 45kg = USD0.7778/kg. Offer B: (USD32 + USD4) / 48kg = USD0.7500/kg.</x:v>
      </x:c>
      <x:c r="C24" s="2" t="str">
        <x:v>loaves/bag, money/loaf, money/bag</x:v>
      </x:c>
      <x:c r="D24" s="2" t="str">
        <x:v>Planning assumption</x:v>
      </x:c>
      <x:c r="E24" s="2" t="str"/>
      <x:c r="F24" s="2" t="str">
        <x:v>Finance / Strategy to validate</x:v>
      </x:c>
      <x:c r="G24" s="2" t="str">
        <x:v>scripts/olam-editorial.json:examples.C-E05</x:v>
      </x:c>
      <x:c r="H24" s="2" t="str">
        <x:v>The substitution records every teaching input and the arithmetic; values are chosen unless labelled reported</x:v>
      </x:c>
      <x:c r="I24" s="2" t="str">
        <x:v>No empirical calibration; sensitivity or missing-data gate applies</x:v>
      </x:c>
    </x:row>
    <x:row r="25" ht="100" customHeight="1">
      <x:c r="A25" s="2" t="str">
        <x:v>I-E06</x:v>
      </x:c>
      <x:c r="B25" s="2" t="str">
        <x:v>Small: (₦600 + ₦100 prep) / 5 meals = ₦140/meal. Large: (₦2,000 + ₦400 prep) / 20 meals = ₦120/meal.</x:v>
      </x:c>
      <x:c r="C25" s="2" t="str">
        <x:v>kg/pack, money/pack, money/kg</x:v>
      </x:c>
      <x:c r="D25" s="2" t="str">
        <x:v>Planning assumption</x:v>
      </x:c>
      <x:c r="E25" s="2" t="str"/>
      <x:c r="F25" s="2" t="str">
        <x:v>Finance / Strategy to validate</x:v>
      </x:c>
      <x:c r="G25" s="2" t="str">
        <x:v>scripts/olam-editorial.json:examples.C-E06</x:v>
      </x:c>
      <x:c r="H25" s="2" t="str">
        <x:v>The substitution records every teaching input and the arithmetic; values are chosen unless labelled reported</x:v>
      </x:c>
      <x:c r="I25" s="2" t="str">
        <x:v>No empirical calibration; sensitivity or missing-data gate applies</x:v>
      </x:c>
    </x:row>
    <x:row r="26" ht="100" customHeight="1">
      <x:c r="A26" s="2" t="str">
        <x:v>I-E07</x:v>
      </x:c>
      <x:c r="B26" s="2" t="str">
        <x:v>10% − 8% = 2 percentage points. Relative increase = (10 − 8) / 8 = 25%.</x:v>
      </x:c>
      <x:c r="C26" s="2" t="str">
        <x:v>percent and percentage points</x:v>
      </x:c>
      <x:c r="D26" s="2" t="str">
        <x:v>Planning assumption</x:v>
      </x:c>
      <x:c r="E26" s="2" t="str"/>
      <x:c r="F26" s="2" t="str">
        <x:v>Finance / Strategy to validate</x:v>
      </x:c>
      <x:c r="G26" s="2" t="str">
        <x:v>scripts/olam-editorial.json:examples.C-E07</x:v>
      </x:c>
      <x:c r="H26" s="2" t="str">
        <x:v>The substitution records every teaching input and the arithmetic; values are chosen unless labelled reported</x:v>
      </x:c>
      <x:c r="I26" s="2" t="str">
        <x:v>No empirical calibration; sensitivity or missing-data gate applies</x:v>
      </x:c>
    </x:row>
    <x:row r="27" ht="100" customHeight="1">
      <x:c r="A27" s="2" t="str">
        <x:v>I-E08</x:v>
      </x:c>
      <x:c r="B27" s="2" t="str">
        <x:v>EBITDA 4 − D&amp;A 1 = EBIT 3; tax = 0.75. FCFF = 3 − 0.75 + 1 − 0.6 − 0.4 − 1 = 1.25 (USDm).</x:v>
      </x:c>
      <x:c r="C27" s="2" t="str">
        <x:v>USDm, years, tax fraction</x:v>
      </x:c>
      <x:c r="D27" s="2" t="str">
        <x:v>Planning assumption</x:v>
      </x:c>
      <x:c r="E27" s="2" t="str"/>
      <x:c r="F27" s="2" t="str">
        <x:v>Finance / Strategy to validate</x:v>
      </x:c>
      <x:c r="G27" s="2" t="str">
        <x:v>scripts/olam-editorial.json:examples.C-E08</x:v>
      </x:c>
      <x:c r="H27" s="2" t="str">
        <x:v>The substitution records every teaching input and the arithmetic; values are chosen unless labelled reported</x:v>
      </x:c>
      <x:c r="I27" s="2" t="str">
        <x:v>No empirical calibration; sensitivity or missing-data gate applies</x:v>
      </x:c>
    </x:row>
    <x:row r="28" ht="100" customHeight="1">
      <x:c r="A28" s="2" t="str">
        <x:v>I-E09</x:v>
      </x:c>
      <x:c r="B28" s="2" t="str">
        <x:v>AR: USD40m × 5 / 365 = USD0.547945m. Inventory: USD34m × 7 / 365 = USD0.652055m. Total = USD1.20m.</x:v>
      </x:c>
      <x:c r="C28" s="2" t="str">
        <x:v>USDm, annual days</x:v>
      </x:c>
      <x:c r="D28" s="2" t="str">
        <x:v>Planning assumption</x:v>
      </x:c>
      <x:c r="E28" s="2" t="str"/>
      <x:c r="F28" s="2" t="str">
        <x:v>Finance / Strategy to validate</x:v>
      </x:c>
      <x:c r="G28" s="2" t="str">
        <x:v>scripts/olam-editorial.json:examples.C-E09</x:v>
      </x:c>
      <x:c r="H28" s="2" t="str">
        <x:v>The substitution records every teaching input and the arithmetic; values are chosen unless labelled reported</x:v>
      </x:c>
      <x:c r="I28" s="2" t="str">
        <x:v>No empirical calibration; sensitivity or missing-data gate applies</x:v>
      </x:c>
    </x:row>
    <x:row r="29" ht="100" customHeight="1">
      <x:c r="A29" s="2" t="str">
        <x:v>I-E10</x:v>
      </x:c>
      <x:c r="B29" s="2" t="str">
        <x:v>100 × (2% + 2%) × 8% + 0.7 + 0.6 − 0.4 − 0.45 − 0.30 = 0.47; 100 × 7 / 365 = 1.9178 (NGNbn).</x:v>
      </x:c>
      <x:c r="C29" s="2" t="str">
        <x:v>NGN billion; percent; years</x:v>
      </x:c>
      <x:c r="D29" s="2" t="str">
        <x:v>Planning assumption</x:v>
      </x:c>
      <x:c r="E29" s="2" t="str"/>
      <x:c r="F29" s="2" t="str">
        <x:v>Finance / Strategy to validate</x:v>
      </x:c>
      <x:c r="G29" s="2" t="str">
        <x:v>scripts/olam-editorial.json:examples.C-E10</x:v>
      </x:c>
      <x:c r="H29" s="2" t="str">
        <x:v>The substitution records every teaching input and the arithmetic; values are chosen unless labelled reported</x:v>
      </x:c>
      <x:c r="I29" s="2" t="str">
        <x:v>No empirical calibration; sensitivity or missing-data gate applies</x:v>
      </x:c>
    </x:row>
    <x:row r="30" ht="100" customHeight="1">
      <x:c r="A30" s="2" t="str">
        <x:v>I-E11</x:v>
      </x:c>
      <x:c r="B30" s="2" t="str">
        <x:v>USD100 × ₦1,000/USD = ₦100,000. With both factors +10%: USD110 × ₦1,100 = ₦121,000, or +21%.</x:v>
      </x:c>
      <x:c r="C30" s="2" t="str">
        <x:v>money units; FX/input-cost fractions</x:v>
      </x:c>
      <x:c r="D30" s="2" t="str">
        <x:v>Planning assumption</x:v>
      </x:c>
      <x:c r="E30" s="2" t="str"/>
      <x:c r="F30" s="2" t="str">
        <x:v>Finance / Strategy to validate</x:v>
      </x:c>
      <x:c r="G30" s="2" t="str">
        <x:v>scripts/olam-editorial.json:examples.C-E11</x:v>
      </x:c>
      <x:c r="H30" s="2" t="str">
        <x:v>The substitution records every teaching input and the arithmetic; values are chosen unless labelled reported</x:v>
      </x:c>
      <x:c r="I30" s="2" t="str">
        <x:v>No empirical calibration; sensitivity or missing-data gate applies</x:v>
      </x:c>
    </x:row>
    <x:row r="31" ht="100" customHeight="1">
      <x:c r="A31" s="2" t="str">
        <x:v>I-E12</x:v>
      </x:c>
      <x:c r="B31" s="2" t="str">
        <x:v>NPV = −5 + 2/1.10 + 2/1.10² + 2/1.10³ = −0.0263 (USDm).</x:v>
      </x:c>
      <x:c r="C31" s="2" t="str">
        <x:v>USDm, years, annual real rate</x:v>
      </x:c>
      <x:c r="D31" s="2" t="str">
        <x:v>Planning assumption</x:v>
      </x:c>
      <x:c r="E31" s="2" t="str"/>
      <x:c r="F31" s="2" t="str">
        <x:v>Finance / Strategy to validate</x:v>
      </x:c>
      <x:c r="G31" s="2" t="str">
        <x:v>scripts/olam-editorial.json:examples.C-E12</x:v>
      </x:c>
      <x:c r="H31" s="2" t="str">
        <x:v>The substitution records every teaching input and the arithmetic; values are chosen unless labelled reported</x:v>
      </x:c>
      <x:c r="I31" s="2" t="str">
        <x:v>No empirical calibration; sensitivity or missing-data gate applies</x:v>
      </x:c>
    </x:row>
    <x:row r="32" ht="100" customHeight="1">
      <x:c r="A32" s="2" t="str">
        <x:v>I-E13</x:v>
      </x:c>
      <x:c r="B32" s="2" t="str">
        <x:v>(1.10 × 1.05) − 1 = 15.5% nominal hurdle. Year 1: 2.10 / 1.155 = 2.00 / 1.10.</x:v>
      </x:c>
      <x:c r="C32" s="2" t="str">
        <x:v>annual nominal/real/inflation fractions</x:v>
      </x:c>
      <x:c r="D32" s="2" t="str">
        <x:v>Planning assumption</x:v>
      </x:c>
      <x:c r="E32" s="2" t="str"/>
      <x:c r="F32" s="2" t="str">
        <x:v>Finance / Strategy to validate</x:v>
      </x:c>
      <x:c r="G32" s="2" t="str">
        <x:v>scripts/olam-editorial.json:examples.C-E13</x:v>
      </x:c>
      <x:c r="H32" s="2" t="str">
        <x:v>The substitution records every teaching input and the arithmetic; values are chosen unless labelled reported</x:v>
      </x:c>
      <x:c r="I32" s="2" t="str">
        <x:v>No empirical calibration; sensitivity or missing-data gate applies</x:v>
      </x:c>
    </x:row>
    <x:row r="33" ht="100" customHeight="1">
      <x:c r="A33" s="2" t="str">
        <x:v>I-E14</x:v>
      </x:c>
      <x:c r="B33" s="2" t="str">
        <x:v>USD2m / (USD400 − USD340 per tonne) = 33,333t; / 150,000t capacity = 22.22% utilization.</x:v>
      </x:c>
      <x:c r="C33" s="2" t="str">
        <x:v>tonnes/year; USD/tonne; USDm</x:v>
      </x:c>
      <x:c r="D33" s="2" t="str">
        <x:v>Planning assumption</x:v>
      </x:c>
      <x:c r="E33" s="2" t="str"/>
      <x:c r="F33" s="2" t="str">
        <x:v>Finance / Strategy to validate</x:v>
      </x:c>
      <x:c r="G33" s="2" t="str">
        <x:v>scripts/olam-editorial.json:examples.C-E14</x:v>
      </x:c>
      <x:c r="H33" s="2" t="str">
        <x:v>The substitution records every teaching input and the arithmetic; values are chosen unless labelled reported</x:v>
      </x:c>
      <x:c r="I33" s="2" t="str">
        <x:v>No empirical calibration; sensitivity or missing-data gate applies</x:v>
      </x:c>
    </x:row>
    <x:row r="34" ht="100" customHeight="1">
      <x:c r="A34" s="2" t="str">
        <x:v>I-E15</x:v>
      </x:c>
      <x:c r="B34" s="2" t="str">
        <x:v>Chosen NPVs [10, −8, 2] and weights [0.5, 0.3, 0.2]: 5 − 2.4 + 0.4 = USD3m.</x:v>
      </x:c>
      <x:c r="C34" s="2" t="str">
        <x:v>USDm; chosen scenario weights</x:v>
      </x:c>
      <x:c r="D34" s="2" t="str">
        <x:v>Planning assumption</x:v>
      </x:c>
      <x:c r="E34" s="2" t="str"/>
      <x:c r="F34" s="2" t="str">
        <x:v>Finance / Strategy to validate</x:v>
      </x:c>
      <x:c r="G34" s="2" t="str">
        <x:v>scripts/olam-editorial.json:examples.C-E15</x:v>
      </x:c>
      <x:c r="H34" s="2" t="str">
        <x:v>The substitution records every teaching input and the arithmetic; values are chosen unless labelled reported</x:v>
      </x:c>
      <x:c r="I34" s="2" t="str">
        <x:v>No empirical calibration; sensitivity or missing-data gate applies</x:v>
      </x:c>
    </x:row>
    <x:row r="35" ht="100" customHeight="1">
      <x:c r="A35" s="2" t="str">
        <x:v>I-E16</x:v>
      </x:c>
      <x:c r="B35" s="2" t="str">
        <x:v>NPVs [−8, −4, 0, 2, 6] imply losses [0, 0, 0, 4, 8]. Nearest-rank VaR80 = 4; worst-20% CVaR80 = 8 (USDm).</x:v>
      </x:c>
      <x:c r="C35" s="2" t="str">
        <x:v>USDm loss; chosen quantile</x:v>
      </x:c>
      <x:c r="D35" s="2" t="str">
        <x:v>Planning assumption</x:v>
      </x:c>
      <x:c r="E35" s="2" t="str"/>
      <x:c r="F35" s="2" t="str">
        <x:v>Finance / Strategy to validate</x:v>
      </x:c>
      <x:c r="G35" s="2" t="str">
        <x:v>scripts/olam-editorial.json:examples.C-E16</x:v>
      </x:c>
      <x:c r="H35" s="2" t="str">
        <x:v>The substitution records every teaching input and the arithmetic; values are chosen unless labelled reported</x:v>
      </x:c>
      <x:c r="I35" s="2" t="str">
        <x:v>No empirical calibration; sensitivity or missing-data gate applies</x:v>
      </x:c>
    </x:row>
    <x:row r="36" ht="100" customHeight="1">
      <x:c r="A36" s="2" t="str">
        <x:v>I-E17</x:v>
      </x:c>
      <x:c r="B36" s="2" t="str">
        <x:v>Each source loses USD10m with chosen probability 0.2. A shared port produces joint loss USD20m with probability 0.2; independent joint probability is 0.04.</x:v>
      </x:c>
      <x:c r="C36" s="2" t="str">
        <x:v>USDm loss; covariance</x:v>
      </x:c>
      <x:c r="D36" s="2" t="str">
        <x:v>Planning assumption</x:v>
      </x:c>
      <x:c r="E36" s="2" t="str"/>
      <x:c r="F36" s="2" t="str">
        <x:v>Finance / Strategy to validate</x:v>
      </x:c>
      <x:c r="G36" s="2" t="str">
        <x:v>scripts/olam-editorial.json:examples.C-E17</x:v>
      </x:c>
      <x:c r="H36" s="2" t="str">
        <x:v>The substitution records every teaching input and the arithmetic; values are chosen unless labelled reported</x:v>
      </x:c>
      <x:c r="I36" s="2" t="str">
        <x:v>No empirical calibration; sensitivity or missing-data gate applies</x:v>
      </x:c>
    </x:row>
    <x:row r="37" ht="100" customHeight="1">
      <x:c r="A37" s="2" t="str">
        <x:v>I-E18</x:v>
      </x:c>
      <x:c r="B37" s="2" t="str">
        <x:v>Treated sales: 100 → 130. Control: 100 → 110. DiD = (130 − 100) − (110 − 100) = 20.</x:v>
      </x:c>
      <x:c r="C37" s="2" t="str">
        <x:v>outcome units; customers; periods</x:v>
      </x:c>
      <x:c r="D37" s="2" t="str">
        <x:v>Planning assumption</x:v>
      </x:c>
      <x:c r="E37" s="2" t="str"/>
      <x:c r="F37" s="2" t="str">
        <x:v>Finance / Strategy to validate</x:v>
      </x:c>
      <x:c r="G37" s="2" t="str">
        <x:v>scripts/olam-editorial.json:examples.C-E18</x:v>
      </x:c>
      <x:c r="H37" s="2" t="str">
        <x:v>The substitution records every teaching input and the arithmetic; values are chosen unless labelled reported</x:v>
      </x:c>
      <x:c r="I37" s="2" t="str">
        <x:v>No empirical calibration; sensitivity or missing-data gate applies</x:v>
      </x:c>
    </x:row>
    <x:row r="38" ht="100" customHeight="1">
      <x:c r="A38" s="2" t="str">
        <x:v>I-E19</x:v>
      </x:c>
      <x:c r="B38" s="2" t="str">
        <x:v>Incremental contribution 120 − service 20 − trade 10 − cannibalisation 10 = 80. Marketing spend 40. Net ROMI = (80 − 40)/40 = 100%.</x:v>
      </x:c>
      <x:c r="C38" s="2" t="str">
        <x:v>USDm contribution and marketing spend</x:v>
      </x:c>
      <x:c r="D38" s="2" t="str">
        <x:v>Planning assumption</x:v>
      </x:c>
      <x:c r="E38" s="2" t="str"/>
      <x:c r="F38" s="2" t="str">
        <x:v>Finance / Strategy to validate</x:v>
      </x:c>
      <x:c r="G38" s="2" t="str">
        <x:v>scripts/olam-editorial.json:examples.C-E19</x:v>
      </x:c>
      <x:c r="H38" s="2" t="str">
        <x:v>The substitution records every teaching input and the arithmetic; values are chosen unless labelled reported</x:v>
      </x:c>
      <x:c r="I38" s="2" t="str">
        <x:v>No empirical calibration; sensitivity or missing-data gate applies</x:v>
      </x:c>
    </x:row>
    <x:row r="39" ht="100" customHeight="1">
      <x:c r="A39" s="2" t="str">
        <x:v>I-E20</x:v>
      </x:c>
      <x:c r="B39" s="2" t="str">
        <x:v>Good state p=0.5: investment NPV 10; bad state p=0.5: −8; wait 0. Best prior EV=1; perfect-information EV=5; less study 1 and delay 0.5 gives net gain 2.5.</x:v>
      </x:c>
      <x:c r="C39" s="2" t="str">
        <x:v>USDm project/study/delay; chosen probability</x:v>
      </x:c>
      <x:c r="D39" s="2" t="str">
        <x:v>Planning assumption</x:v>
      </x:c>
      <x:c r="E39" s="2" t="str"/>
      <x:c r="F39" s="2" t="str">
        <x:v>Finance / Strategy to validate</x:v>
      </x:c>
      <x:c r="G39" s="2" t="str">
        <x:v>scripts/olam-editorial.json:examples.C-E20</x:v>
      </x:c>
      <x:c r="H39" s="2" t="str">
        <x:v>The substitution records every teaching input and the arithmetic; values are chosen unless labelled reported</x:v>
      </x:c>
      <x:c r="I39" s="2" t="str">
        <x:v>No empirical calibration; sensitivity or missing-data gate applies</x:v>
      </x:c>
    </x:row>
    <x:row r="40" ht="100" customHeight="1">
      <x:c r="A40" s="2" t="str">
        <x:v>I-E21</x:v>
      </x:c>
      <x:c r="B40" s="2" t="str">
        <x:v>The managed owned template reaches zero NPV at 104,862 initial annual order tonnes. The current 100,000t base needs 4.86% more initial orders.</x:v>
      </x:c>
      <x:c r="C40" s="2" t="str">
        <x:v>USDm; tonnes; annual rate</x:v>
      </x:c>
      <x:c r="D40" s="2" t="str">
        <x:v>Planning assumption</x:v>
      </x:c>
      <x:c r="E40" s="2" t="str"/>
      <x:c r="F40" s="2" t="str">
        <x:v>Finance / Strategy to validate</x:v>
      </x:c>
      <x:c r="G40" s="2" t="str">
        <x:v>scripts/olam-editorial.json:examples.C-E21</x:v>
      </x:c>
      <x:c r="H40" s="2" t="str">
        <x:v>The substitution records every teaching input and the arithmetic; values are chosen unless labelled reported</x:v>
      </x:c>
      <x:c r="I40" s="2" t="str">
        <x:v>No empirical calibration; sensitivity or missing-data gate applies</x:v>
      </x:c>
    </x:row>
    <x:row r="41" ht="100" customHeight="1">
      <x:c r="A41" s="2" t="str">
        <x:v>I-E22</x:v>
      </x:c>
      <x:c r="B41" s="2" t="str">
        <x:v>Country A: demand 200kt, capture 50kt, unit contribution USD20, fixed USD0.7m → EBITDA USD0.3m. B: demand 100kt, capture 40kt, contribution USD40 → USD0.9m.</x:v>
      </x:c>
      <x:c r="C41" s="2" t="str">
        <x:v>USDm payoff; common budget</x:v>
      </x:c>
      <x:c r="D41" s="2" t="str">
        <x:v>Planning assumption</x:v>
      </x:c>
      <x:c r="E41" s="2" t="str"/>
      <x:c r="F41" s="2" t="str">
        <x:v>Finance / Strategy to validate</x:v>
      </x:c>
      <x:c r="G41" s="2" t="str">
        <x:v>scripts/olam-editorial.json:examples.C-E22</x:v>
      </x:c>
      <x:c r="H41" s="2" t="str">
        <x:v>The substitution records every teaching input and the arithmetic; values are chosen unless labelled reported</x:v>
      </x:c>
      <x:c r="I41" s="2" t="str">
        <x:v>No empirical calibration; sensitivity or missing-data gate applies</x:v>
      </x:c>
    </x:row>
    <x:row r="42" ht="100" customHeight="1">
      <x:c r="A42" s="2" t="str">
        <x:v>UN_WPP_AFG</x:v>
      </x:c>
      <x:c r="B42" s="2" t="str">
        <x:v>{"2026":45047069,"2030":50039402,"2035":56647232,"2040":63347870,"2045":70021200,"2050":76885135,"2051":78155052}</x:v>
      </x:c>
      <x:c r="C42" s="2" t="str">
        <x:v>Persons at seven milestones</x:v>
      </x:c>
      <x:c r="D42" s="2" t="str">
        <x:v>External projection</x:v>
      </x:c>
      <x:c r="E42" s="2" t="str">
        <x:v>UN_WPP</x:v>
      </x:c>
      <x:c r="F42" s="2" t="str">
        <x:v>UN DESA issuer; Strategy refresh</x:v>
      </x:c>
      <x:c r="G42" s="2" t="str">
        <x:v>research/olam-global/raw/wpp-milestones.csv:AFG</x:v>
      </x:c>
      <x:c r="H42" s="2" t="str">
        <x:v>WPP Medium in thousands ×1000; no income/category-demand inference</x:v>
      </x:c>
      <x:c r="I42" s="2" t="str">
        <x:v>Medium fertility variant only; low/high not in the compact source and not retrieved</x:v>
      </x:c>
    </x:row>
    <x:row r="43" ht="100" customHeight="1">
      <x:c r="A43" s="2" t="str">
        <x:v>I-WBFOOD-AFG</x:v>
      </x:c>
      <x:c r="B43" s="2" t="str">
        <x:v>{"country":"AFG","year":2019,"result_USD":1824086402.99416,"inputs":"Exact matched year and variable values in country-panel.csv"}</x:v>
      </x:c>
      <x:c r="C43" s="2" t="str">
        <x:v>Percent merchandise imports × current USD</x:v>
      </x:c>
      <x:c r="D43" s="2" t="str">
        <x:v>Reported fact</x:v>
      </x:c>
      <x:c r="E43" s="2" t="str">
        <x:v>WB_food_import_share;WB_imports_usd</x:v>
      </x:c>
      <x:c r="F43" s="2" t="str">
        <x:v>Finance / Strategy to validate</x:v>
      </x:c>
      <x:c r="G43" s="2" t="str">
        <x:v>research/olam-global/country-panel.csv:AFG:2019</x:v>
      </x:c>
      <x:c r="H43" s="2" t="str">
        <x:v>Same-year matching prevents multiplying different vintages</x:v>
      </x:c>
      <x:c r="I43" s="2" t="str">
        <x:v>No empirical calibration; sensitivity or missing-data gate applies</x:v>
      </x:c>
    </x:row>
    <x:row r="44" ht="100" customHeight="1">
      <x:c r="A44" s="2" t="str">
        <x:v>UN_WPP_ALB</x:v>
      </x:c>
      <x:c r="B44" s="2" t="str">
        <x:v>{"2026":2751025,"2030":2671885,"2035":2570580,"2040":2461866,"2045":2351280,"2050":2240166,"2051":2218012}</x:v>
      </x:c>
      <x:c r="C44" s="2" t="str">
        <x:v>Persons at seven milestones</x:v>
      </x:c>
      <x:c r="D44" s="2" t="str">
        <x:v>External projection</x:v>
      </x:c>
      <x:c r="E44" s="2" t="str">
        <x:v>UN_WPP</x:v>
      </x:c>
      <x:c r="F44" s="2" t="str">
        <x:v>UN DESA issuer; Strategy refresh</x:v>
      </x:c>
      <x:c r="G44" s="2" t="str">
        <x:v>research/olam-global/raw/wpp-milestones.csv:ALB</x:v>
      </x:c>
      <x:c r="H44" s="2" t="str">
        <x:v>WPP Medium in thousands ×1000; no income/category-demand inference</x:v>
      </x:c>
      <x:c r="I44" s="2" t="str">
        <x:v>Medium fertility variant only; low/high not in the compact source and not retrieved</x:v>
      </x:c>
    </x:row>
    <x:row r="45" ht="100" customHeight="1">
      <x:c r="A45" s="2" t="str">
        <x:v>I-WBFOOD-ALB</x:v>
      </x:c>
      <x:c r="B45" s="2" t="str">
        <x:v>{"country":"ALB","year":2024,"result_USD":1595872541.6014109,"inputs":"Exact matched year and variable values in country-panel.csv"}</x:v>
      </x:c>
      <x:c r="C45" s="2" t="str">
        <x:v>Percent merchandise imports × current USD</x:v>
      </x:c>
      <x:c r="D45" s="2" t="str">
        <x:v>Reported fact</x:v>
      </x:c>
      <x:c r="E45" s="2" t="str">
        <x:v>WB_food_import_share;WB_imports_usd</x:v>
      </x:c>
      <x:c r="F45" s="2" t="str">
        <x:v>Finance / Strategy to validate</x:v>
      </x:c>
      <x:c r="G45" s="2" t="str">
        <x:v>research/olam-global/country-panel.csv:ALB:2024</x:v>
      </x:c>
      <x:c r="H45" s="2" t="str">
        <x:v>Same-year matching prevents multiplying different vintages</x:v>
      </x:c>
      <x:c r="I45" s="2" t="str">
        <x:v>No empirical calibration; sensitivity or missing-data gate applies</x:v>
      </x:c>
    </x:row>
    <x:row r="46" ht="100" customHeight="1">
      <x:c r="A46" s="2" t="str">
        <x:v>UN_WPP_DZA</x:v>
      </x:c>
      <x:c r="B46" s="2" t="str">
        <x:v>{"2026":48028334,"2030":50154166,"2035":52516789,"2040":54873476,"2045":57290156,"2050":59565554,"2051":59975606}</x:v>
      </x:c>
      <x:c r="C46" s="2" t="str">
        <x:v>Persons at seven milestones</x:v>
      </x:c>
      <x:c r="D46" s="2" t="str">
        <x:v>External projection</x:v>
      </x:c>
      <x:c r="E46" s="2" t="str">
        <x:v>UN_WPP</x:v>
      </x:c>
      <x:c r="F46" s="2" t="str">
        <x:v>UN DESA issuer; Strategy refresh</x:v>
      </x:c>
      <x:c r="G46" s="2" t="str">
        <x:v>research/olam-global/raw/wpp-milestones.csv:DZA</x:v>
      </x:c>
      <x:c r="H46" s="2" t="str">
        <x:v>WPP Medium in thousands ×1000; no income/category-demand inference</x:v>
      </x:c>
      <x:c r="I46" s="2" t="str">
        <x:v>Medium fertility variant only; low/high not in the compact source and not retrieved</x:v>
      </x:c>
    </x:row>
    <x:row r="47" ht="100" customHeight="1">
      <x:c r="A47" s="2" t="str">
        <x:v>I-WBFOOD-DZA</x:v>
      </x:c>
      <x:c r="B47" s="2" t="str">
        <x:v>{"country":"DZA","year":2017,"result_USD":9317754794.906103,"inputs":"Exact matched year and variable values in country-panel.csv"}</x:v>
      </x:c>
      <x:c r="C47" s="2" t="str">
        <x:v>Percent merchandise imports × current USD</x:v>
      </x:c>
      <x:c r="D47" s="2" t="str">
        <x:v>Reported fact</x:v>
      </x:c>
      <x:c r="E47" s="2" t="str">
        <x:v>WB_food_import_share;WB_imports_usd</x:v>
      </x:c>
      <x:c r="F47" s="2" t="str">
        <x:v>Finance / Strategy to validate</x:v>
      </x:c>
      <x:c r="G47" s="2" t="str">
        <x:v>research/olam-global/country-panel.csv:DZA:2017</x:v>
      </x:c>
      <x:c r="H47" s="2" t="str">
        <x:v>Same-year matching prevents multiplying different vintages</x:v>
      </x:c>
      <x:c r="I47" s="2" t="str">
        <x:v>No empirical calibration; sensitivity or missing-data gate applies</x:v>
      </x:c>
    </x:row>
    <x:row r="48" ht="100" customHeight="1">
      <x:c r="A48" s="2" t="str">
        <x:v>UN_WPP_AND</x:v>
      </x:c>
      <x:c r="B48" s="2" t="str">
        <x:v>{"2026":83753,"2030":85681,"2035":86174,"2040":85668,"2045":84294,"2050":82195,"2051":81668}</x:v>
      </x:c>
      <x:c r="C48" s="2" t="str">
        <x:v>Persons at seven milestones</x:v>
      </x:c>
      <x:c r="D48" s="2" t="str">
        <x:v>External projection</x:v>
      </x:c>
      <x:c r="E48" s="2" t="str">
        <x:v>UN_WPP</x:v>
      </x:c>
      <x:c r="F48" s="2" t="str">
        <x:v>UN DESA issuer; Strategy refresh</x:v>
      </x:c>
      <x:c r="G48" s="2" t="str">
        <x:v>research/olam-global/raw/wpp-milestones.csv:AND</x:v>
      </x:c>
      <x:c r="H48" s="2" t="str">
        <x:v>WPP Medium in thousands ×1000; no income/category-demand inference</x:v>
      </x:c>
      <x:c r="I48" s="2" t="str">
        <x:v>Medium fertility variant only; low/high not in the compact source and not retrieved</x:v>
      </x:c>
    </x:row>
    <x:row r="49" ht="100" customHeight="1">
      <x:c r="A49" s="2" t="str">
        <x:v>I-WBFOOD-AND</x:v>
      </x:c>
      <x:c r="B49" s="2" t="str">
        <x:v>{"country":"AND","year":2023,"result_USD":426901906.45508695,"inputs":"Exact matched year and variable values in country-panel.csv"}</x:v>
      </x:c>
      <x:c r="C49" s="2" t="str">
        <x:v>Percent merchandise imports × current USD</x:v>
      </x:c>
      <x:c r="D49" s="2" t="str">
        <x:v>Reported fact</x:v>
      </x:c>
      <x:c r="E49" s="2" t="str">
        <x:v>WB_food_import_share;WB_imports_usd</x:v>
      </x:c>
      <x:c r="F49" s="2" t="str">
        <x:v>Finance / Strategy to validate</x:v>
      </x:c>
      <x:c r="G49" s="2" t="str">
        <x:v>research/olam-global/country-panel.csv:AND:2023</x:v>
      </x:c>
      <x:c r="H49" s="2" t="str">
        <x:v>Same-year matching prevents multiplying different vintages</x:v>
      </x:c>
      <x:c r="I49" s="2" t="str">
        <x:v>No empirical calibration; sensitivity or missing-data gate applies</x:v>
      </x:c>
    </x:row>
    <x:row r="50" ht="100" customHeight="1">
      <x:c r="A50" s="2" t="str">
        <x:v>UN_WPP_AGO</x:v>
      </x:c>
      <x:c r="B50" s="2" t="str">
        <x:v>{"2026":40215179,"2030":45160458,"2035":51821718,"2040":58965321,"2045":66464329,"2050":74295394,"2051":75892826}</x:v>
      </x:c>
      <x:c r="C50" s="2" t="str">
        <x:v>Persons at seven milestones</x:v>
      </x:c>
      <x:c r="D50" s="2" t="str">
        <x:v>External projection</x:v>
      </x:c>
      <x:c r="E50" s="2" t="str">
        <x:v>UN_WPP</x:v>
      </x:c>
      <x:c r="F50" s="2" t="str">
        <x:v>UN DESA issuer; Strategy refresh</x:v>
      </x:c>
      <x:c r="G50" s="2" t="str">
        <x:v>research/olam-global/raw/wpp-milestones.csv:AGO</x:v>
      </x:c>
      <x:c r="H50" s="2" t="str">
        <x:v>WPP Medium in thousands ×1000; no income/category-demand inference</x:v>
      </x:c>
      <x:c r="I50" s="2" t="str">
        <x:v>Medium fertility variant only; low/high not in the compact source and not retrieved</x:v>
      </x:c>
    </x:row>
    <x:row r="51" ht="100" customHeight="1">
      <x:c r="A51" s="2" t="str">
        <x:v>I-WBFOOD-AGO</x:v>
      </x:c>
      <x:c r="B51" s="2" t="str">
        <x:v>{"country":"AGO","year":2024,"result_USD":2196150985.0051885,"inputs":"Exact matched year and variable values in country-panel.csv"}</x:v>
      </x:c>
      <x:c r="C51" s="2" t="str">
        <x:v>Percent merchandise imports × current USD</x:v>
      </x:c>
      <x:c r="D51" s="2" t="str">
        <x:v>Reported fact</x:v>
      </x:c>
      <x:c r="E51" s="2" t="str">
        <x:v>WB_food_import_share;WB_imports_usd</x:v>
      </x:c>
      <x:c r="F51" s="2" t="str">
        <x:v>Finance / Strategy to validate</x:v>
      </x:c>
      <x:c r="G51" s="2" t="str">
        <x:v>research/olam-global/country-panel.csv:AGO:2024</x:v>
      </x:c>
      <x:c r="H51" s="2" t="str">
        <x:v>Same-year matching prevents multiplying different vintages</x:v>
      </x:c>
      <x:c r="I51" s="2" t="str">
        <x:v>No empirical calibration; sensitivity or missing-data gate applies</x:v>
      </x:c>
    </x:row>
    <x:row r="52" ht="100" customHeight="1">
      <x:c r="A52" s="2" t="str">
        <x:v>UN_WPP_ATG</x:v>
      </x:c>
      <x:c r="B52" s="2" t="str">
        <x:v>{"2026":94626,"2030":96000,"2035":97007,"2040":97133,"2045":96419,"2050":95055,"2051":94710}</x:v>
      </x:c>
      <x:c r="C52" s="2" t="str">
        <x:v>Persons at seven milestones</x:v>
      </x:c>
      <x:c r="D52" s="2" t="str">
        <x:v>External projection</x:v>
      </x:c>
      <x:c r="E52" s="2" t="str">
        <x:v>UN_WPP</x:v>
      </x:c>
      <x:c r="F52" s="2" t="str">
        <x:v>UN DESA issuer; Strategy refresh</x:v>
      </x:c>
      <x:c r="G52" s="2" t="str">
        <x:v>research/olam-global/raw/wpp-milestones.csv:ATG</x:v>
      </x:c>
      <x:c r="H52" s="2" t="str">
        <x:v>WPP Medium in thousands ×1000; no income/category-demand inference</x:v>
      </x:c>
      <x:c r="I52" s="2" t="str">
        <x:v>Medium fertility variant only; low/high not in the compact source and not retrieved</x:v>
      </x:c>
    </x:row>
    <x:row r="53" ht="100" customHeight="1">
      <x:c r="A53" s="2" t="str">
        <x:v>I-WBFOOD-ATG</x:v>
      </x:c>
      <x:c r="B53" s="2" t="str">
        <x:v>{"country":"ATG","year":2024,"result_USD":227727305.44245392,"inputs":"Exact matched year and variable values in country-panel.csv"}</x:v>
      </x:c>
      <x:c r="C53" s="2" t="str">
        <x:v>Percent merchandise imports × current USD</x:v>
      </x:c>
      <x:c r="D53" s="2" t="str">
        <x:v>Reported fact</x:v>
      </x:c>
      <x:c r="E53" s="2" t="str">
        <x:v>WB_food_import_share;WB_imports_usd</x:v>
      </x:c>
      <x:c r="F53" s="2" t="str">
        <x:v>Finance / Strategy to validate</x:v>
      </x:c>
      <x:c r="G53" s="2" t="str">
        <x:v>research/olam-global/country-panel.csv:ATG:2024</x:v>
      </x:c>
      <x:c r="H53" s="2" t="str">
        <x:v>Same-year matching prevents multiplying different vintages</x:v>
      </x:c>
      <x:c r="I53" s="2" t="str">
        <x:v>No empirical calibration; sensitivity or missing-data gate applies</x:v>
      </x:c>
    </x:row>
    <x:row r="54" ht="100" customHeight="1">
      <x:c r="A54" s="2" t="str">
        <x:v>UN_WPP_ARG</x:v>
      </x:c>
      <x:c r="B54" s="2" t="str">
        <x:v>{"2026":46003734,"2030":46585022,"2035":47251994,"2040":47817645,"2045":48191841,"2050":48308944,"2051":48297098}</x:v>
      </x:c>
      <x:c r="C54" s="2" t="str">
        <x:v>Persons at seven milestones</x:v>
      </x:c>
      <x:c r="D54" s="2" t="str">
        <x:v>External projection</x:v>
      </x:c>
      <x:c r="E54" s="2" t="str">
        <x:v>UN_WPP</x:v>
      </x:c>
      <x:c r="F54" s="2" t="str">
        <x:v>UN DESA issuer; Strategy refresh</x:v>
      </x:c>
      <x:c r="G54" s="2" t="str">
        <x:v>research/olam-global/raw/wpp-milestones.csv:ARG</x:v>
      </x:c>
      <x:c r="H54" s="2" t="str">
        <x:v>WPP Medium in thousands ×1000; no income/category-demand inference</x:v>
      </x:c>
      <x:c r="I54" s="2" t="str">
        <x:v>Medium fertility variant only; low/high not in the compact source and not retrieved</x:v>
      </x:c>
    </x:row>
    <x:row r="55" ht="100" customHeight="1">
      <x:c r="A55" s="2" t="str">
        <x:v>I-WBFOOD-ARG</x:v>
      </x:c>
      <x:c r="B55" s="2" t="str">
        <x:v>{"country":"ARG","year":2024,"result_USD":5520608117.085689,"inputs":"Exact matched year and variable values in country-panel.csv"}</x:v>
      </x:c>
      <x:c r="C55" s="2" t="str">
        <x:v>Percent merchandise imports × current USD</x:v>
      </x:c>
      <x:c r="D55" s="2" t="str">
        <x:v>Reported fact</x:v>
      </x:c>
      <x:c r="E55" s="2" t="str">
        <x:v>WB_food_import_share;WB_imports_usd</x:v>
      </x:c>
      <x:c r="F55" s="2" t="str">
        <x:v>Finance / Strategy to validate</x:v>
      </x:c>
      <x:c r="G55" s="2" t="str">
        <x:v>research/olam-global/country-panel.csv:ARG:2024</x:v>
      </x:c>
      <x:c r="H55" s="2" t="str">
        <x:v>Same-year matching prevents multiplying different vintages</x:v>
      </x:c>
      <x:c r="I55" s="2" t="str">
        <x:v>No empirical calibration; sensitivity or missing-data gate applies</x:v>
      </x:c>
    </x:row>
    <x:row r="56" ht="100" customHeight="1">
      <x:c r="A56" s="2" t="str">
        <x:v>UN_WPP_ARM</x:v>
      </x:c>
      <x:c r="B56" s="2" t="str">
        <x:v>{"2026":2930915,"2030":2851291,"2035":2756725,"2040":2665523,"2045":2579220,"2050":2495207,"2051":2478352}</x:v>
      </x:c>
      <x:c r="C56" s="2" t="str">
        <x:v>Persons at seven milestones</x:v>
      </x:c>
      <x:c r="D56" s="2" t="str">
        <x:v>External projection</x:v>
      </x:c>
      <x:c r="E56" s="2" t="str">
        <x:v>UN_WPP</x:v>
      </x:c>
      <x:c r="F56" s="2" t="str">
        <x:v>UN DESA issuer; Strategy refresh</x:v>
      </x:c>
      <x:c r="G56" s="2" t="str">
        <x:v>research/olam-global/raw/wpp-milestones.csv:ARM</x:v>
      </x:c>
      <x:c r="H56" s="2" t="str">
        <x:v>WPP Medium in thousands ×1000; no income/category-demand inference</x:v>
      </x:c>
      <x:c r="I56" s="2" t="str">
        <x:v>Medium fertility variant only; low/high not in the compact source and not retrieved</x:v>
      </x:c>
    </x:row>
    <x:row r="57" ht="100" customHeight="1">
      <x:c r="A57" s="2" t="str">
        <x:v>I-WBFOOD-ARM</x:v>
      </x:c>
      <x:c r="B57" s="2" t="str">
        <x:v>{"country":"ARM","year":2024,"result_USD":1427097102.4313998,"inputs":"Exact matched year and variable values in country-panel.csv"}</x:v>
      </x:c>
      <x:c r="C57" s="2" t="str">
        <x:v>Percent merchandise imports × current USD</x:v>
      </x:c>
      <x:c r="D57" s="2" t="str">
        <x:v>Reported fact</x:v>
      </x:c>
      <x:c r="E57" s="2" t="str">
        <x:v>WB_food_import_share;WB_imports_usd</x:v>
      </x:c>
      <x:c r="F57" s="2" t="str">
        <x:v>Finance / Strategy to validate</x:v>
      </x:c>
      <x:c r="G57" s="2" t="str">
        <x:v>research/olam-global/country-panel.csv:ARM:2024</x:v>
      </x:c>
      <x:c r="H57" s="2" t="str">
        <x:v>Same-year matching prevents multiplying different vintages</x:v>
      </x:c>
      <x:c r="I57" s="2" t="str">
        <x:v>No empirical calibration; sensitivity or missing-data gate applies</x:v>
      </x:c>
    </x:row>
    <x:row r="58" ht="100" customHeight="1">
      <x:c r="A58" s="2" t="str">
        <x:v>UN_WPP_AUS</x:v>
      </x:c>
      <x:c r="B58" s="2" t="str">
        <x:v>{"2026":27227096,"2030":28188539,"2035":29296168,"2040":30357450,"2045":31431123,"2050":32506969,"2051":32716087}</x:v>
      </x:c>
      <x:c r="C58" s="2" t="str">
        <x:v>Persons at seven milestones</x:v>
      </x:c>
      <x:c r="D58" s="2" t="str">
        <x:v>External projection</x:v>
      </x:c>
      <x:c r="E58" s="2" t="str">
        <x:v>UN_WPP</x:v>
      </x:c>
      <x:c r="F58" s="2" t="str">
        <x:v>UN DESA issuer; Strategy refresh</x:v>
      </x:c>
      <x:c r="G58" s="2" t="str">
        <x:v>research/olam-global/raw/wpp-milestones.csv:AUS</x:v>
      </x:c>
      <x:c r="H58" s="2" t="str">
        <x:v>WPP Medium in thousands ×1000; no income/category-demand inference</x:v>
      </x:c>
      <x:c r="I58" s="2" t="str">
        <x:v>Medium fertility variant only; low/high not in the compact source and not retrieved</x:v>
      </x:c>
    </x:row>
    <x:row r="59" ht="100" customHeight="1">
      <x:c r="A59" s="2" t="str">
        <x:v>I-WBFOOD-AUS</x:v>
      </x:c>
      <x:c r="B59" s="2" t="str">
        <x:v>{"country":"AUS","year":2025,"result_USD":20236525638.395187,"inputs":"Exact matched year and variable values in country-panel.csv"}</x:v>
      </x:c>
      <x:c r="C59" s="2" t="str">
        <x:v>Percent merchandise imports × current USD</x:v>
      </x:c>
      <x:c r="D59" s="2" t="str">
        <x:v>Reported fact</x:v>
      </x:c>
      <x:c r="E59" s="2" t="str">
        <x:v>WB_food_import_share;WB_imports_usd</x:v>
      </x:c>
      <x:c r="F59" s="2" t="str">
        <x:v>Finance / Strategy to validate</x:v>
      </x:c>
      <x:c r="G59" s="2" t="str">
        <x:v>research/olam-global/country-panel.csv:AUS:2025</x:v>
      </x:c>
      <x:c r="H59" s="2" t="str">
        <x:v>Same-year matching prevents multiplying different vintages</x:v>
      </x:c>
      <x:c r="I59" s="2" t="str">
        <x:v>No empirical calibration; sensitivity or missing-data gate applies</x:v>
      </x:c>
    </x:row>
    <x:row r="60" ht="100" customHeight="1">
      <x:c r="A60" s="2" t="str">
        <x:v>UN_WPP_AUT</x:v>
      </x:c>
      <x:c r="B60" s="2" t="str">
        <x:v>{"2026":9107266,"2030":9080346,"2035":9014208,"2040":8934061,"2045":8844730,"2050":8724332,"2051":8696685}</x:v>
      </x:c>
      <x:c r="C60" s="2" t="str">
        <x:v>Persons at seven milestones</x:v>
      </x:c>
      <x:c r="D60" s="2" t="str">
        <x:v>External projection</x:v>
      </x:c>
      <x:c r="E60" s="2" t="str">
        <x:v>UN_WPP</x:v>
      </x:c>
      <x:c r="F60" s="2" t="str">
        <x:v>UN DESA issuer; Strategy refresh</x:v>
      </x:c>
      <x:c r="G60" s="2" t="str">
        <x:v>research/olam-global/raw/wpp-milestones.csv:AUT</x:v>
      </x:c>
      <x:c r="H60" s="2" t="str">
        <x:v>WPP Medium in thousands ×1000; no income/category-demand inference</x:v>
      </x:c>
      <x:c r="I60" s="2" t="str">
        <x:v>Medium fertility variant only; low/high not in the compact source and not retrieved</x:v>
      </x:c>
    </x:row>
    <x:row r="61" ht="100" customHeight="1">
      <x:c r="A61" s="2" t="str">
        <x:v>I-WBFOOD-AUT</x:v>
      </x:c>
      <x:c r="B61" s="2" t="str">
        <x:v>{"country":"AUT","year":2024,"result_USD":20189324032.95211,"inputs":"Exact matched year and variable values in country-panel.csv"}</x:v>
      </x:c>
      <x:c r="C61" s="2" t="str">
        <x:v>Percent merchandise imports × current USD</x:v>
      </x:c>
      <x:c r="D61" s="2" t="str">
        <x:v>Reported fact</x:v>
      </x:c>
      <x:c r="E61" s="2" t="str">
        <x:v>WB_food_import_share;WB_imports_usd</x:v>
      </x:c>
      <x:c r="F61" s="2" t="str">
        <x:v>Finance / Strategy to validate</x:v>
      </x:c>
      <x:c r="G61" s="2" t="str">
        <x:v>research/olam-global/country-panel.csv:AUT:2024</x:v>
      </x:c>
      <x:c r="H61" s="2" t="str">
        <x:v>Same-year matching prevents multiplying different vintages</x:v>
      </x:c>
      <x:c r="I61" s="2" t="str">
        <x:v>No empirical calibration; sensitivity or missing-data gate applies</x:v>
      </x:c>
    </x:row>
    <x:row r="62" ht="100" customHeight="1">
      <x:c r="A62" s="2" t="str">
        <x:v>UN_WPP_AZE</x:v>
      </x:c>
      <x:c r="B62" s="2" t="str">
        <x:v>{"2026":10454855,"2030":10665380,"2035":10898665,"2040":11081335,"2045":11188800,"2050":11224923,"2051":11224460}</x:v>
      </x:c>
      <x:c r="C62" s="2" t="str">
        <x:v>Persons at seven milestones</x:v>
      </x:c>
      <x:c r="D62" s="2" t="str">
        <x:v>External projection</x:v>
      </x:c>
      <x:c r="E62" s="2" t="str">
        <x:v>UN_WPP</x:v>
      </x:c>
      <x:c r="F62" s="2" t="str">
        <x:v>UN DESA issuer; Strategy refresh</x:v>
      </x:c>
      <x:c r="G62" s="2" t="str">
        <x:v>research/olam-global/raw/wpp-milestones.csv:AZE</x:v>
      </x:c>
      <x:c r="H62" s="2" t="str">
        <x:v>WPP Medium in thousands ×1000; no income/category-demand inference</x:v>
      </x:c>
      <x:c r="I62" s="2" t="str">
        <x:v>Medium fertility variant only; low/high not in the compact source and not retrieved</x:v>
      </x:c>
    </x:row>
    <x:row r="63" ht="100" customHeight="1">
      <x:c r="A63" s="2" t="str">
        <x:v>I-WBFOOD-AZE</x:v>
      </x:c>
      <x:c r="B63" s="2" t="str">
        <x:v>{"country":"AZE","year":2025,"result_USD":3032552512.072945,"inputs":"Exact matched year and variable values in country-panel.csv"}</x:v>
      </x:c>
      <x:c r="C63" s="2" t="str">
        <x:v>Percent merchandise imports × current USD</x:v>
      </x:c>
      <x:c r="D63" s="2" t="str">
        <x:v>Reported fact</x:v>
      </x:c>
      <x:c r="E63" s="2" t="str">
        <x:v>WB_food_import_share;WB_imports_usd</x:v>
      </x:c>
      <x:c r="F63" s="2" t="str">
        <x:v>Finance / Strategy to validate</x:v>
      </x:c>
      <x:c r="G63" s="2" t="str">
        <x:v>research/olam-global/country-panel.csv:AZE:2025</x:v>
      </x:c>
      <x:c r="H63" s="2" t="str">
        <x:v>Same-year matching prevents multiplying different vintages</x:v>
      </x:c>
      <x:c r="I63" s="2" t="str">
        <x:v>No empirical calibration; sensitivity or missing-data gate applies</x:v>
      </x:c>
    </x:row>
    <x:row r="64" ht="100" customHeight="1">
      <x:c r="A64" s="2" t="str">
        <x:v>UN_WPP_BHS</x:v>
      </x:c>
      <x:c r="B64" s="2" t="str">
        <x:v>{"2026":404628,"2030":410267,"2035":415978,"2040":420346,"2045":423262,"2050":424265,"2051":424211}</x:v>
      </x:c>
      <x:c r="C64" s="2" t="str">
        <x:v>Persons at seven milestones</x:v>
      </x:c>
      <x:c r="D64" s="2" t="str">
        <x:v>External projection</x:v>
      </x:c>
      <x:c r="E64" s="2" t="str">
        <x:v>UN_WPP</x:v>
      </x:c>
      <x:c r="F64" s="2" t="str">
        <x:v>UN DESA issuer; Strategy refresh</x:v>
      </x:c>
      <x:c r="G64" s="2" t="str">
        <x:v>research/olam-global/raw/wpp-milestones.csv:BHS</x:v>
      </x:c>
      <x:c r="H64" s="2" t="str">
        <x:v>WPP Medium in thousands ×1000; no income/category-demand inference</x:v>
      </x:c>
      <x:c r="I64" s="2" t="str">
        <x:v>Medium fertility variant only; low/high not in the compact source and not retrieved</x:v>
      </x:c>
    </x:row>
    <x:row r="65" ht="100" customHeight="1">
      <x:c r="A65" s="2" t="str">
        <x:v>I-WBFOOD-BHS</x:v>
      </x:c>
      <x:c r="B65" s="2" t="str">
        <x:v>{"country":"BHS","year":2024,"result_USD":986916656.9229306,"inputs":"Exact matched year and variable values in country-panel.csv"}</x:v>
      </x:c>
      <x:c r="C65" s="2" t="str">
        <x:v>Percent merchandise imports × current USD</x:v>
      </x:c>
      <x:c r="D65" s="2" t="str">
        <x:v>Reported fact</x:v>
      </x:c>
      <x:c r="E65" s="2" t="str">
        <x:v>WB_food_import_share;WB_imports_usd</x:v>
      </x:c>
      <x:c r="F65" s="2" t="str">
        <x:v>Finance / Strategy to validate</x:v>
      </x:c>
      <x:c r="G65" s="2" t="str">
        <x:v>research/olam-global/country-panel.csv:BHS:2024</x:v>
      </x:c>
      <x:c r="H65" s="2" t="str">
        <x:v>Same-year matching prevents multiplying different vintages</x:v>
      </x:c>
      <x:c r="I65" s="2" t="str">
        <x:v>No empirical calibration; sensitivity or missing-data gate applies</x:v>
      </x:c>
    </x:row>
    <x:row r="66" ht="100" customHeight="1">
      <x:c r="A66" s="2" t="str">
        <x:v>UN_WPP_BHR</x:v>
      </x:c>
      <x:c r="B66" s="2" t="str">
        <x:v>{"2026":1675572,"2030":1765209,"2035":1856537,"2040":1951233,"2045":2046472,"2050":2139465,"2051":2157875}</x:v>
      </x:c>
      <x:c r="C66" s="2" t="str">
        <x:v>Persons at seven milestones</x:v>
      </x:c>
      <x:c r="D66" s="2" t="str">
        <x:v>External projection</x:v>
      </x:c>
      <x:c r="E66" s="2" t="str">
        <x:v>UN_WPP</x:v>
      </x:c>
      <x:c r="F66" s="2" t="str">
        <x:v>UN DESA issuer; Strategy refresh</x:v>
      </x:c>
      <x:c r="G66" s="2" t="str">
        <x:v>research/olam-global/raw/wpp-milestones.csv:BHR</x:v>
      </x:c>
      <x:c r="H66" s="2" t="str">
        <x:v>WPP Medium in thousands ×1000; no income/category-demand inference</x:v>
      </x:c>
      <x:c r="I66" s="2" t="str">
        <x:v>Medium fertility variant only; low/high not in the compact source and not retrieved</x:v>
      </x:c>
    </x:row>
    <x:row r="67" ht="100" customHeight="1">
      <x:c r="A67" s="2" t="str">
        <x:v>I-WBFOOD-BHR</x:v>
      </x:c>
      <x:c r="B67" s="2" t="str">
        <x:v>{"country":"BHR","year":2024,"result_USD":2343143224.4452443,"inputs":"Exact matched year and variable values in country-panel.csv"}</x:v>
      </x:c>
      <x:c r="C67" s="2" t="str">
        <x:v>Percent merchandise imports × current USD</x:v>
      </x:c>
      <x:c r="D67" s="2" t="str">
        <x:v>Reported fact</x:v>
      </x:c>
      <x:c r="E67" s="2" t="str">
        <x:v>WB_food_import_share;WB_imports_usd</x:v>
      </x:c>
      <x:c r="F67" s="2" t="str">
        <x:v>Finance / Strategy to validate</x:v>
      </x:c>
      <x:c r="G67" s="2" t="str">
        <x:v>research/olam-global/country-panel.csv:BHR:2024</x:v>
      </x:c>
      <x:c r="H67" s="2" t="str">
        <x:v>Same-year matching prevents multiplying different vintages</x:v>
      </x:c>
      <x:c r="I67" s="2" t="str">
        <x:v>No empirical calibration; sensitivity or missing-data gate applies</x:v>
      </x:c>
    </x:row>
    <x:row r="68" ht="100" customHeight="1">
      <x:c r="A68" s="2" t="str">
        <x:v>UN_WPP_BGD</x:v>
      </x:c>
      <x:c r="B68" s="2" t="str">
        <x:v>{"2026":177818044,"2030":186072407,"2035":195130372,"2040":202589429,"2045":209029594,"2050":214709097,"2051":215750555}</x:v>
      </x:c>
      <x:c r="C68" s="2" t="str">
        <x:v>Persons at seven milestones</x:v>
      </x:c>
      <x:c r="D68" s="2" t="str">
        <x:v>External projection</x:v>
      </x:c>
      <x:c r="E68" s="2" t="str">
        <x:v>UN_WPP</x:v>
      </x:c>
      <x:c r="F68" s="2" t="str">
        <x:v>UN DESA issuer; Strategy refresh</x:v>
      </x:c>
      <x:c r="G68" s="2" t="str">
        <x:v>research/olam-global/raw/wpp-milestones.csv:BGD</x:v>
      </x:c>
      <x:c r="H68" s="2" t="str">
        <x:v>WPP Medium in thousands ×1000; no income/category-demand inference</x:v>
      </x:c>
      <x:c r="I68" s="2" t="str">
        <x:v>Medium fertility variant only; low/high not in the compact source and not retrieved</x:v>
      </x:c>
    </x:row>
    <x:row r="69" ht="100" customHeight="1">
      <x:c r="A69" s="2" t="str">
        <x:v>I-WBFOOD-BGD</x:v>
      </x:c>
      <x:c r="B69" s="2" t="str">
        <x:v>{"country":"BGD","year":2018,"result_USD":7865727048.813534,"inputs":"Exact matched year and variable values in country-panel.csv"}</x:v>
      </x:c>
      <x:c r="C69" s="2" t="str">
        <x:v>Percent merchandise imports × current USD</x:v>
      </x:c>
      <x:c r="D69" s="2" t="str">
        <x:v>Reported fact</x:v>
      </x:c>
      <x:c r="E69" s="2" t="str">
        <x:v>WB_food_import_share;WB_imports_usd</x:v>
      </x:c>
      <x:c r="F69" s="2" t="str">
        <x:v>Finance / Strategy to validate</x:v>
      </x:c>
      <x:c r="G69" s="2" t="str">
        <x:v>research/olam-global/country-panel.csv:BGD:2018</x:v>
      </x:c>
      <x:c r="H69" s="2" t="str">
        <x:v>Same-year matching prevents multiplying different vintages</x:v>
      </x:c>
      <x:c r="I69" s="2" t="str">
        <x:v>No empirical calibration; sensitivity or missing-data gate applies</x:v>
      </x:c>
    </x:row>
    <x:row r="70" ht="100" customHeight="1">
      <x:c r="A70" s="2" t="str">
        <x:v>UN_WPP_BRB</x:v>
      </x:c>
      <x:c r="B70" s="2" t="str">
        <x:v>{"2026":282724,"2030":282490,"2035":280342,"2040":276346,"2045":270774,"2050":264216,"2051":262867}</x:v>
      </x:c>
      <x:c r="C70" s="2" t="str">
        <x:v>Persons at seven milestones</x:v>
      </x:c>
      <x:c r="D70" s="2" t="str">
        <x:v>External projection</x:v>
      </x:c>
      <x:c r="E70" s="2" t="str">
        <x:v>UN_WPP</x:v>
      </x:c>
      <x:c r="F70" s="2" t="str">
        <x:v>UN DESA issuer; Strategy refresh</x:v>
      </x:c>
      <x:c r="G70" s="2" t="str">
        <x:v>research/olam-global/raw/wpp-milestones.csv:BRB</x:v>
      </x:c>
      <x:c r="H70" s="2" t="str">
        <x:v>WPP Medium in thousands ×1000; no income/category-demand inference</x:v>
      </x:c>
      <x:c r="I70" s="2" t="str">
        <x:v>Medium fertility variant only; low/high not in the compact source and not retrieved</x:v>
      </x:c>
    </x:row>
    <x:row r="71" ht="100" customHeight="1">
      <x:c r="A71" s="2" t="str">
        <x:v>I-WBFOOD-BRB</x:v>
      </x:c>
      <x:c r="B71" s="2" t="str">
        <x:v>{"country":"BRB","year":2024,"result_USD":488888234.5771056,"inputs":"Exact matched year and variable values in country-panel.csv"}</x:v>
      </x:c>
      <x:c r="C71" s="2" t="str">
        <x:v>Percent merchandise imports × current USD</x:v>
      </x:c>
      <x:c r="D71" s="2" t="str">
        <x:v>Reported fact</x:v>
      </x:c>
      <x:c r="E71" s="2" t="str">
        <x:v>WB_food_import_share;WB_imports_usd</x:v>
      </x:c>
      <x:c r="F71" s="2" t="str">
        <x:v>Finance / Strategy to validate</x:v>
      </x:c>
      <x:c r="G71" s="2" t="str">
        <x:v>research/olam-global/country-panel.csv:BRB:2024</x:v>
      </x:c>
      <x:c r="H71" s="2" t="str">
        <x:v>Same-year matching prevents multiplying different vintages</x:v>
      </x:c>
      <x:c r="I71" s="2" t="str">
        <x:v>No empirical calibration; sensitivity or missing-data gate applies</x:v>
      </x:c>
    </x:row>
    <x:row r="72" ht="100" customHeight="1">
      <x:c r="A72" s="2" t="str">
        <x:v>UN_WPP_BLR</x:v>
      </x:c>
      <x:c r="B72" s="2" t="str">
        <x:v>{"2026":8937018,"2030":8687632,"2035":8372271.000000001,"2040":8064466,"2045":7763466,"2050":7453546,"2051":7388575}</x:v>
      </x:c>
      <x:c r="C72" s="2" t="str">
        <x:v>Persons at seven milestones</x:v>
      </x:c>
      <x:c r="D72" s="2" t="str">
        <x:v>External projection</x:v>
      </x:c>
      <x:c r="E72" s="2" t="str">
        <x:v>UN_WPP</x:v>
      </x:c>
      <x:c r="F72" s="2" t="str">
        <x:v>UN DESA issuer; Strategy refresh</x:v>
      </x:c>
      <x:c r="G72" s="2" t="str">
        <x:v>research/olam-global/raw/wpp-milestones.csv:BLR</x:v>
      </x:c>
      <x:c r="H72" s="2" t="str">
        <x:v>WPP Medium in thousands ×1000; no income/category-demand inference</x:v>
      </x:c>
      <x:c r="I72" s="2" t="str">
        <x:v>Medium fertility variant only; low/high not in the compact source and not retrieved</x:v>
      </x:c>
    </x:row>
    <x:row r="73" ht="100" customHeight="1">
      <x:c r="A73" s="2" t="str">
        <x:v>I-WBFOOD-BLR</x:v>
      </x:c>
      <x:c r="B73" s="2" t="str">
        <x:v>{"country":"BLR","year":2021,"result_USD":4279348708.4748607,"inputs":"Exact matched year and variable values in country-panel.csv"}</x:v>
      </x:c>
      <x:c r="C73" s="2" t="str">
        <x:v>Percent merchandise imports × current USD</x:v>
      </x:c>
      <x:c r="D73" s="2" t="str">
        <x:v>Reported fact</x:v>
      </x:c>
      <x:c r="E73" s="2" t="str">
        <x:v>WB_food_import_share;WB_imports_usd</x:v>
      </x:c>
      <x:c r="F73" s="2" t="str">
        <x:v>Finance / Strategy to validate</x:v>
      </x:c>
      <x:c r="G73" s="2" t="str">
        <x:v>research/olam-global/country-panel.csv:BLR:2021</x:v>
      </x:c>
      <x:c r="H73" s="2" t="str">
        <x:v>Same-year matching prevents multiplying different vintages</x:v>
      </x:c>
      <x:c r="I73" s="2" t="str">
        <x:v>No empirical calibration; sensitivity or missing-data gate applies</x:v>
      </x:c>
    </x:row>
    <x:row r="74" ht="100" customHeight="1">
      <x:c r="A74" s="2" t="str">
        <x:v>UN_WPP_BEL</x:v>
      </x:c>
      <x:c r="B74" s="2" t="str">
        <x:v>{"2026":11774642,"2030":11824141,"2035":11863585,"2040":11892204,"2045":11900984,"2050":11870906,"2051":11859003}</x:v>
      </x:c>
      <x:c r="C74" s="2" t="str">
        <x:v>Persons at seven milestones</x:v>
      </x:c>
      <x:c r="D74" s="2" t="str">
        <x:v>External projection</x:v>
      </x:c>
      <x:c r="E74" s="2" t="str">
        <x:v>UN_WPP</x:v>
      </x:c>
      <x:c r="F74" s="2" t="str">
        <x:v>UN DESA issuer; Strategy refresh</x:v>
      </x:c>
      <x:c r="G74" s="2" t="str">
        <x:v>research/olam-global/raw/wpp-milestones.csv:BEL</x:v>
      </x:c>
      <x:c r="H74" s="2" t="str">
        <x:v>WPP Medium in thousands ×1000; no income/category-demand inference</x:v>
      </x:c>
      <x:c r="I74" s="2" t="str">
        <x:v>Medium fertility variant only; low/high not in the compact source and not retrieved</x:v>
      </x:c>
    </x:row>
    <x:row r="75" ht="100" customHeight="1">
      <x:c r="A75" s="2" t="str">
        <x:v>I-WBFOOD-BEL</x:v>
      </x:c>
      <x:c r="B75" s="2" t="str">
        <x:v>{"country":"BEL","year":2024,"result_USD":62134254449.57687,"inputs":"Exact matched year and variable values in country-panel.csv"}</x:v>
      </x:c>
      <x:c r="C75" s="2" t="str">
        <x:v>Percent merchandise imports × current USD</x:v>
      </x:c>
      <x:c r="D75" s="2" t="str">
        <x:v>Reported fact</x:v>
      </x:c>
      <x:c r="E75" s="2" t="str">
        <x:v>WB_food_import_share;WB_imports_usd</x:v>
      </x:c>
      <x:c r="F75" s="2" t="str">
        <x:v>Finance / Strategy to validate</x:v>
      </x:c>
      <x:c r="G75" s="2" t="str">
        <x:v>research/olam-global/country-panel.csv:BEL:2024</x:v>
      </x:c>
      <x:c r="H75" s="2" t="str">
        <x:v>Same-year matching prevents multiplying different vintages</x:v>
      </x:c>
      <x:c r="I75" s="2" t="str">
        <x:v>No empirical calibration; sensitivity or missing-data gate applies</x:v>
      </x:c>
    </x:row>
    <x:row r="76" ht="100" customHeight="1">
      <x:c r="A76" s="2" t="str">
        <x:v>UN_WPP_BLZ</x:v>
      </x:c>
      <x:c r="B76" s="2" t="str">
        <x:v>{"2026":428644,"2030":449839,"2035":473132,"2040":491595,"2045":505700,"2050":516626.99999999994,"2051":518385.99999999994}</x:v>
      </x:c>
      <x:c r="C76" s="2" t="str">
        <x:v>Persons at seven milestones</x:v>
      </x:c>
      <x:c r="D76" s="2" t="str">
        <x:v>External projection</x:v>
      </x:c>
      <x:c r="E76" s="2" t="str">
        <x:v>UN_WPP</x:v>
      </x:c>
      <x:c r="F76" s="2" t="str">
        <x:v>UN DESA issuer; Strategy refresh</x:v>
      </x:c>
      <x:c r="G76" s="2" t="str">
        <x:v>research/olam-global/raw/wpp-milestones.csv:BLZ</x:v>
      </x:c>
      <x:c r="H76" s="2" t="str">
        <x:v>WPP Medium in thousands ×1000; no income/category-demand inference</x:v>
      </x:c>
      <x:c r="I76" s="2" t="str">
        <x:v>Medium fertility variant only; low/high not in the compact source and not retrieved</x:v>
      </x:c>
    </x:row>
    <x:row r="77" ht="100" customHeight="1">
      <x:c r="A77" s="2" t="str">
        <x:v>I-WBFOOD-BLZ</x:v>
      </x:c>
      <x:c r="B77" s="2" t="str">
        <x:v>{"country":"BLZ","year":2025,"result_USD":276886598.6106161,"inputs":"Exact matched year and variable values in country-panel.csv"}</x:v>
      </x:c>
      <x:c r="C77" s="2" t="str">
        <x:v>Percent merchandise imports × current USD</x:v>
      </x:c>
      <x:c r="D77" s="2" t="str">
        <x:v>Reported fact</x:v>
      </x:c>
      <x:c r="E77" s="2" t="str">
        <x:v>WB_food_import_share;WB_imports_usd</x:v>
      </x:c>
      <x:c r="F77" s="2" t="str">
        <x:v>Finance / Strategy to validate</x:v>
      </x:c>
      <x:c r="G77" s="2" t="str">
        <x:v>research/olam-global/country-panel.csv:BLZ:2025</x:v>
      </x:c>
      <x:c r="H77" s="2" t="str">
        <x:v>Same-year matching prevents multiplying different vintages</x:v>
      </x:c>
      <x:c r="I77" s="2" t="str">
        <x:v>No empirical calibration; sensitivity or missing-data gate applies</x:v>
      </x:c>
    </x:row>
    <x:row r="78" ht="100" customHeight="1">
      <x:c r="A78" s="2" t="str">
        <x:v>UN_WPP_BEN</x:v>
      </x:c>
      <x:c r="B78" s="2" t="str">
        <x:v>{"2026":15170419,"2030":16618822,"2035":18492631,"2040":20445760,"2045":22443646,"2050":24433809,"2051":24827844}</x:v>
      </x:c>
      <x:c r="C78" s="2" t="str">
        <x:v>Persons at seven milestones</x:v>
      </x:c>
      <x:c r="D78" s="2" t="str">
        <x:v>External projection</x:v>
      </x:c>
      <x:c r="E78" s="2" t="str">
        <x:v>UN_WPP</x:v>
      </x:c>
      <x:c r="F78" s="2" t="str">
        <x:v>UN DESA issuer; Strategy refresh</x:v>
      </x:c>
      <x:c r="G78" s="2" t="str">
        <x:v>research/olam-global/raw/wpp-milestones.csv:BEN</x:v>
      </x:c>
      <x:c r="H78" s="2" t="str">
        <x:v>WPP Medium in thousands ×1000; no income/category-demand inference</x:v>
      </x:c>
      <x:c r="I78" s="2" t="str">
        <x:v>Medium fertility variant only; low/high not in the compact source and not retrieved</x:v>
      </x:c>
    </x:row>
    <x:row r="79" ht="100" customHeight="1">
      <x:c r="A79" s="2" t="str">
        <x:v>I-WBFOOD-BEN</x:v>
      </x:c>
      <x:c r="B79" s="2" t="str">
        <x:v>{"country":"BEN","year":2024,"result_USD":1608602507.6312127,"inputs":"Exact matched year and variable values in country-panel.csv"}</x:v>
      </x:c>
      <x:c r="C79" s="2" t="str">
        <x:v>Percent merchandise imports × current USD</x:v>
      </x:c>
      <x:c r="D79" s="2" t="str">
        <x:v>Reported fact</x:v>
      </x:c>
      <x:c r="E79" s="2" t="str">
        <x:v>WB_food_import_share;WB_imports_usd</x:v>
      </x:c>
      <x:c r="F79" s="2" t="str">
        <x:v>Finance / Strategy to validate</x:v>
      </x:c>
      <x:c r="G79" s="2" t="str">
        <x:v>research/olam-global/country-panel.csv:BEN:2024</x:v>
      </x:c>
      <x:c r="H79" s="2" t="str">
        <x:v>Same-year matching prevents multiplying different vintages</x:v>
      </x:c>
      <x:c r="I79" s="2" t="str">
        <x:v>No empirical calibration; sensitivity or missing-data gate applies</x:v>
      </x:c>
    </x:row>
    <x:row r="80" ht="100" customHeight="1">
      <x:c r="A80" s="2" t="str">
        <x:v>UN_WPP_BTN</x:v>
      </x:c>
      <x:c r="B80" s="2" t="str">
        <x:v>{"2026":802214,"2030":820694,"2035":843202,"2040":862129,"2045":876173,"2050":882340,"2051":883389}</x:v>
      </x:c>
      <x:c r="C80" s="2" t="str">
        <x:v>Persons at seven milestones</x:v>
      </x:c>
      <x:c r="D80" s="2" t="str">
        <x:v>External projection</x:v>
      </x:c>
      <x:c r="E80" s="2" t="str">
        <x:v>UN_WPP</x:v>
      </x:c>
      <x:c r="F80" s="2" t="str">
        <x:v>UN DESA issuer; Strategy refresh</x:v>
      </x:c>
      <x:c r="G80" s="2" t="str">
        <x:v>research/olam-global/raw/wpp-milestones.csv:BTN</x:v>
      </x:c>
      <x:c r="H80" s="2" t="str">
        <x:v>WPP Medium in thousands ×1000; no income/category-demand inference</x:v>
      </x:c>
      <x:c r="I80" s="2" t="str">
        <x:v>Medium fertility variant only; low/high not in the compact source and not retrieved</x:v>
      </x:c>
    </x:row>
    <x:row r="81" ht="100" customHeight="1">
      <x:c r="A81" s="2" t="str">
        <x:v>I-WBFOOD-BTN</x:v>
      </x:c>
      <x:c r="B81" s="2" t="str">
        <x:v>{"country":"BTN","year":2025,"result_USD":249712404.46984825,"inputs":"Exact matched year and variable values in country-panel.csv"}</x:v>
      </x:c>
      <x:c r="C81" s="2" t="str">
        <x:v>Percent merchandise imports × current USD</x:v>
      </x:c>
      <x:c r="D81" s="2" t="str">
        <x:v>Reported fact</x:v>
      </x:c>
      <x:c r="E81" s="2" t="str">
        <x:v>WB_food_import_share;WB_imports_usd</x:v>
      </x:c>
      <x:c r="F81" s="2" t="str">
        <x:v>Finance / Strategy to validate</x:v>
      </x:c>
      <x:c r="G81" s="2" t="str">
        <x:v>research/olam-global/country-panel.csv:BTN:2025</x:v>
      </x:c>
      <x:c r="H81" s="2" t="str">
        <x:v>Same-year matching prevents multiplying different vintages</x:v>
      </x:c>
      <x:c r="I81" s="2" t="str">
        <x:v>No empirical calibration; sensitivity or missing-data gate applies</x:v>
      </x:c>
    </x:row>
    <x:row r="82" ht="100" customHeight="1">
      <x:c r="A82" s="2" t="str">
        <x:v>UN_WPP_BOL</x:v>
      </x:c>
      <x:c r="B82" s="2" t="str">
        <x:v>{"2026":12749291,"2030":13405564,"2035":14183823,"2040":14899397,"2045":15542791,"2050":16110162,"2051":16214293}</x:v>
      </x:c>
      <x:c r="C82" s="2" t="str">
        <x:v>Persons at seven milestones</x:v>
      </x:c>
      <x:c r="D82" s="2" t="str">
        <x:v>External projection</x:v>
      </x:c>
      <x:c r="E82" s="2" t="str">
        <x:v>UN_WPP</x:v>
      </x:c>
      <x:c r="F82" s="2" t="str">
        <x:v>UN DESA issuer; Strategy refresh</x:v>
      </x:c>
      <x:c r="G82" s="2" t="str">
        <x:v>research/olam-global/raw/wpp-milestones.csv:BOL</x:v>
      </x:c>
      <x:c r="H82" s="2" t="str">
        <x:v>WPP Medium in thousands ×1000; no income/category-demand inference</x:v>
      </x:c>
      <x:c r="I82" s="2" t="str">
        <x:v>Medium fertility variant only; low/high not in the compact source and not retrieved</x:v>
      </x:c>
    </x:row>
    <x:row r="83" ht="100" customHeight="1">
      <x:c r="A83" s="2" t="str">
        <x:v>I-WBFOOD-BOL</x:v>
      </x:c>
      <x:c r="B83" s="2" t="str">
        <x:v>{"country":"BOL","year":2024,"result_USD":744125651.5016854,"inputs":"Exact matched year and variable values in country-panel.csv"}</x:v>
      </x:c>
      <x:c r="C83" s="2" t="str">
        <x:v>Percent merchandise imports × current USD</x:v>
      </x:c>
      <x:c r="D83" s="2" t="str">
        <x:v>Reported fact</x:v>
      </x:c>
      <x:c r="E83" s="2" t="str">
        <x:v>WB_food_import_share;WB_imports_usd</x:v>
      </x:c>
      <x:c r="F83" s="2" t="str">
        <x:v>Finance / Strategy to validate</x:v>
      </x:c>
      <x:c r="G83" s="2" t="str">
        <x:v>research/olam-global/country-panel.csv:BOL:2024</x:v>
      </x:c>
      <x:c r="H83" s="2" t="str">
        <x:v>Same-year matching prevents multiplying different vintages</x:v>
      </x:c>
      <x:c r="I83" s="2" t="str">
        <x:v>No empirical calibration; sensitivity or missing-data gate applies</x:v>
      </x:c>
    </x:row>
    <x:row r="84" ht="100" customHeight="1">
      <x:c r="A84" s="2" t="str">
        <x:v>UN_WPP_BIH</x:v>
      </x:c>
      <x:c r="B84" s="2" t="str">
        <x:v>{"2026":3114242,"2030":3013974,"2035":2881542,"2040":2745010,"2045":2599927,"2050":2455167,"2051":2426282}</x:v>
      </x:c>
      <x:c r="C84" s="2" t="str">
        <x:v>Persons at seven milestones</x:v>
      </x:c>
      <x:c r="D84" s="2" t="str">
        <x:v>External projection</x:v>
      </x:c>
      <x:c r="E84" s="2" t="str">
        <x:v>UN_WPP</x:v>
      </x:c>
      <x:c r="F84" s="2" t="str">
        <x:v>UN DESA issuer; Strategy refresh</x:v>
      </x:c>
      <x:c r="G84" s="2" t="str">
        <x:v>research/olam-global/raw/wpp-milestones.csv:BIH</x:v>
      </x:c>
      <x:c r="H84" s="2" t="str">
        <x:v>WPP Medium in thousands ×1000; no income/category-demand inference</x:v>
      </x:c>
      <x:c r="I84" s="2" t="str">
        <x:v>Medium fertility variant only; low/high not in the compact source and not retrieved</x:v>
      </x:c>
    </x:row>
    <x:row r="85" ht="100" customHeight="1">
      <x:c r="A85" s="2" t="str">
        <x:v>I-WBFOOD-BIH</x:v>
      </x:c>
      <x:c r="B85" s="2" t="str">
        <x:v>{"country":"BIH","year":2025,"result_USD":3151899554.624047,"inputs":"Exact matched year and variable values in country-panel.csv"}</x:v>
      </x:c>
      <x:c r="C85" s="2" t="str">
        <x:v>Percent merchandise imports × current USD</x:v>
      </x:c>
      <x:c r="D85" s="2" t="str">
        <x:v>Reported fact</x:v>
      </x:c>
      <x:c r="E85" s="2" t="str">
        <x:v>WB_food_import_share;WB_imports_usd</x:v>
      </x:c>
      <x:c r="F85" s="2" t="str">
        <x:v>Finance / Strategy to validate</x:v>
      </x:c>
      <x:c r="G85" s="2" t="str">
        <x:v>research/olam-global/country-panel.csv:BIH:2025</x:v>
      </x:c>
      <x:c r="H85" s="2" t="str">
        <x:v>Same-year matching prevents multiplying different vintages</x:v>
      </x:c>
      <x:c r="I85" s="2" t="str">
        <x:v>No empirical calibration; sensitivity or missing-data gate applies</x:v>
      </x:c>
    </x:row>
    <x:row r="86" ht="100" customHeight="1">
      <x:c r="A86" s="2" t="str">
        <x:v>UN_WPP_BWA</x:v>
      </x:c>
      <x:c r="B86" s="2" t="str">
        <x:v>{"2026":2603388,"2030":2765918,"2035":2954414,"2040":3126640,"2045":3285301,"2050":3437430,"2051":3465409}</x:v>
      </x:c>
      <x:c r="C86" s="2" t="str">
        <x:v>Persons at seven milestones</x:v>
      </x:c>
      <x:c r="D86" s="2" t="str">
        <x:v>External projection</x:v>
      </x:c>
      <x:c r="E86" s="2" t="str">
        <x:v>UN_WPP</x:v>
      </x:c>
      <x:c r="F86" s="2" t="str">
        <x:v>UN DESA issuer; Strategy refresh</x:v>
      </x:c>
      <x:c r="G86" s="2" t="str">
        <x:v>research/olam-global/raw/wpp-milestones.csv:BWA</x:v>
      </x:c>
      <x:c r="H86" s="2" t="str">
        <x:v>WPP Medium in thousands ×1000; no income/category-demand inference</x:v>
      </x:c>
      <x:c r="I86" s="2" t="str">
        <x:v>Medium fertility variant only; low/high not in the compact source and not retrieved</x:v>
      </x:c>
    </x:row>
    <x:row r="87" ht="100" customHeight="1">
      <x:c r="A87" s="2" t="str">
        <x:v>I-WBFOOD-BWA</x:v>
      </x:c>
      <x:c r="B87" s="2" t="str">
        <x:v>{"country":"BWA","year":2023,"result_USD":1054350036.7949239,"inputs":"Exact matched year and variable values in country-panel.csv"}</x:v>
      </x:c>
      <x:c r="C87" s="2" t="str">
        <x:v>Percent merchandise imports × current USD</x:v>
      </x:c>
      <x:c r="D87" s="2" t="str">
        <x:v>Reported fact</x:v>
      </x:c>
      <x:c r="E87" s="2" t="str">
        <x:v>WB_food_import_share;WB_imports_usd</x:v>
      </x:c>
      <x:c r="F87" s="2" t="str">
        <x:v>Finance / Strategy to validate</x:v>
      </x:c>
      <x:c r="G87" s="2" t="str">
        <x:v>research/olam-global/country-panel.csv:BWA:2023</x:v>
      </x:c>
      <x:c r="H87" s="2" t="str">
        <x:v>Same-year matching prevents multiplying different vintages</x:v>
      </x:c>
      <x:c r="I87" s="2" t="str">
        <x:v>No empirical calibration; sensitivity or missing-data gate applies</x:v>
      </x:c>
    </x:row>
    <x:row r="88" ht="100" customHeight="1">
      <x:c r="A88" s="2" t="str">
        <x:v>UN_WPP_BRA</x:v>
      </x:c>
      <x:c r="B88" s="2" t="str">
        <x:v>{"2026":213562666,"2030":216074411,"2035":218199707,"2040":219237084,"2045":219026196,"2050":217489299,"2051":217040324}</x:v>
      </x:c>
      <x:c r="C88" s="2" t="str">
        <x:v>Persons at seven milestones</x:v>
      </x:c>
      <x:c r="D88" s="2" t="str">
        <x:v>External projection</x:v>
      </x:c>
      <x:c r="E88" s="2" t="str">
        <x:v>UN_WPP</x:v>
      </x:c>
      <x:c r="F88" s="2" t="str">
        <x:v>UN DESA issuer; Strategy refresh</x:v>
      </x:c>
      <x:c r="G88" s="2" t="str">
        <x:v>research/olam-global/raw/wpp-milestones.csv:BRA</x:v>
      </x:c>
      <x:c r="H88" s="2" t="str">
        <x:v>WPP Medium in thousands ×1000; no income/category-demand inference</x:v>
      </x:c>
      <x:c r="I88" s="2" t="str">
        <x:v>Medium fertility variant only; low/high not in the compact source and not retrieved</x:v>
      </x:c>
    </x:row>
    <x:row r="89" ht="100" customHeight="1">
      <x:c r="A89" s="2" t="str">
        <x:v>I-WBFOOD-BRA</x:v>
      </x:c>
      <x:c r="B89" s="2" t="str">
        <x:v>{"country":"BRA","year":2025,"result_USD":16226920091.855171,"inputs":"Exact matched year and variable values in country-panel.csv"}</x:v>
      </x:c>
      <x:c r="C89" s="2" t="str">
        <x:v>Percent merchandise imports × current USD</x:v>
      </x:c>
      <x:c r="D89" s="2" t="str">
        <x:v>Reported fact</x:v>
      </x:c>
      <x:c r="E89" s="2" t="str">
        <x:v>WB_food_import_share;WB_imports_usd</x:v>
      </x:c>
      <x:c r="F89" s="2" t="str">
        <x:v>Finance / Strategy to validate</x:v>
      </x:c>
      <x:c r="G89" s="2" t="str">
        <x:v>research/olam-global/country-panel.csv:BRA:2025</x:v>
      </x:c>
      <x:c r="H89" s="2" t="str">
        <x:v>Same-year matching prevents multiplying different vintages</x:v>
      </x:c>
      <x:c r="I89" s="2" t="str">
        <x:v>No empirical calibration; sensitivity or missing-data gate applies</x:v>
      </x:c>
    </x:row>
    <x:row r="90" ht="100" customHeight="1">
      <x:c r="A90" s="2" t="str">
        <x:v>UN_WPP_BRN</x:v>
      </x:c>
      <x:c r="B90" s="2" t="str">
        <x:v>{"2026":469775,"2030":482447,"2035":495290,"2040":505976,"2045":514052,"2050":519551.00000000006,"2051":520265.99999999994}</x:v>
      </x:c>
      <x:c r="C90" s="2" t="str">
        <x:v>Persons at seven milestones</x:v>
      </x:c>
      <x:c r="D90" s="2" t="str">
        <x:v>External projection</x:v>
      </x:c>
      <x:c r="E90" s="2" t="str">
        <x:v>UN_WPP</x:v>
      </x:c>
      <x:c r="F90" s="2" t="str">
        <x:v>UN DESA issuer; Strategy refresh</x:v>
      </x:c>
      <x:c r="G90" s="2" t="str">
        <x:v>research/olam-global/raw/wpp-milestones.csv:BRN</x:v>
      </x:c>
      <x:c r="H90" s="2" t="str">
        <x:v>WPP Medium in thousands ×1000; no income/category-demand inference</x:v>
      </x:c>
      <x:c r="I90" s="2" t="str">
        <x:v>Medium fertility variant only; low/high not in the compact source and not retrieved</x:v>
      </x:c>
    </x:row>
    <x:row r="91" ht="100" customHeight="1">
      <x:c r="A91" s="2" t="str">
        <x:v>I-WBFOOD-BRN</x:v>
      </x:c>
      <x:c r="B91" s="2" t="str">
        <x:v>{"country":"BRN","year":2024,"result_USD":595913146.2251436,"inputs":"Exact matched year and variable values in country-panel.csv"}</x:v>
      </x:c>
      <x:c r="C91" s="2" t="str">
        <x:v>Percent merchandise imports × current USD</x:v>
      </x:c>
      <x:c r="D91" s="2" t="str">
        <x:v>Reported fact</x:v>
      </x:c>
      <x:c r="E91" s="2" t="str">
        <x:v>WB_food_import_share;WB_imports_usd</x:v>
      </x:c>
      <x:c r="F91" s="2" t="str">
        <x:v>Finance / Strategy to validate</x:v>
      </x:c>
      <x:c r="G91" s="2" t="str">
        <x:v>research/olam-global/country-panel.csv:BRN:2024</x:v>
      </x:c>
      <x:c r="H91" s="2" t="str">
        <x:v>Same-year matching prevents multiplying different vintages</x:v>
      </x:c>
      <x:c r="I91" s="2" t="str">
        <x:v>No empirical calibration; sensitivity or missing-data gate applies</x:v>
      </x:c>
    </x:row>
    <x:row r="92" ht="100" customHeight="1">
      <x:c r="A92" s="2" t="str">
        <x:v>UN_WPP_BGR</x:v>
      </x:c>
      <x:c r="B92" s="2" t="str">
        <x:v>{"2026":6667659,"2030":6458243,"2035":6183114,"2040":5907728,"2045":5648256,"2050":5402217,"2051":5354139}</x:v>
      </x:c>
      <x:c r="C92" s="2" t="str">
        <x:v>Persons at seven milestones</x:v>
      </x:c>
      <x:c r="D92" s="2" t="str">
        <x:v>External projection</x:v>
      </x:c>
      <x:c r="E92" s="2" t="str">
        <x:v>UN_WPP</x:v>
      </x:c>
      <x:c r="F92" s="2" t="str">
        <x:v>UN DESA issuer; Strategy refresh</x:v>
      </x:c>
      <x:c r="G92" s="2" t="str">
        <x:v>research/olam-global/raw/wpp-milestones.csv:BGR</x:v>
      </x:c>
      <x:c r="H92" s="2" t="str">
        <x:v>WPP Medium in thousands ×1000; no income/category-demand inference</x:v>
      </x:c>
      <x:c r="I92" s="2" t="str">
        <x:v>Medium fertility variant only; low/high not in the compact source and not retrieved</x:v>
      </x:c>
    </x:row>
    <x:row r="93" ht="100" customHeight="1">
      <x:c r="A93" s="2" t="str">
        <x:v>I-WBFOOD-BGR</x:v>
      </x:c>
      <x:c r="B93" s="2" t="str">
        <x:v>{"country":"BGR","year":2024,"result_USD":7261748940.630695,"inputs":"Exact matched year and variable values in country-panel.csv"}</x:v>
      </x:c>
      <x:c r="C93" s="2" t="str">
        <x:v>Percent merchandise imports × current USD</x:v>
      </x:c>
      <x:c r="D93" s="2" t="str">
        <x:v>Reported fact</x:v>
      </x:c>
      <x:c r="E93" s="2" t="str">
        <x:v>WB_food_import_share;WB_imports_usd</x:v>
      </x:c>
      <x:c r="F93" s="2" t="str">
        <x:v>Finance / Strategy to validate</x:v>
      </x:c>
      <x:c r="G93" s="2" t="str">
        <x:v>research/olam-global/country-panel.csv:BGR:2024</x:v>
      </x:c>
      <x:c r="H93" s="2" t="str">
        <x:v>Same-year matching prevents multiplying different vintages</x:v>
      </x:c>
      <x:c r="I93" s="2" t="str">
        <x:v>No empirical calibration; sensitivity or missing-data gate applies</x:v>
      </x:c>
    </x:row>
    <x:row r="94" ht="100" customHeight="1">
      <x:c r="A94" s="2" t="str">
        <x:v>UN_WPP_BFA</x:v>
      </x:c>
      <x:c r="B94" s="2" t="str">
        <x:v>{"2026":24601700,"2030":26730324,"2035":29469746,"2040":32193645,"2045":34829690,"2050":37304383,"2051":37777225}</x:v>
      </x:c>
      <x:c r="C94" s="2" t="str">
        <x:v>Persons at seven milestones</x:v>
      </x:c>
      <x:c r="D94" s="2" t="str">
        <x:v>External projection</x:v>
      </x:c>
      <x:c r="E94" s="2" t="str">
        <x:v>UN_WPP</x:v>
      </x:c>
      <x:c r="F94" s="2" t="str">
        <x:v>UN DESA issuer; Strategy refresh</x:v>
      </x:c>
      <x:c r="G94" s="2" t="str">
        <x:v>research/olam-global/raw/wpp-milestones.csv:BFA</x:v>
      </x:c>
      <x:c r="H94" s="2" t="str">
        <x:v>WPP Medium in thousands ×1000; no income/category-demand inference</x:v>
      </x:c>
      <x:c r="I94" s="2" t="str">
        <x:v>Medium fertility variant only; low/high not in the compact source and not retrieved</x:v>
      </x:c>
    </x:row>
    <x:row r="95" ht="100" customHeight="1">
      <x:c r="A95" s="2" t="str">
        <x:v>I-WBFOOD-BFA</x:v>
      </x:c>
      <x:c r="B95" s="2" t="str">
        <x:v>{"country":"BFA","year":2024,"result_USD":719463814.3152906,"inputs":"Exact matched year and variable values in country-panel.csv"}</x:v>
      </x:c>
      <x:c r="C95" s="2" t="str">
        <x:v>Percent merchandise imports × current USD</x:v>
      </x:c>
      <x:c r="D95" s="2" t="str">
        <x:v>Reported fact</x:v>
      </x:c>
      <x:c r="E95" s="2" t="str">
        <x:v>WB_food_import_share;WB_imports_usd</x:v>
      </x:c>
      <x:c r="F95" s="2" t="str">
        <x:v>Finance / Strategy to validate</x:v>
      </x:c>
      <x:c r="G95" s="2" t="str">
        <x:v>research/olam-global/country-panel.csv:BFA:2024</x:v>
      </x:c>
      <x:c r="H95" s="2" t="str">
        <x:v>Same-year matching prevents multiplying different vintages</x:v>
      </x:c>
      <x:c r="I95" s="2" t="str">
        <x:v>No empirical calibration; sensitivity or missing-data gate applies</x:v>
      </x:c>
    </x:row>
    <x:row r="96" ht="100" customHeight="1">
      <x:c r="A96" s="2" t="str">
        <x:v>UN_WPP_BDI</x:v>
      </x:c>
      <x:c r="B96" s="2" t="str">
        <x:v>{"2026":14729157,"2030":16182016,"2035":18085841,"2040":20131318,"2045":22197887,"2050":24131720,"2051":24498523}</x:v>
      </x:c>
      <x:c r="C96" s="2" t="str">
        <x:v>Persons at seven milestones</x:v>
      </x:c>
      <x:c r="D96" s="2" t="str">
        <x:v>External projection</x:v>
      </x:c>
      <x:c r="E96" s="2" t="str">
        <x:v>UN_WPP</x:v>
      </x:c>
      <x:c r="F96" s="2" t="str">
        <x:v>UN DESA issuer; Strategy refresh</x:v>
      </x:c>
      <x:c r="G96" s="2" t="str">
        <x:v>research/olam-global/raw/wpp-milestones.csv:BDI</x:v>
      </x:c>
      <x:c r="H96" s="2" t="str">
        <x:v>WPP Medium in thousands ×1000; no income/category-demand inference</x:v>
      </x:c>
      <x:c r="I96" s="2" t="str">
        <x:v>Medium fertility variant only; low/high not in the compact source and not retrieved</x:v>
      </x:c>
    </x:row>
    <x:row r="97" ht="100" customHeight="1">
      <x:c r="A97" s="2" t="str">
        <x:v>I-WBFOOD-BDI</x:v>
      </x:c>
      <x:c r="B97" s="2" t="str">
        <x:v>{"country":"BDI","year":2023,"result_USD":163585867.63748187,"inputs":"Exact matched year and variable values in country-panel.csv"}</x:v>
      </x:c>
      <x:c r="C97" s="2" t="str">
        <x:v>Percent merchandise imports × current USD</x:v>
      </x:c>
      <x:c r="D97" s="2" t="str">
        <x:v>Reported fact</x:v>
      </x:c>
      <x:c r="E97" s="2" t="str">
        <x:v>WB_food_import_share;WB_imports_usd</x:v>
      </x:c>
      <x:c r="F97" s="2" t="str">
        <x:v>Finance / Strategy to validate</x:v>
      </x:c>
      <x:c r="G97" s="2" t="str">
        <x:v>research/olam-global/country-panel.csv:BDI:2023</x:v>
      </x:c>
      <x:c r="H97" s="2" t="str">
        <x:v>Same-year matching prevents multiplying different vintages</x:v>
      </x:c>
      <x:c r="I97" s="2" t="str">
        <x:v>No empirical calibration; sensitivity or missing-data gate applies</x:v>
      </x:c>
    </x:row>
    <x:row r="98" ht="100" customHeight="1">
      <x:c r="A98" s="2" t="str">
        <x:v>UN_WPP_CPV</x:v>
      </x:c>
      <x:c r="B98" s="2" t="str">
        <x:v>{"2026":529630,"2030":538614,"2035":548591,"2040":557374,"2045":563476,"2050":566134,"2051":566201}</x:v>
      </x:c>
      <x:c r="C98" s="2" t="str">
        <x:v>Persons at seven milestones</x:v>
      </x:c>
      <x:c r="D98" s="2" t="str">
        <x:v>External projection</x:v>
      </x:c>
      <x:c r="E98" s="2" t="str">
        <x:v>UN_WPP</x:v>
      </x:c>
      <x:c r="F98" s="2" t="str">
        <x:v>UN DESA issuer; Strategy refresh</x:v>
      </x:c>
      <x:c r="G98" s="2" t="str">
        <x:v>research/olam-global/raw/wpp-milestones.csv:CPV</x:v>
      </x:c>
      <x:c r="H98" s="2" t="str">
        <x:v>WPP Medium in thousands ×1000; no income/category-demand inference</x:v>
      </x:c>
      <x:c r="I98" s="2" t="str">
        <x:v>Medium fertility variant only; low/high not in the compact source and not retrieved</x:v>
      </x:c>
    </x:row>
    <x:row r="99" ht="100" customHeight="1">
      <x:c r="A99" s="2" t="str">
        <x:v>I-WBFOOD-CPV</x:v>
      </x:c>
      <x:c r="B99" s="2" t="str">
        <x:v>{"country":"CPV","year":2024,"result_USD":608562990.217463,"inputs":"Exact matched year and variable values in country-panel.csv"}</x:v>
      </x:c>
      <x:c r="C99" s="2" t="str">
        <x:v>Percent merchandise imports × current USD</x:v>
      </x:c>
      <x:c r="D99" s="2" t="str">
        <x:v>Reported fact</x:v>
      </x:c>
      <x:c r="E99" s="2" t="str">
        <x:v>WB_food_import_share;WB_imports_usd</x:v>
      </x:c>
      <x:c r="F99" s="2" t="str">
        <x:v>Finance / Strategy to validate</x:v>
      </x:c>
      <x:c r="G99" s="2" t="str">
        <x:v>research/olam-global/country-panel.csv:CPV:2024</x:v>
      </x:c>
      <x:c r="H99" s="2" t="str">
        <x:v>Same-year matching prevents multiplying different vintages</x:v>
      </x:c>
      <x:c r="I99" s="2" t="str">
        <x:v>No empirical calibration; sensitivity or missing-data gate applies</x:v>
      </x:c>
    </x:row>
    <x:row r="100" ht="100" customHeight="1">
      <x:c r="A100" s="2" t="str">
        <x:v>UN_WPP_KHM</x:v>
      </x:c>
      <x:c r="B100" s="2" t="str">
        <x:v>{"2026":18051219,"2030":18827388,"2035":19720141,"2040":20540682,"2045":21286237,"2050":21931455,"2051":22045831}</x:v>
      </x:c>
      <x:c r="C100" s="2" t="str">
        <x:v>Persons at seven milestones</x:v>
      </x:c>
      <x:c r="D100" s="2" t="str">
        <x:v>External projection</x:v>
      </x:c>
      <x:c r="E100" s="2" t="str">
        <x:v>UN_WPP</x:v>
      </x:c>
      <x:c r="F100" s="2" t="str">
        <x:v>UN DESA issuer; Strategy refresh</x:v>
      </x:c>
      <x:c r="G100" s="2" t="str">
        <x:v>research/olam-global/raw/wpp-milestones.csv:KHM</x:v>
      </x:c>
      <x:c r="H100" s="2" t="str">
        <x:v>WPP Medium in thousands ×1000; no income/category-demand inference</x:v>
      </x:c>
      <x:c r="I100" s="2" t="str">
        <x:v>Medium fertility variant only; low/high not in the compact source and not retrieved</x:v>
      </x:c>
    </x:row>
    <x:row r="101" ht="100" customHeight="1">
      <x:c r="A101" s="2" t="str">
        <x:v>I-WBFOOD-KHM</x:v>
      </x:c>
      <x:c r="B101" s="2" t="str">
        <x:v>{"country":"KHM","year":2024,"result_USD":2140805676.9942493,"inputs":"Exact matched year and variable values in country-panel.csv"}</x:v>
      </x:c>
      <x:c r="C101" s="2" t="str">
        <x:v>Percent merchandise imports × current USD</x:v>
      </x:c>
      <x:c r="D101" s="2" t="str">
        <x:v>Reported fact</x:v>
      </x:c>
      <x:c r="E101" s="2" t="str">
        <x:v>WB_food_import_share;WB_imports_usd</x:v>
      </x:c>
      <x:c r="F101" s="2" t="str">
        <x:v>Finance / Strategy to validate</x:v>
      </x:c>
      <x:c r="G101" s="2" t="str">
        <x:v>research/olam-global/country-panel.csv:KHM:2024</x:v>
      </x:c>
      <x:c r="H101" s="2" t="str">
        <x:v>Same-year matching prevents multiplying different vintages</x:v>
      </x:c>
      <x:c r="I101" s="2" t="str">
        <x:v>No empirical calibration; sensitivity or missing-data gate applies</x:v>
      </x:c>
    </x:row>
    <x:row r="102" ht="100" customHeight="1">
      <x:c r="A102" s="2" t="str">
        <x:v>UN_WPP_CMR</x:v>
      </x:c>
      <x:c r="B102" s="2" t="str">
        <x:v>{"2026":30640817,"2030":33777190,"2035":37893818,"2040":42208003,"2045":46629039,"2050":51096317,"2051":51989016}</x:v>
      </x:c>
      <x:c r="C102" s="2" t="str">
        <x:v>Persons at seven milestones</x:v>
      </x:c>
      <x:c r="D102" s="2" t="str">
        <x:v>External projection</x:v>
      </x:c>
      <x:c r="E102" s="2" t="str">
        <x:v>UN_WPP</x:v>
      </x:c>
      <x:c r="F102" s="2" t="str">
        <x:v>UN DESA issuer; Strategy refresh</x:v>
      </x:c>
      <x:c r="G102" s="2" t="str">
        <x:v>research/olam-global/raw/wpp-milestones.csv:CMR</x:v>
      </x:c>
      <x:c r="H102" s="2" t="str">
        <x:v>WPP Medium in thousands ×1000; no income/category-demand inference</x:v>
      </x:c>
      <x:c r="I102" s="2" t="str">
        <x:v>Medium fertility variant only; low/high not in the compact source and not retrieved</x:v>
      </x:c>
    </x:row>
    <x:row r="103" ht="100" customHeight="1">
      <x:c r="A103" s="2" t="str">
        <x:v>I-WBFOOD-CMR</x:v>
      </x:c>
      <x:c r="B103" s="2" t="str">
        <x:v>{"country":"CMR","year":2023,"result_USD":1790205446.3931196,"inputs":"Exact matched year and variable values in country-panel.csv"}</x:v>
      </x:c>
      <x:c r="C103" s="2" t="str">
        <x:v>Percent merchandise imports × current USD</x:v>
      </x:c>
      <x:c r="D103" s="2" t="str">
        <x:v>Reported fact</x:v>
      </x:c>
      <x:c r="E103" s="2" t="str">
        <x:v>WB_food_import_share;WB_imports_usd</x:v>
      </x:c>
      <x:c r="F103" s="2" t="str">
        <x:v>Finance / Strategy to validate</x:v>
      </x:c>
      <x:c r="G103" s="2" t="str">
        <x:v>research/olam-global/country-panel.csv:CMR:2023</x:v>
      </x:c>
      <x:c r="H103" s="2" t="str">
        <x:v>Same-year matching prevents multiplying different vintages</x:v>
      </x:c>
      <x:c r="I103" s="2" t="str">
        <x:v>No empirical calibration; sensitivity or missing-data gate applies</x:v>
      </x:c>
    </x:row>
    <x:row r="104" ht="100" customHeight="1">
      <x:c r="A104" s="2" t="str">
        <x:v>UN_WPP_CAN</x:v>
      </x:c>
      <x:c r="B104" s="2" t="str">
        <x:v>{"2026":40467728,"2030":41655589,"2035":42905267,"2040":43951417,"2045":44850096,"2050":45621882,"2051":45771463}</x:v>
      </x:c>
      <x:c r="C104" s="2" t="str">
        <x:v>Persons at seven milestones</x:v>
      </x:c>
      <x:c r="D104" s="2" t="str">
        <x:v>External projection</x:v>
      </x:c>
      <x:c r="E104" s="2" t="str">
        <x:v>UN_WPP</x:v>
      </x:c>
      <x:c r="F104" s="2" t="str">
        <x:v>UN DESA issuer; Strategy refresh</x:v>
      </x:c>
      <x:c r="G104" s="2" t="str">
        <x:v>research/olam-global/raw/wpp-milestones.csv:CAN</x:v>
      </x:c>
      <x:c r="H104" s="2" t="str">
        <x:v>WPP Medium in thousands ×1000; no income/category-demand inference</x:v>
      </x:c>
      <x:c r="I104" s="2" t="str">
        <x:v>Medium fertility variant only; low/high not in the compact source and not retrieved</x:v>
      </x:c>
    </x:row>
    <x:row r="105" ht="100" customHeight="1">
      <x:c r="A105" s="2" t="str">
        <x:v>I-WBFOOD-CAN</x:v>
      </x:c>
      <x:c r="B105" s="2" t="str">
        <x:v>{"country":"CAN","year":2024,"result_USD":52738198428.644005,"inputs":"Exact matched year and variable values in country-panel.csv"}</x:v>
      </x:c>
      <x:c r="C105" s="2" t="str">
        <x:v>Percent merchandise imports × current USD</x:v>
      </x:c>
      <x:c r="D105" s="2" t="str">
        <x:v>Reported fact</x:v>
      </x:c>
      <x:c r="E105" s="2" t="str">
        <x:v>WB_food_import_share;WB_imports_usd</x:v>
      </x:c>
      <x:c r="F105" s="2" t="str">
        <x:v>Finance / Strategy to validate</x:v>
      </x:c>
      <x:c r="G105" s="2" t="str">
        <x:v>research/olam-global/country-panel.csv:CAN:2024</x:v>
      </x:c>
      <x:c r="H105" s="2" t="str">
        <x:v>Same-year matching prevents multiplying different vintages</x:v>
      </x:c>
      <x:c r="I105" s="2" t="str">
        <x:v>No empirical calibration; sensitivity or missing-data gate applies</x:v>
      </x:c>
    </x:row>
    <x:row r="106" ht="100" customHeight="1">
      <x:c r="A106" s="2" t="str">
        <x:v>UN_WPP_CAF</x:v>
      </x:c>
      <x:c r="B106" s="2" t="str">
        <x:v>{"2026":5698984,"2030":6478245,"2035":7502587,"2040":8526455,"2045":9550893,"2050":10616753,"2051":10834361}</x:v>
      </x:c>
      <x:c r="C106" s="2" t="str">
        <x:v>Persons at seven milestones</x:v>
      </x:c>
      <x:c r="D106" s="2" t="str">
        <x:v>External projection</x:v>
      </x:c>
      <x:c r="E106" s="2" t="str">
        <x:v>UN_WPP</x:v>
      </x:c>
      <x:c r="F106" s="2" t="str">
        <x:v>UN DESA issuer; Strategy refresh</x:v>
      </x:c>
      <x:c r="G106" s="2" t="str">
        <x:v>research/olam-global/raw/wpp-milestones.csv:CAF</x:v>
      </x:c>
      <x:c r="H106" s="2" t="str">
        <x:v>WPP Medium in thousands ×1000; no income/category-demand inference</x:v>
      </x:c>
      <x:c r="I106" s="2" t="str">
        <x:v>Medium fertility variant only; low/high not in the compact source and not retrieved</x:v>
      </x:c>
    </x:row>
    <x:row r="107" ht="100" customHeight="1">
      <x:c r="A107" s="2" t="str">
        <x:v>I-WBFOOD-CAF</x:v>
      </x:c>
      <x:c r="B107" s="2" t="str">
        <x:v>{"country":"CAF","year":2024,"result_USD":111490341.11110164,"inputs":"Exact matched year and variable values in country-panel.csv"}</x:v>
      </x:c>
      <x:c r="C107" s="2" t="str">
        <x:v>Percent merchandise imports × current USD</x:v>
      </x:c>
      <x:c r="D107" s="2" t="str">
        <x:v>Reported fact</x:v>
      </x:c>
      <x:c r="E107" s="2" t="str">
        <x:v>WB_food_import_share;WB_imports_usd</x:v>
      </x:c>
      <x:c r="F107" s="2" t="str">
        <x:v>Finance / Strategy to validate</x:v>
      </x:c>
      <x:c r="G107" s="2" t="str">
        <x:v>research/olam-global/country-panel.csv:CAF:2024</x:v>
      </x:c>
      <x:c r="H107" s="2" t="str">
        <x:v>Same-year matching prevents multiplying different vintages</x:v>
      </x:c>
      <x:c r="I107" s="2" t="str">
        <x:v>No empirical calibration; sensitivity or missing-data gate applies</x:v>
      </x:c>
    </x:row>
    <x:row r="108" ht="100" customHeight="1">
      <x:c r="A108" s="2" t="str">
        <x:v>UN_WPP_TCD</x:v>
      </x:c>
      <x:c r="B108" s="2" t="str">
        <x:v>{"2026":21560380,"2030":24207479,"2035":27697279,"2040":31307342,"2045":35026393,"2050":38857686,"2051":39636033}</x:v>
      </x:c>
      <x:c r="C108" s="2" t="str">
        <x:v>Persons at seven milestones</x:v>
      </x:c>
      <x:c r="D108" s="2" t="str">
        <x:v>External projection</x:v>
      </x:c>
      <x:c r="E108" s="2" t="str">
        <x:v>UN_WPP</x:v>
      </x:c>
      <x:c r="F108" s="2" t="str">
        <x:v>UN DESA issuer; Strategy refresh</x:v>
      </x:c>
      <x:c r="G108" s="2" t="str">
        <x:v>research/olam-global/raw/wpp-milestones.csv:TCD</x:v>
      </x:c>
      <x:c r="H108" s="2" t="str">
        <x:v>WPP Medium in thousands ×1000; no income/category-demand inference</x:v>
      </x:c>
      <x:c r="I108" s="2" t="str">
        <x:v>Medium fertility variant only; low/high not in the compact source and not retrieved</x:v>
      </x:c>
    </x:row>
    <x:row r="109" ht="100" customHeight="1">
      <x:c r="A109" s="2" t="str">
        <x:v>UN_WPP_CHL</x:v>
      </x:c>
      <x:c r="B109" s="2" t="str">
        <x:v>{"2026":19945850,"2030":20233183,"2035":20455940,"2040":20542103,"2045":20499138,"2050":20320306,"2051":20269202}</x:v>
      </x:c>
      <x:c r="C109" s="2" t="str">
        <x:v>Persons at seven milestones</x:v>
      </x:c>
      <x:c r="D109" s="2" t="str">
        <x:v>External projection</x:v>
      </x:c>
      <x:c r="E109" s="2" t="str">
        <x:v>UN_WPP</x:v>
      </x:c>
      <x:c r="F109" s="2" t="str">
        <x:v>UN DESA issuer; Strategy refresh</x:v>
      </x:c>
      <x:c r="G109" s="2" t="str">
        <x:v>research/olam-global/raw/wpp-milestones.csv:CHL</x:v>
      </x:c>
      <x:c r="H109" s="2" t="str">
        <x:v>WPP Medium in thousands ×1000; no income/category-demand inference</x:v>
      </x:c>
      <x:c r="I109" s="2" t="str">
        <x:v>Medium fertility variant only; low/high not in the compact source and not retrieved</x:v>
      </x:c>
    </x:row>
    <x:row r="110" ht="100" customHeight="1">
      <x:c r="A110" s="2" t="str">
        <x:v>I-WBFOOD-CHL</x:v>
      </x:c>
      <x:c r="B110" s="2" t="str">
        <x:v>{"country":"CHL","year":2025,"result_USD":10727237465.438208,"inputs":"Exact matched year and variable values in country-panel.csv"}</x:v>
      </x:c>
      <x:c r="C110" s="2" t="str">
        <x:v>Percent merchandise imports × current USD</x:v>
      </x:c>
      <x:c r="D110" s="2" t="str">
        <x:v>Reported fact</x:v>
      </x:c>
      <x:c r="E110" s="2" t="str">
        <x:v>WB_food_import_share;WB_imports_usd</x:v>
      </x:c>
      <x:c r="F110" s="2" t="str">
        <x:v>Finance / Strategy to validate</x:v>
      </x:c>
      <x:c r="G110" s="2" t="str">
        <x:v>research/olam-global/country-panel.csv:CHL:2025</x:v>
      </x:c>
      <x:c r="H110" s="2" t="str">
        <x:v>Same-year matching prevents multiplying different vintages</x:v>
      </x:c>
      <x:c r="I110" s="2" t="str">
        <x:v>No empirical calibration; sensitivity or missing-data gate applies</x:v>
      </x:c>
    </x:row>
    <x:row r="111" ht="100" customHeight="1">
      <x:c r="A111" s="2" t="str">
        <x:v>UN_WPP_CHN</x:v>
      </x:c>
      <x:c r="B111" s="2" t="str">
        <x:v>{"2026":1412914089,"2030":1398153832,"2035":1373427531,"2040":1342816657,"2045":1306113788,"2050":1260289093,"2051":1249692538}</x:v>
      </x:c>
      <x:c r="C111" s="2" t="str">
        <x:v>Persons at seven milestones</x:v>
      </x:c>
      <x:c r="D111" s="2" t="str">
        <x:v>External projection</x:v>
      </x:c>
      <x:c r="E111" s="2" t="str">
        <x:v>UN_WPP</x:v>
      </x:c>
      <x:c r="F111" s="2" t="str">
        <x:v>UN DESA issuer; Strategy refresh</x:v>
      </x:c>
      <x:c r="G111" s="2" t="str">
        <x:v>research/olam-global/raw/wpp-milestones.csv:CHN</x:v>
      </x:c>
      <x:c r="H111" s="2" t="str">
        <x:v>WPP Medium in thousands ×1000; no income/category-demand inference</x:v>
      </x:c>
      <x:c r="I111" s="2" t="str">
        <x:v>Medium fertility variant only; low/high not in the compact source and not retrieved</x:v>
      </x:c>
    </x:row>
    <x:row r="112" ht="100" customHeight="1">
      <x:c r="A112" s="2" t="str">
        <x:v>I-WBFOOD-CHN</x:v>
      </x:c>
      <x:c r="B112" s="2" t="str">
        <x:v>{"country":"CHN","year":2024,"result_USD":209434671437.8839,"inputs":"Exact matched year and variable values in country-panel.csv"}</x:v>
      </x:c>
      <x:c r="C112" s="2" t="str">
        <x:v>Percent merchandise imports × current USD</x:v>
      </x:c>
      <x:c r="D112" s="2" t="str">
        <x:v>Reported fact</x:v>
      </x:c>
      <x:c r="E112" s="2" t="str">
        <x:v>WB_food_import_share;WB_imports_usd</x:v>
      </x:c>
      <x:c r="F112" s="2" t="str">
        <x:v>Finance / Strategy to validate</x:v>
      </x:c>
      <x:c r="G112" s="2" t="str">
        <x:v>research/olam-global/country-panel.csv:CHN:2024</x:v>
      </x:c>
      <x:c r="H112" s="2" t="str">
        <x:v>Same-year matching prevents multiplying different vintages</x:v>
      </x:c>
      <x:c r="I112" s="2" t="str">
        <x:v>No empirical calibration; sensitivity or missing-data gate applies</x:v>
      </x:c>
    </x:row>
    <x:row r="113" ht="100" customHeight="1">
      <x:c r="A113" s="2" t="str">
        <x:v>UN_WPP_COL</x:v>
      </x:c>
      <x:c r="B113" s="2" t="str">
        <x:v>{"2026":53936226,"2030":55736475,"2035":57445753,"2040":58576446,"2045":59190823,"2050":59385357,"2051":59382960}</x:v>
      </x:c>
      <x:c r="C113" s="2" t="str">
        <x:v>Persons at seven milestones</x:v>
      </x:c>
      <x:c r="D113" s="2" t="str">
        <x:v>External projection</x:v>
      </x:c>
      <x:c r="E113" s="2" t="str">
        <x:v>UN_WPP</x:v>
      </x:c>
      <x:c r="F113" s="2" t="str">
        <x:v>UN DESA issuer; Strategy refresh</x:v>
      </x:c>
      <x:c r="G113" s="2" t="str">
        <x:v>research/olam-global/raw/wpp-milestones.csv:COL</x:v>
      </x:c>
      <x:c r="H113" s="2" t="str">
        <x:v>WPP Medium in thousands ×1000; no income/category-demand inference</x:v>
      </x:c>
      <x:c r="I113" s="2" t="str">
        <x:v>Medium fertility variant only; low/high not in the compact source and not retrieved</x:v>
      </x:c>
    </x:row>
    <x:row r="114" ht="100" customHeight="1">
      <x:c r="A114" s="2" t="str">
        <x:v>I-WBFOOD-COL</x:v>
      </x:c>
      <x:c r="B114" s="2" t="str">
        <x:v>{"country":"COL","year":2024,"result_USD":8812424967.658024,"inputs":"Exact matched year and variable values in country-panel.csv"}</x:v>
      </x:c>
      <x:c r="C114" s="2" t="str">
        <x:v>Percent merchandise imports × current USD</x:v>
      </x:c>
      <x:c r="D114" s="2" t="str">
        <x:v>Reported fact</x:v>
      </x:c>
      <x:c r="E114" s="2" t="str">
        <x:v>WB_food_import_share;WB_imports_usd</x:v>
      </x:c>
      <x:c r="F114" s="2" t="str">
        <x:v>Finance / Strategy to validate</x:v>
      </x:c>
      <x:c r="G114" s="2" t="str">
        <x:v>research/olam-global/country-panel.csv:COL:2024</x:v>
      </x:c>
      <x:c r="H114" s="2" t="str">
        <x:v>Same-year matching prevents multiplying different vintages</x:v>
      </x:c>
      <x:c r="I114" s="2" t="str">
        <x:v>No empirical calibration; sensitivity or missing-data gate applies</x:v>
      </x:c>
    </x:row>
    <x:row r="115" ht="100" customHeight="1">
      <x:c r="A115" s="2" t="str">
        <x:v>UN_WPP_COM</x:v>
      </x:c>
      <x:c r="B115" s="2" t="str">
        <x:v>{"2026":899010,"2030":964264,"2035":1047762.9999999999,"2040":1133778,"2045":1221072,"2050":1307558,"2051":1324686}</x:v>
      </x:c>
      <x:c r="C115" s="2" t="str">
        <x:v>Persons at seven milestones</x:v>
      </x:c>
      <x:c r="D115" s="2" t="str">
        <x:v>External projection</x:v>
      </x:c>
      <x:c r="E115" s="2" t="str">
        <x:v>UN_WPP</x:v>
      </x:c>
      <x:c r="F115" s="2" t="str">
        <x:v>UN DESA issuer; Strategy refresh</x:v>
      </x:c>
      <x:c r="G115" s="2" t="str">
        <x:v>research/olam-global/raw/wpp-milestones.csv:COM</x:v>
      </x:c>
      <x:c r="H115" s="2" t="str">
        <x:v>WPP Medium in thousands ×1000; no income/category-demand inference</x:v>
      </x:c>
      <x:c r="I115" s="2" t="str">
        <x:v>Medium fertility variant only; low/high not in the compact source and not retrieved</x:v>
      </x:c>
    </x:row>
    <x:row r="116" ht="100" customHeight="1">
      <x:c r="A116" s="2" t="str">
        <x:v>I-WBFOOD-COM</x:v>
      </x:c>
      <x:c r="B116" s="2" t="str">
        <x:v>{"country":"COM","year":2023,"result_USD":150603397.3188956,"inputs":"Exact matched year and variable values in country-panel.csv"}</x:v>
      </x:c>
      <x:c r="C116" s="2" t="str">
        <x:v>Percent merchandise imports × current USD</x:v>
      </x:c>
      <x:c r="D116" s="2" t="str">
        <x:v>Reported fact</x:v>
      </x:c>
      <x:c r="E116" s="2" t="str">
        <x:v>WB_food_import_share;WB_imports_usd</x:v>
      </x:c>
      <x:c r="F116" s="2" t="str">
        <x:v>Finance / Strategy to validate</x:v>
      </x:c>
      <x:c r="G116" s="2" t="str">
        <x:v>research/olam-global/country-panel.csv:COM:2023</x:v>
      </x:c>
      <x:c r="H116" s="2" t="str">
        <x:v>Same-year matching prevents multiplying different vintages</x:v>
      </x:c>
      <x:c r="I116" s="2" t="str">
        <x:v>No empirical calibration; sensitivity or missing-data gate applies</x:v>
      </x:c>
    </x:row>
    <x:row r="117" ht="100" customHeight="1">
      <x:c r="A117" s="2" t="str">
        <x:v>UN_WPP_COG</x:v>
      </x:c>
      <x:c r="B117" s="2" t="str">
        <x:v>{"2026":6637785,"2030":7282266,"2035":8160733,"2040":9083971,"2045":10041901,"2050":11006471,"2051":11200449}</x:v>
      </x:c>
      <x:c r="C117" s="2" t="str">
        <x:v>Persons at seven milestones</x:v>
      </x:c>
      <x:c r="D117" s="2" t="str">
        <x:v>External projection</x:v>
      </x:c>
      <x:c r="E117" s="2" t="str">
        <x:v>UN_WPP</x:v>
      </x:c>
      <x:c r="F117" s="2" t="str">
        <x:v>UN DESA issuer; Strategy refresh</x:v>
      </x:c>
      <x:c r="G117" s="2" t="str">
        <x:v>research/olam-global/raw/wpp-milestones.csv:COG</x:v>
      </x:c>
      <x:c r="H117" s="2" t="str">
        <x:v>WPP Medium in thousands ×1000; no income/category-demand inference</x:v>
      </x:c>
      <x:c r="I117" s="2" t="str">
        <x:v>Medium fertility variant only; low/high not in the compact source and not retrieved</x:v>
      </x:c>
    </x:row>
    <x:row r="118" ht="100" customHeight="1">
      <x:c r="A118" s="2" t="str">
        <x:v>I-WBFOOD-COG</x:v>
      </x:c>
      <x:c r="B118" s="2" t="str">
        <x:v>{"country":"COG","year":2023,"result_USD":997882679.388699,"inputs":"Exact matched year and variable values in country-panel.csv"}</x:v>
      </x:c>
      <x:c r="C118" s="2" t="str">
        <x:v>Percent merchandise imports × current USD</x:v>
      </x:c>
      <x:c r="D118" s="2" t="str">
        <x:v>Reported fact</x:v>
      </x:c>
      <x:c r="E118" s="2" t="str">
        <x:v>WB_food_import_share;WB_imports_usd</x:v>
      </x:c>
      <x:c r="F118" s="2" t="str">
        <x:v>Finance / Strategy to validate</x:v>
      </x:c>
      <x:c r="G118" s="2" t="str">
        <x:v>research/olam-global/country-panel.csv:COG:2023</x:v>
      </x:c>
      <x:c r="H118" s="2" t="str">
        <x:v>Same-year matching prevents multiplying different vintages</x:v>
      </x:c>
      <x:c r="I118" s="2" t="str">
        <x:v>No empirical calibration; sensitivity or missing-data gate applies</x:v>
      </x:c>
    </x:row>
    <x:row r="119" ht="100" customHeight="1">
      <x:c r="A119" s="2" t="str">
        <x:v>UN_WPP_CRI</x:v>
      </x:c>
      <x:c r="B119" s="2" t="str">
        <x:v>{"2026":5174789,"2030":5251497,"2035":5324699,"2040":5369806,"2045":5381019,"2050":5354150,"2051":5344062}</x:v>
      </x:c>
      <x:c r="C119" s="2" t="str">
        <x:v>Persons at seven milestones</x:v>
      </x:c>
      <x:c r="D119" s="2" t="str">
        <x:v>External projection</x:v>
      </x:c>
      <x:c r="E119" s="2" t="str">
        <x:v>UN_WPP</x:v>
      </x:c>
      <x:c r="F119" s="2" t="str">
        <x:v>UN DESA issuer; Strategy refresh</x:v>
      </x:c>
      <x:c r="G119" s="2" t="str">
        <x:v>research/olam-global/raw/wpp-milestones.csv:CRI</x:v>
      </x:c>
      <x:c r="H119" s="2" t="str">
        <x:v>WPP Medium in thousands ×1000; no income/category-demand inference</x:v>
      </x:c>
      <x:c r="I119" s="2" t="str">
        <x:v>Medium fertility variant only; low/high not in the compact source and not retrieved</x:v>
      </x:c>
    </x:row>
    <x:row r="120" ht="100" customHeight="1">
      <x:c r="A120" s="2" t="str">
        <x:v>I-WBFOOD-CRI</x:v>
      </x:c>
      <x:c r="B120" s="2" t="str">
        <x:v>{"country":"CRI","year":2024,"result_USD":3507461528.8276005,"inputs":"Exact matched year and variable values in country-panel.csv"}</x:v>
      </x:c>
      <x:c r="C120" s="2" t="str">
        <x:v>Percent merchandise imports × current USD</x:v>
      </x:c>
      <x:c r="D120" s="2" t="str">
        <x:v>Reported fact</x:v>
      </x:c>
      <x:c r="E120" s="2" t="str">
        <x:v>WB_food_import_share;WB_imports_usd</x:v>
      </x:c>
      <x:c r="F120" s="2" t="str">
        <x:v>Finance / Strategy to validate</x:v>
      </x:c>
      <x:c r="G120" s="2" t="str">
        <x:v>research/olam-global/country-panel.csv:CRI:2024</x:v>
      </x:c>
      <x:c r="H120" s="2" t="str">
        <x:v>Same-year matching prevents multiplying different vintages</x:v>
      </x:c>
      <x:c r="I120" s="2" t="str">
        <x:v>No empirical calibration; sensitivity or missing-data gate applies</x:v>
      </x:c>
    </x:row>
    <x:row r="121" ht="100" customHeight="1">
      <x:c r="A121" s="2" t="str">
        <x:v>UN_WPP_HRV</x:v>
      </x:c>
      <x:c r="B121" s="2" t="str">
        <x:v>{"2026":3822345,"2030":3725770,"2035":3607215,"2040":3488309,"2045":3362953,"2050":3234160,"2051":3208229}</x:v>
      </x:c>
      <x:c r="C121" s="2" t="str">
        <x:v>Persons at seven milestones</x:v>
      </x:c>
      <x:c r="D121" s="2" t="str">
        <x:v>External projection</x:v>
      </x:c>
      <x:c r="E121" s="2" t="str">
        <x:v>UN_WPP</x:v>
      </x:c>
      <x:c r="F121" s="2" t="str">
        <x:v>UN DESA issuer; Strategy refresh</x:v>
      </x:c>
      <x:c r="G121" s="2" t="str">
        <x:v>research/olam-global/raw/wpp-milestones.csv:HRV</x:v>
      </x:c>
      <x:c r="H121" s="2" t="str">
        <x:v>WPP Medium in thousands ×1000; no income/category-demand inference</x:v>
      </x:c>
      <x:c r="I121" s="2" t="str">
        <x:v>Medium fertility variant only; low/high not in the compact source and not retrieved</x:v>
      </x:c>
    </x:row>
    <x:row r="122" ht="100" customHeight="1">
      <x:c r="A122" s="2" t="str">
        <x:v>I-WBFOOD-HRV</x:v>
      </x:c>
      <x:c r="B122" s="2" t="str">
        <x:v>{"country":"HRV","year":2024,"result_USD":6724780531.433829,"inputs":"Exact matched year and variable values in country-panel.csv"}</x:v>
      </x:c>
      <x:c r="C122" s="2" t="str">
        <x:v>Percent merchandise imports × current USD</x:v>
      </x:c>
      <x:c r="D122" s="2" t="str">
        <x:v>Reported fact</x:v>
      </x:c>
      <x:c r="E122" s="2" t="str">
        <x:v>WB_food_import_share;WB_imports_usd</x:v>
      </x:c>
      <x:c r="F122" s="2" t="str">
        <x:v>Finance / Strategy to validate</x:v>
      </x:c>
      <x:c r="G122" s="2" t="str">
        <x:v>research/olam-global/country-panel.csv:HRV:2024</x:v>
      </x:c>
      <x:c r="H122" s="2" t="str">
        <x:v>Same-year matching prevents multiplying different vintages</x:v>
      </x:c>
      <x:c r="I122" s="2" t="str">
        <x:v>No empirical calibration; sensitivity or missing-data gate applies</x:v>
      </x:c>
    </x:row>
    <x:row r="123" ht="100" customHeight="1">
      <x:c r="A123" s="2" t="str">
        <x:v>UN_WPP_CUB</x:v>
      </x:c>
      <x:c r="B123" s="2" t="str">
        <x:v>{"2026":10892659,"2030":10700822,"2035":10431762,"2040":10125837,"2045":9775199,"2050":9381999,"2051":9298547}</x:v>
      </x:c>
      <x:c r="C123" s="2" t="str">
        <x:v>Persons at seven milestones</x:v>
      </x:c>
      <x:c r="D123" s="2" t="str">
        <x:v>External projection</x:v>
      </x:c>
      <x:c r="E123" s="2" t="str">
        <x:v>UN_WPP</x:v>
      </x:c>
      <x:c r="F123" s="2" t="str">
        <x:v>UN DESA issuer; Strategy refresh</x:v>
      </x:c>
      <x:c r="G123" s="2" t="str">
        <x:v>research/olam-global/raw/wpp-milestones.csv:CUB</x:v>
      </x:c>
      <x:c r="H123" s="2" t="str">
        <x:v>WPP Medium in thousands ×1000; no income/category-demand inference</x:v>
      </x:c>
      <x:c r="I123" s="2" t="str">
        <x:v>Medium fertility variant only; low/high not in the compact source and not retrieved</x:v>
      </x:c>
    </x:row>
    <x:row r="124" ht="100" customHeight="1">
      <x:c r="A124" s="2" t="str">
        <x:v>I-WBFOOD-CUB</x:v>
      </x:c>
      <x:c r="B124" s="2" t="str">
        <x:v>{"country":"CUB","year":2022,"result_USD":2479026006.344521,"inputs":"Exact matched year and variable values in country-panel.csv"}</x:v>
      </x:c>
      <x:c r="C124" s="2" t="str">
        <x:v>Percent merchandise imports × current USD</x:v>
      </x:c>
      <x:c r="D124" s="2" t="str">
        <x:v>Reported fact</x:v>
      </x:c>
      <x:c r="E124" s="2" t="str">
        <x:v>WB_food_import_share;WB_imports_usd</x:v>
      </x:c>
      <x:c r="F124" s="2" t="str">
        <x:v>Finance / Strategy to validate</x:v>
      </x:c>
      <x:c r="G124" s="2" t="str">
        <x:v>research/olam-global/country-panel.csv:CUB:2022</x:v>
      </x:c>
      <x:c r="H124" s="2" t="str">
        <x:v>Same-year matching prevents multiplying different vintages</x:v>
      </x:c>
      <x:c r="I124" s="2" t="str">
        <x:v>No empirical calibration; sensitivity or missing-data gate applies</x:v>
      </x:c>
    </x:row>
    <x:row r="125" ht="100" customHeight="1">
      <x:c r="A125" s="2" t="str">
        <x:v>UN_WPP_CYP</x:v>
      </x:c>
      <x:c r="B125" s="2" t="str">
        <x:v>{"2026":1382334,"2030":1422318,"2035":1459190,"2040":1484849,"2045":1500070,"2050":1508482,"2051":1509486}</x:v>
      </x:c>
      <x:c r="C125" s="2" t="str">
        <x:v>Persons at seven milestones</x:v>
      </x:c>
      <x:c r="D125" s="2" t="str">
        <x:v>External projection</x:v>
      </x:c>
      <x:c r="E125" s="2" t="str">
        <x:v>UN_WPP</x:v>
      </x:c>
      <x:c r="F125" s="2" t="str">
        <x:v>UN DESA issuer; Strategy refresh</x:v>
      </x:c>
      <x:c r="G125" s="2" t="str">
        <x:v>research/olam-global/raw/wpp-milestones.csv:CYP</x:v>
      </x:c>
      <x:c r="H125" s="2" t="str">
        <x:v>WPP Medium in thousands ×1000; no income/category-demand inference</x:v>
      </x:c>
      <x:c r="I125" s="2" t="str">
        <x:v>Medium fertility variant only; low/high not in the compact source and not retrieved</x:v>
      </x:c>
    </x:row>
    <x:row r="126" ht="100" customHeight="1">
      <x:c r="A126" s="2" t="str">
        <x:v>I-WBFOOD-CYP</x:v>
      </x:c>
      <x:c r="B126" s="2" t="str">
        <x:v>{"country":"CYP","year":2024,"result_USD":2064142361.8809397,"inputs":"Exact matched year and variable values in country-panel.csv"}</x:v>
      </x:c>
      <x:c r="C126" s="2" t="str">
        <x:v>Percent merchandise imports × current USD</x:v>
      </x:c>
      <x:c r="D126" s="2" t="str">
        <x:v>Reported fact</x:v>
      </x:c>
      <x:c r="E126" s="2" t="str">
        <x:v>WB_food_import_share;WB_imports_usd</x:v>
      </x:c>
      <x:c r="F126" s="2" t="str">
        <x:v>Finance / Strategy to validate</x:v>
      </x:c>
      <x:c r="G126" s="2" t="str">
        <x:v>research/olam-global/country-panel.csv:CYP:2024</x:v>
      </x:c>
      <x:c r="H126" s="2" t="str">
        <x:v>Same-year matching prevents multiplying different vintages</x:v>
      </x:c>
      <x:c r="I126" s="2" t="str">
        <x:v>No empirical calibration; sensitivity or missing-data gate applies</x:v>
      </x:c>
    </x:row>
    <x:row r="127" ht="100" customHeight="1">
      <x:c r="A127" s="2" t="str">
        <x:v>UN_WPP_CZE</x:v>
      </x:c>
      <x:c r="B127" s="2" t="str">
        <x:v>{"2026":10527781,"2030":10425089,"2035":10265956,"2040":10107226,"2045":9965090,"2050":9825543,"2051":9795302}</x:v>
      </x:c>
      <x:c r="C127" s="2" t="str">
        <x:v>Persons at seven milestones</x:v>
      </x:c>
      <x:c r="D127" s="2" t="str">
        <x:v>External projection</x:v>
      </x:c>
      <x:c r="E127" s="2" t="str">
        <x:v>UN_WPP</x:v>
      </x:c>
      <x:c r="F127" s="2" t="str">
        <x:v>UN DESA issuer; Strategy refresh</x:v>
      </x:c>
      <x:c r="G127" s="2" t="str">
        <x:v>research/olam-global/raw/wpp-milestones.csv:CZE</x:v>
      </x:c>
      <x:c r="H127" s="2" t="str">
        <x:v>WPP Medium in thousands ×1000; no income/category-demand inference</x:v>
      </x:c>
      <x:c r="I127" s="2" t="str">
        <x:v>Medium fertility variant only; low/high not in the compact source and not retrieved</x:v>
      </x:c>
    </x:row>
    <x:row r="128" ht="100" customHeight="1">
      <x:c r="A128" s="2" t="str">
        <x:v>I-WBFOOD-CZE</x:v>
      </x:c>
      <x:c r="B128" s="2" t="str">
        <x:v>{"country":"CZE","year":2024,"result_USD":15731066139.102625,"inputs":"Exact matched year and variable values in country-panel.csv"}</x:v>
      </x:c>
      <x:c r="C128" s="2" t="str">
        <x:v>Percent merchandise imports × current USD</x:v>
      </x:c>
      <x:c r="D128" s="2" t="str">
        <x:v>Reported fact</x:v>
      </x:c>
      <x:c r="E128" s="2" t="str">
        <x:v>WB_food_import_share;WB_imports_usd</x:v>
      </x:c>
      <x:c r="F128" s="2" t="str">
        <x:v>Finance / Strategy to validate</x:v>
      </x:c>
      <x:c r="G128" s="2" t="str">
        <x:v>research/olam-global/country-panel.csv:CZE:2024</x:v>
      </x:c>
      <x:c r="H128" s="2" t="str">
        <x:v>Same-year matching prevents multiplying different vintages</x:v>
      </x:c>
      <x:c r="I128" s="2" t="str">
        <x:v>No empirical calibration; sensitivity or missing-data gate applies</x:v>
      </x:c>
    </x:row>
    <x:row r="129" ht="100" customHeight="1">
      <x:c r="A129" s="2" t="str">
        <x:v>UN_WPP_CIV</x:v>
      </x:c>
      <x:c r="B129" s="2" t="str">
        <x:v>{"2026":33494345.999999996,"2030":36699009,"2035":41033849,"2040":45743925,"2045":50716067,"2050":55746985,"2051":56759561}</x:v>
      </x:c>
      <x:c r="C129" s="2" t="str">
        <x:v>Persons at seven milestones</x:v>
      </x:c>
      <x:c r="D129" s="2" t="str">
        <x:v>External projection</x:v>
      </x:c>
      <x:c r="E129" s="2" t="str">
        <x:v>UN_WPP</x:v>
      </x:c>
      <x:c r="F129" s="2" t="str">
        <x:v>UN DESA issuer; Strategy refresh</x:v>
      </x:c>
      <x:c r="G129" s="2" t="str">
        <x:v>research/olam-global/raw/wpp-milestones.csv:CIV</x:v>
      </x:c>
      <x:c r="H129" s="2" t="str">
        <x:v>WPP Medium in thousands ×1000; no income/category-demand inference</x:v>
      </x:c>
      <x:c r="I129" s="2" t="str">
        <x:v>Medium fertility variant only; low/high not in the compact source and not retrieved</x:v>
      </x:c>
    </x:row>
    <x:row r="130" ht="100" customHeight="1">
      <x:c r="A130" s="2" t="str">
        <x:v>I-WBFOOD-CIV</x:v>
      </x:c>
      <x:c r="B130" s="2" t="str">
        <x:v>{"country":"CIV","year":2024,"result_USD":3522187892.849888,"inputs":"Exact matched year and variable values in country-panel.csv"}</x:v>
      </x:c>
      <x:c r="C130" s="2" t="str">
        <x:v>Percent merchandise imports × current USD</x:v>
      </x:c>
      <x:c r="D130" s="2" t="str">
        <x:v>Reported fact</x:v>
      </x:c>
      <x:c r="E130" s="2" t="str">
        <x:v>WB_food_import_share;WB_imports_usd</x:v>
      </x:c>
      <x:c r="F130" s="2" t="str">
        <x:v>Finance / Strategy to validate</x:v>
      </x:c>
      <x:c r="G130" s="2" t="str">
        <x:v>research/olam-global/country-panel.csv:CIV:2024</x:v>
      </x:c>
      <x:c r="H130" s="2" t="str">
        <x:v>Same-year matching prevents multiplying different vintages</x:v>
      </x:c>
      <x:c r="I130" s="2" t="str">
        <x:v>No empirical calibration; sensitivity or missing-data gate applies</x:v>
      </x:c>
    </x:row>
    <x:row r="131" ht="100" customHeight="1">
      <x:c r="A131" s="2" t="str">
        <x:v>UN_WPP_PRK</x:v>
      </x:c>
      <x:c r="B131" s="2" t="str">
        <x:v>{"2026":26633691,"2030":26784904,"2035":26757724,"2040":26542432,"2045":26210203,"2050":25787127,"2051":25691411}</x:v>
      </x:c>
      <x:c r="C131" s="2" t="str">
        <x:v>Persons at seven milestones</x:v>
      </x:c>
      <x:c r="D131" s="2" t="str">
        <x:v>External projection</x:v>
      </x:c>
      <x:c r="E131" s="2" t="str">
        <x:v>UN_WPP</x:v>
      </x:c>
      <x:c r="F131" s="2" t="str">
        <x:v>UN DESA issuer; Strategy refresh</x:v>
      </x:c>
      <x:c r="G131" s="2" t="str">
        <x:v>research/olam-global/raw/wpp-milestones.csv:PRK</x:v>
      </x:c>
      <x:c r="H131" s="2" t="str">
        <x:v>WPP Medium in thousands ×1000; no income/category-demand inference</x:v>
      </x:c>
      <x:c r="I131" s="2" t="str">
        <x:v>Medium fertility variant only; low/high not in the compact source and not retrieved</x:v>
      </x:c>
    </x:row>
    <x:row r="132" ht="100" customHeight="1">
      <x:c r="A132" s="2" t="str">
        <x:v>UN_WPP_COD</x:v>
      </x:c>
      <x:c r="B132" s="2" t="str">
        <x:v>{"2026":116452162,"2030":131532201,"2035":151560103,"2040":172595582,"2045":194865379,"2050":218246072,"2051":223027957}</x:v>
      </x:c>
      <x:c r="C132" s="2" t="str">
        <x:v>Persons at seven milestones</x:v>
      </x:c>
      <x:c r="D132" s="2" t="str">
        <x:v>External projection</x:v>
      </x:c>
      <x:c r="E132" s="2" t="str">
        <x:v>UN_WPP</x:v>
      </x:c>
      <x:c r="F132" s="2" t="str">
        <x:v>UN DESA issuer; Strategy refresh</x:v>
      </x:c>
      <x:c r="G132" s="2" t="str">
        <x:v>research/olam-global/raw/wpp-milestones.csv:COD</x:v>
      </x:c>
      <x:c r="H132" s="2" t="str">
        <x:v>WPP Medium in thousands ×1000; no income/category-demand inference</x:v>
      </x:c>
      <x:c r="I132" s="2" t="str">
        <x:v>Medium fertility variant only; low/high not in the compact source and not retrieved</x:v>
      </x:c>
    </x:row>
    <x:row r="133" ht="100" customHeight="1">
      <x:c r="A133" s="2" t="str">
        <x:v>I-WBFOOD-COD</x:v>
      </x:c>
      <x:c r="B133" s="2" t="str">
        <x:v>{"country":"COD","year":2023,"result_USD":1217064532.1801777,"inputs":"Exact matched year and variable values in country-panel.csv"}</x:v>
      </x:c>
      <x:c r="C133" s="2" t="str">
        <x:v>Percent merchandise imports × current USD</x:v>
      </x:c>
      <x:c r="D133" s="2" t="str">
        <x:v>Reported fact</x:v>
      </x:c>
      <x:c r="E133" s="2" t="str">
        <x:v>WB_food_import_share;WB_imports_usd</x:v>
      </x:c>
      <x:c r="F133" s="2" t="str">
        <x:v>Finance / Strategy to validate</x:v>
      </x:c>
      <x:c r="G133" s="2" t="str">
        <x:v>research/olam-global/country-panel.csv:COD:2023</x:v>
      </x:c>
      <x:c r="H133" s="2" t="str">
        <x:v>Same-year matching prevents multiplying different vintages</x:v>
      </x:c>
      <x:c r="I133" s="2" t="str">
        <x:v>No empirical calibration; sensitivity or missing-data gate applies</x:v>
      </x:c>
    </x:row>
    <x:row r="134" ht="100" customHeight="1">
      <x:c r="A134" s="2" t="str">
        <x:v>UN_WPP_DNK</x:v>
      </x:c>
      <x:c r="B134" s="2" t="str">
        <x:v>{"2026":6023520,"2030":6081995,"2035":6119806,"2040":6134659,"2045":6134655,"2050":6124838,"2051":6121371}</x:v>
      </x:c>
      <x:c r="C134" s="2" t="str">
        <x:v>Persons at seven milestones</x:v>
      </x:c>
      <x:c r="D134" s="2" t="str">
        <x:v>External projection</x:v>
      </x:c>
      <x:c r="E134" s="2" t="str">
        <x:v>UN_WPP</x:v>
      </x:c>
      <x:c r="F134" s="2" t="str">
        <x:v>UN DESA issuer; Strategy refresh</x:v>
      </x:c>
      <x:c r="G134" s="2" t="str">
        <x:v>research/olam-global/raw/wpp-milestones.csv:DNK</x:v>
      </x:c>
      <x:c r="H134" s="2" t="str">
        <x:v>WPP Medium in thousands ×1000; no income/category-demand inference</x:v>
      </x:c>
      <x:c r="I134" s="2" t="str">
        <x:v>Medium fertility variant only; low/high not in the compact source and not retrieved</x:v>
      </x:c>
    </x:row>
    <x:row r="135" ht="100" customHeight="1">
      <x:c r="A135" s="2" t="str">
        <x:v>I-WBFOOD-DNK</x:v>
      </x:c>
      <x:c r="B135" s="2" t="str">
        <x:v>{"country":"DNK","year":2025,"result_USD":18474340292.202385,"inputs":"Exact matched year and variable values in country-panel.csv"}</x:v>
      </x:c>
      <x:c r="C135" s="2" t="str">
        <x:v>Percent merchandise imports × current USD</x:v>
      </x:c>
      <x:c r="D135" s="2" t="str">
        <x:v>Reported fact</x:v>
      </x:c>
      <x:c r="E135" s="2" t="str">
        <x:v>WB_food_import_share;WB_imports_usd</x:v>
      </x:c>
      <x:c r="F135" s="2" t="str">
        <x:v>Finance / Strategy to validate</x:v>
      </x:c>
      <x:c r="G135" s="2" t="str">
        <x:v>research/olam-global/country-panel.csv:DNK:2025</x:v>
      </x:c>
      <x:c r="H135" s="2" t="str">
        <x:v>Same-year matching prevents multiplying different vintages</x:v>
      </x:c>
      <x:c r="I135" s="2" t="str">
        <x:v>No empirical calibration; sensitivity or missing-data gate applies</x:v>
      </x:c>
    </x:row>
    <x:row r="136" ht="100" customHeight="1">
      <x:c r="A136" s="2" t="str">
        <x:v>UN_WPP_DJI</x:v>
      </x:c>
      <x:c r="B136" s="2" t="str">
        <x:v>{"2026":1199459,"2030":1262678,"2035":1335498,"2040":1406635,"2045":1474041,"2050":1530540,"2051":1540678}</x:v>
      </x:c>
      <x:c r="C136" s="2" t="str">
        <x:v>Persons at seven milestones</x:v>
      </x:c>
      <x:c r="D136" s="2" t="str">
        <x:v>External projection</x:v>
      </x:c>
      <x:c r="E136" s="2" t="str">
        <x:v>UN_WPP</x:v>
      </x:c>
      <x:c r="F136" s="2" t="str">
        <x:v>UN DESA issuer; Strategy refresh</x:v>
      </x:c>
      <x:c r="G136" s="2" t="str">
        <x:v>research/olam-global/raw/wpp-milestones.csv:DJI</x:v>
      </x:c>
      <x:c r="H136" s="2" t="str">
        <x:v>WPP Medium in thousands ×1000; no income/category-demand inference</x:v>
      </x:c>
      <x:c r="I136" s="2" t="str">
        <x:v>Medium fertility variant only; low/high not in the compact source and not retrieved</x:v>
      </x:c>
    </x:row>
    <x:row r="137" ht="100" customHeight="1">
      <x:c r="A137" s="2" t="str">
        <x:v>I-WBFOOD-DJI</x:v>
      </x:c>
      <x:c r="B137" s="2" t="str">
        <x:v>{"country":"DJI","year":2023,"result_USD":2041817341.2828631,"inputs":"Exact matched year and variable values in country-panel.csv"}</x:v>
      </x:c>
      <x:c r="C137" s="2" t="str">
        <x:v>Percent merchandise imports × current USD</x:v>
      </x:c>
      <x:c r="D137" s="2" t="str">
        <x:v>Reported fact</x:v>
      </x:c>
      <x:c r="E137" s="2" t="str">
        <x:v>WB_food_import_share;WB_imports_usd</x:v>
      </x:c>
      <x:c r="F137" s="2" t="str">
        <x:v>Finance / Strategy to validate</x:v>
      </x:c>
      <x:c r="G137" s="2" t="str">
        <x:v>research/olam-global/country-panel.csv:DJI:2023</x:v>
      </x:c>
      <x:c r="H137" s="2" t="str">
        <x:v>Same-year matching prevents multiplying different vintages</x:v>
      </x:c>
      <x:c r="I137" s="2" t="str">
        <x:v>No empirical calibration; sensitivity or missing-data gate applies</x:v>
      </x:c>
    </x:row>
    <x:row r="138" ht="100" customHeight="1">
      <x:c r="A138" s="2" t="str">
        <x:v>UN_WPP_DMA</x:v>
      </x:c>
      <x:c r="B138" s="2" t="str">
        <x:v>{"2026":65510.99999999999,"2030":64169,"2035":63761,"2040":63799,"2045":63629,"2050":63192,"2051":63062}</x:v>
      </x:c>
      <x:c r="C138" s="2" t="str">
        <x:v>Persons at seven milestones</x:v>
      </x:c>
      <x:c r="D138" s="2" t="str">
        <x:v>External projection</x:v>
      </x:c>
      <x:c r="E138" s="2" t="str">
        <x:v>UN_WPP</x:v>
      </x:c>
      <x:c r="F138" s="2" t="str">
        <x:v>UN DESA issuer; Strategy refresh</x:v>
      </x:c>
      <x:c r="G138" s="2" t="str">
        <x:v>research/olam-global/raw/wpp-milestones.csv:DMA</x:v>
      </x:c>
      <x:c r="H138" s="2" t="str">
        <x:v>WPP Medium in thousands ×1000; no income/category-demand inference</x:v>
      </x:c>
      <x:c r="I138" s="2" t="str">
        <x:v>Medium fertility variant only; low/high not in the compact source and not retrieved</x:v>
      </x:c>
    </x:row>
    <x:row r="139" ht="100" customHeight="1">
      <x:c r="A139" s="2" t="str">
        <x:v>I-WBFOOD-DMA</x:v>
      </x:c>
      <x:c r="B139" s="2" t="str">
        <x:v>{"country":"DMA","year":2023,"result_USD":75983048.36405323,"inputs":"Exact matched year and variable values in country-panel.csv"}</x:v>
      </x:c>
      <x:c r="C139" s="2" t="str">
        <x:v>Percent merchandise imports × current USD</x:v>
      </x:c>
      <x:c r="D139" s="2" t="str">
        <x:v>Reported fact</x:v>
      </x:c>
      <x:c r="E139" s="2" t="str">
        <x:v>WB_food_import_share;WB_imports_usd</x:v>
      </x:c>
      <x:c r="F139" s="2" t="str">
        <x:v>Finance / Strategy to validate</x:v>
      </x:c>
      <x:c r="G139" s="2" t="str">
        <x:v>research/olam-global/country-panel.csv:DMA:2023</x:v>
      </x:c>
      <x:c r="H139" s="2" t="str">
        <x:v>Same-year matching prevents multiplying different vintages</x:v>
      </x:c>
      <x:c r="I139" s="2" t="str">
        <x:v>No empirical calibration; sensitivity or missing-data gate applies</x:v>
      </x:c>
    </x:row>
    <x:row r="140" ht="100" customHeight="1">
      <x:c r="A140" s="2" t="str">
        <x:v>UN_WPP_DOM</x:v>
      </x:c>
      <x:c r="B140" s="2" t="str">
        <x:v>{"2026":11609500,"2030":11938852,"2035":12289431,"2040":12579320,"2045":12816005,"2050":12996293,"2051":13025140}</x:v>
      </x:c>
      <x:c r="C140" s="2" t="str">
        <x:v>Persons at seven milestones</x:v>
      </x:c>
      <x:c r="D140" s="2" t="str">
        <x:v>External projection</x:v>
      </x:c>
      <x:c r="E140" s="2" t="str">
        <x:v>UN_WPP</x:v>
      </x:c>
      <x:c r="F140" s="2" t="str">
        <x:v>UN DESA issuer; Strategy refresh</x:v>
      </x:c>
      <x:c r="G140" s="2" t="str">
        <x:v>research/olam-global/raw/wpp-milestones.csv:DOM</x:v>
      </x:c>
      <x:c r="H140" s="2" t="str">
        <x:v>WPP Medium in thousands ×1000; no income/category-demand inference</x:v>
      </x:c>
      <x:c r="I140" s="2" t="str">
        <x:v>Medium fertility variant only; low/high not in the compact source and not retrieved</x:v>
      </x:c>
    </x:row>
    <x:row r="141" ht="100" customHeight="1">
      <x:c r="A141" s="2" t="str">
        <x:v>I-WBFOOD-DOM</x:v>
      </x:c>
      <x:c r="B141" s="2" t="str">
        <x:v>{"country":"DOM","year":2024,"result_USD":5140518489.511417,"inputs":"Exact matched year and variable values in country-panel.csv"}</x:v>
      </x:c>
      <x:c r="C141" s="2" t="str">
        <x:v>Percent merchandise imports × current USD</x:v>
      </x:c>
      <x:c r="D141" s="2" t="str">
        <x:v>Reported fact</x:v>
      </x:c>
      <x:c r="E141" s="2" t="str">
        <x:v>WB_food_import_share;WB_imports_usd</x:v>
      </x:c>
      <x:c r="F141" s="2" t="str">
        <x:v>Finance / Strategy to validate</x:v>
      </x:c>
      <x:c r="G141" s="2" t="str">
        <x:v>research/olam-global/country-panel.csv:DOM:2024</x:v>
      </x:c>
      <x:c r="H141" s="2" t="str">
        <x:v>Same-year matching prevents multiplying different vintages</x:v>
      </x:c>
      <x:c r="I141" s="2" t="str">
        <x:v>No empirical calibration; sensitivity or missing-data gate applies</x:v>
      </x:c>
    </x:row>
    <x:row r="142" ht="100" customHeight="1">
      <x:c r="A142" s="2" t="str">
        <x:v>UN_WPP_ECU</x:v>
      </x:c>
      <x:c r="B142" s="2" t="str">
        <x:v>{"2026":18444506,"2030":19069719,"2035":19800128,"2040":20434220,"2045":20950628,"2050":21337237,"2051":21398376}</x:v>
      </x:c>
      <x:c r="C142" s="2" t="str">
        <x:v>Persons at seven milestones</x:v>
      </x:c>
      <x:c r="D142" s="2" t="str">
        <x:v>External projection</x:v>
      </x:c>
      <x:c r="E142" s="2" t="str">
        <x:v>UN_WPP</x:v>
      </x:c>
      <x:c r="F142" s="2" t="str">
        <x:v>UN DESA issuer; Strategy refresh</x:v>
      </x:c>
      <x:c r="G142" s="2" t="str">
        <x:v>research/olam-global/raw/wpp-milestones.csv:ECU</x:v>
      </x:c>
      <x:c r="H142" s="2" t="str">
        <x:v>WPP Medium in thousands ×1000; no income/category-demand inference</x:v>
      </x:c>
      <x:c r="I142" s="2" t="str">
        <x:v>Medium fertility variant only; low/high not in the compact source and not retrieved</x:v>
      </x:c>
    </x:row>
    <x:row r="143" ht="100" customHeight="1">
      <x:c r="A143" s="2" t="str">
        <x:v>I-WBFOOD-ECU</x:v>
      </x:c>
      <x:c r="B143" s="2" t="str">
        <x:v>{"country":"ECU","year":2024,"result_USD":3605714419.8050356,"inputs":"Exact matched year and variable values in country-panel.csv"}</x:v>
      </x:c>
      <x:c r="C143" s="2" t="str">
        <x:v>Percent merchandise imports × current USD</x:v>
      </x:c>
      <x:c r="D143" s="2" t="str">
        <x:v>Reported fact</x:v>
      </x:c>
      <x:c r="E143" s="2" t="str">
        <x:v>WB_food_import_share;WB_imports_usd</x:v>
      </x:c>
      <x:c r="F143" s="2" t="str">
        <x:v>Finance / Strategy to validate</x:v>
      </x:c>
      <x:c r="G143" s="2" t="str">
        <x:v>research/olam-global/country-panel.csv:ECU:2024</x:v>
      </x:c>
      <x:c r="H143" s="2" t="str">
        <x:v>Same-year matching prevents multiplying different vintages</x:v>
      </x:c>
      <x:c r="I143" s="2" t="str">
        <x:v>No empirical calibration; sensitivity or missing-data gate applies</x:v>
      </x:c>
    </x:row>
    <x:row r="144" ht="100" customHeight="1">
      <x:c r="A144" s="2" t="str">
        <x:v>UN_WPP_EGY</x:v>
      </x:c>
      <x:c r="B144" s="2" t="str">
        <x:v>{"2026":120101175,"2030":127139322,"2035":136097217,"2040":145213654,"2045":153919189,"2050":161630192,"2051":163063539}</x:v>
      </x:c>
      <x:c r="C144" s="2" t="str">
        <x:v>Persons at seven milestones</x:v>
      </x:c>
      <x:c r="D144" s="2" t="str">
        <x:v>External projection</x:v>
      </x:c>
      <x:c r="E144" s="2" t="str">
        <x:v>UN_WPP</x:v>
      </x:c>
      <x:c r="F144" s="2" t="str">
        <x:v>UN DESA issuer; Strategy refresh</x:v>
      </x:c>
      <x:c r="G144" s="2" t="str">
        <x:v>research/olam-global/raw/wpp-milestones.csv:EGY</x:v>
      </x:c>
      <x:c r="H144" s="2" t="str">
        <x:v>WPP Medium in thousands ×1000; no income/category-demand inference</x:v>
      </x:c>
      <x:c r="I144" s="2" t="str">
        <x:v>Medium fertility variant only; low/high not in the compact source and not retrieved</x:v>
      </x:c>
    </x:row>
    <x:row r="145" ht="100" customHeight="1">
      <x:c r="A145" s="2" t="str">
        <x:v>I-WBFOOD-EGY</x:v>
      </x:c>
      <x:c r="B145" s="2" t="str">
        <x:v>{"country":"EGY","year":2024,"result_USD":17598365051.113136,"inputs":"Exact matched year and variable values in country-panel.csv"}</x:v>
      </x:c>
      <x:c r="C145" s="2" t="str">
        <x:v>Percent merchandise imports × current USD</x:v>
      </x:c>
      <x:c r="D145" s="2" t="str">
        <x:v>Reported fact</x:v>
      </x:c>
      <x:c r="E145" s="2" t="str">
        <x:v>WB_food_import_share;WB_imports_usd</x:v>
      </x:c>
      <x:c r="F145" s="2" t="str">
        <x:v>Finance / Strategy to validate</x:v>
      </x:c>
      <x:c r="G145" s="2" t="str">
        <x:v>research/olam-global/country-panel.csv:EGY:2024</x:v>
      </x:c>
      <x:c r="H145" s="2" t="str">
        <x:v>Same-year matching prevents multiplying different vintages</x:v>
      </x:c>
      <x:c r="I145" s="2" t="str">
        <x:v>No empirical calibration; sensitivity or missing-data gate applies</x:v>
      </x:c>
    </x:row>
    <x:row r="146" ht="100" customHeight="1">
      <x:c r="A146" s="2" t="str">
        <x:v>UN_WPP_SLV</x:v>
      </x:c>
      <x:c r="B146" s="2" t="str">
        <x:v>{"2026":6391253,"2030":6486207,"2035":6578181,"2040":6640752,"2045":6668025,"2050":6663346,"2051":6658584}</x:v>
      </x:c>
      <x:c r="C146" s="2" t="str">
        <x:v>Persons at seven milestones</x:v>
      </x:c>
      <x:c r="D146" s="2" t="str">
        <x:v>External projection</x:v>
      </x:c>
      <x:c r="E146" s="2" t="str">
        <x:v>UN_WPP</x:v>
      </x:c>
      <x:c r="F146" s="2" t="str">
        <x:v>UN DESA issuer; Strategy refresh</x:v>
      </x:c>
      <x:c r="G146" s="2" t="str">
        <x:v>research/olam-global/raw/wpp-milestones.csv:SLV</x:v>
      </x:c>
      <x:c r="H146" s="2" t="str">
        <x:v>WPP Medium in thousands ×1000; no income/category-demand inference</x:v>
      </x:c>
      <x:c r="I146" s="2" t="str">
        <x:v>Medium fertility variant only; low/high not in the compact source and not retrieved</x:v>
      </x:c>
    </x:row>
    <x:row r="147" ht="100" customHeight="1">
      <x:c r="A147" s="2" t="str">
        <x:v>I-WBFOOD-SLV</x:v>
      </x:c>
      <x:c r="B147" s="2" t="str">
        <x:v>{"country":"SLV","year":2024,"result_USD":3168995940.2476444,"inputs":"Exact matched year and variable values in country-panel.csv"}</x:v>
      </x:c>
      <x:c r="C147" s="2" t="str">
        <x:v>Percent merchandise imports × current USD</x:v>
      </x:c>
      <x:c r="D147" s="2" t="str">
        <x:v>Reported fact</x:v>
      </x:c>
      <x:c r="E147" s="2" t="str">
        <x:v>WB_food_import_share;WB_imports_usd</x:v>
      </x:c>
      <x:c r="F147" s="2" t="str">
        <x:v>Finance / Strategy to validate</x:v>
      </x:c>
      <x:c r="G147" s="2" t="str">
        <x:v>research/olam-global/country-panel.csv:SLV:2024</x:v>
      </x:c>
      <x:c r="H147" s="2" t="str">
        <x:v>Same-year matching prevents multiplying different vintages</x:v>
      </x:c>
      <x:c r="I147" s="2" t="str">
        <x:v>No empirical calibration; sensitivity or missing-data gate applies</x:v>
      </x:c>
    </x:row>
    <x:row r="148" ht="100" customHeight="1">
      <x:c r="A148" s="2" t="str">
        <x:v>UN_WPP_GNQ</x:v>
      </x:c>
      <x:c r="B148" s="2" t="str">
        <x:v>{"2026":1984468,"2030":2170445,"2035":2414269,"2040":2665586,"2045":2911235,"2050":3143728,"2051":3190137}</x:v>
      </x:c>
      <x:c r="C148" s="2" t="str">
        <x:v>Persons at seven milestones</x:v>
      </x:c>
      <x:c r="D148" s="2" t="str">
        <x:v>External projection</x:v>
      </x:c>
      <x:c r="E148" s="2" t="str">
        <x:v>UN_WPP</x:v>
      </x:c>
      <x:c r="F148" s="2" t="str">
        <x:v>UN DESA issuer; Strategy refresh</x:v>
      </x:c>
      <x:c r="G148" s="2" t="str">
        <x:v>research/olam-global/raw/wpp-milestones.csv:GNQ</x:v>
      </x:c>
      <x:c r="H148" s="2" t="str">
        <x:v>WPP Medium in thousands ×1000; no income/category-demand inference</x:v>
      </x:c>
      <x:c r="I148" s="2" t="str">
        <x:v>Medium fertility variant only; low/high not in the compact source and not retrieved</x:v>
      </x:c>
    </x:row>
    <x:row r="149" ht="100" customHeight="1">
      <x:c r="A149" s="2" t="str">
        <x:v>UN_WPP_ERI</x:v>
      </x:c>
      <x:c r="B149" s="2" t="str">
        <x:v>{"2026":3682669,"2030":4002672,"2035":4420922,"2040":4868676,"2045":5292768,"2050":5696062,"2051":5775739}</x:v>
      </x:c>
      <x:c r="C149" s="2" t="str">
        <x:v>Persons at seven milestones</x:v>
      </x:c>
      <x:c r="D149" s="2" t="str">
        <x:v>External projection</x:v>
      </x:c>
      <x:c r="E149" s="2" t="str">
        <x:v>UN_WPP</x:v>
      </x:c>
      <x:c r="F149" s="2" t="str">
        <x:v>UN DESA issuer; Strategy refresh</x:v>
      </x:c>
      <x:c r="G149" s="2" t="str">
        <x:v>research/olam-global/raw/wpp-milestones.csv:ERI</x:v>
      </x:c>
      <x:c r="H149" s="2" t="str">
        <x:v>WPP Medium in thousands ×1000; no income/category-demand inference</x:v>
      </x:c>
      <x:c r="I149" s="2" t="str">
        <x:v>Medium fertility variant only; low/high not in the compact source and not retrieved</x:v>
      </x:c>
    </x:row>
    <x:row r="150" ht="100" customHeight="1">
      <x:c r="A150" s="2" t="str">
        <x:v>I-WBFOOD-ERI</x:v>
      </x:c>
      <x:c r="B150" s="2" t="str">
        <x:v>{"country":"ERI","year":2003,"result_USD":197324072.0143033,"inputs":"Exact matched year and variable values in country-panel.csv"}</x:v>
      </x:c>
      <x:c r="C150" s="2" t="str">
        <x:v>Percent merchandise imports × current USD</x:v>
      </x:c>
      <x:c r="D150" s="2" t="str">
        <x:v>Reported fact</x:v>
      </x:c>
      <x:c r="E150" s="2" t="str">
        <x:v>WB_food_import_share;WB_imports_usd</x:v>
      </x:c>
      <x:c r="F150" s="2" t="str">
        <x:v>Finance / Strategy to validate</x:v>
      </x:c>
      <x:c r="G150" s="2" t="str">
        <x:v>research/olam-global/country-panel.csv:ERI:2003</x:v>
      </x:c>
      <x:c r="H150" s="2" t="str">
        <x:v>Same-year matching prevents multiplying different vintages</x:v>
      </x:c>
      <x:c r="I150" s="2" t="str">
        <x:v>No empirical calibration; sensitivity or missing-data gate applies</x:v>
      </x:c>
    </x:row>
    <x:row r="151" ht="100" customHeight="1">
      <x:c r="A151" s="2" t="str">
        <x:v>UN_WPP_EST</x:v>
      </x:c>
      <x:c r="B151" s="2" t="str">
        <x:v>{"2026":1331062,"2030":1302772,"2035":1268271,"2040":1236787,"2045":1206184,"2050":1174267,"2051":1167469}</x:v>
      </x:c>
      <x:c r="C151" s="2" t="str">
        <x:v>Persons at seven milestones</x:v>
      </x:c>
      <x:c r="D151" s="2" t="str">
        <x:v>External projection</x:v>
      </x:c>
      <x:c r="E151" s="2" t="str">
        <x:v>UN_WPP</x:v>
      </x:c>
      <x:c r="F151" s="2" t="str">
        <x:v>UN DESA issuer; Strategy refresh</x:v>
      </x:c>
      <x:c r="G151" s="2" t="str">
        <x:v>research/olam-global/raw/wpp-milestones.csv:EST</x:v>
      </x:c>
      <x:c r="H151" s="2" t="str">
        <x:v>WPP Medium in thousands ×1000; no income/category-demand inference</x:v>
      </x:c>
      <x:c r="I151" s="2" t="str">
        <x:v>Medium fertility variant only; low/high not in the compact source and not retrieved</x:v>
      </x:c>
    </x:row>
    <x:row r="152" ht="100" customHeight="1">
      <x:c r="A152" s="2" t="str">
        <x:v>I-WBFOOD-EST</x:v>
      </x:c>
      <x:c r="B152" s="2" t="str">
        <x:v>{"country":"EST","year":2024,"result_USD":3198208332.142931,"inputs":"Exact matched year and variable values in country-panel.csv"}</x:v>
      </x:c>
      <x:c r="C152" s="2" t="str">
        <x:v>Percent merchandise imports × current USD</x:v>
      </x:c>
      <x:c r="D152" s="2" t="str">
        <x:v>Reported fact</x:v>
      </x:c>
      <x:c r="E152" s="2" t="str">
        <x:v>WB_food_import_share;WB_imports_usd</x:v>
      </x:c>
      <x:c r="F152" s="2" t="str">
        <x:v>Finance / Strategy to validate</x:v>
      </x:c>
      <x:c r="G152" s="2" t="str">
        <x:v>research/olam-global/country-panel.csv:EST:2024</x:v>
      </x:c>
      <x:c r="H152" s="2" t="str">
        <x:v>Same-year matching prevents multiplying different vintages</x:v>
      </x:c>
      <x:c r="I152" s="2" t="str">
        <x:v>No empirical calibration; sensitivity or missing-data gate applies</x:v>
      </x:c>
    </x:row>
    <x:row r="153" ht="100" customHeight="1">
      <x:c r="A153" s="2" t="str">
        <x:v>UN_WPP_SWZ</x:v>
      </x:c>
      <x:c r="B153" s="2" t="str">
        <x:v>{"2026":1269859,"2030":1320918,"2035":1379418,"2040":1429781,"2045":1472137,"2050":1505331,"2051":1510782}</x:v>
      </x:c>
      <x:c r="C153" s="2" t="str">
        <x:v>Persons at seven milestones</x:v>
      </x:c>
      <x:c r="D153" s="2" t="str">
        <x:v>External projection</x:v>
      </x:c>
      <x:c r="E153" s="2" t="str">
        <x:v>UN_WPP</x:v>
      </x:c>
      <x:c r="F153" s="2" t="str">
        <x:v>UN DESA issuer; Strategy refresh</x:v>
      </x:c>
      <x:c r="G153" s="2" t="str">
        <x:v>research/olam-global/raw/wpp-milestones.csv:SWZ</x:v>
      </x:c>
      <x:c r="H153" s="2" t="str">
        <x:v>WPP Medium in thousands ×1000; no income/category-demand inference</x:v>
      </x:c>
      <x:c r="I153" s="2" t="str">
        <x:v>Medium fertility variant only; low/high not in the compact source and not retrieved</x:v>
      </x:c>
    </x:row>
    <x:row r="154" ht="100" customHeight="1">
      <x:c r="A154" s="2" t="str">
        <x:v>I-WBFOOD-SWZ</x:v>
      </x:c>
      <x:c r="B154" s="2" t="str">
        <x:v>{"country":"SWZ","year":2023,"result_USD":399290010.0365942,"inputs":"Exact matched year and variable values in country-panel.csv"}</x:v>
      </x:c>
      <x:c r="C154" s="2" t="str">
        <x:v>Percent merchandise imports × current USD</x:v>
      </x:c>
      <x:c r="D154" s="2" t="str">
        <x:v>Reported fact</x:v>
      </x:c>
      <x:c r="E154" s="2" t="str">
        <x:v>WB_food_import_share;WB_imports_usd</x:v>
      </x:c>
      <x:c r="F154" s="2" t="str">
        <x:v>Finance / Strategy to validate</x:v>
      </x:c>
      <x:c r="G154" s="2" t="str">
        <x:v>research/olam-global/country-panel.csv:SWZ:2023</x:v>
      </x:c>
      <x:c r="H154" s="2" t="str">
        <x:v>Same-year matching prevents multiplying different vintages</x:v>
      </x:c>
      <x:c r="I154" s="2" t="str">
        <x:v>No empirical calibration; sensitivity or missing-data gate applies</x:v>
      </x:c>
    </x:row>
    <x:row r="155" ht="100" customHeight="1">
      <x:c r="A155" s="2" t="str">
        <x:v>UN_WPP_ETH</x:v>
      </x:c>
      <x:c r="B155" s="2" t="str">
        <x:v>{"2026":138902185,"2030":152855357,"2035":170532954,"2040":188450902,"2045":206673639,"2050":225021875,"2051":228687201}</x:v>
      </x:c>
      <x:c r="C155" s="2" t="str">
        <x:v>Persons at seven milestones</x:v>
      </x:c>
      <x:c r="D155" s="2" t="str">
        <x:v>External projection</x:v>
      </x:c>
      <x:c r="E155" s="2" t="str">
        <x:v>UN_WPP</x:v>
      </x:c>
      <x:c r="F155" s="2" t="str">
        <x:v>UN DESA issuer; Strategy refresh</x:v>
      </x:c>
      <x:c r="G155" s="2" t="str">
        <x:v>research/olam-global/raw/wpp-milestones.csv:ETH</x:v>
      </x:c>
      <x:c r="H155" s="2" t="str">
        <x:v>WPP Medium in thousands ×1000; no income/category-demand inference</x:v>
      </x:c>
      <x:c r="I155" s="2" t="str">
        <x:v>Medium fertility variant only; low/high not in the compact source and not retrieved</x:v>
      </x:c>
    </x:row>
    <x:row r="156" ht="100" customHeight="1">
      <x:c r="A156" s="2" t="str">
        <x:v>I-WBFOOD-ETH</x:v>
      </x:c>
      <x:c r="B156" s="2" t="str">
        <x:v>{"country":"ETH","year":2023,"result_USD":2387563737.8398194,"inputs":"Exact matched year and variable values in country-panel.csv"}</x:v>
      </x:c>
      <x:c r="C156" s="2" t="str">
        <x:v>Percent merchandise imports × current USD</x:v>
      </x:c>
      <x:c r="D156" s="2" t="str">
        <x:v>Reported fact</x:v>
      </x:c>
      <x:c r="E156" s="2" t="str">
        <x:v>WB_food_import_share;WB_imports_usd</x:v>
      </x:c>
      <x:c r="F156" s="2" t="str">
        <x:v>Finance / Strategy to validate</x:v>
      </x:c>
      <x:c r="G156" s="2" t="str">
        <x:v>research/olam-global/country-panel.csv:ETH:2023</x:v>
      </x:c>
      <x:c r="H156" s="2" t="str">
        <x:v>Same-year matching prevents multiplying different vintages</x:v>
      </x:c>
      <x:c r="I156" s="2" t="str">
        <x:v>No empirical calibration; sensitivity or missing-data gate applies</x:v>
      </x:c>
    </x:row>
    <x:row r="157" ht="100" customHeight="1">
      <x:c r="A157" s="2" t="str">
        <x:v>UN_WPP_FJI</x:v>
      </x:c>
      <x:c r="B157" s="2" t="str">
        <x:v>{"2026":937282,"2030":953106,"2035":969629,"2040":983858,"2045":994457,"2050":1000261,"2051":1000845}</x:v>
      </x:c>
      <x:c r="C157" s="2" t="str">
        <x:v>Persons at seven milestones</x:v>
      </x:c>
      <x:c r="D157" s="2" t="str">
        <x:v>External projection</x:v>
      </x:c>
      <x:c r="E157" s="2" t="str">
        <x:v>UN_WPP</x:v>
      </x:c>
      <x:c r="F157" s="2" t="str">
        <x:v>UN DESA issuer; Strategy refresh</x:v>
      </x:c>
      <x:c r="G157" s="2" t="str">
        <x:v>research/olam-global/raw/wpp-milestones.csv:FJI</x:v>
      </x:c>
      <x:c r="H157" s="2" t="str">
        <x:v>WPP Medium in thousands ×1000; no income/category-demand inference</x:v>
      </x:c>
      <x:c r="I157" s="2" t="str">
        <x:v>Medium fertility variant only; low/high not in the compact source and not retrieved</x:v>
      </x:c>
    </x:row>
    <x:row r="158" ht="100" customHeight="1">
      <x:c r="A158" s="2" t="str">
        <x:v>I-WBFOOD-FJI</x:v>
      </x:c>
      <x:c r="B158" s="2" t="str">
        <x:v>{"country":"FJI","year":2024,"result_USD":586991460.0482217,"inputs":"Exact matched year and variable values in country-panel.csv"}</x:v>
      </x:c>
      <x:c r="C158" s="2" t="str">
        <x:v>Percent merchandise imports × current USD</x:v>
      </x:c>
      <x:c r="D158" s="2" t="str">
        <x:v>Reported fact</x:v>
      </x:c>
      <x:c r="E158" s="2" t="str">
        <x:v>WB_food_import_share;WB_imports_usd</x:v>
      </x:c>
      <x:c r="F158" s="2" t="str">
        <x:v>Finance / Strategy to validate</x:v>
      </x:c>
      <x:c r="G158" s="2" t="str">
        <x:v>research/olam-global/country-panel.csv:FJI:2024</x:v>
      </x:c>
      <x:c r="H158" s="2" t="str">
        <x:v>Same-year matching prevents multiplying different vintages</x:v>
      </x:c>
      <x:c r="I158" s="2" t="str">
        <x:v>No empirical calibration; sensitivity or missing-data gate applies</x:v>
      </x:c>
    </x:row>
    <x:row r="159" ht="100" customHeight="1">
      <x:c r="A159" s="2" t="str">
        <x:v>UN_WPP_FIN</x:v>
      </x:c>
      <x:c r="B159" s="2" t="str">
        <x:v>{"2026":5621739,"2030":5592051,"2035":5540655,"2040":5480523,"2045":5418350,"2050":5351645,"2051":5337090}</x:v>
      </x:c>
      <x:c r="C159" s="2" t="str">
        <x:v>Persons at seven milestones</x:v>
      </x:c>
      <x:c r="D159" s="2" t="str">
        <x:v>External projection</x:v>
      </x:c>
      <x:c r="E159" s="2" t="str">
        <x:v>UN_WPP</x:v>
      </x:c>
      <x:c r="F159" s="2" t="str">
        <x:v>UN DESA issuer; Strategy refresh</x:v>
      </x:c>
      <x:c r="G159" s="2" t="str">
        <x:v>research/olam-global/raw/wpp-milestones.csv:FIN</x:v>
      </x:c>
      <x:c r="H159" s="2" t="str">
        <x:v>WPP Medium in thousands ×1000; no income/category-demand inference</x:v>
      </x:c>
      <x:c r="I159" s="2" t="str">
        <x:v>Medium fertility variant only; low/high not in the compact source and not retrieved</x:v>
      </x:c>
    </x:row>
    <x:row r="160" ht="100" customHeight="1">
      <x:c r="A160" s="2" t="str">
        <x:v>I-WBFOOD-FIN</x:v>
      </x:c>
      <x:c r="B160" s="2" t="str">
        <x:v>{"country":"FIN","year":2024,"result_USD":7148700096.286494,"inputs":"Exact matched year and variable values in country-panel.csv"}</x:v>
      </x:c>
      <x:c r="C160" s="2" t="str">
        <x:v>Percent merchandise imports × current USD</x:v>
      </x:c>
      <x:c r="D160" s="2" t="str">
        <x:v>Reported fact</x:v>
      </x:c>
      <x:c r="E160" s="2" t="str">
        <x:v>WB_food_import_share;WB_imports_usd</x:v>
      </x:c>
      <x:c r="F160" s="2" t="str">
        <x:v>Finance / Strategy to validate</x:v>
      </x:c>
      <x:c r="G160" s="2" t="str">
        <x:v>research/olam-global/country-panel.csv:FIN:2024</x:v>
      </x:c>
      <x:c r="H160" s="2" t="str">
        <x:v>Same-year matching prevents multiplying different vintages</x:v>
      </x:c>
      <x:c r="I160" s="2" t="str">
        <x:v>No empirical calibration; sensitivity or missing-data gate applies</x:v>
      </x:c>
    </x:row>
    <x:row r="161" ht="100" customHeight="1">
      <x:c r="A161" s="2" t="str">
        <x:v>UN_WPP_FRA</x:v>
      </x:c>
      <x:c r="B161" s="2" t="str">
        <x:v>{"2026":66746401,"2030":67107691.00000001,"2035":67547946,"2040":67938904,"2045":68190955,"2050":68219675,"2051":68200254}</x:v>
      </x:c>
      <x:c r="C161" s="2" t="str">
        <x:v>Persons at seven milestones</x:v>
      </x:c>
      <x:c r="D161" s="2" t="str">
        <x:v>External projection</x:v>
      </x:c>
      <x:c r="E161" s="2" t="str">
        <x:v>UN_WPP</x:v>
      </x:c>
      <x:c r="F161" s="2" t="str">
        <x:v>UN DESA issuer; Strategy refresh</x:v>
      </x:c>
      <x:c r="G161" s="2" t="str">
        <x:v>research/olam-global/raw/wpp-milestones.csv:FRA</x:v>
      </x:c>
      <x:c r="H161" s="2" t="str">
        <x:v>WPP Medium in thousands ×1000; no income/category-demand inference</x:v>
      </x:c>
      <x:c r="I161" s="2" t="str">
        <x:v>Medium fertility variant only; low/high not in the compact source and not retrieved</x:v>
      </x:c>
    </x:row>
    <x:row r="162" ht="100" customHeight="1">
      <x:c r="A162" s="2" t="str">
        <x:v>I-WBFOOD-FRA</x:v>
      </x:c>
      <x:c r="B162" s="2" t="str">
        <x:v>{"country":"FRA","year":2024,"result_USD":79665104219.84392,"inputs":"Exact matched year and variable values in country-panel.csv"}</x:v>
      </x:c>
      <x:c r="C162" s="2" t="str">
        <x:v>Percent merchandise imports × current USD</x:v>
      </x:c>
      <x:c r="D162" s="2" t="str">
        <x:v>Reported fact</x:v>
      </x:c>
      <x:c r="E162" s="2" t="str">
        <x:v>WB_food_import_share;WB_imports_usd</x:v>
      </x:c>
      <x:c r="F162" s="2" t="str">
        <x:v>Finance / Strategy to validate</x:v>
      </x:c>
      <x:c r="G162" s="2" t="str">
        <x:v>research/olam-global/country-panel.csv:FRA:2024</x:v>
      </x:c>
      <x:c r="H162" s="2" t="str">
        <x:v>Same-year matching prevents multiplying different vintages</x:v>
      </x:c>
      <x:c r="I162" s="2" t="str">
        <x:v>No empirical calibration; sensitivity or missing-data gate applies</x:v>
      </x:c>
    </x:row>
    <x:row r="163" ht="100" customHeight="1">
      <x:c r="A163" s="2" t="str">
        <x:v>UN_WPP_GAB</x:v>
      </x:c>
      <x:c r="B163" s="2" t="str">
        <x:v>{"2026":2647399,"2030":2866667,"2035":3151468,"2040":3452988,"2045":3767429,"2050":4084533,"2051":4147627.0000000005}</x:v>
      </x:c>
      <x:c r="C163" s="2" t="str">
        <x:v>Persons at seven milestones</x:v>
      </x:c>
      <x:c r="D163" s="2" t="str">
        <x:v>External projection</x:v>
      </x:c>
      <x:c r="E163" s="2" t="str">
        <x:v>UN_WPP</x:v>
      </x:c>
      <x:c r="F163" s="2" t="str">
        <x:v>UN DESA issuer; Strategy refresh</x:v>
      </x:c>
      <x:c r="G163" s="2" t="str">
        <x:v>research/olam-global/raw/wpp-milestones.csv:GAB</x:v>
      </x:c>
      <x:c r="H163" s="2" t="str">
        <x:v>WPP Medium in thousands ×1000; no income/category-demand inference</x:v>
      </x:c>
      <x:c r="I163" s="2" t="str">
        <x:v>Medium fertility variant only; low/high not in the compact source and not retrieved</x:v>
      </x:c>
    </x:row>
    <x:row r="164" ht="100" customHeight="1">
      <x:c r="A164" s="2" t="str">
        <x:v>I-WBFOOD-GAB</x:v>
      </x:c>
      <x:c r="B164" s="2" t="str">
        <x:v>{"country":"GAB","year":2023,"result_USD":662734341.1497755,"inputs":"Exact matched year and variable values in country-panel.csv"}</x:v>
      </x:c>
      <x:c r="C164" s="2" t="str">
        <x:v>Percent merchandise imports × current USD</x:v>
      </x:c>
      <x:c r="D164" s="2" t="str">
        <x:v>Reported fact</x:v>
      </x:c>
      <x:c r="E164" s="2" t="str">
        <x:v>WB_food_import_share;WB_imports_usd</x:v>
      </x:c>
      <x:c r="F164" s="2" t="str">
        <x:v>Finance / Strategy to validate</x:v>
      </x:c>
      <x:c r="G164" s="2" t="str">
        <x:v>research/olam-global/country-panel.csv:GAB:2023</x:v>
      </x:c>
      <x:c r="H164" s="2" t="str">
        <x:v>Same-year matching prevents multiplying different vintages</x:v>
      </x:c>
      <x:c r="I164" s="2" t="str">
        <x:v>No empirical calibration; sensitivity or missing-data gate applies</x:v>
      </x:c>
    </x:row>
    <x:row r="165" ht="100" customHeight="1">
      <x:c r="A165" s="2" t="str">
        <x:v>UN_WPP_GMB</x:v>
      </x:c>
      <x:c r="B165" s="2" t="str">
        <x:v>{"2026":2884079,"2030":3130133,"2035":3433425,"2040":3732798,"2045":4024237,"2050":4301895,"2051":4355372}</x:v>
      </x:c>
      <x:c r="C165" s="2" t="str">
        <x:v>Persons at seven milestones</x:v>
      </x:c>
      <x:c r="D165" s="2" t="str">
        <x:v>External projection</x:v>
      </x:c>
      <x:c r="E165" s="2" t="str">
        <x:v>UN_WPP</x:v>
      </x:c>
      <x:c r="F165" s="2" t="str">
        <x:v>UN DESA issuer; Strategy refresh</x:v>
      </x:c>
      <x:c r="G165" s="2" t="str">
        <x:v>research/olam-global/raw/wpp-milestones.csv:GMB</x:v>
      </x:c>
      <x:c r="H165" s="2" t="str">
        <x:v>WPP Medium in thousands ×1000; no income/category-demand inference</x:v>
      </x:c>
      <x:c r="I165" s="2" t="str">
        <x:v>Medium fertility variant only; low/high not in the compact source and not retrieved</x:v>
      </x:c>
    </x:row>
    <x:row r="166" ht="100" customHeight="1">
      <x:c r="A166" s="2" t="str">
        <x:v>I-WBFOOD-GMB</x:v>
      </x:c>
      <x:c r="B166" s="2" t="str">
        <x:v>{"country":"GMB","year":2024,"result_USD":217433923.13417095,"inputs":"Exact matched year and variable values in country-panel.csv"}</x:v>
      </x:c>
      <x:c r="C166" s="2" t="str">
        <x:v>Percent merchandise imports × current USD</x:v>
      </x:c>
      <x:c r="D166" s="2" t="str">
        <x:v>Reported fact</x:v>
      </x:c>
      <x:c r="E166" s="2" t="str">
        <x:v>WB_food_import_share;WB_imports_usd</x:v>
      </x:c>
      <x:c r="F166" s="2" t="str">
        <x:v>Finance / Strategy to validate</x:v>
      </x:c>
      <x:c r="G166" s="2" t="str">
        <x:v>research/olam-global/country-panel.csv:GMB:2024</x:v>
      </x:c>
      <x:c r="H166" s="2" t="str">
        <x:v>Same-year matching prevents multiplying different vintages</x:v>
      </x:c>
      <x:c r="I166" s="2" t="str">
        <x:v>No empirical calibration; sensitivity or missing-data gate applies</x:v>
      </x:c>
    </x:row>
    <x:row r="167" ht="100" customHeight="1">
      <x:c r="A167" s="2" t="str">
        <x:v>UN_WPP_GEO</x:v>
      </x:c>
      <x:c r="B167" s="2" t="str">
        <x:v>{"2026":3804642,"2030":3790542,"2035":3764200,"2040":3732856,"2045":3703994,"2050":3664014,"2051":3654921}</x:v>
      </x:c>
      <x:c r="C167" s="2" t="str">
        <x:v>Persons at seven milestones</x:v>
      </x:c>
      <x:c r="D167" s="2" t="str">
        <x:v>External projection</x:v>
      </x:c>
      <x:c r="E167" s="2" t="str">
        <x:v>UN_WPP</x:v>
      </x:c>
      <x:c r="F167" s="2" t="str">
        <x:v>UN DESA issuer; Strategy refresh</x:v>
      </x:c>
      <x:c r="G167" s="2" t="str">
        <x:v>research/olam-global/raw/wpp-milestones.csv:GEO</x:v>
      </x:c>
      <x:c r="H167" s="2" t="str">
        <x:v>WPP Medium in thousands ×1000; no income/category-demand inference</x:v>
      </x:c>
      <x:c r="I167" s="2" t="str">
        <x:v>Medium fertility variant only; low/high not in the compact source and not retrieved</x:v>
      </x:c>
    </x:row>
    <x:row r="168" ht="100" customHeight="1">
      <x:c r="A168" s="2" t="str">
        <x:v>I-WBFOOD-GEO</x:v>
      </x:c>
      <x:c r="B168" s="2" t="str">
        <x:v>{"country":"GEO","year":2024,"result_USD":2104083250.179856,"inputs":"Exact matched year and variable values in country-panel.csv"}</x:v>
      </x:c>
      <x:c r="C168" s="2" t="str">
        <x:v>Percent merchandise imports × current USD</x:v>
      </x:c>
      <x:c r="D168" s="2" t="str">
        <x:v>Reported fact</x:v>
      </x:c>
      <x:c r="E168" s="2" t="str">
        <x:v>WB_food_import_share;WB_imports_usd</x:v>
      </x:c>
      <x:c r="F168" s="2" t="str">
        <x:v>Finance / Strategy to validate</x:v>
      </x:c>
      <x:c r="G168" s="2" t="str">
        <x:v>research/olam-global/country-panel.csv:GEO:2024</x:v>
      </x:c>
      <x:c r="H168" s="2" t="str">
        <x:v>Same-year matching prevents multiplying different vintages</x:v>
      </x:c>
      <x:c r="I168" s="2" t="str">
        <x:v>No empirical calibration; sensitivity or missing-data gate applies</x:v>
      </x:c>
    </x:row>
    <x:row r="169" ht="100" customHeight="1">
      <x:c r="A169" s="2" t="str">
        <x:v>UN_WPP_DEU</x:v>
      </x:c>
      <x:c r="B169" s="2" t="str">
        <x:v>{"2026":83644258,"2030":82780953,"2035":81669909,"2040":80551736,"2045":79491795,"2050":78294613,"2051":78048438}</x:v>
      </x:c>
      <x:c r="C169" s="2" t="str">
        <x:v>Persons at seven milestones</x:v>
      </x:c>
      <x:c r="D169" s="2" t="str">
        <x:v>External projection</x:v>
      </x:c>
      <x:c r="E169" s="2" t="str">
        <x:v>UN_WPP</x:v>
      </x:c>
      <x:c r="F169" s="2" t="str">
        <x:v>UN DESA issuer; Strategy refresh</x:v>
      </x:c>
      <x:c r="G169" s="2" t="str">
        <x:v>research/olam-global/raw/wpp-milestones.csv:DEU</x:v>
      </x:c>
      <x:c r="H169" s="2" t="str">
        <x:v>WPP Medium in thousands ×1000; no income/category-demand inference</x:v>
      </x:c>
      <x:c r="I169" s="2" t="str">
        <x:v>Medium fertility variant only; low/high not in the compact source and not retrieved</x:v>
      </x:c>
    </x:row>
    <x:row r="170" ht="100" customHeight="1">
      <x:c r="A170" s="2" t="str">
        <x:v>I-WBFOOD-DEU</x:v>
      </x:c>
      <x:c r="B170" s="2" t="str">
        <x:v>{"country":"DEU","year":2024,"result_USD":129540345133.0316,"inputs":"Exact matched year and variable values in country-panel.csv"}</x:v>
      </x:c>
      <x:c r="C170" s="2" t="str">
        <x:v>Percent merchandise imports × current USD</x:v>
      </x:c>
      <x:c r="D170" s="2" t="str">
        <x:v>Reported fact</x:v>
      </x:c>
      <x:c r="E170" s="2" t="str">
        <x:v>WB_food_import_share;WB_imports_usd</x:v>
      </x:c>
      <x:c r="F170" s="2" t="str">
        <x:v>Finance / Strategy to validate</x:v>
      </x:c>
      <x:c r="G170" s="2" t="str">
        <x:v>research/olam-global/country-panel.csv:DEU:2024</x:v>
      </x:c>
      <x:c r="H170" s="2" t="str">
        <x:v>Same-year matching prevents multiplying different vintages</x:v>
      </x:c>
      <x:c r="I170" s="2" t="str">
        <x:v>No empirical calibration; sensitivity or missing-data gate applies</x:v>
      </x:c>
    </x:row>
    <x:row r="171" ht="100" customHeight="1">
      <x:c r="A171" s="2" t="str">
        <x:v>UN_WPP_GHA</x:v>
      </x:c>
      <x:c r="B171" s="2" t="str">
        <x:v>{"2026":35697557,"2030":38222089,"2035":41412554,"2040":44568350,"2045":47634274,"2050":50553047,"2051":51112490}</x:v>
      </x:c>
      <x:c r="C171" s="2" t="str">
        <x:v>Persons at seven milestones</x:v>
      </x:c>
      <x:c r="D171" s="2" t="str">
        <x:v>External projection</x:v>
      </x:c>
      <x:c r="E171" s="2" t="str">
        <x:v>UN_WPP</x:v>
      </x:c>
      <x:c r="F171" s="2" t="str">
        <x:v>UN DESA issuer; Strategy refresh</x:v>
      </x:c>
      <x:c r="G171" s="2" t="str">
        <x:v>research/olam-global/raw/wpp-milestones.csv:GHA</x:v>
      </x:c>
      <x:c r="H171" s="2" t="str">
        <x:v>WPP Medium in thousands ×1000; no income/category-demand inference</x:v>
      </x:c>
      <x:c r="I171" s="2" t="str">
        <x:v>Medium fertility variant only; low/high not in the compact source and not retrieved</x:v>
      </x:c>
    </x:row>
    <x:row r="172" ht="100" customHeight="1">
      <x:c r="A172" s="2" t="str">
        <x:v>I-WBFOOD-GHA</x:v>
      </x:c>
      <x:c r="B172" s="2" t="str">
        <x:v>{"country":"GHA","year":2023,"result_USD":1918465572.7958875,"inputs":"Exact matched year and variable values in country-panel.csv"}</x:v>
      </x:c>
      <x:c r="C172" s="2" t="str">
        <x:v>Percent merchandise imports × current USD</x:v>
      </x:c>
      <x:c r="D172" s="2" t="str">
        <x:v>Reported fact</x:v>
      </x:c>
      <x:c r="E172" s="2" t="str">
        <x:v>WB_food_import_share;WB_imports_usd</x:v>
      </x:c>
      <x:c r="F172" s="2" t="str">
        <x:v>Finance / Strategy to validate</x:v>
      </x:c>
      <x:c r="G172" s="2" t="str">
        <x:v>research/olam-global/country-panel.csv:GHA:2023</x:v>
      </x:c>
      <x:c r="H172" s="2" t="str">
        <x:v>Same-year matching prevents multiplying different vintages</x:v>
      </x:c>
      <x:c r="I172" s="2" t="str">
        <x:v>No empirical calibration; sensitivity or missing-data gate applies</x:v>
      </x:c>
    </x:row>
    <x:row r="173" ht="100" customHeight="1">
      <x:c r="A173" s="2" t="str">
        <x:v>UN_WPP_GRC</x:v>
      </x:c>
      <x:c r="B173" s="2" t="str">
        <x:v>{"2026":9897115,"2030":9721984,"2035":9496499,"2040":9275613,"2045":9058325,"2050":8812069,"2051":8758041}</x:v>
      </x:c>
      <x:c r="C173" s="2" t="str">
        <x:v>Persons at seven milestones</x:v>
      </x:c>
      <x:c r="D173" s="2" t="str">
        <x:v>External projection</x:v>
      </x:c>
      <x:c r="E173" s="2" t="str">
        <x:v>UN_WPP</x:v>
      </x:c>
      <x:c r="F173" s="2" t="str">
        <x:v>UN DESA issuer; Strategy refresh</x:v>
      </x:c>
      <x:c r="G173" s="2" t="str">
        <x:v>research/olam-global/raw/wpp-milestones.csv:GRC</x:v>
      </x:c>
      <x:c r="H173" s="2" t="str">
        <x:v>WPP Medium in thousands ×1000; no income/category-demand inference</x:v>
      </x:c>
      <x:c r="I173" s="2" t="str">
        <x:v>Medium fertility variant only; low/high not in the compact source and not retrieved</x:v>
      </x:c>
    </x:row>
    <x:row r="174" ht="100" customHeight="1">
      <x:c r="A174" s="2" t="str">
        <x:v>I-WBFOOD-GRC</x:v>
      </x:c>
      <x:c r="B174" s="2" t="str">
        <x:v>{"country":"GRC","year":2024,"result_USD":12094682376.261883,"inputs":"Exact matched year and variable values in country-panel.csv"}</x:v>
      </x:c>
      <x:c r="C174" s="2" t="str">
        <x:v>Percent merchandise imports × current USD</x:v>
      </x:c>
      <x:c r="D174" s="2" t="str">
        <x:v>Reported fact</x:v>
      </x:c>
      <x:c r="E174" s="2" t="str">
        <x:v>WB_food_import_share;WB_imports_usd</x:v>
      </x:c>
      <x:c r="F174" s="2" t="str">
        <x:v>Finance / Strategy to validate</x:v>
      </x:c>
      <x:c r="G174" s="2" t="str">
        <x:v>research/olam-global/country-panel.csv:GRC:2024</x:v>
      </x:c>
      <x:c r="H174" s="2" t="str">
        <x:v>Same-year matching prevents multiplying different vintages</x:v>
      </x:c>
      <x:c r="I174" s="2" t="str">
        <x:v>No empirical calibration; sensitivity or missing-data gate applies</x:v>
      </x:c>
    </x:row>
    <x:row r="175" ht="100" customHeight="1">
      <x:c r="A175" s="2" t="str">
        <x:v>UN_WPP_GRD</x:v>
      </x:c>
      <x:c r="B175" s="2" t="str">
        <x:v>{"2026":117362,"2030":117466,"2035":117244,"2040":116493,"2045":115123,"2050":113243,"2051":112801}</x:v>
      </x:c>
      <x:c r="C175" s="2" t="str">
        <x:v>Persons at seven milestones</x:v>
      </x:c>
      <x:c r="D175" s="2" t="str">
        <x:v>External projection</x:v>
      </x:c>
      <x:c r="E175" s="2" t="str">
        <x:v>UN_WPP</x:v>
      </x:c>
      <x:c r="F175" s="2" t="str">
        <x:v>UN DESA issuer; Strategy refresh</x:v>
      </x:c>
      <x:c r="G175" s="2" t="str">
        <x:v>research/olam-global/raw/wpp-milestones.csv:GRD</x:v>
      </x:c>
      <x:c r="H175" s="2" t="str">
        <x:v>WPP Medium in thousands ×1000; no income/category-demand inference</x:v>
      </x:c>
      <x:c r="I175" s="2" t="str">
        <x:v>Medium fertility variant only; low/high not in the compact source and not retrieved</x:v>
      </x:c>
    </x:row>
    <x:row r="176" ht="100" customHeight="1">
      <x:c r="A176" s="2" t="str">
        <x:v>I-WBFOOD-GRD</x:v>
      </x:c>
      <x:c r="B176" s="2" t="str">
        <x:v>{"country":"GRD","year":2024,"result_USD":153547490.14876923,"inputs":"Exact matched year and variable values in country-panel.csv"}</x:v>
      </x:c>
      <x:c r="C176" s="2" t="str">
        <x:v>Percent merchandise imports × current USD</x:v>
      </x:c>
      <x:c r="D176" s="2" t="str">
        <x:v>Reported fact</x:v>
      </x:c>
      <x:c r="E176" s="2" t="str">
        <x:v>WB_food_import_share;WB_imports_usd</x:v>
      </x:c>
      <x:c r="F176" s="2" t="str">
        <x:v>Finance / Strategy to validate</x:v>
      </x:c>
      <x:c r="G176" s="2" t="str">
        <x:v>research/olam-global/country-panel.csv:GRD:2024</x:v>
      </x:c>
      <x:c r="H176" s="2" t="str">
        <x:v>Same-year matching prevents multiplying different vintages</x:v>
      </x:c>
      <x:c r="I176" s="2" t="str">
        <x:v>No empirical calibration; sensitivity or missing-data gate applies</x:v>
      </x:c>
    </x:row>
    <x:row r="177" ht="100" customHeight="1">
      <x:c r="A177" s="2" t="str">
        <x:v>UN_WPP_GTM</x:v>
      </x:c>
      <x:c r="B177" s="2" t="str">
        <x:v>{"2026":18967978,"2030":20067253,"2035":21394237,"2040":22626870,"2045":23719089,"2050":24670857,"2051":24845333}</x:v>
      </x:c>
      <x:c r="C177" s="2" t="str">
        <x:v>Persons at seven milestones</x:v>
      </x:c>
      <x:c r="D177" s="2" t="str">
        <x:v>External projection</x:v>
      </x:c>
      <x:c r="E177" s="2" t="str">
        <x:v>UN_WPP</x:v>
      </x:c>
      <x:c r="F177" s="2" t="str">
        <x:v>UN DESA issuer; Strategy refresh</x:v>
      </x:c>
      <x:c r="G177" s="2" t="str">
        <x:v>research/olam-global/raw/wpp-milestones.csv:GTM</x:v>
      </x:c>
      <x:c r="H177" s="2" t="str">
        <x:v>WPP Medium in thousands ×1000; no income/category-demand inference</x:v>
      </x:c>
      <x:c r="I177" s="2" t="str">
        <x:v>Medium fertility variant only; low/high not in the compact source and not retrieved</x:v>
      </x:c>
    </x:row>
    <x:row r="178" ht="100" customHeight="1">
      <x:c r="A178" s="2" t="str">
        <x:v>I-WBFOOD-GTM</x:v>
      </x:c>
      <x:c r="B178" s="2" t="str">
        <x:v>{"country":"GTM","year":2024,"result_USD":5656719292.372824,"inputs":"Exact matched year and variable values in country-panel.csv"}</x:v>
      </x:c>
      <x:c r="C178" s="2" t="str">
        <x:v>Percent merchandise imports × current USD</x:v>
      </x:c>
      <x:c r="D178" s="2" t="str">
        <x:v>Reported fact</x:v>
      </x:c>
      <x:c r="E178" s="2" t="str">
        <x:v>WB_food_import_share;WB_imports_usd</x:v>
      </x:c>
      <x:c r="F178" s="2" t="str">
        <x:v>Finance / Strategy to validate</x:v>
      </x:c>
      <x:c r="G178" s="2" t="str">
        <x:v>research/olam-global/country-panel.csv:GTM:2024</x:v>
      </x:c>
      <x:c r="H178" s="2" t="str">
        <x:v>Same-year matching prevents multiplying different vintages</x:v>
      </x:c>
      <x:c r="I178" s="2" t="str">
        <x:v>No empirical calibration; sensitivity or missing-data gate applies</x:v>
      </x:c>
    </x:row>
    <x:row r="179" ht="100" customHeight="1">
      <x:c r="A179" s="2" t="str">
        <x:v>UN_WPP_GIN</x:v>
      </x:c>
      <x:c r="B179" s="2" t="str">
        <x:v>{"2026":15441993,"2030":16807147,"2035":18486013,"2040":20160750,"2045":21817245,"2050":23404584,"2051":23715929}</x:v>
      </x:c>
      <x:c r="C179" s="2" t="str">
        <x:v>Persons at seven milestones</x:v>
      </x:c>
      <x:c r="D179" s="2" t="str">
        <x:v>External projection</x:v>
      </x:c>
      <x:c r="E179" s="2" t="str">
        <x:v>UN_WPP</x:v>
      </x:c>
      <x:c r="F179" s="2" t="str">
        <x:v>UN DESA issuer; Strategy refresh</x:v>
      </x:c>
      <x:c r="G179" s="2" t="str">
        <x:v>research/olam-global/raw/wpp-milestones.csv:GIN</x:v>
      </x:c>
      <x:c r="H179" s="2" t="str">
        <x:v>WPP Medium in thousands ×1000; no income/category-demand inference</x:v>
      </x:c>
      <x:c r="I179" s="2" t="str">
        <x:v>Medium fertility variant only; low/high not in the compact source and not retrieved</x:v>
      </x:c>
    </x:row>
    <x:row r="180" ht="100" customHeight="1">
      <x:c r="A180" s="2" t="str">
        <x:v>I-WBFOOD-GIN</x:v>
      </x:c>
      <x:c r="B180" s="2" t="str">
        <x:v>{"country":"GIN","year":2016,"result_USD":1177024563.9214342,"inputs":"Exact matched year and variable values in country-panel.csv"}</x:v>
      </x:c>
      <x:c r="C180" s="2" t="str">
        <x:v>Percent merchandise imports × current USD</x:v>
      </x:c>
      <x:c r="D180" s="2" t="str">
        <x:v>Reported fact</x:v>
      </x:c>
      <x:c r="E180" s="2" t="str">
        <x:v>WB_food_import_share;WB_imports_usd</x:v>
      </x:c>
      <x:c r="F180" s="2" t="str">
        <x:v>Finance / Strategy to validate</x:v>
      </x:c>
      <x:c r="G180" s="2" t="str">
        <x:v>research/olam-global/country-panel.csv:GIN:2016</x:v>
      </x:c>
      <x:c r="H180" s="2" t="str">
        <x:v>Same-year matching prevents multiplying different vintages</x:v>
      </x:c>
      <x:c r="I180" s="2" t="str">
        <x:v>No empirical calibration; sensitivity or missing-data gate applies</x:v>
      </x:c>
    </x:row>
    <x:row r="181" ht="100" customHeight="1">
      <x:c r="A181" s="2" t="str">
        <x:v>UN_WPP_GNB</x:v>
      </x:c>
      <x:c r="B181" s="2" t="str">
        <x:v>{"2026":2297808,"2030":2488934,"2035":2730133,"2040":2969702,"2045":3204249,"2050":3438608,"2051":3483363}</x:v>
      </x:c>
      <x:c r="C181" s="2" t="str">
        <x:v>Persons at seven milestones</x:v>
      </x:c>
      <x:c r="D181" s="2" t="str">
        <x:v>External projection</x:v>
      </x:c>
      <x:c r="E181" s="2" t="str">
        <x:v>UN_WPP</x:v>
      </x:c>
      <x:c r="F181" s="2" t="str">
        <x:v>UN DESA issuer; Strategy refresh</x:v>
      </x:c>
      <x:c r="G181" s="2" t="str">
        <x:v>research/olam-global/raw/wpp-milestones.csv:GNB</x:v>
      </x:c>
      <x:c r="H181" s="2" t="str">
        <x:v>WPP Medium in thousands ×1000; no income/category-demand inference</x:v>
      </x:c>
      <x:c r="I181" s="2" t="str">
        <x:v>Medium fertility variant only; low/high not in the compact source and not retrieved</x:v>
      </x:c>
    </x:row>
    <x:row r="182" ht="100" customHeight="1">
      <x:c r="A182" s="2" t="str">
        <x:v>I-WBFOOD-GNB</x:v>
      </x:c>
      <x:c r="B182" s="2" t="str">
        <x:v>{"country":"GNB","year":2018,"result_USD":143900713.44062883,"inputs":"Exact matched year and variable values in country-panel.csv"}</x:v>
      </x:c>
      <x:c r="C182" s="2" t="str">
        <x:v>Percent merchandise imports × current USD</x:v>
      </x:c>
      <x:c r="D182" s="2" t="str">
        <x:v>Reported fact</x:v>
      </x:c>
      <x:c r="E182" s="2" t="str">
        <x:v>WB_food_import_share;WB_imports_usd</x:v>
      </x:c>
      <x:c r="F182" s="2" t="str">
        <x:v>Finance / Strategy to validate</x:v>
      </x:c>
      <x:c r="G182" s="2" t="str">
        <x:v>research/olam-global/country-panel.csv:GNB:2018</x:v>
      </x:c>
      <x:c r="H182" s="2" t="str">
        <x:v>Same-year matching prevents multiplying different vintages</x:v>
      </x:c>
      <x:c r="I182" s="2" t="str">
        <x:v>No empirical calibration; sensitivity or missing-data gate applies</x:v>
      </x:c>
    </x:row>
    <x:row r="183" ht="100" customHeight="1">
      <x:c r="A183" s="2" t="str">
        <x:v>UN_WPP_GUY</x:v>
      </x:c>
      <x:c r="B183" s="2" t="str">
        <x:v>{"2026":840890,"2030":861038,"2035":885936,"2040":907506,"2045":926353,"2050":940607,"2051":942745}</x:v>
      </x:c>
      <x:c r="C183" s="2" t="str">
        <x:v>Persons at seven milestones</x:v>
      </x:c>
      <x:c r="D183" s="2" t="str">
        <x:v>External projection</x:v>
      </x:c>
      <x:c r="E183" s="2" t="str">
        <x:v>UN_WPP</x:v>
      </x:c>
      <x:c r="F183" s="2" t="str">
        <x:v>UN DESA issuer; Strategy refresh</x:v>
      </x:c>
      <x:c r="G183" s="2" t="str">
        <x:v>research/olam-global/raw/wpp-milestones.csv:GUY</x:v>
      </x:c>
      <x:c r="H183" s="2" t="str">
        <x:v>WPP Medium in thousands ×1000; no income/category-demand inference</x:v>
      </x:c>
      <x:c r="I183" s="2" t="str">
        <x:v>Medium fertility variant only; low/high not in the compact source and not retrieved</x:v>
      </x:c>
    </x:row>
    <x:row r="184" ht="100" customHeight="1">
      <x:c r="A184" s="2" t="str">
        <x:v>I-WBFOOD-GUY</x:v>
      </x:c>
      <x:c r="B184" s="2" t="str">
        <x:v>{"country":"GUY","year":2025,"result_USD":661648381.9422116,"inputs":"Exact matched year and variable values in country-panel.csv"}</x:v>
      </x:c>
      <x:c r="C184" s="2" t="str">
        <x:v>Percent merchandise imports × current USD</x:v>
      </x:c>
      <x:c r="D184" s="2" t="str">
        <x:v>Reported fact</x:v>
      </x:c>
      <x:c r="E184" s="2" t="str">
        <x:v>WB_food_import_share;WB_imports_usd</x:v>
      </x:c>
      <x:c r="F184" s="2" t="str">
        <x:v>Finance / Strategy to validate</x:v>
      </x:c>
      <x:c r="G184" s="2" t="str">
        <x:v>research/olam-global/country-panel.csv:GUY:2025</x:v>
      </x:c>
      <x:c r="H184" s="2" t="str">
        <x:v>Same-year matching prevents multiplying different vintages</x:v>
      </x:c>
      <x:c r="I184" s="2" t="str">
        <x:v>No empirical calibration; sensitivity or missing-data gate applies</x:v>
      </x:c>
    </x:row>
    <x:row r="185" ht="100" customHeight="1">
      <x:c r="A185" s="2" t="str">
        <x:v>UN_WPP_HTI</x:v>
      </x:c>
      <x:c r="B185" s="2" t="str">
        <x:v>{"2026":12037506,"2030":12552359,"2035":13165000,"2040":13733853,"2045":14252967,"2050":14710862,"2051":14794290}</x:v>
      </x:c>
      <x:c r="C185" s="2" t="str">
        <x:v>Persons at seven milestones</x:v>
      </x:c>
      <x:c r="D185" s="2" t="str">
        <x:v>External projection</x:v>
      </x:c>
      <x:c r="E185" s="2" t="str">
        <x:v>UN_WPP</x:v>
      </x:c>
      <x:c r="F185" s="2" t="str">
        <x:v>UN DESA issuer; Strategy refresh</x:v>
      </x:c>
      <x:c r="G185" s="2" t="str">
        <x:v>research/olam-global/raw/wpp-milestones.csv:HTI</x:v>
      </x:c>
      <x:c r="H185" s="2" t="str">
        <x:v>WPP Medium in thousands ×1000; no income/category-demand inference</x:v>
      </x:c>
      <x:c r="I185" s="2" t="str">
        <x:v>Medium fertility variant only; low/high not in the compact source and not retrieved</x:v>
      </x:c>
    </x:row>
    <x:row r="186" ht="100" customHeight="1">
      <x:c r="A186" s="2" t="str">
        <x:v>I-WBFOOD-HTI</x:v>
      </x:c>
      <x:c r="B186" s="2" t="str">
        <x:v>{"country":"HTI","year":2016,"result_USD":1410716550.9494019,"inputs":"Exact matched year and variable values in country-panel.csv"}</x:v>
      </x:c>
      <x:c r="C186" s="2" t="str">
        <x:v>Percent merchandise imports × current USD</x:v>
      </x:c>
      <x:c r="D186" s="2" t="str">
        <x:v>Reported fact</x:v>
      </x:c>
      <x:c r="E186" s="2" t="str">
        <x:v>WB_food_import_share;WB_imports_usd</x:v>
      </x:c>
      <x:c r="F186" s="2" t="str">
        <x:v>Finance / Strategy to validate</x:v>
      </x:c>
      <x:c r="G186" s="2" t="str">
        <x:v>research/olam-global/country-panel.csv:HTI:2016</x:v>
      </x:c>
      <x:c r="H186" s="2" t="str">
        <x:v>Same-year matching prevents multiplying different vintages</x:v>
      </x:c>
      <x:c r="I186" s="2" t="str">
        <x:v>No empirical calibration; sensitivity or missing-data gate applies</x:v>
      </x:c>
    </x:row>
    <x:row r="187" ht="100" customHeight="1">
      <x:c r="A187" s="2" t="str">
        <x:v>UN_WPP_VAT</x:v>
      </x:c>
      <x:c r="B187" s="2" t="str">
        <x:v>{"2026":506,"2030":528,"2035":537,"2040":587,"2045":649,"2050":714,"2051":726}</x:v>
      </x:c>
      <x:c r="C187" s="2" t="str">
        <x:v>Persons at seven milestones</x:v>
      </x:c>
      <x:c r="D187" s="2" t="str">
        <x:v>External projection</x:v>
      </x:c>
      <x:c r="E187" s="2" t="str">
        <x:v>UN_WPP</x:v>
      </x:c>
      <x:c r="F187" s="2" t="str">
        <x:v>UN DESA issuer; Strategy refresh</x:v>
      </x:c>
      <x:c r="G187" s="2" t="str">
        <x:v>research/olam-global/raw/wpp-milestones.csv:VAT</x:v>
      </x:c>
      <x:c r="H187" s="2" t="str">
        <x:v>WPP Medium in thousands ×1000; no income/category-demand inference</x:v>
      </x:c>
      <x:c r="I187" s="2" t="str">
        <x:v>Medium fertility variant only; low/high not in the compact source and not retrieved</x:v>
      </x:c>
    </x:row>
    <x:row r="188" ht="100" customHeight="1">
      <x:c r="A188" s="2" t="str">
        <x:v>UN_WPP_HND</x:v>
      </x:c>
      <x:c r="B188" s="2" t="str">
        <x:v>{"2026":11184760,"2030":11885319,"2035":12714114,"2040":13484653,"2045":14197946,"2050":14846779,"2051":14968238}</x:v>
      </x:c>
      <x:c r="C188" s="2" t="str">
        <x:v>Persons at seven milestones</x:v>
      </x:c>
      <x:c r="D188" s="2" t="str">
        <x:v>External projection</x:v>
      </x:c>
      <x:c r="E188" s="2" t="str">
        <x:v>UN_WPP</x:v>
      </x:c>
      <x:c r="F188" s="2" t="str">
        <x:v>UN DESA issuer; Strategy refresh</x:v>
      </x:c>
      <x:c r="G188" s="2" t="str">
        <x:v>research/olam-global/raw/wpp-milestones.csv:HND</x:v>
      </x:c>
      <x:c r="H188" s="2" t="str">
        <x:v>WPP Medium in thousands ×1000; no income/category-demand inference</x:v>
      </x:c>
      <x:c r="I188" s="2" t="str">
        <x:v>Medium fertility variant only; low/high not in the compact source and not retrieved</x:v>
      </x:c>
    </x:row>
    <x:row r="189" ht="100" customHeight="1">
      <x:c r="A189" s="2" t="str">
        <x:v>I-WBFOOD-HND</x:v>
      </x:c>
      <x:c r="B189" s="2" t="str">
        <x:v>{"country":"HND","year":2024,"result_USD":3456003814.5955815,"inputs":"Exact matched year and variable values in country-panel.csv"}</x:v>
      </x:c>
      <x:c r="C189" s="2" t="str">
        <x:v>Percent merchandise imports × current USD</x:v>
      </x:c>
      <x:c r="D189" s="2" t="str">
        <x:v>Reported fact</x:v>
      </x:c>
      <x:c r="E189" s="2" t="str">
        <x:v>WB_food_import_share;WB_imports_usd</x:v>
      </x:c>
      <x:c r="F189" s="2" t="str">
        <x:v>Finance / Strategy to validate</x:v>
      </x:c>
      <x:c r="G189" s="2" t="str">
        <x:v>research/olam-global/country-panel.csv:HND:2024</x:v>
      </x:c>
      <x:c r="H189" s="2" t="str">
        <x:v>Same-year matching prevents multiplying different vintages</x:v>
      </x:c>
      <x:c r="I189" s="2" t="str">
        <x:v>No empirical calibration; sensitivity or missing-data gate applies</x:v>
      </x:c>
    </x:row>
    <x:row r="190" ht="100" customHeight="1">
      <x:c r="A190" s="2" t="str">
        <x:v>UN_WPP_HUN</x:v>
      </x:c>
      <x:c r="B190" s="2" t="str">
        <x:v>{"2026":9585818,"2030":9449115,"2035":9259903,"2040":9067617,"2045":8889214,"2050":8725347,"2051":8693973}</x:v>
      </x:c>
      <x:c r="C190" s="2" t="str">
        <x:v>Persons at seven milestones</x:v>
      </x:c>
      <x:c r="D190" s="2" t="str">
        <x:v>External projection</x:v>
      </x:c>
      <x:c r="E190" s="2" t="str">
        <x:v>UN_WPP</x:v>
      </x:c>
      <x:c r="F190" s="2" t="str">
        <x:v>UN DESA issuer; Strategy refresh</x:v>
      </x:c>
      <x:c r="G190" s="2" t="str">
        <x:v>research/olam-global/raw/wpp-milestones.csv:HUN</x:v>
      </x:c>
      <x:c r="H190" s="2" t="str">
        <x:v>WPP Medium in thousands ×1000; no income/category-demand inference</x:v>
      </x:c>
      <x:c r="I190" s="2" t="str">
        <x:v>Medium fertility variant only; low/high not in the compact source and not retrieved</x:v>
      </x:c>
    </x:row>
    <x:row r="191" ht="100" customHeight="1">
      <x:c r="A191" s="2" t="str">
        <x:v>I-WBFOOD-HUN</x:v>
      </x:c>
      <x:c r="B191" s="2" t="str">
        <x:v>{"country":"HUN","year":2025,"result_USD":11223376500.537548,"inputs":"Exact matched year and variable values in country-panel.csv"}</x:v>
      </x:c>
      <x:c r="C191" s="2" t="str">
        <x:v>Percent merchandise imports × current USD</x:v>
      </x:c>
      <x:c r="D191" s="2" t="str">
        <x:v>Reported fact</x:v>
      </x:c>
      <x:c r="E191" s="2" t="str">
        <x:v>WB_food_import_share;WB_imports_usd</x:v>
      </x:c>
      <x:c r="F191" s="2" t="str">
        <x:v>Finance / Strategy to validate</x:v>
      </x:c>
      <x:c r="G191" s="2" t="str">
        <x:v>research/olam-global/country-panel.csv:HUN:2025</x:v>
      </x:c>
      <x:c r="H191" s="2" t="str">
        <x:v>Same-year matching prevents multiplying different vintages</x:v>
      </x:c>
      <x:c r="I191" s="2" t="str">
        <x:v>No empirical calibration; sensitivity or missing-data gate applies</x:v>
      </x:c>
    </x:row>
    <x:row r="192" ht="100" customHeight="1">
      <x:c r="A192" s="2" t="str">
        <x:v>UN_WPP_ISL</x:v>
      </x:c>
      <x:c r="B192" s="2" t="str">
        <x:v>{"2026":402329,"2030":414348,"2035":423579,"2040":429452,"2045":432484,"2050":432993,"2051":432981}</x:v>
      </x:c>
      <x:c r="C192" s="2" t="str">
        <x:v>Persons at seven milestones</x:v>
      </x:c>
      <x:c r="D192" s="2" t="str">
        <x:v>External projection</x:v>
      </x:c>
      <x:c r="E192" s="2" t="str">
        <x:v>UN_WPP</x:v>
      </x:c>
      <x:c r="F192" s="2" t="str">
        <x:v>UN DESA issuer; Strategy refresh</x:v>
      </x:c>
      <x:c r="G192" s="2" t="str">
        <x:v>research/olam-global/raw/wpp-milestones.csv:ISL</x:v>
      </x:c>
      <x:c r="H192" s="2" t="str">
        <x:v>WPP Medium in thousands ×1000; no income/category-demand inference</x:v>
      </x:c>
      <x:c r="I192" s="2" t="str">
        <x:v>Medium fertility variant only; low/high not in the compact source and not retrieved</x:v>
      </x:c>
    </x:row>
    <x:row r="193" ht="100" customHeight="1">
      <x:c r="A193" s="2" t="str">
        <x:v>I-WBFOOD-ISL</x:v>
      </x:c>
      <x:c r="B193" s="2" t="str">
        <x:v>{"country":"ISL","year":2025,"result_USD":1211318201.596844,"inputs":"Exact matched year and variable values in country-panel.csv"}</x:v>
      </x:c>
      <x:c r="C193" s="2" t="str">
        <x:v>Percent merchandise imports × current USD</x:v>
      </x:c>
      <x:c r="D193" s="2" t="str">
        <x:v>Reported fact</x:v>
      </x:c>
      <x:c r="E193" s="2" t="str">
        <x:v>WB_food_import_share;WB_imports_usd</x:v>
      </x:c>
      <x:c r="F193" s="2" t="str">
        <x:v>Finance / Strategy to validate</x:v>
      </x:c>
      <x:c r="G193" s="2" t="str">
        <x:v>research/olam-global/country-panel.csv:ISL:2025</x:v>
      </x:c>
      <x:c r="H193" s="2" t="str">
        <x:v>Same-year matching prevents multiplying different vintages</x:v>
      </x:c>
      <x:c r="I193" s="2" t="str">
        <x:v>No empirical calibration; sensitivity or missing-data gate applies</x:v>
      </x:c>
    </x:row>
    <x:row r="194" ht="100" customHeight="1">
      <x:c r="A194" s="2" t="str">
        <x:v>UN_WPP_IND</x:v>
      </x:c>
      <x:c r="B194" s="2" t="str">
        <x:v>{"2026":1476625576,"2030":1525138844,"2035":1578694796,"2040":1622580039,"2045":1656067583,"2050":1679589259,"2051":1683220886}</x:v>
      </x:c>
      <x:c r="C194" s="2" t="str">
        <x:v>Persons at seven milestones</x:v>
      </x:c>
      <x:c r="D194" s="2" t="str">
        <x:v>External projection</x:v>
      </x:c>
      <x:c r="E194" s="2" t="str">
        <x:v>UN_WPP</x:v>
      </x:c>
      <x:c r="F194" s="2" t="str">
        <x:v>UN DESA issuer; Strategy refresh</x:v>
      </x:c>
      <x:c r="G194" s="2" t="str">
        <x:v>research/olam-global/raw/wpp-milestones.csv:IND</x:v>
      </x:c>
      <x:c r="H194" s="2" t="str">
        <x:v>WPP Medium in thousands ×1000; no income/category-demand inference</x:v>
      </x:c>
      <x:c r="I194" s="2" t="str">
        <x:v>Medium fertility variant only; low/high not in the compact source and not retrieved</x:v>
      </x:c>
    </x:row>
    <x:row r="195" ht="100" customHeight="1">
      <x:c r="A195" s="2" t="str">
        <x:v>I-WBFOOD-IND</x:v>
      </x:c>
      <x:c r="B195" s="2" t="str">
        <x:v>{"country":"IND","year":2024,"result_USD":36353451674.99419,"inputs":"Exact matched year and variable values in country-panel.csv"}</x:v>
      </x:c>
      <x:c r="C195" s="2" t="str">
        <x:v>Percent merchandise imports × current USD</x:v>
      </x:c>
      <x:c r="D195" s="2" t="str">
        <x:v>Reported fact</x:v>
      </x:c>
      <x:c r="E195" s="2" t="str">
        <x:v>WB_food_import_share;WB_imports_usd</x:v>
      </x:c>
      <x:c r="F195" s="2" t="str">
        <x:v>Finance / Strategy to validate</x:v>
      </x:c>
      <x:c r="G195" s="2" t="str">
        <x:v>research/olam-global/country-panel.csv:IND:2024</x:v>
      </x:c>
      <x:c r="H195" s="2" t="str">
        <x:v>Same-year matching prevents multiplying different vintages</x:v>
      </x:c>
      <x:c r="I195" s="2" t="str">
        <x:v>No empirical calibration; sensitivity or missing-data gate applies</x:v>
      </x:c>
    </x:row>
    <x:row r="196" ht="100" customHeight="1">
      <x:c r="A196" s="2" t="str">
        <x:v>UN_WPP_IDN</x:v>
      </x:c>
      <x:c r="B196" s="2" t="str">
        <x:v>{"2026":287886782,"2030":295876648,"2035":304566622,"2040":311797395,"2045":317249613,"2050":320712949,"2051":321175111}</x:v>
      </x:c>
      <x:c r="C196" s="2" t="str">
        <x:v>Persons at seven milestones</x:v>
      </x:c>
      <x:c r="D196" s="2" t="str">
        <x:v>External projection</x:v>
      </x:c>
      <x:c r="E196" s="2" t="str">
        <x:v>UN_WPP</x:v>
      </x:c>
      <x:c r="F196" s="2" t="str">
        <x:v>UN DESA issuer; Strategy refresh</x:v>
      </x:c>
      <x:c r="G196" s="2" t="str">
        <x:v>research/olam-global/raw/wpp-milestones.csv:IDN</x:v>
      </x:c>
      <x:c r="H196" s="2" t="str">
        <x:v>WPP Medium in thousands ×1000; no income/category-demand inference</x:v>
      </x:c>
      <x:c r="I196" s="2" t="str">
        <x:v>Medium fertility variant only; low/high not in the compact source and not retrieved</x:v>
      </x:c>
    </x:row>
    <x:row r="197" ht="100" customHeight="1">
      <x:c r="A197" s="2" t="str">
        <x:v>I-WBFOOD-IDN</x:v>
      </x:c>
      <x:c r="B197" s="2" t="str">
        <x:v>{"country":"IDN","year":2025,"result_USD":24688441582.426815,"inputs":"Exact matched year and variable values in country-panel.csv"}</x:v>
      </x:c>
      <x:c r="C197" s="2" t="str">
        <x:v>Percent merchandise imports × current USD</x:v>
      </x:c>
      <x:c r="D197" s="2" t="str">
        <x:v>Reported fact</x:v>
      </x:c>
      <x:c r="E197" s="2" t="str">
        <x:v>WB_food_import_share;WB_imports_usd</x:v>
      </x:c>
      <x:c r="F197" s="2" t="str">
        <x:v>Finance / Strategy to validate</x:v>
      </x:c>
      <x:c r="G197" s="2" t="str">
        <x:v>research/olam-global/country-panel.csv:IDN:2025</x:v>
      </x:c>
      <x:c r="H197" s="2" t="str">
        <x:v>Same-year matching prevents multiplying different vintages</x:v>
      </x:c>
      <x:c r="I197" s="2" t="str">
        <x:v>No empirical calibration; sensitivity or missing-data gate applies</x:v>
      </x:c>
    </x:row>
    <x:row r="198" ht="100" customHeight="1">
      <x:c r="A198" s="2" t="str">
        <x:v>UN_WPP_IRN</x:v>
      </x:c>
      <x:c r="B198" s="2" t="str">
        <x:v>{"2026":93168497,"2030":95486667,"2035":97679252,"2040":99524277,"2045":100990613,"2050":101861993,"2051":101942322}</x:v>
      </x:c>
      <x:c r="C198" s="2" t="str">
        <x:v>Persons at seven milestones</x:v>
      </x:c>
      <x:c r="D198" s="2" t="str">
        <x:v>External projection</x:v>
      </x:c>
      <x:c r="E198" s="2" t="str">
        <x:v>UN_WPP</x:v>
      </x:c>
      <x:c r="F198" s="2" t="str">
        <x:v>UN DESA issuer; Strategy refresh</x:v>
      </x:c>
      <x:c r="G198" s="2" t="str">
        <x:v>research/olam-global/raw/wpp-milestones.csv:IRN</x:v>
      </x:c>
      <x:c r="H198" s="2" t="str">
        <x:v>WPP Medium in thousands ×1000; no income/category-demand inference</x:v>
      </x:c>
      <x:c r="I198" s="2" t="str">
        <x:v>Medium fertility variant only; low/high not in the compact source and not retrieved</x:v>
      </x:c>
    </x:row>
    <x:row r="199" ht="100" customHeight="1">
      <x:c r="A199" s="2" t="str">
        <x:v>I-WBFOOD-IRN</x:v>
      </x:c>
      <x:c r="B199" s="2" t="str">
        <x:v>{"country":"IRN","year":2022,"result_USD":17317866344.925434,"inputs":"Exact matched year and variable values in country-panel.csv"}</x:v>
      </x:c>
      <x:c r="C199" s="2" t="str">
        <x:v>Percent merchandise imports × current USD</x:v>
      </x:c>
      <x:c r="D199" s="2" t="str">
        <x:v>Reported fact</x:v>
      </x:c>
      <x:c r="E199" s="2" t="str">
        <x:v>WB_food_import_share;WB_imports_usd</x:v>
      </x:c>
      <x:c r="F199" s="2" t="str">
        <x:v>Finance / Strategy to validate</x:v>
      </x:c>
      <x:c r="G199" s="2" t="str">
        <x:v>research/olam-global/country-panel.csv:IRN:2022</x:v>
      </x:c>
      <x:c r="H199" s="2" t="str">
        <x:v>Same-year matching prevents multiplying different vintages</x:v>
      </x:c>
      <x:c r="I199" s="2" t="str">
        <x:v>No empirical calibration; sensitivity or missing-data gate applies</x:v>
      </x:c>
    </x:row>
    <x:row r="200" ht="100" customHeight="1">
      <x:c r="A200" s="2" t="str">
        <x:v>UN_WPP_IRQ</x:v>
      </x:c>
      <x:c r="B200" s="2" t="str">
        <x:v>{"2026":48007437,"2030":51937208,"2035":57035914,"2040":62223211,"2045":67204177,"2050":71928750,"2051":72837415}</x:v>
      </x:c>
      <x:c r="C200" s="2" t="str">
        <x:v>Persons at seven milestones</x:v>
      </x:c>
      <x:c r="D200" s="2" t="str">
        <x:v>External projection</x:v>
      </x:c>
      <x:c r="E200" s="2" t="str">
        <x:v>UN_WPP</x:v>
      </x:c>
      <x:c r="F200" s="2" t="str">
        <x:v>UN DESA issuer; Strategy refresh</x:v>
      </x:c>
      <x:c r="G200" s="2" t="str">
        <x:v>research/olam-global/raw/wpp-milestones.csv:IRQ</x:v>
      </x:c>
      <x:c r="H200" s="2" t="str">
        <x:v>WPP Medium in thousands ×1000; no income/category-demand inference</x:v>
      </x:c>
      <x:c r="I200" s="2" t="str">
        <x:v>Medium fertility variant only; low/high not in the compact source and not retrieved</x:v>
      </x:c>
    </x:row>
    <x:row r="201" ht="100" customHeight="1">
      <x:c r="A201" s="2" t="str">
        <x:v>I-WBFOOD-IRQ</x:v>
      </x:c>
      <x:c r="B201" s="2" t="str">
        <x:v>{"country":"IRQ","year":2014,"result_USD":4216939693.495306,"inputs":"Exact matched year and variable values in country-panel.csv"}</x:v>
      </x:c>
      <x:c r="C201" s="2" t="str">
        <x:v>Percent merchandise imports × current USD</x:v>
      </x:c>
      <x:c r="D201" s="2" t="str">
        <x:v>Reported fact</x:v>
      </x:c>
      <x:c r="E201" s="2" t="str">
        <x:v>WB_food_import_share;WB_imports_usd</x:v>
      </x:c>
      <x:c r="F201" s="2" t="str">
        <x:v>Finance / Strategy to validate</x:v>
      </x:c>
      <x:c r="G201" s="2" t="str">
        <x:v>research/olam-global/country-panel.csv:IRQ:2014</x:v>
      </x:c>
      <x:c r="H201" s="2" t="str">
        <x:v>Same-year matching prevents multiplying different vintages</x:v>
      </x:c>
      <x:c r="I201" s="2" t="str">
        <x:v>No empirical calibration; sensitivity or missing-data gate applies</x:v>
      </x:c>
    </x:row>
    <x:row r="202" ht="100" customHeight="1">
      <x:c r="A202" s="2" t="str">
        <x:v>UN_WPP_IRL</x:v>
      </x:c>
      <x:c r="B202" s="2" t="str">
        <x:v>{"2026":5356950,"2030":5525093,"2035":5686868,"2040":5817570,"2045":5916936,"2050":5970042,"2051":5973837}</x:v>
      </x:c>
      <x:c r="C202" s="2" t="str">
        <x:v>Persons at seven milestones</x:v>
      </x:c>
      <x:c r="D202" s="2" t="str">
        <x:v>External projection</x:v>
      </x:c>
      <x:c r="E202" s="2" t="str">
        <x:v>UN_WPP</x:v>
      </x:c>
      <x:c r="F202" s="2" t="str">
        <x:v>UN DESA issuer; Strategy refresh</x:v>
      </x:c>
      <x:c r="G202" s="2" t="str">
        <x:v>research/olam-global/raw/wpp-milestones.csv:IRL</x:v>
      </x:c>
      <x:c r="H202" s="2" t="str">
        <x:v>WPP Medium in thousands ×1000; no income/category-demand inference</x:v>
      </x:c>
      <x:c r="I202" s="2" t="str">
        <x:v>Medium fertility variant only; low/high not in the compact source and not retrieved</x:v>
      </x:c>
    </x:row>
    <x:row r="203" ht="100" customHeight="1">
      <x:c r="A203" s="2" t="str">
        <x:v>I-WBFOOD-IRL</x:v>
      </x:c>
      <x:c r="B203" s="2" t="str">
        <x:v>{"country":"IRL","year":2024,"result_USD":13551142022.544493,"inputs":"Exact matched year and variable values in country-panel.csv"}</x:v>
      </x:c>
      <x:c r="C203" s="2" t="str">
        <x:v>Percent merchandise imports × current USD</x:v>
      </x:c>
      <x:c r="D203" s="2" t="str">
        <x:v>Reported fact</x:v>
      </x:c>
      <x:c r="E203" s="2" t="str">
        <x:v>WB_food_import_share;WB_imports_usd</x:v>
      </x:c>
      <x:c r="F203" s="2" t="str">
        <x:v>Finance / Strategy to validate</x:v>
      </x:c>
      <x:c r="G203" s="2" t="str">
        <x:v>research/olam-global/country-panel.csv:IRL:2024</x:v>
      </x:c>
      <x:c r="H203" s="2" t="str">
        <x:v>Same-year matching prevents multiplying different vintages</x:v>
      </x:c>
      <x:c r="I203" s="2" t="str">
        <x:v>No empirical calibration; sensitivity or missing-data gate applies</x:v>
      </x:c>
    </x:row>
    <x:row r="204" ht="100" customHeight="1">
      <x:c r="A204" s="2" t="str">
        <x:v>UN_WPP_ISR</x:v>
      </x:c>
      <x:c r="B204" s="2" t="str">
        <x:v>{"2026":9647689,"2030":10175954,"2035":10858122,"2040":11581474,"2045":12342061,"2050":13092722,"2051":13244415}</x:v>
      </x:c>
      <x:c r="C204" s="2" t="str">
        <x:v>Persons at seven milestones</x:v>
      </x:c>
      <x:c r="D204" s="2" t="str">
        <x:v>External projection</x:v>
      </x:c>
      <x:c r="E204" s="2" t="str">
        <x:v>UN_WPP</x:v>
      </x:c>
      <x:c r="F204" s="2" t="str">
        <x:v>UN DESA issuer; Strategy refresh</x:v>
      </x:c>
      <x:c r="G204" s="2" t="str">
        <x:v>research/olam-global/raw/wpp-milestones.csv:ISR</x:v>
      </x:c>
      <x:c r="H204" s="2" t="str">
        <x:v>WPP Medium in thousands ×1000; no income/category-demand inference</x:v>
      </x:c>
      <x:c r="I204" s="2" t="str">
        <x:v>Medium fertility variant only; low/high not in the compact source and not retrieved</x:v>
      </x:c>
    </x:row>
    <x:row r="205" ht="100" customHeight="1">
      <x:c r="A205" s="2" t="str">
        <x:v>I-WBFOOD-ISR</x:v>
      </x:c>
      <x:c r="B205" s="2" t="str">
        <x:v>{"country":"ISR","year":2024,"result_USD":9696094194.014727,"inputs":"Exact matched year and variable values in country-panel.csv"}</x:v>
      </x:c>
      <x:c r="C205" s="2" t="str">
        <x:v>Percent merchandise imports × current USD</x:v>
      </x:c>
      <x:c r="D205" s="2" t="str">
        <x:v>Reported fact</x:v>
      </x:c>
      <x:c r="E205" s="2" t="str">
        <x:v>WB_food_import_share;WB_imports_usd</x:v>
      </x:c>
      <x:c r="F205" s="2" t="str">
        <x:v>Finance / Strategy to validate</x:v>
      </x:c>
      <x:c r="G205" s="2" t="str">
        <x:v>research/olam-global/country-panel.csv:ISR:2024</x:v>
      </x:c>
      <x:c r="H205" s="2" t="str">
        <x:v>Same-year matching prevents multiplying different vintages</x:v>
      </x:c>
      <x:c r="I205" s="2" t="str">
        <x:v>No empirical calibration; sensitivity or missing-data gate applies</x:v>
      </x:c>
    </x:row>
    <x:row r="206" ht="100" customHeight="1">
      <x:c r="A206" s="2" t="str">
        <x:v>UN_WPP_ITA</x:v>
      </x:c>
      <x:c r="B206" s="2" t="str">
        <x:v>{"2026":58926166,"2030":57946072,"2035":56620005,"2040":55221168,"2045":53680471,"2050":51891099,"2051":51499509}</x:v>
      </x:c>
      <x:c r="C206" s="2" t="str">
        <x:v>Persons at seven milestones</x:v>
      </x:c>
      <x:c r="D206" s="2" t="str">
        <x:v>External projection</x:v>
      </x:c>
      <x:c r="E206" s="2" t="str">
        <x:v>UN_WPP</x:v>
      </x:c>
      <x:c r="F206" s="2" t="str">
        <x:v>UN DESA issuer; Strategy refresh</x:v>
      </x:c>
      <x:c r="G206" s="2" t="str">
        <x:v>research/olam-global/raw/wpp-milestones.csv:ITA</x:v>
      </x:c>
      <x:c r="H206" s="2" t="str">
        <x:v>WPP Medium in thousands ×1000; no income/category-demand inference</x:v>
      </x:c>
      <x:c r="I206" s="2" t="str">
        <x:v>Medium fertility variant only; low/high not in the compact source and not retrieved</x:v>
      </x:c>
    </x:row>
    <x:row r="207" ht="100" customHeight="1">
      <x:c r="A207" s="2" t="str">
        <x:v>I-WBFOOD-ITA</x:v>
      </x:c>
      <x:c r="B207" s="2" t="str">
        <x:v>{"country":"ITA","year":2024,"result_USD":69698335602.25407,"inputs":"Exact matched year and variable values in country-panel.csv"}</x:v>
      </x:c>
      <x:c r="C207" s="2" t="str">
        <x:v>Percent merchandise imports × current USD</x:v>
      </x:c>
      <x:c r="D207" s="2" t="str">
        <x:v>Reported fact</x:v>
      </x:c>
      <x:c r="E207" s="2" t="str">
        <x:v>WB_food_import_share;WB_imports_usd</x:v>
      </x:c>
      <x:c r="F207" s="2" t="str">
        <x:v>Finance / Strategy to validate</x:v>
      </x:c>
      <x:c r="G207" s="2" t="str">
        <x:v>research/olam-global/country-panel.csv:ITA:2024</x:v>
      </x:c>
      <x:c r="H207" s="2" t="str">
        <x:v>Same-year matching prevents multiplying different vintages</x:v>
      </x:c>
      <x:c r="I207" s="2" t="str">
        <x:v>No empirical calibration; sensitivity or missing-data gate applies</x:v>
      </x:c>
    </x:row>
    <x:row r="208" ht="100" customHeight="1">
      <x:c r="A208" s="2" t="str">
        <x:v>UN_WPP_JAM</x:v>
      </x:c>
      <x:c r="B208" s="2" t="str">
        <x:v>{"2026":2833403,"2030":2808954,"2035":2755934,"2040":2676100,"2045":2574081,"2050":2454940,"2051":2429919}</x:v>
      </x:c>
      <x:c r="C208" s="2" t="str">
        <x:v>Persons at seven milestones</x:v>
      </x:c>
      <x:c r="D208" s="2" t="str">
        <x:v>External projection</x:v>
      </x:c>
      <x:c r="E208" s="2" t="str">
        <x:v>UN_WPP</x:v>
      </x:c>
      <x:c r="F208" s="2" t="str">
        <x:v>UN DESA issuer; Strategy refresh</x:v>
      </x:c>
      <x:c r="G208" s="2" t="str">
        <x:v>research/olam-global/raw/wpp-milestones.csv:JAM</x:v>
      </x:c>
      <x:c r="H208" s="2" t="str">
        <x:v>WPP Medium in thousands ×1000; no income/category-demand inference</x:v>
      </x:c>
      <x:c r="I208" s="2" t="str">
        <x:v>Medium fertility variant only; low/high not in the compact source and not retrieved</x:v>
      </x:c>
    </x:row>
    <x:row r="209" ht="100" customHeight="1">
      <x:c r="A209" s="2" t="str">
        <x:v>I-WBFOOD-JAM</x:v>
      </x:c>
      <x:c r="B209" s="2" t="str">
        <x:v>{"country":"JAM","year":2023,"result_USD":1557473548.5443795,"inputs":"Exact matched year and variable values in country-panel.csv"}</x:v>
      </x:c>
      <x:c r="C209" s="2" t="str">
        <x:v>Percent merchandise imports × current USD</x:v>
      </x:c>
      <x:c r="D209" s="2" t="str">
        <x:v>Reported fact</x:v>
      </x:c>
      <x:c r="E209" s="2" t="str">
        <x:v>WB_food_import_share;WB_imports_usd</x:v>
      </x:c>
      <x:c r="F209" s="2" t="str">
        <x:v>Finance / Strategy to validate</x:v>
      </x:c>
      <x:c r="G209" s="2" t="str">
        <x:v>research/olam-global/country-panel.csv:JAM:2023</x:v>
      </x:c>
      <x:c r="H209" s="2" t="str">
        <x:v>Same-year matching prevents multiplying different vintages</x:v>
      </x:c>
      <x:c r="I209" s="2" t="str">
        <x:v>No empirical calibration; sensitivity or missing-data gate applies</x:v>
      </x:c>
    </x:row>
    <x:row r="210" ht="100" customHeight="1">
      <x:c r="A210" s="2" t="str">
        <x:v>UN_WPP_JPN</x:v>
      </x:c>
      <x:c r="B210" s="2" t="str">
        <x:v>{"2026":122427731,"2030":119584121,"2035":115876149,"2040":112158303,"2045":108551995,"2050":105123167,"2051":104452458}</x:v>
      </x:c>
      <x:c r="C210" s="2" t="str">
        <x:v>Persons at seven milestones</x:v>
      </x:c>
      <x:c r="D210" s="2" t="str">
        <x:v>External projection</x:v>
      </x:c>
      <x:c r="E210" s="2" t="str">
        <x:v>UN_WPP</x:v>
      </x:c>
      <x:c r="F210" s="2" t="str">
        <x:v>UN DESA issuer; Strategy refresh</x:v>
      </x:c>
      <x:c r="G210" s="2" t="str">
        <x:v>research/olam-global/raw/wpp-milestones.csv:JPN</x:v>
      </x:c>
      <x:c r="H210" s="2" t="str">
        <x:v>WPP Medium in thousands ×1000; no income/category-demand inference</x:v>
      </x:c>
      <x:c r="I210" s="2" t="str">
        <x:v>Medium fertility variant only; low/high not in the compact source and not retrieved</x:v>
      </x:c>
    </x:row>
    <x:row r="211" ht="100" customHeight="1">
      <x:c r="A211" s="2" t="str">
        <x:v>I-WBFOOD-JPN</x:v>
      </x:c>
      <x:c r="B211" s="2" t="str">
        <x:v>{"country":"JPN","year":2025,"result_USD":73854014731.20944,"inputs":"Exact matched year and variable values in country-panel.csv"}</x:v>
      </x:c>
      <x:c r="C211" s="2" t="str">
        <x:v>Percent merchandise imports × current USD</x:v>
      </x:c>
      <x:c r="D211" s="2" t="str">
        <x:v>Reported fact</x:v>
      </x:c>
      <x:c r="E211" s="2" t="str">
        <x:v>WB_food_import_share;WB_imports_usd</x:v>
      </x:c>
      <x:c r="F211" s="2" t="str">
        <x:v>Finance / Strategy to validate</x:v>
      </x:c>
      <x:c r="G211" s="2" t="str">
        <x:v>research/olam-global/country-panel.csv:JPN:2025</x:v>
      </x:c>
      <x:c r="H211" s="2" t="str">
        <x:v>Same-year matching prevents multiplying different vintages</x:v>
      </x:c>
      <x:c r="I211" s="2" t="str">
        <x:v>No empirical calibration; sensitivity or missing-data gate applies</x:v>
      </x:c>
    </x:row>
    <x:row r="212" ht="100" customHeight="1">
      <x:c r="A212" s="2" t="str">
        <x:v>UN_WPP_JOR</x:v>
      </x:c>
      <x:c r="B212" s="2" t="str">
        <x:v>{"2026":11589532,"2030":12448776,"2035":13440834,"2040":14471297,"2045":15471984,"2050":16367354,"2051":16525167.000000002}</x:v>
      </x:c>
      <x:c r="C212" s="2" t="str">
        <x:v>Persons at seven milestones</x:v>
      </x:c>
      <x:c r="D212" s="2" t="str">
        <x:v>External projection</x:v>
      </x:c>
      <x:c r="E212" s="2" t="str">
        <x:v>UN_WPP</x:v>
      </x:c>
      <x:c r="F212" s="2" t="str">
        <x:v>UN DESA issuer; Strategy refresh</x:v>
      </x:c>
      <x:c r="G212" s="2" t="str">
        <x:v>research/olam-global/raw/wpp-milestones.csv:JOR</x:v>
      </x:c>
      <x:c r="H212" s="2" t="str">
        <x:v>WPP Medium in thousands ×1000; no income/category-demand inference</x:v>
      </x:c>
      <x:c r="I212" s="2" t="str">
        <x:v>Medium fertility variant only; low/high not in the compact source and not retrieved</x:v>
      </x:c>
    </x:row>
    <x:row r="213" ht="100" customHeight="1">
      <x:c r="A213" s="2" t="str">
        <x:v>I-WBFOOD-JOR</x:v>
      </x:c>
      <x:c r="B213" s="2" t="str">
        <x:v>{"country":"JOR","year":2024,"result_USD":5559229378.151394,"inputs":"Exact matched year and variable values in country-panel.csv"}</x:v>
      </x:c>
      <x:c r="C213" s="2" t="str">
        <x:v>Percent merchandise imports × current USD</x:v>
      </x:c>
      <x:c r="D213" s="2" t="str">
        <x:v>Reported fact</x:v>
      </x:c>
      <x:c r="E213" s="2" t="str">
        <x:v>WB_food_import_share;WB_imports_usd</x:v>
      </x:c>
      <x:c r="F213" s="2" t="str">
        <x:v>Finance / Strategy to validate</x:v>
      </x:c>
      <x:c r="G213" s="2" t="str">
        <x:v>research/olam-global/country-panel.csv:JOR:2024</x:v>
      </x:c>
      <x:c r="H213" s="2" t="str">
        <x:v>Same-year matching prevents multiplying different vintages</x:v>
      </x:c>
      <x:c r="I213" s="2" t="str">
        <x:v>No empirical calibration; sensitivity or missing-data gate applies</x:v>
      </x:c>
    </x:row>
    <x:row r="214" ht="100" customHeight="1">
      <x:c r="A214" s="2" t="str">
        <x:v>UN_WPP_KAZ</x:v>
      </x:c>
      <x:c r="B214" s="2" t="str">
        <x:v>{"2026":21083626,"2030":22003193,"2035":23125951,"2040":24246823,"2045":25409756,"2050":26544265,"2051":26757521}</x:v>
      </x:c>
      <x:c r="C214" s="2" t="str">
        <x:v>Persons at seven milestones</x:v>
      </x:c>
      <x:c r="D214" s="2" t="str">
        <x:v>External projection</x:v>
      </x:c>
      <x:c r="E214" s="2" t="str">
        <x:v>UN_WPP</x:v>
      </x:c>
      <x:c r="F214" s="2" t="str">
        <x:v>UN DESA issuer; Strategy refresh</x:v>
      </x:c>
      <x:c r="G214" s="2" t="str">
        <x:v>research/olam-global/raw/wpp-milestones.csv:KAZ</x:v>
      </x:c>
      <x:c r="H214" s="2" t="str">
        <x:v>WPP Medium in thousands ×1000; no income/category-demand inference</x:v>
      </x:c>
      <x:c r="I214" s="2" t="str">
        <x:v>Medium fertility variant only; low/high not in the compact source and not retrieved</x:v>
      </x:c>
    </x:row>
    <x:row r="215" ht="100" customHeight="1">
      <x:c r="A215" s="2" t="str">
        <x:v>I-WBFOOD-KAZ</x:v>
      </x:c>
      <x:c r="B215" s="2" t="str">
        <x:v>{"country":"KAZ","year":2024,"result_USD":6485505633.842246,"inputs":"Exact matched year and variable values in country-panel.csv"}</x:v>
      </x:c>
      <x:c r="C215" s="2" t="str">
        <x:v>Percent merchandise imports × current USD</x:v>
      </x:c>
      <x:c r="D215" s="2" t="str">
        <x:v>Reported fact</x:v>
      </x:c>
      <x:c r="E215" s="2" t="str">
        <x:v>WB_food_import_share;WB_imports_usd</x:v>
      </x:c>
      <x:c r="F215" s="2" t="str">
        <x:v>Finance / Strategy to validate</x:v>
      </x:c>
      <x:c r="G215" s="2" t="str">
        <x:v>research/olam-global/country-panel.csv:KAZ:2024</x:v>
      </x:c>
      <x:c r="H215" s="2" t="str">
        <x:v>Same-year matching prevents multiplying different vintages</x:v>
      </x:c>
      <x:c r="I215" s="2" t="str">
        <x:v>No empirical calibration; sensitivity or missing-data gate applies</x:v>
      </x:c>
    </x:row>
    <x:row r="216" ht="100" customHeight="1">
      <x:c r="A216" s="2" t="str">
        <x:v>UN_WPP_KEN</x:v>
      </x:c>
      <x:c r="B216" s="2" t="str">
        <x:v>{"2026":58636412,"2030":63102245,"2035":68715909,"2040":74108863,"2045":79088836,"2050":83593239,"2051":84451673}</x:v>
      </x:c>
      <x:c r="C216" s="2" t="str">
        <x:v>Persons at seven milestones</x:v>
      </x:c>
      <x:c r="D216" s="2" t="str">
        <x:v>External projection</x:v>
      </x:c>
      <x:c r="E216" s="2" t="str">
        <x:v>UN_WPP</x:v>
      </x:c>
      <x:c r="F216" s="2" t="str">
        <x:v>UN DESA issuer; Strategy refresh</x:v>
      </x:c>
      <x:c r="G216" s="2" t="str">
        <x:v>research/olam-global/raw/wpp-milestones.csv:KEN</x:v>
      </x:c>
      <x:c r="H216" s="2" t="str">
        <x:v>WPP Medium in thousands ×1000; no income/category-demand inference</x:v>
      </x:c>
      <x:c r="I216" s="2" t="str">
        <x:v>Medium fertility variant only; low/high not in the compact source and not retrieved</x:v>
      </x:c>
    </x:row>
    <x:row r="217" ht="100" customHeight="1">
      <x:c r="A217" s="2" t="str">
        <x:v>I-WBFOOD-KEN</x:v>
      </x:c>
      <x:c r="B217" s="2" t="str">
        <x:v>{"country":"KEN","year":2024,"result_USD":3265992016.644896,"inputs":"Exact matched year and variable values in country-panel.csv"}</x:v>
      </x:c>
      <x:c r="C217" s="2" t="str">
        <x:v>Percent merchandise imports × current USD</x:v>
      </x:c>
      <x:c r="D217" s="2" t="str">
        <x:v>Reported fact</x:v>
      </x:c>
      <x:c r="E217" s="2" t="str">
        <x:v>WB_food_import_share;WB_imports_usd</x:v>
      </x:c>
      <x:c r="F217" s="2" t="str">
        <x:v>Finance / Strategy to validate</x:v>
      </x:c>
      <x:c r="G217" s="2" t="str">
        <x:v>research/olam-global/country-panel.csv:KEN:2024</x:v>
      </x:c>
      <x:c r="H217" s="2" t="str">
        <x:v>Same-year matching prevents multiplying different vintages</x:v>
      </x:c>
      <x:c r="I217" s="2" t="str">
        <x:v>No empirical calibration; sensitivity or missing-data gate applies</x:v>
      </x:c>
    </x:row>
    <x:row r="218" ht="100" customHeight="1">
      <x:c r="A218" s="2" t="str">
        <x:v>UN_WPP_KIR</x:v>
      </x:c>
      <x:c r="B218" s="2" t="str">
        <x:v>{"2026":138445,"2030":146126,"2035":155440,"2040":164700,"2045":173813,"2050":182621,"2051":184260}</x:v>
      </x:c>
      <x:c r="C218" s="2" t="str">
        <x:v>Persons at seven milestones</x:v>
      </x:c>
      <x:c r="D218" s="2" t="str">
        <x:v>External projection</x:v>
      </x:c>
      <x:c r="E218" s="2" t="str">
        <x:v>UN_WPP</x:v>
      </x:c>
      <x:c r="F218" s="2" t="str">
        <x:v>UN DESA issuer; Strategy refresh</x:v>
      </x:c>
      <x:c r="G218" s="2" t="str">
        <x:v>research/olam-global/raw/wpp-milestones.csv:KIR</x:v>
      </x:c>
      <x:c r="H218" s="2" t="str">
        <x:v>WPP Medium in thousands ×1000; no income/category-demand inference</x:v>
      </x:c>
      <x:c r="I218" s="2" t="str">
        <x:v>Medium fertility variant only; low/high not in the compact source and not retrieved</x:v>
      </x:c>
    </x:row>
    <x:row r="219" ht="100" customHeight="1">
      <x:c r="A219" s="2" t="str">
        <x:v>I-WBFOOD-KIR</x:v>
      </x:c>
      <x:c r="B219" s="2" t="str">
        <x:v>{"country":"KIR","year":2021,"result_USD":72942155.05429988,"inputs":"Exact matched year and variable values in country-panel.csv"}</x:v>
      </x:c>
      <x:c r="C219" s="2" t="str">
        <x:v>Percent merchandise imports × current USD</x:v>
      </x:c>
      <x:c r="D219" s="2" t="str">
        <x:v>Reported fact</x:v>
      </x:c>
      <x:c r="E219" s="2" t="str">
        <x:v>WB_food_import_share;WB_imports_usd</x:v>
      </x:c>
      <x:c r="F219" s="2" t="str">
        <x:v>Finance / Strategy to validate</x:v>
      </x:c>
      <x:c r="G219" s="2" t="str">
        <x:v>research/olam-global/country-panel.csv:KIR:2021</x:v>
      </x:c>
      <x:c r="H219" s="2" t="str">
        <x:v>Same-year matching prevents multiplying different vintages</x:v>
      </x:c>
      <x:c r="I219" s="2" t="str">
        <x:v>No empirical calibration; sensitivity or missing-data gate applies</x:v>
      </x:c>
    </x:row>
    <x:row r="220" ht="100" customHeight="1">
      <x:c r="A220" s="2" t="str">
        <x:v>UN_WPP_KWT</x:v>
      </x:c>
      <x:c r="B220" s="2" t="str">
        <x:v>{"2026":5102773,"2030":5324198,"2035":5569671,"2040":5831211,"2045":6099774,"2050":6367756,"2051":6421239}</x:v>
      </x:c>
      <x:c r="C220" s="2" t="str">
        <x:v>Persons at seven milestones</x:v>
      </x:c>
      <x:c r="D220" s="2" t="str">
        <x:v>External projection</x:v>
      </x:c>
      <x:c r="E220" s="2" t="str">
        <x:v>UN_WPP</x:v>
      </x:c>
      <x:c r="F220" s="2" t="str">
        <x:v>UN DESA issuer; Strategy refresh</x:v>
      </x:c>
      <x:c r="G220" s="2" t="str">
        <x:v>research/olam-global/raw/wpp-milestones.csv:KWT</x:v>
      </x:c>
      <x:c r="H220" s="2" t="str">
        <x:v>WPP Medium in thousands ×1000; no income/category-demand inference</x:v>
      </x:c>
      <x:c r="I220" s="2" t="str">
        <x:v>Medium fertility variant only; low/high not in the compact source and not retrieved</x:v>
      </x:c>
    </x:row>
    <x:row r="221" ht="100" customHeight="1">
      <x:c r="A221" s="2" t="str">
        <x:v>I-WBFOOD-KWT</x:v>
      </x:c>
      <x:c r="B221" s="2" t="str">
        <x:v>{"country":"KWT","year":2024,"result_USD":6656623700.110077,"inputs":"Exact matched year and variable values in country-panel.csv"}</x:v>
      </x:c>
      <x:c r="C221" s="2" t="str">
        <x:v>Percent merchandise imports × current USD</x:v>
      </x:c>
      <x:c r="D221" s="2" t="str">
        <x:v>Reported fact</x:v>
      </x:c>
      <x:c r="E221" s="2" t="str">
        <x:v>WB_food_import_share;WB_imports_usd</x:v>
      </x:c>
      <x:c r="F221" s="2" t="str">
        <x:v>Finance / Strategy to validate</x:v>
      </x:c>
      <x:c r="G221" s="2" t="str">
        <x:v>research/olam-global/country-panel.csv:KWT:2024</x:v>
      </x:c>
      <x:c r="H221" s="2" t="str">
        <x:v>Same-year matching prevents multiplying different vintages</x:v>
      </x:c>
      <x:c r="I221" s="2" t="str">
        <x:v>No empirical calibration; sensitivity or missing-data gate applies</x:v>
      </x:c>
    </x:row>
    <x:row r="222" ht="100" customHeight="1">
      <x:c r="A222" s="2" t="str">
        <x:v>UN_WPP_KGZ</x:v>
      </x:c>
      <x:c r="B222" s="2" t="str">
        <x:v>{"2026":7400465,"2030":7803618,"2035":8282415.000000001,"2040":8757697,"2045":9222104,"2050":9642952,"2051":9722163}</x:v>
      </x:c>
      <x:c r="C222" s="2" t="str">
        <x:v>Persons at seven milestones</x:v>
      </x:c>
      <x:c r="D222" s="2" t="str">
        <x:v>External projection</x:v>
      </x:c>
      <x:c r="E222" s="2" t="str">
        <x:v>UN_WPP</x:v>
      </x:c>
      <x:c r="F222" s="2" t="str">
        <x:v>UN DESA issuer; Strategy refresh</x:v>
      </x:c>
      <x:c r="G222" s="2" t="str">
        <x:v>research/olam-global/raw/wpp-milestones.csv:KGZ</x:v>
      </x:c>
      <x:c r="H222" s="2" t="str">
        <x:v>WPP Medium in thousands ×1000; no income/category-demand inference</x:v>
      </x:c>
      <x:c r="I222" s="2" t="str">
        <x:v>Medium fertility variant only; low/high not in the compact source and not retrieved</x:v>
      </x:c>
    </x:row>
    <x:row r="223" ht="100" customHeight="1">
      <x:c r="A223" s="2" t="str">
        <x:v>I-WBFOOD-KGZ</x:v>
      </x:c>
      <x:c r="B223" s="2" t="str">
        <x:v>{"country":"KGZ","year":2025,"result_USD":1628565076.7057798,"inputs":"Exact matched year and variable values in country-panel.csv"}</x:v>
      </x:c>
      <x:c r="C223" s="2" t="str">
        <x:v>Percent merchandise imports × current USD</x:v>
      </x:c>
      <x:c r="D223" s="2" t="str">
        <x:v>Reported fact</x:v>
      </x:c>
      <x:c r="E223" s="2" t="str">
        <x:v>WB_food_import_share;WB_imports_usd</x:v>
      </x:c>
      <x:c r="F223" s="2" t="str">
        <x:v>Finance / Strategy to validate</x:v>
      </x:c>
      <x:c r="G223" s="2" t="str">
        <x:v>research/olam-global/country-panel.csv:KGZ:2025</x:v>
      </x:c>
      <x:c r="H223" s="2" t="str">
        <x:v>Same-year matching prevents multiplying different vintages</x:v>
      </x:c>
      <x:c r="I223" s="2" t="str">
        <x:v>No empirical calibration; sensitivity or missing-data gate applies</x:v>
      </x:c>
    </x:row>
    <x:row r="224" ht="100" customHeight="1">
      <x:c r="A224" s="2" t="str">
        <x:v>UN_WPP_LAO</x:v>
      </x:c>
      <x:c r="B224" s="2" t="str">
        <x:v>{"2026":7974017,"2030":8357022.999999999,"2035":8788756,"2040":9169002,"2045":9492503,"2050":9757285,"2051":9802787}</x:v>
      </x:c>
      <x:c r="C224" s="2" t="str">
        <x:v>Persons at seven milestones</x:v>
      </x:c>
      <x:c r="D224" s="2" t="str">
        <x:v>External projection</x:v>
      </x:c>
      <x:c r="E224" s="2" t="str">
        <x:v>UN_WPP</x:v>
      </x:c>
      <x:c r="F224" s="2" t="str">
        <x:v>UN DESA issuer; Strategy refresh</x:v>
      </x:c>
      <x:c r="G224" s="2" t="str">
        <x:v>research/olam-global/raw/wpp-milestones.csv:LAO</x:v>
      </x:c>
      <x:c r="H224" s="2" t="str">
        <x:v>WPP Medium in thousands ×1000; no income/category-demand inference</x:v>
      </x:c>
      <x:c r="I224" s="2" t="str">
        <x:v>Medium fertility variant only; low/high not in the compact source and not retrieved</x:v>
      </x:c>
    </x:row>
    <x:row r="225" ht="100" customHeight="1">
      <x:c r="A225" s="2" t="str">
        <x:v>I-WBFOOD-LAO</x:v>
      </x:c>
      <x:c r="B225" s="2" t="str">
        <x:v>{"country":"LAO","year":2023,"result_USD":970554086.3018605,"inputs":"Exact matched year and variable values in country-panel.csv"}</x:v>
      </x:c>
      <x:c r="C225" s="2" t="str">
        <x:v>Percent merchandise imports × current USD</x:v>
      </x:c>
      <x:c r="D225" s="2" t="str">
        <x:v>Reported fact</x:v>
      </x:c>
      <x:c r="E225" s="2" t="str">
        <x:v>WB_food_import_share;WB_imports_usd</x:v>
      </x:c>
      <x:c r="F225" s="2" t="str">
        <x:v>Finance / Strategy to validate</x:v>
      </x:c>
      <x:c r="G225" s="2" t="str">
        <x:v>research/olam-global/country-panel.csv:LAO:2023</x:v>
      </x:c>
      <x:c r="H225" s="2" t="str">
        <x:v>Same-year matching prevents multiplying different vintages</x:v>
      </x:c>
      <x:c r="I225" s="2" t="str">
        <x:v>No empirical calibration; sensitivity or missing-data gate applies</x:v>
      </x:c>
    </x:row>
    <x:row r="226" ht="100" customHeight="1">
      <x:c r="A226" s="2" t="str">
        <x:v>UN_WPP_LVA</x:v>
      </x:c>
      <x:c r="B226" s="2" t="str">
        <x:v>{"2026":1835935,"2030":1777620,"2035":1706428,"2040":1640644,"2045":1577406,"2050":1513810,"2051":1501015}</x:v>
      </x:c>
      <x:c r="C226" s="2" t="str">
        <x:v>Persons at seven milestones</x:v>
      </x:c>
      <x:c r="D226" s="2" t="str">
        <x:v>External projection</x:v>
      </x:c>
      <x:c r="E226" s="2" t="str">
        <x:v>UN_WPP</x:v>
      </x:c>
      <x:c r="F226" s="2" t="str">
        <x:v>UN DESA issuer; Strategy refresh</x:v>
      </x:c>
      <x:c r="G226" s="2" t="str">
        <x:v>research/olam-global/raw/wpp-milestones.csv:LVA</x:v>
      </x:c>
      <x:c r="H226" s="2" t="str">
        <x:v>WPP Medium in thousands ×1000; no income/category-demand inference</x:v>
      </x:c>
      <x:c r="I226" s="2" t="str">
        <x:v>Medium fertility variant only; low/high not in the compact source and not retrieved</x:v>
      </x:c>
    </x:row>
    <x:row r="227" ht="100" customHeight="1">
      <x:c r="A227" s="2" t="str">
        <x:v>I-WBFOOD-LVA</x:v>
      </x:c>
      <x:c r="B227" s="2" t="str">
        <x:v>{"country":"LVA","year":2025,"result_USD":4691964771.072992,"inputs":"Exact matched year and variable values in country-panel.csv"}</x:v>
      </x:c>
      <x:c r="C227" s="2" t="str">
        <x:v>Percent merchandise imports × current USD</x:v>
      </x:c>
      <x:c r="D227" s="2" t="str">
        <x:v>Reported fact</x:v>
      </x:c>
      <x:c r="E227" s="2" t="str">
        <x:v>WB_food_import_share;WB_imports_usd</x:v>
      </x:c>
      <x:c r="F227" s="2" t="str">
        <x:v>Finance / Strategy to validate</x:v>
      </x:c>
      <x:c r="G227" s="2" t="str">
        <x:v>research/olam-global/country-panel.csv:LVA:2025</x:v>
      </x:c>
      <x:c r="H227" s="2" t="str">
        <x:v>Same-year matching prevents multiplying different vintages</x:v>
      </x:c>
      <x:c r="I227" s="2" t="str">
        <x:v>No empirical calibration; sensitivity or missing-data gate applies</x:v>
      </x:c>
    </x:row>
    <x:row r="228" ht="100" customHeight="1">
      <x:c r="A228" s="2" t="str">
        <x:v>UN_WPP_LBN</x:v>
      </x:c>
      <x:c r="B228" s="2" t="str">
        <x:v>{"2026":5897467,"2030":6103808,"2035":6357724,"2040":6620329,"2045":6834988,"2050":6999260,"2051":7025484}</x:v>
      </x:c>
      <x:c r="C228" s="2" t="str">
        <x:v>Persons at seven milestones</x:v>
      </x:c>
      <x:c r="D228" s="2" t="str">
        <x:v>External projection</x:v>
      </x:c>
      <x:c r="E228" s="2" t="str">
        <x:v>UN_WPP</x:v>
      </x:c>
      <x:c r="F228" s="2" t="str">
        <x:v>UN DESA issuer; Strategy refresh</x:v>
      </x:c>
      <x:c r="G228" s="2" t="str">
        <x:v>research/olam-global/raw/wpp-milestones.csv:LBN</x:v>
      </x:c>
      <x:c r="H228" s="2" t="str">
        <x:v>WPP Medium in thousands ×1000; no income/category-demand inference</x:v>
      </x:c>
      <x:c r="I228" s="2" t="str">
        <x:v>Medium fertility variant only; low/high not in the compact source and not retrieved</x:v>
      </x:c>
    </x:row>
    <x:row r="229" ht="100" customHeight="1">
      <x:c r="A229" s="2" t="str">
        <x:v>I-WBFOOD-LBN</x:v>
      </x:c>
      <x:c r="B229" s="2" t="str">
        <x:v>{"country":"LBN","year":2024,"result_USD":3210566571.0703545,"inputs":"Exact matched year and variable values in country-panel.csv"}</x:v>
      </x:c>
      <x:c r="C229" s="2" t="str">
        <x:v>Percent merchandise imports × current USD</x:v>
      </x:c>
      <x:c r="D229" s="2" t="str">
        <x:v>Reported fact</x:v>
      </x:c>
      <x:c r="E229" s="2" t="str">
        <x:v>WB_food_import_share;WB_imports_usd</x:v>
      </x:c>
      <x:c r="F229" s="2" t="str">
        <x:v>Finance / Strategy to validate</x:v>
      </x:c>
      <x:c r="G229" s="2" t="str">
        <x:v>research/olam-global/country-panel.csv:LBN:2024</x:v>
      </x:c>
      <x:c r="H229" s="2" t="str">
        <x:v>Same-year matching prevents multiplying different vintages</x:v>
      </x:c>
      <x:c r="I229" s="2" t="str">
        <x:v>No empirical calibration; sensitivity or missing-data gate applies</x:v>
      </x:c>
    </x:row>
    <x:row r="230" ht="100" customHeight="1">
      <x:c r="A230" s="2" t="str">
        <x:v>UN_WPP_LSO</x:v>
      </x:c>
      <x:c r="B230" s="2" t="str">
        <x:v>{"2026":2389336,"2030":2493818,"2035":2626567,"2040":2757876,"2045":2881339,"2050":2993077,"2051":3013558}</x:v>
      </x:c>
      <x:c r="C230" s="2" t="str">
        <x:v>Persons at seven milestones</x:v>
      </x:c>
      <x:c r="D230" s="2" t="str">
        <x:v>External projection</x:v>
      </x:c>
      <x:c r="E230" s="2" t="str">
        <x:v>UN_WPP</x:v>
      </x:c>
      <x:c r="F230" s="2" t="str">
        <x:v>UN DESA issuer; Strategy refresh</x:v>
      </x:c>
      <x:c r="G230" s="2" t="str">
        <x:v>research/olam-global/raw/wpp-milestones.csv:LSO</x:v>
      </x:c>
      <x:c r="H230" s="2" t="str">
        <x:v>WPP Medium in thousands ×1000; no income/category-demand inference</x:v>
      </x:c>
      <x:c r="I230" s="2" t="str">
        <x:v>Medium fertility variant only; low/high not in the compact source and not retrieved</x:v>
      </x:c>
    </x:row>
    <x:row r="231" ht="100" customHeight="1">
      <x:c r="A231" s="2" t="str">
        <x:v>I-WBFOOD-LSO</x:v>
      </x:c>
      <x:c r="B231" s="2" t="str">
        <x:v>{"country":"LSO","year":2024,"result_USD":425303911.4971407,"inputs":"Exact matched year and variable values in country-panel.csv"}</x:v>
      </x:c>
      <x:c r="C231" s="2" t="str">
        <x:v>Percent merchandise imports × current USD</x:v>
      </x:c>
      <x:c r="D231" s="2" t="str">
        <x:v>Reported fact</x:v>
      </x:c>
      <x:c r="E231" s="2" t="str">
        <x:v>WB_food_import_share;WB_imports_usd</x:v>
      </x:c>
      <x:c r="F231" s="2" t="str">
        <x:v>Finance / Strategy to validate</x:v>
      </x:c>
      <x:c r="G231" s="2" t="str">
        <x:v>research/olam-global/country-panel.csv:LSO:2024</x:v>
      </x:c>
      <x:c r="H231" s="2" t="str">
        <x:v>Same-year matching prevents multiplying different vintages</x:v>
      </x:c>
      <x:c r="I231" s="2" t="str">
        <x:v>No empirical calibration; sensitivity or missing-data gate applies</x:v>
      </x:c>
    </x:row>
    <x:row r="232" ht="100" customHeight="1">
      <x:c r="A232" s="2" t="str">
        <x:v>UN_WPP_LBR</x:v>
      </x:c>
      <x:c r="B232" s="2" t="str">
        <x:v>{"2026":5853949,"2030":6366291,"2035":7003557,"2040":7681688,"2045":8310645,"2050":8910530,"2051":9020146}</x:v>
      </x:c>
      <x:c r="C232" s="2" t="str">
        <x:v>Persons at seven milestones</x:v>
      </x:c>
      <x:c r="D232" s="2" t="str">
        <x:v>External projection</x:v>
      </x:c>
      <x:c r="E232" s="2" t="str">
        <x:v>UN_WPP</x:v>
      </x:c>
      <x:c r="F232" s="2" t="str">
        <x:v>UN DESA issuer; Strategy refresh</x:v>
      </x:c>
      <x:c r="G232" s="2" t="str">
        <x:v>research/olam-global/raw/wpp-milestones.csv:LBR</x:v>
      </x:c>
      <x:c r="H232" s="2" t="str">
        <x:v>WPP Medium in thousands ×1000; no income/category-demand inference</x:v>
      </x:c>
      <x:c r="I232" s="2" t="str">
        <x:v>Medium fertility variant only; low/high not in the compact source and not retrieved</x:v>
      </x:c>
    </x:row>
    <x:row r="233" ht="100" customHeight="1">
      <x:c r="A233" s="2" t="str">
        <x:v>I-WBFOOD-LBR</x:v>
      </x:c>
      <x:c r="B233" s="2" t="str">
        <x:v>{"country":"LBR","year":2023,"result_USD":479356445.70442045,"inputs":"Exact matched year and variable values in country-panel.csv"}</x:v>
      </x:c>
      <x:c r="C233" s="2" t="str">
        <x:v>Percent merchandise imports × current USD</x:v>
      </x:c>
      <x:c r="D233" s="2" t="str">
        <x:v>Reported fact</x:v>
      </x:c>
      <x:c r="E233" s="2" t="str">
        <x:v>WB_food_import_share;WB_imports_usd</x:v>
      </x:c>
      <x:c r="F233" s="2" t="str">
        <x:v>Finance / Strategy to validate</x:v>
      </x:c>
      <x:c r="G233" s="2" t="str">
        <x:v>research/olam-global/country-panel.csv:LBR:2023</x:v>
      </x:c>
      <x:c r="H233" s="2" t="str">
        <x:v>Same-year matching prevents multiplying different vintages</x:v>
      </x:c>
      <x:c r="I233" s="2" t="str">
        <x:v>No empirical calibration; sensitivity or missing-data gate applies</x:v>
      </x:c>
    </x:row>
    <x:row r="234" ht="100" customHeight="1">
      <x:c r="A234" s="2" t="str">
        <x:v>UN_WPP_LBY</x:v>
      </x:c>
      <x:c r="B234" s="2" t="str">
        <x:v>{"2026":7539851,"2030":7885806,"2035":8283952.999999999,"2040":8651417,"2045":8983949,"2050":9260605,"2051":9310578}</x:v>
      </x:c>
      <x:c r="C234" s="2" t="str">
        <x:v>Persons at seven milestones</x:v>
      </x:c>
      <x:c r="D234" s="2" t="str">
        <x:v>External projection</x:v>
      </x:c>
      <x:c r="E234" s="2" t="str">
        <x:v>UN_WPP</x:v>
      </x:c>
      <x:c r="F234" s="2" t="str">
        <x:v>UN DESA issuer; Strategy refresh</x:v>
      </x:c>
      <x:c r="G234" s="2" t="str">
        <x:v>research/olam-global/raw/wpp-milestones.csv:LBY</x:v>
      </x:c>
      <x:c r="H234" s="2" t="str">
        <x:v>WPP Medium in thousands ×1000; no income/category-demand inference</x:v>
      </x:c>
      <x:c r="I234" s="2" t="str">
        <x:v>Medium fertility variant only; low/high not in the compact source and not retrieved</x:v>
      </x:c>
    </x:row>
    <x:row r="235" ht="100" customHeight="1">
      <x:c r="A235" s="2" t="str">
        <x:v>I-WBFOOD-LBY</x:v>
      </x:c>
      <x:c r="B235" s="2" t="str">
        <x:v>{"country":"LBY","year":2019,"result_USD":3262985503.1166077,"inputs":"Exact matched year and variable values in country-panel.csv"}</x:v>
      </x:c>
      <x:c r="C235" s="2" t="str">
        <x:v>Percent merchandise imports × current USD</x:v>
      </x:c>
      <x:c r="D235" s="2" t="str">
        <x:v>Reported fact</x:v>
      </x:c>
      <x:c r="E235" s="2" t="str">
        <x:v>WB_food_import_share;WB_imports_usd</x:v>
      </x:c>
      <x:c r="F235" s="2" t="str">
        <x:v>Finance / Strategy to validate</x:v>
      </x:c>
      <x:c r="G235" s="2" t="str">
        <x:v>research/olam-global/country-panel.csv:LBY:2019</x:v>
      </x:c>
      <x:c r="H235" s="2" t="str">
        <x:v>Same-year matching prevents multiplying different vintages</x:v>
      </x:c>
      <x:c r="I235" s="2" t="str">
        <x:v>No empirical calibration; sensitivity or missing-data gate applies</x:v>
      </x:c>
    </x:row>
    <x:row r="236" ht="100" customHeight="1">
      <x:c r="A236" s="2" t="str">
        <x:v>UN_WPP_LIE</x:v>
      </x:c>
      <x:c r="B236" s="2" t="str">
        <x:v>{"2026":40368,"2030":41202,"2035":42005,"2040":42534,"2045":42861,"2050":43013,"2051":43031}</x:v>
      </x:c>
      <x:c r="C236" s="2" t="str">
        <x:v>Persons at seven milestones</x:v>
      </x:c>
      <x:c r="D236" s="2" t="str">
        <x:v>External projection</x:v>
      </x:c>
      <x:c r="E236" s="2" t="str">
        <x:v>UN_WPP</x:v>
      </x:c>
      <x:c r="F236" s="2" t="str">
        <x:v>UN DESA issuer; Strategy refresh</x:v>
      </x:c>
      <x:c r="G236" s="2" t="str">
        <x:v>research/olam-global/raw/wpp-milestones.csv:LIE</x:v>
      </x:c>
      <x:c r="H236" s="2" t="str">
        <x:v>WPP Medium in thousands ×1000; no income/category-demand inference</x:v>
      </x:c>
      <x:c r="I236" s="2" t="str">
        <x:v>Medium fertility variant only; low/high not in the compact source and not retrieved</x:v>
      </x:c>
    </x:row>
    <x:row r="237" ht="100" customHeight="1">
      <x:c r="A237" s="2" t="str">
        <x:v>UN_WPP_LTU</x:v>
      </x:c>
      <x:c r="B237" s="2" t="str">
        <x:v>{"2026":2797338,"2030":2706358,"2035":2597392,"2040":2484835,"2045":2372137,"2050":2258774,"2051":2235291}</x:v>
      </x:c>
      <x:c r="C237" s="2" t="str">
        <x:v>Persons at seven milestones</x:v>
      </x:c>
      <x:c r="D237" s="2" t="str">
        <x:v>External projection</x:v>
      </x:c>
      <x:c r="E237" s="2" t="str">
        <x:v>UN_WPP</x:v>
      </x:c>
      <x:c r="F237" s="2" t="str">
        <x:v>UN DESA issuer; Strategy refresh</x:v>
      </x:c>
      <x:c r="G237" s="2" t="str">
        <x:v>research/olam-global/raw/wpp-milestones.csv:LTU</x:v>
      </x:c>
      <x:c r="H237" s="2" t="str">
        <x:v>WPP Medium in thousands ×1000; no income/category-demand inference</x:v>
      </x:c>
      <x:c r="I237" s="2" t="str">
        <x:v>Medium fertility variant only; low/high not in the compact source and not retrieved</x:v>
      </x:c>
    </x:row>
    <x:row r="238" ht="100" customHeight="1">
      <x:c r="A238" s="2" t="str">
        <x:v>I-WBFOOD-LTU</x:v>
      </x:c>
      <x:c r="B238" s="2" t="str">
        <x:v>{"country":"LTU","year":2025,"result_USD":6405877944.929144,"inputs":"Exact matched year and variable values in country-panel.csv"}</x:v>
      </x:c>
      <x:c r="C238" s="2" t="str">
        <x:v>Percent merchandise imports × current USD</x:v>
      </x:c>
      <x:c r="D238" s="2" t="str">
        <x:v>Reported fact</x:v>
      </x:c>
      <x:c r="E238" s="2" t="str">
        <x:v>WB_food_import_share;WB_imports_usd</x:v>
      </x:c>
      <x:c r="F238" s="2" t="str">
        <x:v>Finance / Strategy to validate</x:v>
      </x:c>
      <x:c r="G238" s="2" t="str">
        <x:v>research/olam-global/country-panel.csv:LTU:2025</x:v>
      </x:c>
      <x:c r="H238" s="2" t="str">
        <x:v>Same-year matching prevents multiplying different vintages</x:v>
      </x:c>
      <x:c r="I238" s="2" t="str">
        <x:v>No empirical calibration; sensitivity or missing-data gate applies</x:v>
      </x:c>
    </x:row>
    <x:row r="239" ht="100" customHeight="1">
      <x:c r="A239" s="2" t="str">
        <x:v>UN_WPP_LUX</x:v>
      </x:c>
      <x:c r="B239" s="2" t="str">
        <x:v>{"2026":687448,"2030":713667,"2035":740629,"2040":762673,"2045":779539,"2050":791464,"2051":793283}</x:v>
      </x:c>
      <x:c r="C239" s="2" t="str">
        <x:v>Persons at seven milestones</x:v>
      </x:c>
      <x:c r="D239" s="2" t="str">
        <x:v>External projection</x:v>
      </x:c>
      <x:c r="E239" s="2" t="str">
        <x:v>UN_WPP</x:v>
      </x:c>
      <x:c r="F239" s="2" t="str">
        <x:v>UN DESA issuer; Strategy refresh</x:v>
      </x:c>
      <x:c r="G239" s="2" t="str">
        <x:v>research/olam-global/raw/wpp-milestones.csv:LUX</x:v>
      </x:c>
      <x:c r="H239" s="2" t="str">
        <x:v>WPP Medium in thousands ×1000; no income/category-demand inference</x:v>
      </x:c>
      <x:c r="I239" s="2" t="str">
        <x:v>Medium fertility variant only; low/high not in the compact source and not retrieved</x:v>
      </x:c>
    </x:row>
    <x:row r="240" ht="100" customHeight="1">
      <x:c r="A240" s="2" t="str">
        <x:v>I-WBFOOD-LUX</x:v>
      </x:c>
      <x:c r="B240" s="2" t="str">
        <x:v>{"country":"LUX","year":2024,"result_USD":3847562809.2581306,"inputs":"Exact matched year and variable values in country-panel.csv"}</x:v>
      </x:c>
      <x:c r="C240" s="2" t="str">
        <x:v>Percent merchandise imports × current USD</x:v>
      </x:c>
      <x:c r="D240" s="2" t="str">
        <x:v>Reported fact</x:v>
      </x:c>
      <x:c r="E240" s="2" t="str">
        <x:v>WB_food_import_share;WB_imports_usd</x:v>
      </x:c>
      <x:c r="F240" s="2" t="str">
        <x:v>Finance / Strategy to validate</x:v>
      </x:c>
      <x:c r="G240" s="2" t="str">
        <x:v>research/olam-global/country-panel.csv:LUX:2024</x:v>
      </x:c>
      <x:c r="H240" s="2" t="str">
        <x:v>Same-year matching prevents multiplying different vintages</x:v>
      </x:c>
      <x:c r="I240" s="2" t="str">
        <x:v>No empirical calibration; sensitivity or missing-data gate applies</x:v>
      </x:c>
    </x:row>
    <x:row r="241" ht="100" customHeight="1">
      <x:c r="A241" s="2" t="str">
        <x:v>UN_WPP_MDG</x:v>
      </x:c>
      <x:c r="B241" s="2" t="str">
        <x:v>{"2026":33522052.000000004,"2030":36693183,"2035":40733844,"2040":44846895,"2045":49011274,"2050":53185475,"2051":54016765}</x:v>
      </x:c>
      <x:c r="C241" s="2" t="str">
        <x:v>Persons at seven milestones</x:v>
      </x:c>
      <x:c r="D241" s="2" t="str">
        <x:v>External projection</x:v>
      </x:c>
      <x:c r="E241" s="2" t="str">
        <x:v>UN_WPP</x:v>
      </x:c>
      <x:c r="F241" s="2" t="str">
        <x:v>UN DESA issuer; Strategy refresh</x:v>
      </x:c>
      <x:c r="G241" s="2" t="str">
        <x:v>research/olam-global/raw/wpp-milestones.csv:MDG</x:v>
      </x:c>
      <x:c r="H241" s="2" t="str">
        <x:v>WPP Medium in thousands ×1000; no income/category-demand inference</x:v>
      </x:c>
      <x:c r="I241" s="2" t="str">
        <x:v>Medium fertility variant only; low/high not in the compact source and not retrieved</x:v>
      </x:c>
    </x:row>
    <x:row r="242" ht="100" customHeight="1">
      <x:c r="A242" s="2" t="str">
        <x:v>I-WBFOOD-MDG</x:v>
      </x:c>
      <x:c r="B242" s="2" t="str">
        <x:v>{"country":"MDG","year":2024,"result_USD":887169610.788788,"inputs":"Exact matched year and variable values in country-panel.csv"}</x:v>
      </x:c>
      <x:c r="C242" s="2" t="str">
        <x:v>Percent merchandise imports × current USD</x:v>
      </x:c>
      <x:c r="D242" s="2" t="str">
        <x:v>Reported fact</x:v>
      </x:c>
      <x:c r="E242" s="2" t="str">
        <x:v>WB_food_import_share;WB_imports_usd</x:v>
      </x:c>
      <x:c r="F242" s="2" t="str">
        <x:v>Finance / Strategy to validate</x:v>
      </x:c>
      <x:c r="G242" s="2" t="str">
        <x:v>research/olam-global/country-panel.csv:MDG:2024</x:v>
      </x:c>
      <x:c r="H242" s="2" t="str">
        <x:v>Same-year matching prevents multiplying different vintages</x:v>
      </x:c>
      <x:c r="I242" s="2" t="str">
        <x:v>No empirical calibration; sensitivity or missing-data gate applies</x:v>
      </x:c>
    </x:row>
    <x:row r="243" ht="100" customHeight="1">
      <x:c r="A243" s="2" t="str">
        <x:v>UN_WPP_MWI</x:v>
      </x:c>
      <x:c r="B243" s="2" t="str">
        <x:v>{"2026":22785535,"2030":25160287,"2035":28213795,"2040":31302098,"2045":34350954,"2050":37361683,"2051":37964325}</x:v>
      </x:c>
      <x:c r="C243" s="2" t="str">
        <x:v>Persons at seven milestones</x:v>
      </x:c>
      <x:c r="D243" s="2" t="str">
        <x:v>External projection</x:v>
      </x:c>
      <x:c r="E243" s="2" t="str">
        <x:v>UN_WPP</x:v>
      </x:c>
      <x:c r="F243" s="2" t="str">
        <x:v>UN DESA issuer; Strategy refresh</x:v>
      </x:c>
      <x:c r="G243" s="2" t="str">
        <x:v>research/olam-global/raw/wpp-milestones.csv:MWI</x:v>
      </x:c>
      <x:c r="H243" s="2" t="str">
        <x:v>WPP Medium in thousands ×1000; no income/category-demand inference</x:v>
      </x:c>
      <x:c r="I243" s="2" t="str">
        <x:v>Medium fertility variant only; low/high not in the compact source and not retrieved</x:v>
      </x:c>
    </x:row>
    <x:row r="244" ht="100" customHeight="1">
      <x:c r="A244" s="2" t="str">
        <x:v>I-WBFOOD-MWI</x:v>
      </x:c>
      <x:c r="B244" s="2" t="str">
        <x:v>{"country":"MWI","year":2024,"result_USD":391020857.05394167,"inputs":"Exact matched year and variable values in country-panel.csv"}</x:v>
      </x:c>
      <x:c r="C244" s="2" t="str">
        <x:v>Percent merchandise imports × current USD</x:v>
      </x:c>
      <x:c r="D244" s="2" t="str">
        <x:v>Reported fact</x:v>
      </x:c>
      <x:c r="E244" s="2" t="str">
        <x:v>WB_food_import_share;WB_imports_usd</x:v>
      </x:c>
      <x:c r="F244" s="2" t="str">
        <x:v>Finance / Strategy to validate</x:v>
      </x:c>
      <x:c r="G244" s="2" t="str">
        <x:v>research/olam-global/country-panel.csv:MWI:2024</x:v>
      </x:c>
      <x:c r="H244" s="2" t="str">
        <x:v>Same-year matching prevents multiplying different vintages</x:v>
      </x:c>
      <x:c r="I244" s="2" t="str">
        <x:v>No empirical calibration; sensitivity or missing-data gate applies</x:v>
      </x:c>
    </x:row>
    <x:row r="245" ht="100" customHeight="1">
      <x:c r="A245" s="2" t="str">
        <x:v>UN_WPP_MYS</x:v>
      </x:c>
      <x:c r="B245" s="2" t="str">
        <x:v>{"2026":36385115,"2030":37961719,"2035":39814825,"2040":41509644,"2045":43038204,"2050":44289772,"2051":44502613}</x:v>
      </x:c>
      <x:c r="C245" s="2" t="str">
        <x:v>Persons at seven milestones</x:v>
      </x:c>
      <x:c r="D245" s="2" t="str">
        <x:v>External projection</x:v>
      </x:c>
      <x:c r="E245" s="2" t="str">
        <x:v>UN_WPP</x:v>
      </x:c>
      <x:c r="F245" s="2" t="str">
        <x:v>UN DESA issuer; Strategy refresh</x:v>
      </x:c>
      <x:c r="G245" s="2" t="str">
        <x:v>research/olam-global/raw/wpp-milestones.csv:MYS</x:v>
      </x:c>
      <x:c r="H245" s="2" t="str">
        <x:v>WPP Medium in thousands ×1000; no income/category-demand inference</x:v>
      </x:c>
      <x:c r="I245" s="2" t="str">
        <x:v>Medium fertility variant only; low/high not in the compact source and not retrieved</x:v>
      </x:c>
    </x:row>
    <x:row r="246" ht="100" customHeight="1">
      <x:c r="A246" s="2" t="str">
        <x:v>I-WBFOOD-MYS</x:v>
      </x:c>
      <x:c r="B246" s="2" t="str">
        <x:v>{"country":"MYS","year":2025,"result_USD":28183520114.770557,"inputs":"Exact matched year and variable values in country-panel.csv"}</x:v>
      </x:c>
      <x:c r="C246" s="2" t="str">
        <x:v>Percent merchandise imports × current USD</x:v>
      </x:c>
      <x:c r="D246" s="2" t="str">
        <x:v>Reported fact</x:v>
      </x:c>
      <x:c r="E246" s="2" t="str">
        <x:v>WB_food_import_share;WB_imports_usd</x:v>
      </x:c>
      <x:c r="F246" s="2" t="str">
        <x:v>Finance / Strategy to validate</x:v>
      </x:c>
      <x:c r="G246" s="2" t="str">
        <x:v>research/olam-global/country-panel.csv:MYS:2025</x:v>
      </x:c>
      <x:c r="H246" s="2" t="str">
        <x:v>Same-year matching prevents multiplying different vintages</x:v>
      </x:c>
      <x:c r="I246" s="2" t="str">
        <x:v>No empirical calibration; sensitivity or missing-data gate applies</x:v>
      </x:c>
    </x:row>
    <x:row r="247" ht="100" customHeight="1">
      <x:c r="A247" s="2" t="str">
        <x:v>UN_WPP_MDV</x:v>
      </x:c>
      <x:c r="B247" s="2" t="str">
        <x:v>{"2026":531517,"2030":539667,"2035":551594,"2040":564798,"2045":578453,"2050":589962,"2051":591628}</x:v>
      </x:c>
      <x:c r="C247" s="2" t="str">
        <x:v>Persons at seven milestones</x:v>
      </x:c>
      <x:c r="D247" s="2" t="str">
        <x:v>External projection</x:v>
      </x:c>
      <x:c r="E247" s="2" t="str">
        <x:v>UN_WPP</x:v>
      </x:c>
      <x:c r="F247" s="2" t="str">
        <x:v>UN DESA issuer; Strategy refresh</x:v>
      </x:c>
      <x:c r="G247" s="2" t="str">
        <x:v>research/olam-global/raw/wpp-milestones.csv:MDV</x:v>
      </x:c>
      <x:c r="H247" s="2" t="str">
        <x:v>WPP Medium in thousands ×1000; no income/category-demand inference</x:v>
      </x:c>
      <x:c r="I247" s="2" t="str">
        <x:v>Medium fertility variant only; low/high not in the compact source and not retrieved</x:v>
      </x:c>
    </x:row>
    <x:row r="248" ht="100" customHeight="1">
      <x:c r="A248" s="2" t="str">
        <x:v>I-WBFOOD-MDV</x:v>
      </x:c>
      <x:c r="B248" s="2" t="str">
        <x:v>{"country":"MDV","year":2024,"result_USD":772641604.7532047,"inputs":"Exact matched year and variable values in country-panel.csv"}</x:v>
      </x:c>
      <x:c r="C248" s="2" t="str">
        <x:v>Percent merchandise imports × current USD</x:v>
      </x:c>
      <x:c r="D248" s="2" t="str">
        <x:v>Reported fact</x:v>
      </x:c>
      <x:c r="E248" s="2" t="str">
        <x:v>WB_food_import_share;WB_imports_usd</x:v>
      </x:c>
      <x:c r="F248" s="2" t="str">
        <x:v>Finance / Strategy to validate</x:v>
      </x:c>
      <x:c r="G248" s="2" t="str">
        <x:v>research/olam-global/country-panel.csv:MDV:2024</x:v>
      </x:c>
      <x:c r="H248" s="2" t="str">
        <x:v>Same-year matching prevents multiplying different vintages</x:v>
      </x:c>
      <x:c r="I248" s="2" t="str">
        <x:v>No empirical calibration; sensitivity or missing-data gate applies</x:v>
      </x:c>
    </x:row>
    <x:row r="249" ht="100" customHeight="1">
      <x:c r="A249" s="2" t="str">
        <x:v>UN_WPP_MLI</x:v>
      </x:c>
      <x:c r="B249" s="2" t="str">
        <x:v>{"2026":25932275,"2030":29002865,"2035":33118345,"2040":37413643,"2045":41778982,"2050":46154079,"2051":47029244}</x:v>
      </x:c>
      <x:c r="C249" s="2" t="str">
        <x:v>Persons at seven milestones</x:v>
      </x:c>
      <x:c r="D249" s="2" t="str">
        <x:v>External projection</x:v>
      </x:c>
      <x:c r="E249" s="2" t="str">
        <x:v>UN_WPP</x:v>
      </x:c>
      <x:c r="F249" s="2" t="str">
        <x:v>UN DESA issuer; Strategy refresh</x:v>
      </x:c>
      <x:c r="G249" s="2" t="str">
        <x:v>research/olam-global/raw/wpp-milestones.csv:MLI</x:v>
      </x:c>
      <x:c r="H249" s="2" t="str">
        <x:v>WPP Medium in thousands ×1000; no income/category-demand inference</x:v>
      </x:c>
      <x:c r="I249" s="2" t="str">
        <x:v>Medium fertility variant only; low/high not in the compact source and not retrieved</x:v>
      </x:c>
    </x:row>
    <x:row r="250" ht="100" customHeight="1">
      <x:c r="A250" s="2" t="str">
        <x:v>I-WBFOOD-MLI</x:v>
      </x:c>
      <x:c r="B250" s="2" t="str">
        <x:v>{"country":"MLI","year":2023,"result_USD":943659639.2413805,"inputs":"Exact matched year and variable values in country-panel.csv"}</x:v>
      </x:c>
      <x:c r="C250" s="2" t="str">
        <x:v>Percent merchandise imports × current USD</x:v>
      </x:c>
      <x:c r="D250" s="2" t="str">
        <x:v>Reported fact</x:v>
      </x:c>
      <x:c r="E250" s="2" t="str">
        <x:v>WB_food_import_share;WB_imports_usd</x:v>
      </x:c>
      <x:c r="F250" s="2" t="str">
        <x:v>Finance / Strategy to validate</x:v>
      </x:c>
      <x:c r="G250" s="2" t="str">
        <x:v>research/olam-global/country-panel.csv:MLI:2023</x:v>
      </x:c>
      <x:c r="H250" s="2" t="str">
        <x:v>Same-year matching prevents multiplying different vintages</x:v>
      </x:c>
      <x:c r="I250" s="2" t="str">
        <x:v>No empirical calibration; sensitivity or missing-data gate applies</x:v>
      </x:c>
    </x:row>
    <x:row r="251" ht="100" customHeight="1">
      <x:c r="A251" s="2" t="str">
        <x:v>UN_WPP_MLT</x:v>
      </x:c>
      <x:c r="B251" s="2" t="str">
        <x:v>{"2026":549011,"2030":555231,"2035":556508,"2040":551735,"2045":544634,"2050":535721,"2051":533639}</x:v>
      </x:c>
      <x:c r="C251" s="2" t="str">
        <x:v>Persons at seven milestones</x:v>
      </x:c>
      <x:c r="D251" s="2" t="str">
        <x:v>External projection</x:v>
      </x:c>
      <x:c r="E251" s="2" t="str">
        <x:v>UN_WPP</x:v>
      </x:c>
      <x:c r="F251" s="2" t="str">
        <x:v>UN DESA issuer; Strategy refresh</x:v>
      </x:c>
      <x:c r="G251" s="2" t="str">
        <x:v>research/olam-global/raw/wpp-milestones.csv:MLT</x:v>
      </x:c>
      <x:c r="H251" s="2" t="str">
        <x:v>WPP Medium in thousands ×1000; no income/category-demand inference</x:v>
      </x:c>
      <x:c r="I251" s="2" t="str">
        <x:v>Medium fertility variant only; low/high not in the compact source and not retrieved</x:v>
      </x:c>
    </x:row>
    <x:row r="252" ht="100" customHeight="1">
      <x:c r="A252" s="2" t="str">
        <x:v>I-WBFOOD-MLT</x:v>
      </x:c>
      <x:c r="B252" s="2" t="str">
        <x:v>{"country":"MLT","year":2024,"result_USD":1129675631.2671711,"inputs":"Exact matched year and variable values in country-panel.csv"}</x:v>
      </x:c>
      <x:c r="C252" s="2" t="str">
        <x:v>Percent merchandise imports × current USD</x:v>
      </x:c>
      <x:c r="D252" s="2" t="str">
        <x:v>Reported fact</x:v>
      </x:c>
      <x:c r="E252" s="2" t="str">
        <x:v>WB_food_import_share;WB_imports_usd</x:v>
      </x:c>
      <x:c r="F252" s="2" t="str">
        <x:v>Finance / Strategy to validate</x:v>
      </x:c>
      <x:c r="G252" s="2" t="str">
        <x:v>research/olam-global/country-panel.csv:MLT:2024</x:v>
      </x:c>
      <x:c r="H252" s="2" t="str">
        <x:v>Same-year matching prevents multiplying different vintages</x:v>
      </x:c>
      <x:c r="I252" s="2" t="str">
        <x:v>No empirical calibration; sensitivity or missing-data gate applies</x:v>
      </x:c>
    </x:row>
    <x:row r="253" ht="100" customHeight="1">
      <x:c r="A253" s="2" t="str">
        <x:v>UN_WPP_MHL</x:v>
      </x:c>
      <x:c r="B253" s="2" t="str">
        <x:v>{"2026":35075,"2030":31186,"2035":28142,"2040":26597,"2045":25773,"2050":25195,"2051":25088}</x:v>
      </x:c>
      <x:c r="C253" s="2" t="str">
        <x:v>Persons at seven milestones</x:v>
      </x:c>
      <x:c r="D253" s="2" t="str">
        <x:v>External projection</x:v>
      </x:c>
      <x:c r="E253" s="2" t="str">
        <x:v>UN_WPP</x:v>
      </x:c>
      <x:c r="F253" s="2" t="str">
        <x:v>UN DESA issuer; Strategy refresh</x:v>
      </x:c>
      <x:c r="G253" s="2" t="str">
        <x:v>research/olam-global/raw/wpp-milestones.csv:MHL</x:v>
      </x:c>
      <x:c r="H253" s="2" t="str">
        <x:v>WPP Medium in thousands ×1000; no income/category-demand inference</x:v>
      </x:c>
      <x:c r="I253" s="2" t="str">
        <x:v>Medium fertility variant only; low/high not in the compact source and not retrieved</x:v>
      </x:c>
    </x:row>
    <x:row r="254" ht="100" customHeight="1">
      <x:c r="A254" s="2" t="str">
        <x:v>UN_WPP_MRT</x:v>
      </x:c>
      <x:c r="B254" s="2" t="str">
        <x:v>{"2026":5461319,"2030":6062528,"2035":6856319,"2040":7681908,"2045":8538531,"2050":9415598,"2051":9592001}</x:v>
      </x:c>
      <x:c r="C254" s="2" t="str">
        <x:v>Persons at seven milestones</x:v>
      </x:c>
      <x:c r="D254" s="2" t="str">
        <x:v>External projection</x:v>
      </x:c>
      <x:c r="E254" s="2" t="str">
        <x:v>UN_WPP</x:v>
      </x:c>
      <x:c r="F254" s="2" t="str">
        <x:v>UN DESA issuer; Strategy refresh</x:v>
      </x:c>
      <x:c r="G254" s="2" t="str">
        <x:v>research/olam-global/raw/wpp-milestones.csv:MRT</x:v>
      </x:c>
      <x:c r="H254" s="2" t="str">
        <x:v>WPP Medium in thousands ×1000; no income/category-demand inference</x:v>
      </x:c>
      <x:c r="I254" s="2" t="str">
        <x:v>Medium fertility variant only; low/high not in the compact source and not retrieved</x:v>
      </x:c>
    </x:row>
    <x:row r="255" ht="100" customHeight="1">
      <x:c r="A255" s="2" t="str">
        <x:v>I-WBFOOD-MRT</x:v>
      </x:c>
      <x:c r="B255" s="2" t="str">
        <x:v>{"country":"MRT","year":2024,"result_USD":1149873266.7344294,"inputs":"Exact matched year and variable values in country-panel.csv"}</x:v>
      </x:c>
      <x:c r="C255" s="2" t="str">
        <x:v>Percent merchandise imports × current USD</x:v>
      </x:c>
      <x:c r="D255" s="2" t="str">
        <x:v>Reported fact</x:v>
      </x:c>
      <x:c r="E255" s="2" t="str">
        <x:v>WB_food_import_share;WB_imports_usd</x:v>
      </x:c>
      <x:c r="F255" s="2" t="str">
        <x:v>Finance / Strategy to validate</x:v>
      </x:c>
      <x:c r="G255" s="2" t="str">
        <x:v>research/olam-global/country-panel.csv:MRT:2024</x:v>
      </x:c>
      <x:c r="H255" s="2" t="str">
        <x:v>Same-year matching prevents multiplying different vintages</x:v>
      </x:c>
      <x:c r="I255" s="2" t="str">
        <x:v>No empirical calibration; sensitivity or missing-data gate applies</x:v>
      </x:c>
    </x:row>
    <x:row r="256" ht="100" customHeight="1">
      <x:c r="A256" s="2" t="str">
        <x:v>UN_WPP_MUS</x:v>
      </x:c>
      <x:c r="B256" s="2" t="str">
        <x:v>{"2026":1265059,"2030":1250432,"2035":1226955,"2040":1195223,"2045":1154659,"2050":1107197,"2051":1097238}</x:v>
      </x:c>
      <x:c r="C256" s="2" t="str">
        <x:v>Persons at seven milestones</x:v>
      </x:c>
      <x:c r="D256" s="2" t="str">
        <x:v>External projection</x:v>
      </x:c>
      <x:c r="E256" s="2" t="str">
        <x:v>UN_WPP</x:v>
      </x:c>
      <x:c r="F256" s="2" t="str">
        <x:v>UN DESA issuer; Strategy refresh</x:v>
      </x:c>
      <x:c r="G256" s="2" t="str">
        <x:v>research/olam-global/raw/wpp-milestones.csv:MUS</x:v>
      </x:c>
      <x:c r="H256" s="2" t="str">
        <x:v>WPP Medium in thousands ×1000; no income/category-demand inference</x:v>
      </x:c>
      <x:c r="I256" s="2" t="str">
        <x:v>Medium fertility variant only; low/high not in the compact source and not retrieved</x:v>
      </x:c>
    </x:row>
    <x:row r="257" ht="100" customHeight="1">
      <x:c r="A257" s="2" t="str">
        <x:v>I-WBFOOD-MUS</x:v>
      </x:c>
      <x:c r="B257" s="2" t="str">
        <x:v>{"country":"MUS","year":2024,"result_USD":1451933478.9772015,"inputs":"Exact matched year and variable values in country-panel.csv"}</x:v>
      </x:c>
      <x:c r="C257" s="2" t="str">
        <x:v>Percent merchandise imports × current USD</x:v>
      </x:c>
      <x:c r="D257" s="2" t="str">
        <x:v>Reported fact</x:v>
      </x:c>
      <x:c r="E257" s="2" t="str">
        <x:v>WB_food_import_share;WB_imports_usd</x:v>
      </x:c>
      <x:c r="F257" s="2" t="str">
        <x:v>Finance / Strategy to validate</x:v>
      </x:c>
      <x:c r="G257" s="2" t="str">
        <x:v>research/olam-global/country-panel.csv:MUS:2024</x:v>
      </x:c>
      <x:c r="H257" s="2" t="str">
        <x:v>Same-year matching prevents multiplying different vintages</x:v>
      </x:c>
      <x:c r="I257" s="2" t="str">
        <x:v>No empirical calibration; sensitivity or missing-data gate applies</x:v>
      </x:c>
    </x:row>
    <x:row r="258" ht="100" customHeight="1">
      <x:c r="A258" s="2" t="str">
        <x:v>UN_WPP_MEX</x:v>
      </x:c>
      <x:c r="B258" s="2" t="str">
        <x:v>{"2026":132997658,"2030":136904738,"2035":141150819,"2040":144624323,"2045":147240092,"2050":148946274,"2051":149181847}</x:v>
      </x:c>
      <x:c r="C258" s="2" t="str">
        <x:v>Persons at seven milestones</x:v>
      </x:c>
      <x:c r="D258" s="2" t="str">
        <x:v>External projection</x:v>
      </x:c>
      <x:c r="E258" s="2" t="str">
        <x:v>UN_WPP</x:v>
      </x:c>
      <x:c r="F258" s="2" t="str">
        <x:v>UN DESA issuer; Strategy refresh</x:v>
      </x:c>
      <x:c r="G258" s="2" t="str">
        <x:v>research/olam-global/raw/wpp-milestones.csv:MEX</x:v>
      </x:c>
      <x:c r="H258" s="2" t="str">
        <x:v>WPP Medium in thousands ×1000; no income/category-demand inference</x:v>
      </x:c>
      <x:c r="I258" s="2" t="str">
        <x:v>Medium fertility variant only; low/high not in the compact source and not retrieved</x:v>
      </x:c>
    </x:row>
    <x:row r="259" ht="100" customHeight="1">
      <x:c r="A259" s="2" t="str">
        <x:v>I-WBFOOD-MEX</x:v>
      </x:c>
      <x:c r="B259" s="2" t="str">
        <x:v>{"country":"MEX","year":2025,"result_USD":43194344355.36752,"inputs":"Exact matched year and variable values in country-panel.csv"}</x:v>
      </x:c>
      <x:c r="C259" s="2" t="str">
        <x:v>Percent merchandise imports × current USD</x:v>
      </x:c>
      <x:c r="D259" s="2" t="str">
        <x:v>Reported fact</x:v>
      </x:c>
      <x:c r="E259" s="2" t="str">
        <x:v>WB_food_import_share;WB_imports_usd</x:v>
      </x:c>
      <x:c r="F259" s="2" t="str">
        <x:v>Finance / Strategy to validate</x:v>
      </x:c>
      <x:c r="G259" s="2" t="str">
        <x:v>research/olam-global/country-panel.csv:MEX:2025</x:v>
      </x:c>
      <x:c r="H259" s="2" t="str">
        <x:v>Same-year matching prevents multiplying different vintages</x:v>
      </x:c>
      <x:c r="I259" s="2" t="str">
        <x:v>No empirical calibration; sensitivity or missing-data gate applies</x:v>
      </x:c>
    </x:row>
    <x:row r="260" ht="100" customHeight="1">
      <x:c r="A260" s="2" t="str">
        <x:v>UN_WPP_FSM</x:v>
      </x:c>
      <x:c r="B260" s="2" t="str">
        <x:v>{"2026":114183,"2030":116350,"2035":119143,"2040":121681,"2045":124064,"2050":126408,"2051":126853}</x:v>
      </x:c>
      <x:c r="C260" s="2" t="str">
        <x:v>Persons at seven milestones</x:v>
      </x:c>
      <x:c r="D260" s="2" t="str">
        <x:v>External projection</x:v>
      </x:c>
      <x:c r="E260" s="2" t="str">
        <x:v>UN_WPP</x:v>
      </x:c>
      <x:c r="F260" s="2" t="str">
        <x:v>UN DESA issuer; Strategy refresh</x:v>
      </x:c>
      <x:c r="G260" s="2" t="str">
        <x:v>research/olam-global/raw/wpp-milestones.csv:FSM</x:v>
      </x:c>
      <x:c r="H260" s="2" t="str">
        <x:v>WPP Medium in thousands ×1000; no income/category-demand inference</x:v>
      </x:c>
      <x:c r="I260" s="2" t="str">
        <x:v>Medium fertility variant only; low/high not in the compact source and not retrieved</x:v>
      </x:c>
    </x:row>
    <x:row r="261" ht="100" customHeight="1">
      <x:c r="A261" s="2" t="str">
        <x:v>I-WBFOOD-FSM</x:v>
      </x:c>
      <x:c r="B261" s="2" t="str">
        <x:v>{"country":"FSM","year":2013,"result_USD":52196116.24639562,"inputs":"Exact matched year and variable values in country-panel.csv"}</x:v>
      </x:c>
      <x:c r="C261" s="2" t="str">
        <x:v>Percent merchandise imports × current USD</x:v>
      </x:c>
      <x:c r="D261" s="2" t="str">
        <x:v>Reported fact</x:v>
      </x:c>
      <x:c r="E261" s="2" t="str">
        <x:v>WB_food_import_share;WB_imports_usd</x:v>
      </x:c>
      <x:c r="F261" s="2" t="str">
        <x:v>Finance / Strategy to validate</x:v>
      </x:c>
      <x:c r="G261" s="2" t="str">
        <x:v>research/olam-global/country-panel.csv:FSM:2013</x:v>
      </x:c>
      <x:c r="H261" s="2" t="str">
        <x:v>Same-year matching prevents multiplying different vintages</x:v>
      </x:c>
      <x:c r="I261" s="2" t="str">
        <x:v>No empirical calibration; sensitivity or missing-data gate applies</x:v>
      </x:c>
    </x:row>
    <x:row r="262" ht="100" customHeight="1">
      <x:c r="A262" s="2" t="str">
        <x:v>UN_WPP_MCO</x:v>
      </x:c>
      <x:c r="B262" s="2" t="str">
        <x:v>{"2026":38087,"2030":37366,"2035":36894,"2040":36627,"2045":36523,"2050":36757,"2051":36840}</x:v>
      </x:c>
      <x:c r="C262" s="2" t="str">
        <x:v>Persons at seven milestones</x:v>
      </x:c>
      <x:c r="D262" s="2" t="str">
        <x:v>External projection</x:v>
      </x:c>
      <x:c r="E262" s="2" t="str">
        <x:v>UN_WPP</x:v>
      </x:c>
      <x:c r="F262" s="2" t="str">
        <x:v>UN DESA issuer; Strategy refresh</x:v>
      </x:c>
      <x:c r="G262" s="2" t="str">
        <x:v>research/olam-global/raw/wpp-milestones.csv:MCO</x:v>
      </x:c>
      <x:c r="H262" s="2" t="str">
        <x:v>WPP Medium in thousands ×1000; no income/category-demand inference</x:v>
      </x:c>
      <x:c r="I262" s="2" t="str">
        <x:v>Medium fertility variant only; low/high not in the compact source and not retrieved</x:v>
      </x:c>
    </x:row>
    <x:row r="263" ht="100" customHeight="1">
      <x:c r="A263" s="2" t="str">
        <x:v>UN_WPP_MNG</x:v>
      </x:c>
      <x:c r="B263" s="2" t="str">
        <x:v>{"2026":3556798,"2030":3705231,"2035":3889776,"2040":4095554,"2045":4308779,"2050":4501493,"2051":4535765}</x:v>
      </x:c>
      <x:c r="C263" s="2" t="str">
        <x:v>Persons at seven milestones</x:v>
      </x:c>
      <x:c r="D263" s="2" t="str">
        <x:v>External projection</x:v>
      </x:c>
      <x:c r="E263" s="2" t="str">
        <x:v>UN_WPP</x:v>
      </x:c>
      <x:c r="F263" s="2" t="str">
        <x:v>UN DESA issuer; Strategy refresh</x:v>
      </x:c>
      <x:c r="G263" s="2" t="str">
        <x:v>research/olam-global/raw/wpp-milestones.csv:MNG</x:v>
      </x:c>
      <x:c r="H263" s="2" t="str">
        <x:v>WPP Medium in thousands ×1000; no income/category-demand inference</x:v>
      </x:c>
      <x:c r="I263" s="2" t="str">
        <x:v>Medium fertility variant only; low/high not in the compact source and not retrieved</x:v>
      </x:c>
    </x:row>
    <x:row r="264" ht="100" customHeight="1">
      <x:c r="A264" s="2" t="str">
        <x:v>I-WBFOOD-MNG</x:v>
      </x:c>
      <x:c r="B264" s="2" t="str">
        <x:v>{"country":"MNG","year":2023,"result_USD":1018448902.5490338,"inputs":"Exact matched year and variable values in country-panel.csv"}</x:v>
      </x:c>
      <x:c r="C264" s="2" t="str">
        <x:v>Percent merchandise imports × current USD</x:v>
      </x:c>
      <x:c r="D264" s="2" t="str">
        <x:v>Reported fact</x:v>
      </x:c>
      <x:c r="E264" s="2" t="str">
        <x:v>WB_food_import_share;WB_imports_usd</x:v>
      </x:c>
      <x:c r="F264" s="2" t="str">
        <x:v>Finance / Strategy to validate</x:v>
      </x:c>
      <x:c r="G264" s="2" t="str">
        <x:v>research/olam-global/country-panel.csv:MNG:2023</x:v>
      </x:c>
      <x:c r="H264" s="2" t="str">
        <x:v>Same-year matching prevents multiplying different vintages</x:v>
      </x:c>
      <x:c r="I264" s="2" t="str">
        <x:v>No empirical calibration; sensitivity or missing-data gate applies</x:v>
      </x:c>
    </x:row>
    <x:row r="265" ht="100" customHeight="1">
      <x:c r="A265" s="2" t="str">
        <x:v>UN_WPP_MNE</x:v>
      </x:c>
      <x:c r="B265" s="2" t="str">
        <x:v>{"2026":626233,"2030":612562,"2035":594137,"2040":574434,"2045":554231,"2050":533295,"2051":529032}</x:v>
      </x:c>
      <x:c r="C265" s="2" t="str">
        <x:v>Persons at seven milestones</x:v>
      </x:c>
      <x:c r="D265" s="2" t="str">
        <x:v>External projection</x:v>
      </x:c>
      <x:c r="E265" s="2" t="str">
        <x:v>UN_WPP</x:v>
      </x:c>
      <x:c r="F265" s="2" t="str">
        <x:v>UN DESA issuer; Strategy refresh</x:v>
      </x:c>
      <x:c r="G265" s="2" t="str">
        <x:v>research/olam-global/raw/wpp-milestones.csv:MNE</x:v>
      </x:c>
      <x:c r="H265" s="2" t="str">
        <x:v>WPP Medium in thousands ×1000; no income/category-demand inference</x:v>
      </x:c>
      <x:c r="I265" s="2" t="str">
        <x:v>Medium fertility variant only; low/high not in the compact source and not retrieved</x:v>
      </x:c>
    </x:row>
    <x:row r="266" ht="100" customHeight="1">
      <x:c r="A266" s="2" t="str">
        <x:v>I-WBFOOD-MNE</x:v>
      </x:c>
      <x:c r="B266" s="2" t="str">
        <x:v>{"country":"MNE","year":2024,"result_USD":1038413787.3255388,"inputs":"Exact matched year and variable values in country-panel.csv"}</x:v>
      </x:c>
      <x:c r="C266" s="2" t="str">
        <x:v>Percent merchandise imports × current USD</x:v>
      </x:c>
      <x:c r="D266" s="2" t="str">
        <x:v>Reported fact</x:v>
      </x:c>
      <x:c r="E266" s="2" t="str">
        <x:v>WB_food_import_share;WB_imports_usd</x:v>
      </x:c>
      <x:c r="F266" s="2" t="str">
        <x:v>Finance / Strategy to validate</x:v>
      </x:c>
      <x:c r="G266" s="2" t="str">
        <x:v>research/olam-global/country-panel.csv:MNE:2024</x:v>
      </x:c>
      <x:c r="H266" s="2" t="str">
        <x:v>Same-year matching prevents multiplying different vintages</x:v>
      </x:c>
      <x:c r="I266" s="2" t="str">
        <x:v>No empirical calibration; sensitivity or missing-data gate applies</x:v>
      </x:c>
    </x:row>
    <x:row r="267" ht="100" customHeight="1">
      <x:c r="A267" s="2" t="str">
        <x:v>UN_WPP_MAR</x:v>
      </x:c>
      <x:c r="B267" s="2" t="str">
        <x:v>{"2026":38762441,"2030":39953460,"2035":41182094,"2040":42168205,"2045":42925306,"2050":43440431,"2051":43517149}</x:v>
      </x:c>
      <x:c r="C267" s="2" t="str">
        <x:v>Persons at seven milestones</x:v>
      </x:c>
      <x:c r="D267" s="2" t="str">
        <x:v>External projection</x:v>
      </x:c>
      <x:c r="E267" s="2" t="str">
        <x:v>UN_WPP</x:v>
      </x:c>
      <x:c r="F267" s="2" t="str">
        <x:v>UN DESA issuer; Strategy refresh</x:v>
      </x:c>
      <x:c r="G267" s="2" t="str">
        <x:v>research/olam-global/raw/wpp-milestones.csv:MAR</x:v>
      </x:c>
      <x:c r="H267" s="2" t="str">
        <x:v>WPP Medium in thousands ×1000; no income/category-demand inference</x:v>
      </x:c>
      <x:c r="I267" s="2" t="str">
        <x:v>Medium fertility variant only; low/high not in the compact source and not retrieved</x:v>
      </x:c>
    </x:row>
    <x:row r="268" ht="100" customHeight="1">
      <x:c r="A268" s="2" t="str">
        <x:v>I-WBFOOD-MAR</x:v>
      </x:c>
      <x:c r="B268" s="2" t="str">
        <x:v>{"country":"MAR","year":2024,"result_USD":8463887509.776004,"inputs":"Exact matched year and variable values in country-panel.csv"}</x:v>
      </x:c>
      <x:c r="C268" s="2" t="str">
        <x:v>Percent merchandise imports × current USD</x:v>
      </x:c>
      <x:c r="D268" s="2" t="str">
        <x:v>Reported fact</x:v>
      </x:c>
      <x:c r="E268" s="2" t="str">
        <x:v>WB_food_import_share;WB_imports_usd</x:v>
      </x:c>
      <x:c r="F268" s="2" t="str">
        <x:v>Finance / Strategy to validate</x:v>
      </x:c>
      <x:c r="G268" s="2" t="str">
        <x:v>research/olam-global/country-panel.csv:MAR:2024</x:v>
      </x:c>
      <x:c r="H268" s="2" t="str">
        <x:v>Same-year matching prevents multiplying different vintages</x:v>
      </x:c>
      <x:c r="I268" s="2" t="str">
        <x:v>No empirical calibration; sensitivity or missing-data gate applies</x:v>
      </x:c>
    </x:row>
    <x:row r="269" ht="100" customHeight="1">
      <x:c r="A269" s="2" t="str">
        <x:v>UN_WPP_MOZ</x:v>
      </x:c>
      <x:c r="B269" s="2" t="str">
        <x:v>{"2026":36639851,"2030":40846755,"2035":46411774,"2040":52124215,"2045":57851793,"2050":63530952,"2051":64647084}</x:v>
      </x:c>
      <x:c r="C269" s="2" t="str">
        <x:v>Persons at seven milestones</x:v>
      </x:c>
      <x:c r="D269" s="2" t="str">
        <x:v>External projection</x:v>
      </x:c>
      <x:c r="E269" s="2" t="str">
        <x:v>UN_WPP</x:v>
      </x:c>
      <x:c r="F269" s="2" t="str">
        <x:v>UN DESA issuer; Strategy refresh</x:v>
      </x:c>
      <x:c r="G269" s="2" t="str">
        <x:v>research/olam-global/raw/wpp-milestones.csv:MOZ</x:v>
      </x:c>
      <x:c r="H269" s="2" t="str">
        <x:v>WPP Medium in thousands ×1000; no income/category-demand inference</x:v>
      </x:c>
      <x:c r="I269" s="2" t="str">
        <x:v>Medium fertility variant only; low/high not in the compact source and not retrieved</x:v>
      </x:c>
    </x:row>
    <x:row r="270" ht="100" customHeight="1">
      <x:c r="A270" s="2" t="str">
        <x:v>I-WBFOOD-MOZ</x:v>
      </x:c>
      <x:c r="B270" s="2" t="str">
        <x:v>{"country":"MOZ","year":2024,"result_USD":1804725966.4594724,"inputs":"Exact matched year and variable values in country-panel.csv"}</x:v>
      </x:c>
      <x:c r="C270" s="2" t="str">
        <x:v>Percent merchandise imports × current USD</x:v>
      </x:c>
      <x:c r="D270" s="2" t="str">
        <x:v>Reported fact</x:v>
      </x:c>
      <x:c r="E270" s="2" t="str">
        <x:v>WB_food_import_share;WB_imports_usd</x:v>
      </x:c>
      <x:c r="F270" s="2" t="str">
        <x:v>Finance / Strategy to validate</x:v>
      </x:c>
      <x:c r="G270" s="2" t="str">
        <x:v>research/olam-global/country-panel.csv:MOZ:2024</x:v>
      </x:c>
      <x:c r="H270" s="2" t="str">
        <x:v>Same-year matching prevents multiplying different vintages</x:v>
      </x:c>
      <x:c r="I270" s="2" t="str">
        <x:v>No empirical calibration; sensitivity or missing-data gate applies</x:v>
      </x:c>
    </x:row>
    <x:row r="271" ht="100" customHeight="1">
      <x:c r="A271" s="2" t="str">
        <x:v>UN_WPP_MMR</x:v>
      </x:c>
      <x:c r="B271" s="2" t="str">
        <x:v>{"2026":55184819,"2030":56351031,"2035":57444464,"2040":58169858,"2045":58558172,"2050":58623232,"2051":58602738}</x:v>
      </x:c>
      <x:c r="C271" s="2" t="str">
        <x:v>Persons at seven milestones</x:v>
      </x:c>
      <x:c r="D271" s="2" t="str">
        <x:v>External projection</x:v>
      </x:c>
      <x:c r="E271" s="2" t="str">
        <x:v>UN_WPP</x:v>
      </x:c>
      <x:c r="F271" s="2" t="str">
        <x:v>UN DESA issuer; Strategy refresh</x:v>
      </x:c>
      <x:c r="G271" s="2" t="str">
        <x:v>research/olam-global/raw/wpp-milestones.csv:MMR</x:v>
      </x:c>
      <x:c r="H271" s="2" t="str">
        <x:v>WPP Medium in thousands ×1000; no income/category-demand inference</x:v>
      </x:c>
      <x:c r="I271" s="2" t="str">
        <x:v>Medium fertility variant only; low/high not in the compact source and not retrieved</x:v>
      </x:c>
    </x:row>
    <x:row r="272" ht="100" customHeight="1">
      <x:c r="A272" s="2" t="str">
        <x:v>I-WBFOOD-MMR</x:v>
      </x:c>
      <x:c r="B272" s="2" t="str">
        <x:v>{"country":"MMR","year":2024,"result_USD":1212591664.825881,"inputs":"Exact matched year and variable values in country-panel.csv"}</x:v>
      </x:c>
      <x:c r="C272" s="2" t="str">
        <x:v>Percent merchandise imports × current USD</x:v>
      </x:c>
      <x:c r="D272" s="2" t="str">
        <x:v>Reported fact</x:v>
      </x:c>
      <x:c r="E272" s="2" t="str">
        <x:v>WB_food_import_share;WB_imports_usd</x:v>
      </x:c>
      <x:c r="F272" s="2" t="str">
        <x:v>Finance / Strategy to validate</x:v>
      </x:c>
      <x:c r="G272" s="2" t="str">
        <x:v>research/olam-global/country-panel.csv:MMR:2024</x:v>
      </x:c>
      <x:c r="H272" s="2" t="str">
        <x:v>Same-year matching prevents multiplying different vintages</x:v>
      </x:c>
      <x:c r="I272" s="2" t="str">
        <x:v>No empirical calibration; sensitivity or missing-data gate applies</x:v>
      </x:c>
    </x:row>
    <x:row r="273" ht="100" customHeight="1">
      <x:c r="A273" s="2" t="str">
        <x:v>UN_WPP_NAM</x:v>
      </x:c>
      <x:c r="B273" s="2" t="str">
        <x:v>{"2026":3153246,"2030":3389958,"2035":3678880,"2040":3962405,"2045":4243350,"2050":4512301,"2051":4564906}</x:v>
      </x:c>
      <x:c r="C273" s="2" t="str">
        <x:v>Persons at seven milestones</x:v>
      </x:c>
      <x:c r="D273" s="2" t="str">
        <x:v>External projection</x:v>
      </x:c>
      <x:c r="E273" s="2" t="str">
        <x:v>UN_WPP</x:v>
      </x:c>
      <x:c r="F273" s="2" t="str">
        <x:v>UN DESA issuer; Strategy refresh</x:v>
      </x:c>
      <x:c r="G273" s="2" t="str">
        <x:v>research/olam-global/raw/wpp-milestones.csv:NAM</x:v>
      </x:c>
      <x:c r="H273" s="2" t="str">
        <x:v>WPP Medium in thousands ×1000; no income/category-demand inference</x:v>
      </x:c>
      <x:c r="I273" s="2" t="str">
        <x:v>Medium fertility variant only; low/high not in the compact source and not retrieved</x:v>
      </x:c>
    </x:row>
    <x:row r="274" ht="100" customHeight="1">
      <x:c r="A274" s="2" t="str">
        <x:v>I-WBFOOD-NAM</x:v>
      </x:c>
      <x:c r="B274" s="2" t="str">
        <x:v>{"country":"NAM","year":2024,"result_USD":1173936025.4273493,"inputs":"Exact matched year and variable values in country-panel.csv"}</x:v>
      </x:c>
      <x:c r="C274" s="2" t="str">
        <x:v>Percent merchandise imports × current USD</x:v>
      </x:c>
      <x:c r="D274" s="2" t="str">
        <x:v>Reported fact</x:v>
      </x:c>
      <x:c r="E274" s="2" t="str">
        <x:v>WB_food_import_share;WB_imports_usd</x:v>
      </x:c>
      <x:c r="F274" s="2" t="str">
        <x:v>Finance / Strategy to validate</x:v>
      </x:c>
      <x:c r="G274" s="2" t="str">
        <x:v>research/olam-global/country-panel.csv:NAM:2024</x:v>
      </x:c>
      <x:c r="H274" s="2" t="str">
        <x:v>Same-year matching prevents multiplying different vintages</x:v>
      </x:c>
      <x:c r="I274" s="2" t="str">
        <x:v>No empirical calibration; sensitivity or missing-data gate applies</x:v>
      </x:c>
    </x:row>
    <x:row r="275" ht="100" customHeight="1">
      <x:c r="A275" s="2" t="str">
        <x:v>UN_WPP_NRU</x:v>
      </x:c>
      <x:c r="B275" s="2" t="str">
        <x:v>{"2026":12101,"2030":12521,"2035":13233,"2040":14039,"2045":14928,"2050":15758,"2051":15913}</x:v>
      </x:c>
      <x:c r="C275" s="2" t="str">
        <x:v>Persons at seven milestones</x:v>
      </x:c>
      <x:c r="D275" s="2" t="str">
        <x:v>External projection</x:v>
      </x:c>
      <x:c r="E275" s="2" t="str">
        <x:v>UN_WPP</x:v>
      </x:c>
      <x:c r="F275" s="2" t="str">
        <x:v>UN DESA issuer; Strategy refresh</x:v>
      </x:c>
      <x:c r="G275" s="2" t="str">
        <x:v>research/olam-global/raw/wpp-milestones.csv:NRU</x:v>
      </x:c>
      <x:c r="H275" s="2" t="str">
        <x:v>WPP Medium in thousands ×1000; no income/category-demand inference</x:v>
      </x:c>
      <x:c r="I275" s="2" t="str">
        <x:v>Medium fertility variant only; low/high not in the compact source and not retrieved</x:v>
      </x:c>
    </x:row>
    <x:row r="276" ht="100" customHeight="1">
      <x:c r="A276" s="2" t="str">
        <x:v>UN_WPP_NPL</x:v>
      </x:c>
      <x:c r="B276" s="2" t="str">
        <x:v>{"2026":29629410,"2030":30509996,"2035":31798004,"2040":32909536.999999996,"2045":33861060,"2050":34642027,"2051":34777003}</x:v>
      </x:c>
      <x:c r="C276" s="2" t="str">
        <x:v>Persons at seven milestones</x:v>
      </x:c>
      <x:c r="D276" s="2" t="str">
        <x:v>External projection</x:v>
      </x:c>
      <x:c r="E276" s="2" t="str">
        <x:v>UN_WPP</x:v>
      </x:c>
      <x:c r="F276" s="2" t="str">
        <x:v>UN DESA issuer; Strategy refresh</x:v>
      </x:c>
      <x:c r="G276" s="2" t="str">
        <x:v>research/olam-global/raw/wpp-milestones.csv:NPL</x:v>
      </x:c>
      <x:c r="H276" s="2" t="str">
        <x:v>WPP Medium in thousands ×1000; no income/category-demand inference</x:v>
      </x:c>
      <x:c r="I276" s="2" t="str">
        <x:v>Medium fertility variant only; low/high not in the compact source and not retrieved</x:v>
      </x:c>
    </x:row>
    <x:row r="277" ht="100" customHeight="1">
      <x:c r="A277" s="2" t="str">
        <x:v>I-WBFOOD-NPL</x:v>
      </x:c>
      <x:c r="B277" s="2" t="str">
        <x:v>{"country":"NPL","year":2022,"result_USD":2467074499.2321577,"inputs":"Exact matched year and variable values in country-panel.csv"}</x:v>
      </x:c>
      <x:c r="C277" s="2" t="str">
        <x:v>Percent merchandise imports × current USD</x:v>
      </x:c>
      <x:c r="D277" s="2" t="str">
        <x:v>Reported fact</x:v>
      </x:c>
      <x:c r="E277" s="2" t="str">
        <x:v>WB_food_import_share;WB_imports_usd</x:v>
      </x:c>
      <x:c r="F277" s="2" t="str">
        <x:v>Finance / Strategy to validate</x:v>
      </x:c>
      <x:c r="G277" s="2" t="str">
        <x:v>research/olam-global/country-panel.csv:NPL:2022</x:v>
      </x:c>
      <x:c r="H277" s="2" t="str">
        <x:v>Same-year matching prevents multiplying different vintages</x:v>
      </x:c>
      <x:c r="I277" s="2" t="str">
        <x:v>No empirical calibration; sensitivity or missing-data gate applies</x:v>
      </x:c>
    </x:row>
    <x:row r="278" ht="100" customHeight="1">
      <x:c r="A278" s="2" t="str">
        <x:v>UN_WPP_NLD</x:v>
      </x:c>
      <x:c r="B278" s="2" t="str">
        <x:v>{"2026":18448775,"2030":18757217,"2035":18977352,"2040":19062983,"2045":19041975,"2050":18958475,"2051":18934376}</x:v>
      </x:c>
      <x:c r="C278" s="2" t="str">
        <x:v>Persons at seven milestones</x:v>
      </x:c>
      <x:c r="D278" s="2" t="str">
        <x:v>External projection</x:v>
      </x:c>
      <x:c r="E278" s="2" t="str">
        <x:v>UN_WPP</x:v>
      </x:c>
      <x:c r="F278" s="2" t="str">
        <x:v>UN DESA issuer; Strategy refresh</x:v>
      </x:c>
      <x:c r="G278" s="2" t="str">
        <x:v>research/olam-global/raw/wpp-milestones.csv:NLD</x:v>
      </x:c>
      <x:c r="H278" s="2" t="str">
        <x:v>WPP Medium in thousands ×1000; no income/category-demand inference</x:v>
      </x:c>
      <x:c r="I278" s="2" t="str">
        <x:v>Medium fertility variant only; low/high not in the compact source and not retrieved</x:v>
      </x:c>
    </x:row>
    <x:row r="279" ht="100" customHeight="1">
      <x:c r="A279" s="2" t="str">
        <x:v>I-WBFOOD-NLD</x:v>
      </x:c>
      <x:c r="B279" s="2" t="str">
        <x:v>{"country":"NLD","year":2024,"result_USD":108375015749.1762,"inputs":"Exact matched year and variable values in country-panel.csv"}</x:v>
      </x:c>
      <x:c r="C279" s="2" t="str">
        <x:v>Percent merchandise imports × current USD</x:v>
      </x:c>
      <x:c r="D279" s="2" t="str">
        <x:v>Reported fact</x:v>
      </x:c>
      <x:c r="E279" s="2" t="str">
        <x:v>WB_food_import_share;WB_imports_usd</x:v>
      </x:c>
      <x:c r="F279" s="2" t="str">
        <x:v>Finance / Strategy to validate</x:v>
      </x:c>
      <x:c r="G279" s="2" t="str">
        <x:v>research/olam-global/country-panel.csv:NLD:2024</x:v>
      </x:c>
      <x:c r="H279" s="2" t="str">
        <x:v>Same-year matching prevents multiplying different vintages</x:v>
      </x:c>
      <x:c r="I279" s="2" t="str">
        <x:v>No empirical calibration; sensitivity or missing-data gate applies</x:v>
      </x:c>
    </x:row>
    <x:row r="280" ht="100" customHeight="1">
      <x:c r="A280" s="2" t="str">
        <x:v>UN_WPP_NZL</x:v>
      </x:c>
      <x:c r="B280" s="2" t="str">
        <x:v>{"2026":5287479,"2030":5407349,"2035":5520602,"2040":5617291,"2045":5700556,"2050":5755288,"2051":5766716}</x:v>
      </x:c>
      <x:c r="C280" s="2" t="str">
        <x:v>Persons at seven milestones</x:v>
      </x:c>
      <x:c r="D280" s="2" t="str">
        <x:v>External projection</x:v>
      </x:c>
      <x:c r="E280" s="2" t="str">
        <x:v>UN_WPP</x:v>
      </x:c>
      <x:c r="F280" s="2" t="str">
        <x:v>UN DESA issuer; Strategy refresh</x:v>
      </x:c>
      <x:c r="G280" s="2" t="str">
        <x:v>research/olam-global/raw/wpp-milestones.csv:NZL</x:v>
      </x:c>
      <x:c r="H280" s="2" t="str">
        <x:v>WPP Medium in thousands ×1000; no income/category-demand inference</x:v>
      </x:c>
      <x:c r="I280" s="2" t="str">
        <x:v>Medium fertility variant only; low/high not in the compact source and not retrieved</x:v>
      </x:c>
    </x:row>
    <x:row r="281" ht="100" customHeight="1">
      <x:c r="A281" s="2" t="str">
        <x:v>I-WBFOOD-NZL</x:v>
      </x:c>
      <x:c r="B281" s="2" t="str">
        <x:v>{"country":"NZL","year":2025,"result_USD":6091539100.05747,"inputs":"Exact matched year and variable values in country-panel.csv"}</x:v>
      </x:c>
      <x:c r="C281" s="2" t="str">
        <x:v>Percent merchandise imports × current USD</x:v>
      </x:c>
      <x:c r="D281" s="2" t="str">
        <x:v>Reported fact</x:v>
      </x:c>
      <x:c r="E281" s="2" t="str">
        <x:v>WB_food_import_share;WB_imports_usd</x:v>
      </x:c>
      <x:c r="F281" s="2" t="str">
        <x:v>Finance / Strategy to validate</x:v>
      </x:c>
      <x:c r="G281" s="2" t="str">
        <x:v>research/olam-global/country-panel.csv:NZL:2025</x:v>
      </x:c>
      <x:c r="H281" s="2" t="str">
        <x:v>Same-year matching prevents multiplying different vintages</x:v>
      </x:c>
      <x:c r="I281" s="2" t="str">
        <x:v>No empirical calibration; sensitivity or missing-data gate applies</x:v>
      </x:c>
    </x:row>
    <x:row r="282" ht="100" customHeight="1">
      <x:c r="A282" s="2" t="str">
        <x:v>UN_WPP_NIC</x:v>
      </x:c>
      <x:c r="B282" s="2" t="str">
        <x:v>{"2026":7097329,"2030":7441603,"2035":7836703,"2040":8189914,"2045":8497615,"2050":8756430,"2051":8801962}</x:v>
      </x:c>
      <x:c r="C282" s="2" t="str">
        <x:v>Persons at seven milestones</x:v>
      </x:c>
      <x:c r="D282" s="2" t="str">
        <x:v>External projection</x:v>
      </x:c>
      <x:c r="E282" s="2" t="str">
        <x:v>UN_WPP</x:v>
      </x:c>
      <x:c r="F282" s="2" t="str">
        <x:v>UN DESA issuer; Strategy refresh</x:v>
      </x:c>
      <x:c r="G282" s="2" t="str">
        <x:v>research/olam-global/raw/wpp-milestones.csv:NIC</x:v>
      </x:c>
      <x:c r="H282" s="2" t="str">
        <x:v>WPP Medium in thousands ×1000; no income/category-demand inference</x:v>
      </x:c>
      <x:c r="I282" s="2" t="str">
        <x:v>Medium fertility variant only; low/high not in the compact source and not retrieved</x:v>
      </x:c>
    </x:row>
    <x:row r="283" ht="100" customHeight="1">
      <x:c r="A283" s="2" t="str">
        <x:v>I-WBFOOD-NIC</x:v>
      </x:c>
      <x:c r="B283" s="2" t="str">
        <x:v>{"country":"NIC","year":2024,"result_USD":1898647237.676474,"inputs":"Exact matched year and variable values in country-panel.csv"}</x:v>
      </x:c>
      <x:c r="C283" s="2" t="str">
        <x:v>Percent merchandise imports × current USD</x:v>
      </x:c>
      <x:c r="D283" s="2" t="str">
        <x:v>Reported fact</x:v>
      </x:c>
      <x:c r="E283" s="2" t="str">
        <x:v>WB_food_import_share;WB_imports_usd</x:v>
      </x:c>
      <x:c r="F283" s="2" t="str">
        <x:v>Finance / Strategy to validate</x:v>
      </x:c>
      <x:c r="G283" s="2" t="str">
        <x:v>research/olam-global/country-panel.csv:NIC:2024</x:v>
      </x:c>
      <x:c r="H283" s="2" t="str">
        <x:v>Same-year matching prevents multiplying different vintages</x:v>
      </x:c>
      <x:c r="I283" s="2" t="str">
        <x:v>No empirical calibration; sensitivity or missing-data gate applies</x:v>
      </x:c>
    </x:row>
    <x:row r="284" ht="100" customHeight="1">
      <x:c r="A284" s="2" t="str">
        <x:v>UN_WPP_NER</x:v>
      </x:c>
      <x:c r="B284" s="2" t="str">
        <x:v>{"2026":28814878,"2030":32518075,"2035":37353463,"2040":42316740,"2045":47374117,"2050":52513876,"2051":53546930}</x:v>
      </x:c>
      <x:c r="C284" s="2" t="str">
        <x:v>Persons at seven milestones</x:v>
      </x:c>
      <x:c r="D284" s="2" t="str">
        <x:v>External projection</x:v>
      </x:c>
      <x:c r="E284" s="2" t="str">
        <x:v>UN_WPP</x:v>
      </x:c>
      <x:c r="F284" s="2" t="str">
        <x:v>UN DESA issuer; Strategy refresh</x:v>
      </x:c>
      <x:c r="G284" s="2" t="str">
        <x:v>research/olam-global/raw/wpp-milestones.csv:NER</x:v>
      </x:c>
      <x:c r="H284" s="2" t="str">
        <x:v>WPP Medium in thousands ×1000; no income/category-demand inference</x:v>
      </x:c>
      <x:c r="I284" s="2" t="str">
        <x:v>Medium fertility variant only; low/high not in the compact source and not retrieved</x:v>
      </x:c>
    </x:row>
    <x:row r="285" ht="100" customHeight="1">
      <x:c r="A285" s="2" t="str">
        <x:v>I-WBFOOD-NER</x:v>
      </x:c>
      <x:c r="B285" s="2" t="str">
        <x:v>{"country":"NER","year":2024,"result_USD":957211632.1311792,"inputs":"Exact matched year and variable values in country-panel.csv"}</x:v>
      </x:c>
      <x:c r="C285" s="2" t="str">
        <x:v>Percent merchandise imports × current USD</x:v>
      </x:c>
      <x:c r="D285" s="2" t="str">
        <x:v>Reported fact</x:v>
      </x:c>
      <x:c r="E285" s="2" t="str">
        <x:v>WB_food_import_share;WB_imports_usd</x:v>
      </x:c>
      <x:c r="F285" s="2" t="str">
        <x:v>Finance / Strategy to validate</x:v>
      </x:c>
      <x:c r="G285" s="2" t="str">
        <x:v>research/olam-global/country-panel.csv:NER:2024</x:v>
      </x:c>
      <x:c r="H285" s="2" t="str">
        <x:v>Same-year matching prevents multiplying different vintages</x:v>
      </x:c>
      <x:c r="I285" s="2" t="str">
        <x:v>No empirical calibration; sensitivity or missing-data gate applies</x:v>
      </x:c>
    </x:row>
    <x:row r="286" ht="100" customHeight="1">
      <x:c r="A286" s="2" t="str">
        <x:v>UN_WPP_NGA</x:v>
      </x:c>
      <x:c r="B286" s="2" t="str">
        <x:v>{"2026":242431832,"2030":262380969.99999997,"2035":287685763,"2040":312710416,"2045":336662502,"2050":359185556,"2051":363523611}</x:v>
      </x:c>
      <x:c r="C286" s="2" t="str">
        <x:v>Persons at seven milestones</x:v>
      </x:c>
      <x:c r="D286" s="2" t="str">
        <x:v>External projection</x:v>
      </x:c>
      <x:c r="E286" s="2" t="str">
        <x:v>UN_WPP</x:v>
      </x:c>
      <x:c r="F286" s="2" t="str">
        <x:v>UN DESA issuer; Strategy refresh</x:v>
      </x:c>
      <x:c r="G286" s="2" t="str">
        <x:v>research/olam-global/raw/wpp-milestones.csv:NGA</x:v>
      </x:c>
      <x:c r="H286" s="2" t="str">
        <x:v>WPP Medium in thousands ×1000; no income/category-demand inference</x:v>
      </x:c>
      <x:c r="I286" s="2" t="str">
        <x:v>Medium fertility variant only; low/high not in the compact source and not retrieved</x:v>
      </x:c>
    </x:row>
    <x:row r="287" ht="100" customHeight="1">
      <x:c r="A287" s="2" t="str">
        <x:v>I-WBFOOD-NGA</x:v>
      </x:c>
      <x:c r="B287" s="2" t="str">
        <x:v>{"country":"NGA","year":2024,"result_USD":4545672778.745587,"inputs":"Exact matched year and variable values in country-panel.csv"}</x:v>
      </x:c>
      <x:c r="C287" s="2" t="str">
        <x:v>Percent merchandise imports × current USD</x:v>
      </x:c>
      <x:c r="D287" s="2" t="str">
        <x:v>Reported fact</x:v>
      </x:c>
      <x:c r="E287" s="2" t="str">
        <x:v>WB_food_import_share;WB_imports_usd</x:v>
      </x:c>
      <x:c r="F287" s="2" t="str">
        <x:v>Finance / Strategy to validate</x:v>
      </x:c>
      <x:c r="G287" s="2" t="str">
        <x:v>research/olam-global/country-panel.csv:NGA:2024</x:v>
      </x:c>
      <x:c r="H287" s="2" t="str">
        <x:v>Same-year matching prevents multiplying different vintages</x:v>
      </x:c>
      <x:c r="I287" s="2" t="str">
        <x:v>No empirical calibration; sensitivity or missing-data gate applies</x:v>
      </x:c>
    </x:row>
    <x:row r="288" ht="100" customHeight="1">
      <x:c r="A288" s="2" t="str">
        <x:v>UN_WPP_MKD</x:v>
      </x:c>
      <x:c r="B288" s="2" t="str">
        <x:v>{"2026":1804063,"2030":1762486,"2035":1704194,"2040":1641908,"2045":1577355,"2050":1512688,"2051":1499303}</x:v>
      </x:c>
      <x:c r="C288" s="2" t="str">
        <x:v>Persons at seven milestones</x:v>
      </x:c>
      <x:c r="D288" s="2" t="str">
        <x:v>External projection</x:v>
      </x:c>
      <x:c r="E288" s="2" t="str">
        <x:v>UN_WPP</x:v>
      </x:c>
      <x:c r="F288" s="2" t="str">
        <x:v>UN DESA issuer; Strategy refresh</x:v>
      </x:c>
      <x:c r="G288" s="2" t="str">
        <x:v>research/olam-global/raw/wpp-milestones.csv:MKD</x:v>
      </x:c>
      <x:c r="H288" s="2" t="str">
        <x:v>WPP Medium in thousands ×1000; no income/category-demand inference</x:v>
      </x:c>
      <x:c r="I288" s="2" t="str">
        <x:v>Medium fertility variant only; low/high not in the compact source and not retrieved</x:v>
      </x:c>
    </x:row>
    <x:row r="289" ht="100" customHeight="1">
      <x:c r="A289" s="2" t="str">
        <x:v>I-WBFOOD-MKD</x:v>
      </x:c>
      <x:c r="B289" s="2" t="str">
        <x:v>{"country":"MKD","year":2024,"result_USD":1403172578.691468,"inputs":"Exact matched year and variable values in country-panel.csv"}</x:v>
      </x:c>
      <x:c r="C289" s="2" t="str">
        <x:v>Percent merchandise imports × current USD</x:v>
      </x:c>
      <x:c r="D289" s="2" t="str">
        <x:v>Reported fact</x:v>
      </x:c>
      <x:c r="E289" s="2" t="str">
        <x:v>WB_food_import_share;WB_imports_usd</x:v>
      </x:c>
      <x:c r="F289" s="2" t="str">
        <x:v>Finance / Strategy to validate</x:v>
      </x:c>
      <x:c r="G289" s="2" t="str">
        <x:v>research/olam-global/country-panel.csv:MKD:2024</x:v>
      </x:c>
      <x:c r="H289" s="2" t="str">
        <x:v>Same-year matching prevents multiplying different vintages</x:v>
      </x:c>
      <x:c r="I289" s="2" t="str">
        <x:v>No empirical calibration; sensitivity or missing-data gate applies</x:v>
      </x:c>
    </x:row>
    <x:row r="290" ht="100" customHeight="1">
      <x:c r="A290" s="2" t="str">
        <x:v>UN_WPP_NOR</x:v>
      </x:c>
      <x:c r="B290" s="2" t="str">
        <x:v>{"2026":5652989,"2030":5729095,"2035":5801417,"2040":5853869,"2045":5886017,"2050":5899829,"2051":5899792}</x:v>
      </x:c>
      <x:c r="C290" s="2" t="str">
        <x:v>Persons at seven milestones</x:v>
      </x:c>
      <x:c r="D290" s="2" t="str">
        <x:v>External projection</x:v>
      </x:c>
      <x:c r="E290" s="2" t="str">
        <x:v>UN_WPP</x:v>
      </x:c>
      <x:c r="F290" s="2" t="str">
        <x:v>UN DESA issuer; Strategy refresh</x:v>
      </x:c>
      <x:c r="G290" s="2" t="str">
        <x:v>research/olam-global/raw/wpp-milestones.csv:NOR</x:v>
      </x:c>
      <x:c r="H290" s="2" t="str">
        <x:v>WPP Medium in thousands ×1000; no income/category-demand inference</x:v>
      </x:c>
      <x:c r="I290" s="2" t="str">
        <x:v>Medium fertility variant only; low/high not in the compact source and not retrieved</x:v>
      </x:c>
    </x:row>
    <x:row r="291" ht="100" customHeight="1">
      <x:c r="A291" s="2" t="str">
        <x:v>I-WBFOOD-NOR</x:v>
      </x:c>
      <x:c r="B291" s="2" t="str">
        <x:v>{"country":"NOR","year":2025,"result_USD":11913988875.386265,"inputs":"Exact matched year and variable values in country-panel.csv"}</x:v>
      </x:c>
      <x:c r="C291" s="2" t="str">
        <x:v>Percent merchandise imports × current USD</x:v>
      </x:c>
      <x:c r="D291" s="2" t="str">
        <x:v>Reported fact</x:v>
      </x:c>
      <x:c r="E291" s="2" t="str">
        <x:v>WB_food_import_share;WB_imports_usd</x:v>
      </x:c>
      <x:c r="F291" s="2" t="str">
        <x:v>Finance / Strategy to validate</x:v>
      </x:c>
      <x:c r="G291" s="2" t="str">
        <x:v>research/olam-global/country-panel.csv:NOR:2025</x:v>
      </x:c>
      <x:c r="H291" s="2" t="str">
        <x:v>Same-year matching prevents multiplying different vintages</x:v>
      </x:c>
      <x:c r="I291" s="2" t="str">
        <x:v>No empirical calibration; sensitivity or missing-data gate applies</x:v>
      </x:c>
    </x:row>
    <x:row r="292" ht="100" customHeight="1">
      <x:c r="A292" s="2" t="str">
        <x:v>UN_WPP_OMN</x:v>
      </x:c>
      <x:c r="B292" s="2" t="str">
        <x:v>{"2026":5671458,"2030":6112706,"2035":6517803,"2040":6931974,"2045":7370225,"2050":7827002,"2051":7920185}</x:v>
      </x:c>
      <x:c r="C292" s="2" t="str">
        <x:v>Persons at seven milestones</x:v>
      </x:c>
      <x:c r="D292" s="2" t="str">
        <x:v>External projection</x:v>
      </x:c>
      <x:c r="E292" s="2" t="str">
        <x:v>UN_WPP</x:v>
      </x:c>
      <x:c r="F292" s="2" t="str">
        <x:v>UN DESA issuer; Strategy refresh</x:v>
      </x:c>
      <x:c r="G292" s="2" t="str">
        <x:v>research/olam-global/raw/wpp-milestones.csv:OMN</x:v>
      </x:c>
      <x:c r="H292" s="2" t="str">
        <x:v>WPP Medium in thousands ×1000; no income/category-demand inference</x:v>
      </x:c>
      <x:c r="I292" s="2" t="str">
        <x:v>Medium fertility variant only; low/high not in the compact source and not retrieved</x:v>
      </x:c>
    </x:row>
    <x:row r="293" ht="100" customHeight="1">
      <x:c r="A293" s="2" t="str">
        <x:v>I-WBFOOD-OMN</x:v>
      </x:c>
      <x:c r="B293" s="2" t="str">
        <x:v>{"country":"OMN","year":2024,"result_USD":6036934615.077476,"inputs":"Exact matched year and variable values in country-panel.csv"}</x:v>
      </x:c>
      <x:c r="C293" s="2" t="str">
        <x:v>Percent merchandise imports × current USD</x:v>
      </x:c>
      <x:c r="D293" s="2" t="str">
        <x:v>Reported fact</x:v>
      </x:c>
      <x:c r="E293" s="2" t="str">
        <x:v>WB_food_import_share;WB_imports_usd</x:v>
      </x:c>
      <x:c r="F293" s="2" t="str">
        <x:v>Finance / Strategy to validate</x:v>
      </x:c>
      <x:c r="G293" s="2" t="str">
        <x:v>research/olam-global/country-panel.csv:OMN:2024</x:v>
      </x:c>
      <x:c r="H293" s="2" t="str">
        <x:v>Same-year matching prevents multiplying different vintages</x:v>
      </x:c>
      <x:c r="I293" s="2" t="str">
        <x:v>No empirical calibration; sensitivity or missing-data gate applies</x:v>
      </x:c>
    </x:row>
    <x:row r="294" ht="100" customHeight="1">
      <x:c r="A294" s="2" t="str">
        <x:v>UN_WPP_PAK</x:v>
      </x:c>
      <x:c r="B294" s="2" t="str">
        <x:v>{"2026":259299791,"2030":276883255,"2035":300643508,"2040":324937697,"2045":348837726,"2050":371863793,"2051":376335025}</x:v>
      </x:c>
      <x:c r="C294" s="2" t="str">
        <x:v>Persons at seven milestones</x:v>
      </x:c>
      <x:c r="D294" s="2" t="str">
        <x:v>External projection</x:v>
      </x:c>
      <x:c r="E294" s="2" t="str">
        <x:v>UN_WPP</x:v>
      </x:c>
      <x:c r="F294" s="2" t="str">
        <x:v>UN DESA issuer; Strategy refresh</x:v>
      </x:c>
      <x:c r="G294" s="2" t="str">
        <x:v>research/olam-global/raw/wpp-milestones.csv:PAK</x:v>
      </x:c>
      <x:c r="H294" s="2" t="str">
        <x:v>WPP Medium in thousands ×1000; no income/category-demand inference</x:v>
      </x:c>
      <x:c r="I294" s="2" t="str">
        <x:v>Medium fertility variant only; low/high not in the compact source and not retrieved</x:v>
      </x:c>
    </x:row>
    <x:row r="295" ht="100" customHeight="1">
      <x:c r="A295" s="2" t="str">
        <x:v>I-WBFOOD-PAK</x:v>
      </x:c>
      <x:c r="B295" s="2" t="str">
        <x:v>{"country":"PAK","year":2024,"result_USD":8379735144.687548,"inputs":"Exact matched year and variable values in country-panel.csv"}</x:v>
      </x:c>
      <x:c r="C295" s="2" t="str">
        <x:v>Percent merchandise imports × current USD</x:v>
      </x:c>
      <x:c r="D295" s="2" t="str">
        <x:v>Reported fact</x:v>
      </x:c>
      <x:c r="E295" s="2" t="str">
        <x:v>WB_food_import_share;WB_imports_usd</x:v>
      </x:c>
      <x:c r="F295" s="2" t="str">
        <x:v>Finance / Strategy to validate</x:v>
      </x:c>
      <x:c r="G295" s="2" t="str">
        <x:v>research/olam-global/country-panel.csv:PAK:2024</x:v>
      </x:c>
      <x:c r="H295" s="2" t="str">
        <x:v>Same-year matching prevents multiplying different vintages</x:v>
      </x:c>
      <x:c r="I295" s="2" t="str">
        <x:v>No empirical calibration; sensitivity or missing-data gate applies</x:v>
      </x:c>
    </x:row>
    <x:row r="296" ht="100" customHeight="1">
      <x:c r="A296" s="2" t="str">
        <x:v>UN_WPP_PLW</x:v>
      </x:c>
      <x:c r="B296" s="2" t="str">
        <x:v>{"2026":17614,"2030":17376,"2035":17015,"2040":16602,"2045":16088.999999999998,"2050":15518,"2051":15403}</x:v>
      </x:c>
      <x:c r="C296" s="2" t="str">
        <x:v>Persons at seven milestones</x:v>
      </x:c>
      <x:c r="D296" s="2" t="str">
        <x:v>External projection</x:v>
      </x:c>
      <x:c r="E296" s="2" t="str">
        <x:v>UN_WPP</x:v>
      </x:c>
      <x:c r="F296" s="2" t="str">
        <x:v>UN DESA issuer; Strategy refresh</x:v>
      </x:c>
      <x:c r="G296" s="2" t="str">
        <x:v>research/olam-global/raw/wpp-milestones.csv:PLW</x:v>
      </x:c>
      <x:c r="H296" s="2" t="str">
        <x:v>WPP Medium in thousands ×1000; no income/category-demand inference</x:v>
      </x:c>
      <x:c r="I296" s="2" t="str">
        <x:v>Medium fertility variant only; low/high not in the compact source and not retrieved</x:v>
      </x:c>
    </x:row>
    <x:row r="297" ht="100" customHeight="1">
      <x:c r="A297" s="2" t="str">
        <x:v>I-WBFOOD-PLW</x:v>
      </x:c>
      <x:c r="B297" s="2" t="str">
        <x:v>{"country":"PLW","year":2018,"result_USD":40403335.559681244,"inputs":"Exact matched year and variable values in country-panel.csv"}</x:v>
      </x:c>
      <x:c r="C297" s="2" t="str">
        <x:v>Percent merchandise imports × current USD</x:v>
      </x:c>
      <x:c r="D297" s="2" t="str">
        <x:v>Reported fact</x:v>
      </x:c>
      <x:c r="E297" s="2" t="str">
        <x:v>WB_food_import_share;WB_imports_usd</x:v>
      </x:c>
      <x:c r="F297" s="2" t="str">
        <x:v>Finance / Strategy to validate</x:v>
      </x:c>
      <x:c r="G297" s="2" t="str">
        <x:v>research/olam-global/country-panel.csv:PLW:2018</x:v>
      </x:c>
      <x:c r="H297" s="2" t="str">
        <x:v>Same-year matching prevents multiplying different vintages</x:v>
      </x:c>
      <x:c r="I297" s="2" t="str">
        <x:v>No empirical calibration; sensitivity or missing-data gate applies</x:v>
      </x:c>
    </x:row>
    <x:row r="298" ht="100" customHeight="1">
      <x:c r="A298" s="2" t="str">
        <x:v>UN_WPP_PAN</x:v>
      </x:c>
      <x:c r="B298" s="2" t="str">
        <x:v>{"2026":4625718,"2030":4833859,"2035":5072263,"2040":5286592,"2045":5473276,"2050":5630680,"2051":5658479}</x:v>
      </x:c>
      <x:c r="C298" s="2" t="str">
        <x:v>Persons at seven milestones</x:v>
      </x:c>
      <x:c r="D298" s="2" t="str">
        <x:v>External projection</x:v>
      </x:c>
      <x:c r="E298" s="2" t="str">
        <x:v>UN_WPP</x:v>
      </x:c>
      <x:c r="F298" s="2" t="str">
        <x:v>UN DESA issuer; Strategy refresh</x:v>
      </x:c>
      <x:c r="G298" s="2" t="str">
        <x:v>research/olam-global/raw/wpp-milestones.csv:PAN</x:v>
      </x:c>
      <x:c r="H298" s="2" t="str">
        <x:v>WPP Medium in thousands ×1000; no income/category-demand inference</x:v>
      </x:c>
      <x:c r="I298" s="2" t="str">
        <x:v>Medium fertility variant only; low/high not in the compact source and not retrieved</x:v>
      </x:c>
    </x:row>
    <x:row r="299" ht="100" customHeight="1">
      <x:c r="A299" s="2" t="str">
        <x:v>I-WBFOOD-PAN</x:v>
      </x:c>
      <x:c r="B299" s="2" t="str">
        <x:v>{"country":"PAN","year":2024,"result_USD":4998224452.48518,"inputs":"Exact matched year and variable values in country-panel.csv"}</x:v>
      </x:c>
      <x:c r="C299" s="2" t="str">
        <x:v>Percent merchandise imports × current USD</x:v>
      </x:c>
      <x:c r="D299" s="2" t="str">
        <x:v>Reported fact</x:v>
      </x:c>
      <x:c r="E299" s="2" t="str">
        <x:v>WB_food_import_share;WB_imports_usd</x:v>
      </x:c>
      <x:c r="F299" s="2" t="str">
        <x:v>Finance / Strategy to validate</x:v>
      </x:c>
      <x:c r="G299" s="2" t="str">
        <x:v>research/olam-global/country-panel.csv:PAN:2024</x:v>
      </x:c>
      <x:c r="H299" s="2" t="str">
        <x:v>Same-year matching prevents multiplying different vintages</x:v>
      </x:c>
      <x:c r="I299" s="2" t="str">
        <x:v>No empirical calibration; sensitivity or missing-data gate applies</x:v>
      </x:c>
    </x:row>
    <x:row r="300" ht="100" customHeight="1">
      <x:c r="A300" s="2" t="str">
        <x:v>UN_WPP_PNG</x:v>
      </x:c>
      <x:c r="B300" s="2" t="str">
        <x:v>{"2026":10947848,"2030":11671424,"2035":12540603,"2040":13376160,"2045":14165588,"2050":14906590,"2051":15046436}</x:v>
      </x:c>
      <x:c r="C300" s="2" t="str">
        <x:v>Persons at seven milestones</x:v>
      </x:c>
      <x:c r="D300" s="2" t="str">
        <x:v>External projection</x:v>
      </x:c>
      <x:c r="E300" s="2" t="str">
        <x:v>UN_WPP</x:v>
      </x:c>
      <x:c r="F300" s="2" t="str">
        <x:v>UN DESA issuer; Strategy refresh</x:v>
      </x:c>
      <x:c r="G300" s="2" t="str">
        <x:v>research/olam-global/raw/wpp-milestones.csv:PNG</x:v>
      </x:c>
      <x:c r="H300" s="2" t="str">
        <x:v>WPP Medium in thousands ×1000; no income/category-demand inference</x:v>
      </x:c>
      <x:c r="I300" s="2" t="str">
        <x:v>Medium fertility variant only; low/high not in the compact source and not retrieved</x:v>
      </x:c>
    </x:row>
    <x:row r="301" ht="100" customHeight="1">
      <x:c r="A301" s="2" t="str">
        <x:v>I-WBFOOD-PNG</x:v>
      </x:c>
      <x:c r="B301" s="2" t="str">
        <x:v>{"country":"PNG","year":2023,"result_USD":891879444.1693001,"inputs":"Exact matched year and variable values in country-panel.csv"}</x:v>
      </x:c>
      <x:c r="C301" s="2" t="str">
        <x:v>Percent merchandise imports × current USD</x:v>
      </x:c>
      <x:c r="D301" s="2" t="str">
        <x:v>Reported fact</x:v>
      </x:c>
      <x:c r="E301" s="2" t="str">
        <x:v>WB_food_import_share;WB_imports_usd</x:v>
      </x:c>
      <x:c r="F301" s="2" t="str">
        <x:v>Finance / Strategy to validate</x:v>
      </x:c>
      <x:c r="G301" s="2" t="str">
        <x:v>research/olam-global/country-panel.csv:PNG:2023</x:v>
      </x:c>
      <x:c r="H301" s="2" t="str">
        <x:v>Same-year matching prevents multiplying different vintages</x:v>
      </x:c>
      <x:c r="I301" s="2" t="str">
        <x:v>No empirical calibration; sensitivity or missing-data gate applies</x:v>
      </x:c>
    </x:row>
    <x:row r="302" ht="100" customHeight="1">
      <x:c r="A302" s="2" t="str">
        <x:v>UN_WPP_PRY</x:v>
      </x:c>
      <x:c r="B302" s="2" t="str">
        <x:v>{"2026":7095279,"2030":7407618,"2035":7763520,"2040":8087572,"2045":8380530.000000001,"2050":8640464,"2051":8687836}</x:v>
      </x:c>
      <x:c r="C302" s="2" t="str">
        <x:v>Persons at seven milestones</x:v>
      </x:c>
      <x:c r="D302" s="2" t="str">
        <x:v>External projection</x:v>
      </x:c>
      <x:c r="E302" s="2" t="str">
        <x:v>UN_WPP</x:v>
      </x:c>
      <x:c r="F302" s="2" t="str">
        <x:v>UN DESA issuer; Strategy refresh</x:v>
      </x:c>
      <x:c r="G302" s="2" t="str">
        <x:v>research/olam-global/raw/wpp-milestones.csv:PRY</x:v>
      </x:c>
      <x:c r="H302" s="2" t="str">
        <x:v>WPP Medium in thousands ×1000; no income/category-demand inference</x:v>
      </x:c>
      <x:c r="I302" s="2" t="str">
        <x:v>Medium fertility variant only; low/high not in the compact source and not retrieved</x:v>
      </x:c>
    </x:row>
    <x:row r="303" ht="100" customHeight="1">
      <x:c r="A303" s="2" t="str">
        <x:v>I-WBFOOD-PRY</x:v>
      </x:c>
      <x:c r="B303" s="2" t="str">
        <x:v>{"country":"PRY","year":2025,"result_USD":1492771074.0706718,"inputs":"Exact matched year and variable values in country-panel.csv"}</x:v>
      </x:c>
      <x:c r="C303" s="2" t="str">
        <x:v>Percent merchandise imports × current USD</x:v>
      </x:c>
      <x:c r="D303" s="2" t="str">
        <x:v>Reported fact</x:v>
      </x:c>
      <x:c r="E303" s="2" t="str">
        <x:v>WB_food_import_share;WB_imports_usd</x:v>
      </x:c>
      <x:c r="F303" s="2" t="str">
        <x:v>Finance / Strategy to validate</x:v>
      </x:c>
      <x:c r="G303" s="2" t="str">
        <x:v>research/olam-global/country-panel.csv:PRY:2025</x:v>
      </x:c>
      <x:c r="H303" s="2" t="str">
        <x:v>Same-year matching prevents multiplying different vintages</x:v>
      </x:c>
      <x:c r="I303" s="2" t="str">
        <x:v>No empirical calibration; sensitivity or missing-data gate applies</x:v>
      </x:c>
    </x:row>
    <x:row r="304" ht="100" customHeight="1">
      <x:c r="A304" s="2" t="str">
        <x:v>UN_WPP_PER</x:v>
      </x:c>
      <x:c r="B304" s="2" t="str">
        <x:v>{"2026":34922148,"2030":36193880,"2035":37591425,"2040":38794649,"2045":39796724,"2050":40583876,"2051":40716361}</x:v>
      </x:c>
      <x:c r="C304" s="2" t="str">
        <x:v>Persons at seven milestones</x:v>
      </x:c>
      <x:c r="D304" s="2" t="str">
        <x:v>External projection</x:v>
      </x:c>
      <x:c r="E304" s="2" t="str">
        <x:v>UN_WPP</x:v>
      </x:c>
      <x:c r="F304" s="2" t="str">
        <x:v>UN DESA issuer; Strategy refresh</x:v>
      </x:c>
      <x:c r="G304" s="2" t="str">
        <x:v>research/olam-global/raw/wpp-milestones.csv:PER</x:v>
      </x:c>
      <x:c r="H304" s="2" t="str">
        <x:v>WPP Medium in thousands ×1000; no income/category-demand inference</x:v>
      </x:c>
      <x:c r="I304" s="2" t="str">
        <x:v>Medium fertility variant only; low/high not in the compact source and not retrieved</x:v>
      </x:c>
    </x:row>
    <x:row r="305" ht="100" customHeight="1">
      <x:c r="A305" s="2" t="str">
        <x:v>I-WBFOOD-PER</x:v>
      </x:c>
      <x:c r="B305" s="2" t="str">
        <x:v>{"country":"PER","year":2024,"result_USD":6583080591.7393675,"inputs":"Exact matched year and variable values in country-panel.csv"}</x:v>
      </x:c>
      <x:c r="C305" s="2" t="str">
        <x:v>Percent merchandise imports × current USD</x:v>
      </x:c>
      <x:c r="D305" s="2" t="str">
        <x:v>Reported fact</x:v>
      </x:c>
      <x:c r="E305" s="2" t="str">
        <x:v>WB_food_import_share;WB_imports_usd</x:v>
      </x:c>
      <x:c r="F305" s="2" t="str">
        <x:v>Finance / Strategy to validate</x:v>
      </x:c>
      <x:c r="G305" s="2" t="str">
        <x:v>research/olam-global/country-panel.csv:PER:2024</x:v>
      </x:c>
      <x:c r="H305" s="2" t="str">
        <x:v>Same-year matching prevents multiplying different vintages</x:v>
      </x:c>
      <x:c r="I305" s="2" t="str">
        <x:v>No empirical calibration; sensitivity or missing-data gate applies</x:v>
      </x:c>
    </x:row>
    <x:row r="306" ht="100" customHeight="1">
      <x:c r="A306" s="2" t="str">
        <x:v>UN_WPP_PHL</x:v>
      </x:c>
      <x:c r="B306" s="2" t="str">
        <x:v>{"2026":117724471,"2030":121408895,"2035":125740971,"2040":129546659,"2045":132492032,"2050":134373439,"2051":134612611}</x:v>
      </x:c>
      <x:c r="C306" s="2" t="str">
        <x:v>Persons at seven milestones</x:v>
      </x:c>
      <x:c r="D306" s="2" t="str">
        <x:v>External projection</x:v>
      </x:c>
      <x:c r="E306" s="2" t="str">
        <x:v>UN_WPP</x:v>
      </x:c>
      <x:c r="F306" s="2" t="str">
        <x:v>UN DESA issuer; Strategy refresh</x:v>
      </x:c>
      <x:c r="G306" s="2" t="str">
        <x:v>research/olam-global/raw/wpp-milestones.csv:PHL</x:v>
      </x:c>
      <x:c r="H306" s="2" t="str">
        <x:v>WPP Medium in thousands ×1000; no income/category-demand inference</x:v>
      </x:c>
      <x:c r="I306" s="2" t="str">
        <x:v>Medium fertility variant only; low/high not in the compact source and not retrieved</x:v>
      </x:c>
    </x:row>
    <x:row r="307" ht="100" customHeight="1">
      <x:c r="A307" s="2" t="str">
        <x:v>I-WBFOOD-PHL</x:v>
      </x:c>
      <x:c r="B307" s="2" t="str">
        <x:v>{"country":"PHL","year":2024,"result_USD":20245108970.196888,"inputs":"Exact matched year and variable values in country-panel.csv"}</x:v>
      </x:c>
      <x:c r="C307" s="2" t="str">
        <x:v>Percent merchandise imports × current USD</x:v>
      </x:c>
      <x:c r="D307" s="2" t="str">
        <x:v>Reported fact</x:v>
      </x:c>
      <x:c r="E307" s="2" t="str">
        <x:v>WB_food_import_share;WB_imports_usd</x:v>
      </x:c>
      <x:c r="F307" s="2" t="str">
        <x:v>Finance / Strategy to validate</x:v>
      </x:c>
      <x:c r="G307" s="2" t="str">
        <x:v>research/olam-global/country-panel.csv:PHL:2024</x:v>
      </x:c>
      <x:c r="H307" s="2" t="str">
        <x:v>Same-year matching prevents multiplying different vintages</x:v>
      </x:c>
      <x:c r="I307" s="2" t="str">
        <x:v>No empirical calibration; sensitivity or missing-data gate applies</x:v>
      </x:c>
    </x:row>
    <x:row r="308" ht="100" customHeight="1">
      <x:c r="A308" s="2" t="str">
        <x:v>UN_WPP_POL</x:v>
      </x:c>
      <x:c r="B308" s="2" t="str">
        <x:v>{"2026":37843188,"2030":37198543,"2035":36243787,"2040":35179554,"2045":34031059,"2050":32814095.999999996,"2051":32561485}</x:v>
      </x:c>
      <x:c r="C308" s="2" t="str">
        <x:v>Persons at seven milestones</x:v>
      </x:c>
      <x:c r="D308" s="2" t="str">
        <x:v>External projection</x:v>
      </x:c>
      <x:c r="E308" s="2" t="str">
        <x:v>UN_WPP</x:v>
      </x:c>
      <x:c r="F308" s="2" t="str">
        <x:v>UN DESA issuer; Strategy refresh</x:v>
      </x:c>
      <x:c r="G308" s="2" t="str">
        <x:v>research/olam-global/raw/wpp-milestones.csv:POL</x:v>
      </x:c>
      <x:c r="H308" s="2" t="str">
        <x:v>WPP Medium in thousands ×1000; no income/category-demand inference</x:v>
      </x:c>
      <x:c r="I308" s="2" t="str">
        <x:v>Medium fertility variant only; low/high not in the compact source and not retrieved</x:v>
      </x:c>
    </x:row>
    <x:row r="309" ht="100" customHeight="1">
      <x:c r="A309" s="2" t="str">
        <x:v>I-WBFOOD-POL</x:v>
      </x:c>
      <x:c r="B309" s="2" t="str">
        <x:v>{"country":"POL","year":2024,"result_USD":37163711310.023224,"inputs":"Exact matched year and variable values in country-panel.csv"}</x:v>
      </x:c>
      <x:c r="C309" s="2" t="str">
        <x:v>Percent merchandise imports × current USD</x:v>
      </x:c>
      <x:c r="D309" s="2" t="str">
        <x:v>Reported fact</x:v>
      </x:c>
      <x:c r="E309" s="2" t="str">
        <x:v>WB_food_import_share;WB_imports_usd</x:v>
      </x:c>
      <x:c r="F309" s="2" t="str">
        <x:v>Finance / Strategy to validate</x:v>
      </x:c>
      <x:c r="G309" s="2" t="str">
        <x:v>research/olam-global/country-panel.csv:POL:2024</x:v>
      </x:c>
      <x:c r="H309" s="2" t="str">
        <x:v>Same-year matching prevents multiplying different vintages</x:v>
      </x:c>
      <x:c r="I309" s="2" t="str">
        <x:v>No empirical calibration; sensitivity or missing-data gate applies</x:v>
      </x:c>
    </x:row>
    <x:row r="310" ht="100" customHeight="1">
      <x:c r="A310" s="2" t="str">
        <x:v>UN_WPP_PRT</x:v>
      </x:c>
      <x:c r="B310" s="2" t="str">
        <x:v>{"2026":10395362,"2030":10317927,"2035":10208240,"2040":10082255,"2045":9938389,"2050":9770271,"2051":9734815}</x:v>
      </x:c>
      <x:c r="C310" s="2" t="str">
        <x:v>Persons at seven milestones</x:v>
      </x:c>
      <x:c r="D310" s="2" t="str">
        <x:v>External projection</x:v>
      </x:c>
      <x:c r="E310" s="2" t="str">
        <x:v>UN_WPP</x:v>
      </x:c>
      <x:c r="F310" s="2" t="str">
        <x:v>UN DESA issuer; Strategy refresh</x:v>
      </x:c>
      <x:c r="G310" s="2" t="str">
        <x:v>research/olam-global/raw/wpp-milestones.csv:PRT</x:v>
      </x:c>
      <x:c r="H310" s="2" t="str">
        <x:v>WPP Medium in thousands ×1000; no income/category-demand inference</x:v>
      </x:c>
      <x:c r="I310" s="2" t="str">
        <x:v>Medium fertility variant only; low/high not in the compact source and not retrieved</x:v>
      </x:c>
    </x:row>
    <x:row r="311" ht="100" customHeight="1">
      <x:c r="A311" s="2" t="str">
        <x:v>I-WBFOOD-PRT</x:v>
      </x:c>
      <x:c r="B311" s="2" t="str">
        <x:v>{"country":"PRT","year":2025,"result_USD":20007764958.142635,"inputs":"Exact matched year and variable values in country-panel.csv"}</x:v>
      </x:c>
      <x:c r="C311" s="2" t="str">
        <x:v>Percent merchandise imports × current USD</x:v>
      </x:c>
      <x:c r="D311" s="2" t="str">
        <x:v>Reported fact</x:v>
      </x:c>
      <x:c r="E311" s="2" t="str">
        <x:v>WB_food_import_share;WB_imports_usd</x:v>
      </x:c>
      <x:c r="F311" s="2" t="str">
        <x:v>Finance / Strategy to validate</x:v>
      </x:c>
      <x:c r="G311" s="2" t="str">
        <x:v>research/olam-global/country-panel.csv:PRT:2025</x:v>
      </x:c>
      <x:c r="H311" s="2" t="str">
        <x:v>Same-year matching prevents multiplying different vintages</x:v>
      </x:c>
      <x:c r="I311" s="2" t="str">
        <x:v>No empirical calibration; sensitivity or missing-data gate applies</x:v>
      </x:c>
    </x:row>
    <x:row r="312" ht="100" customHeight="1">
      <x:c r="A312" s="2" t="str">
        <x:v>UN_WPP_QAT</x:v>
      </x:c>
      <x:c r="B312" s="2" t="str">
        <x:v>{"2026":3173559,"2030":3333610,"2035":3511258,"2040":3711503,"2045":3930896,"2050":4164461.0000000005,"2051":4212656}</x:v>
      </x:c>
      <x:c r="C312" s="2" t="str">
        <x:v>Persons at seven milestones</x:v>
      </x:c>
      <x:c r="D312" s="2" t="str">
        <x:v>External projection</x:v>
      </x:c>
      <x:c r="E312" s="2" t="str">
        <x:v>UN_WPP</x:v>
      </x:c>
      <x:c r="F312" s="2" t="str">
        <x:v>UN DESA issuer; Strategy refresh</x:v>
      </x:c>
      <x:c r="G312" s="2" t="str">
        <x:v>research/olam-global/raw/wpp-milestones.csv:QAT</x:v>
      </x:c>
      <x:c r="H312" s="2" t="str">
        <x:v>WPP Medium in thousands ×1000; no income/category-demand inference</x:v>
      </x:c>
      <x:c r="I312" s="2" t="str">
        <x:v>Medium fertility variant only; low/high not in the compact source and not retrieved</x:v>
      </x:c>
    </x:row>
    <x:row r="313" ht="100" customHeight="1">
      <x:c r="A313" s="2" t="str">
        <x:v>I-WBFOOD-QAT</x:v>
      </x:c>
      <x:c r="B313" s="2" t="str">
        <x:v>{"country":"QAT","year":2024,"result_USD":4003485454.598779,"inputs":"Exact matched year and variable values in country-panel.csv"}</x:v>
      </x:c>
      <x:c r="C313" s="2" t="str">
        <x:v>Percent merchandise imports × current USD</x:v>
      </x:c>
      <x:c r="D313" s="2" t="str">
        <x:v>Reported fact</x:v>
      </x:c>
      <x:c r="E313" s="2" t="str">
        <x:v>WB_food_import_share;WB_imports_usd</x:v>
      </x:c>
      <x:c r="F313" s="2" t="str">
        <x:v>Finance / Strategy to validate</x:v>
      </x:c>
      <x:c r="G313" s="2" t="str">
        <x:v>research/olam-global/country-panel.csv:QAT:2024</x:v>
      </x:c>
      <x:c r="H313" s="2" t="str">
        <x:v>Same-year matching prevents multiplying different vintages</x:v>
      </x:c>
      <x:c r="I313" s="2" t="str">
        <x:v>No empirical calibration; sensitivity or missing-data gate applies</x:v>
      </x:c>
    </x:row>
    <x:row r="314" ht="100" customHeight="1">
      <x:c r="A314" s="2" t="str">
        <x:v>UN_WPP_KOR</x:v>
      </x:c>
      <x:c r="B314" s="2" t="str">
        <x:v>{"2026":51600388,"2030":51188584,"2035":50300733,"2040":48948687,"2045":47232956,"2050":45143134,"2051":44671149}</x:v>
      </x:c>
      <x:c r="C314" s="2" t="str">
        <x:v>Persons at seven milestones</x:v>
      </x:c>
      <x:c r="D314" s="2" t="str">
        <x:v>External projection</x:v>
      </x:c>
      <x:c r="E314" s="2" t="str">
        <x:v>UN_WPP</x:v>
      </x:c>
      <x:c r="F314" s="2" t="str">
        <x:v>UN DESA issuer; Strategy refresh</x:v>
      </x:c>
      <x:c r="G314" s="2" t="str">
        <x:v>research/olam-global/raw/wpp-milestones.csv:KOR</x:v>
      </x:c>
      <x:c r="H314" s="2" t="str">
        <x:v>WPP Medium in thousands ×1000; no income/category-demand inference</x:v>
      </x:c>
      <x:c r="I314" s="2" t="str">
        <x:v>Medium fertility variant only; low/high not in the compact source and not retrieved</x:v>
      </x:c>
    </x:row>
    <x:row r="315" ht="100" customHeight="1">
      <x:c r="A315" s="2" t="str">
        <x:v>I-WBFOOD-KOR</x:v>
      </x:c>
      <x:c r="B315" s="2" t="str">
        <x:v>{"country":"KOR","year":2024,"result_USD":39732796329.56,"inputs":"Exact matched year and variable values in country-panel.csv"}</x:v>
      </x:c>
      <x:c r="C315" s="2" t="str">
        <x:v>Percent merchandise imports × current USD</x:v>
      </x:c>
      <x:c r="D315" s="2" t="str">
        <x:v>Reported fact</x:v>
      </x:c>
      <x:c r="E315" s="2" t="str">
        <x:v>WB_food_import_share;WB_imports_usd</x:v>
      </x:c>
      <x:c r="F315" s="2" t="str">
        <x:v>Finance / Strategy to validate</x:v>
      </x:c>
      <x:c r="G315" s="2" t="str">
        <x:v>research/olam-global/country-panel.csv:KOR:2024</x:v>
      </x:c>
      <x:c r="H315" s="2" t="str">
        <x:v>Same-year matching prevents multiplying different vintages</x:v>
      </x:c>
      <x:c r="I315" s="2" t="str">
        <x:v>No empirical calibration; sensitivity or missing-data gate applies</x:v>
      </x:c>
    </x:row>
    <x:row r="316" ht="100" customHeight="1">
      <x:c r="A316" s="2" t="str">
        <x:v>UN_WPP_MDA</x:v>
      </x:c>
      <x:c r="B316" s="2" t="str">
        <x:v>{"2026":2961253,"2030":2845242,"2035":2702010,"2040":2568810,"2045":2454941,"2050":2351809,"2051":2331186}</x:v>
      </x:c>
      <x:c r="C316" s="2" t="str">
        <x:v>Persons at seven milestones</x:v>
      </x:c>
      <x:c r="D316" s="2" t="str">
        <x:v>External projection</x:v>
      </x:c>
      <x:c r="E316" s="2" t="str">
        <x:v>UN_WPP</x:v>
      </x:c>
      <x:c r="F316" s="2" t="str">
        <x:v>UN DESA issuer; Strategy refresh</x:v>
      </x:c>
      <x:c r="G316" s="2" t="str">
        <x:v>research/olam-global/raw/wpp-milestones.csv:MDA</x:v>
      </x:c>
      <x:c r="H316" s="2" t="str">
        <x:v>WPP Medium in thousands ×1000; no income/category-demand inference</x:v>
      </x:c>
      <x:c r="I316" s="2" t="str">
        <x:v>Medium fertility variant only; low/high not in the compact source and not retrieved</x:v>
      </x:c>
    </x:row>
    <x:row r="317" ht="100" customHeight="1">
      <x:c r="A317" s="2" t="str">
        <x:v>I-WBFOOD-MDA</x:v>
      </x:c>
      <x:c r="B317" s="2" t="str">
        <x:v>{"country":"MDA","year":2024,"result_USD":1395864141.143493,"inputs":"Exact matched year and variable values in country-panel.csv"}</x:v>
      </x:c>
      <x:c r="C317" s="2" t="str">
        <x:v>Percent merchandise imports × current USD</x:v>
      </x:c>
      <x:c r="D317" s="2" t="str">
        <x:v>Reported fact</x:v>
      </x:c>
      <x:c r="E317" s="2" t="str">
        <x:v>WB_food_import_share;WB_imports_usd</x:v>
      </x:c>
      <x:c r="F317" s="2" t="str">
        <x:v>Finance / Strategy to validate</x:v>
      </x:c>
      <x:c r="G317" s="2" t="str">
        <x:v>research/olam-global/country-panel.csv:MDA:2024</x:v>
      </x:c>
      <x:c r="H317" s="2" t="str">
        <x:v>Same-year matching prevents multiplying different vintages</x:v>
      </x:c>
      <x:c r="I317" s="2" t="str">
        <x:v>No empirical calibration; sensitivity or missing-data gate applies</x:v>
      </x:c>
    </x:row>
    <x:row r="318" ht="100" customHeight="1">
      <x:c r="A318" s="2" t="str">
        <x:v>UN_WPP_ROU</x:v>
      </x:c>
      <x:c r="B318" s="2" t="str">
        <x:v>{"2026":18800605,"2030":18359507,"2035":17794417,"2040":17209718,"2045":16620320,"2050":16027266,"2051":15907818}</x:v>
      </x:c>
      <x:c r="C318" s="2" t="str">
        <x:v>Persons at seven milestones</x:v>
      </x:c>
      <x:c r="D318" s="2" t="str">
        <x:v>External projection</x:v>
      </x:c>
      <x:c r="E318" s="2" t="str">
        <x:v>UN_WPP</x:v>
      </x:c>
      <x:c r="F318" s="2" t="str">
        <x:v>UN DESA issuer; Strategy refresh</x:v>
      </x:c>
      <x:c r="G318" s="2" t="str">
        <x:v>research/olam-global/raw/wpp-milestones.csv:ROU</x:v>
      </x:c>
      <x:c r="H318" s="2" t="str">
        <x:v>WPP Medium in thousands ×1000; no income/category-demand inference</x:v>
      </x:c>
      <x:c r="I318" s="2" t="str">
        <x:v>Medium fertility variant only; low/high not in the compact source and not retrieved</x:v>
      </x:c>
    </x:row>
    <x:row r="319" ht="100" customHeight="1">
      <x:c r="A319" s="2" t="str">
        <x:v>I-WBFOOD-ROU</x:v>
      </x:c>
      <x:c r="B319" s="2" t="str">
        <x:v>{"country":"ROU","year":2024,"result_USD":14592229550.142183,"inputs":"Exact matched year and variable values in country-panel.csv"}</x:v>
      </x:c>
      <x:c r="C319" s="2" t="str">
        <x:v>Percent merchandise imports × current USD</x:v>
      </x:c>
      <x:c r="D319" s="2" t="str">
        <x:v>Reported fact</x:v>
      </x:c>
      <x:c r="E319" s="2" t="str">
        <x:v>WB_food_import_share;WB_imports_usd</x:v>
      </x:c>
      <x:c r="F319" s="2" t="str">
        <x:v>Finance / Strategy to validate</x:v>
      </x:c>
      <x:c r="G319" s="2" t="str">
        <x:v>research/olam-global/country-panel.csv:ROU:2024</x:v>
      </x:c>
      <x:c r="H319" s="2" t="str">
        <x:v>Same-year matching prevents multiplying different vintages</x:v>
      </x:c>
      <x:c r="I319" s="2" t="str">
        <x:v>No empirical calibration; sensitivity or missing-data gate applies</x:v>
      </x:c>
    </x:row>
    <x:row r="320" ht="100" customHeight="1">
      <x:c r="A320" s="2" t="str">
        <x:v>UN_WPP_RUS</x:v>
      </x:c>
      <x:c r="B320" s="2" t="str">
        <x:v>{"2026":143394458,"2030":141889410,"2035":139909641,"2040":138281831,"2045":137152207,"2050":136132775,"2051":135876189}</x:v>
      </x:c>
      <x:c r="C320" s="2" t="str">
        <x:v>Persons at seven milestones</x:v>
      </x:c>
      <x:c r="D320" s="2" t="str">
        <x:v>External projection</x:v>
      </x:c>
      <x:c r="E320" s="2" t="str">
        <x:v>UN_WPP</x:v>
      </x:c>
      <x:c r="F320" s="2" t="str">
        <x:v>UN DESA issuer; Strategy refresh</x:v>
      </x:c>
      <x:c r="G320" s="2" t="str">
        <x:v>research/olam-global/raw/wpp-milestones.csv:RUS</x:v>
      </x:c>
      <x:c r="H320" s="2" t="str">
        <x:v>WPP Medium in thousands ×1000; no income/category-demand inference</x:v>
      </x:c>
      <x:c r="I320" s="2" t="str">
        <x:v>Medium fertility variant only; low/high not in the compact source and not retrieved</x:v>
      </x:c>
    </x:row>
    <x:row r="321" ht="100" customHeight="1">
      <x:c r="A321" s="2" t="str">
        <x:v>I-WBFOOD-RUS</x:v>
      </x:c>
      <x:c r="B321" s="2" t="str">
        <x:v>{"country":"RUS","year":2021,"result_USD":32689193358.729317,"inputs":"Exact matched year and variable values in country-panel.csv"}</x:v>
      </x:c>
      <x:c r="C321" s="2" t="str">
        <x:v>Percent merchandise imports × current USD</x:v>
      </x:c>
      <x:c r="D321" s="2" t="str">
        <x:v>Reported fact</x:v>
      </x:c>
      <x:c r="E321" s="2" t="str">
        <x:v>WB_food_import_share;WB_imports_usd</x:v>
      </x:c>
      <x:c r="F321" s="2" t="str">
        <x:v>Finance / Strategy to validate</x:v>
      </x:c>
      <x:c r="G321" s="2" t="str">
        <x:v>research/olam-global/country-panel.csv:RUS:2021</x:v>
      </x:c>
      <x:c r="H321" s="2" t="str">
        <x:v>Same-year matching prevents multiplying different vintages</x:v>
      </x:c>
      <x:c r="I321" s="2" t="str">
        <x:v>No empirical calibration; sensitivity or missing-data gate applies</x:v>
      </x:c>
    </x:row>
    <x:row r="322" ht="100" customHeight="1">
      <x:c r="A322" s="2" t="str">
        <x:v>UN_WPP_RWA</x:v>
      </x:c>
      <x:c r="B322" s="2" t="str">
        <x:v>{"2026":14889693,"2030":16154705,"2035":17746319,"2040":19440770,"2045":21152658,"2050":22707910,"2051":23007765}</x:v>
      </x:c>
      <x:c r="C322" s="2" t="str">
        <x:v>Persons at seven milestones</x:v>
      </x:c>
      <x:c r="D322" s="2" t="str">
        <x:v>External projection</x:v>
      </x:c>
      <x:c r="E322" s="2" t="str">
        <x:v>UN_WPP</x:v>
      </x:c>
      <x:c r="F322" s="2" t="str">
        <x:v>UN DESA issuer; Strategy refresh</x:v>
      </x:c>
      <x:c r="G322" s="2" t="str">
        <x:v>research/olam-global/raw/wpp-milestones.csv:RWA</x:v>
      </x:c>
      <x:c r="H322" s="2" t="str">
        <x:v>WPP Medium in thousands ×1000; no income/category-demand inference</x:v>
      </x:c>
      <x:c r="I322" s="2" t="str">
        <x:v>Medium fertility variant only; low/high not in the compact source and not retrieved</x:v>
      </x:c>
    </x:row>
    <x:row r="323" ht="100" customHeight="1">
      <x:c r="A323" s="2" t="str">
        <x:v>I-WBFOOD-RWA</x:v>
      </x:c>
      <x:c r="B323" s="2" t="str">
        <x:v>{"country":"RWA","year":2022,"result_USD":1002356989.837338,"inputs":"Exact matched year and variable values in country-panel.csv"}</x:v>
      </x:c>
      <x:c r="C323" s="2" t="str">
        <x:v>Percent merchandise imports × current USD</x:v>
      </x:c>
      <x:c r="D323" s="2" t="str">
        <x:v>Reported fact</x:v>
      </x:c>
      <x:c r="E323" s="2" t="str">
        <x:v>WB_food_import_share;WB_imports_usd</x:v>
      </x:c>
      <x:c r="F323" s="2" t="str">
        <x:v>Finance / Strategy to validate</x:v>
      </x:c>
      <x:c r="G323" s="2" t="str">
        <x:v>research/olam-global/country-panel.csv:RWA:2022</x:v>
      </x:c>
      <x:c r="H323" s="2" t="str">
        <x:v>Same-year matching prevents multiplying different vintages</x:v>
      </x:c>
      <x:c r="I323" s="2" t="str">
        <x:v>No empirical calibration; sensitivity or missing-data gate applies</x:v>
      </x:c>
    </x:row>
    <x:row r="324" ht="100" customHeight="1">
      <x:c r="A324" s="2" t="str">
        <x:v>UN_WPP_KNA</x:v>
      </x:c>
      <x:c r="B324" s="2" t="str">
        <x:v>{"2026":46992,"2030":47134,"2035":46928,"2040":46313,"2045":45367,"2050":44249,"2051":43998}</x:v>
      </x:c>
      <x:c r="C324" s="2" t="str">
        <x:v>Persons at seven milestones</x:v>
      </x:c>
      <x:c r="D324" s="2" t="str">
        <x:v>External projection</x:v>
      </x:c>
      <x:c r="E324" s="2" t="str">
        <x:v>UN_WPP</x:v>
      </x:c>
      <x:c r="F324" s="2" t="str">
        <x:v>UN DESA issuer; Strategy refresh</x:v>
      </x:c>
      <x:c r="G324" s="2" t="str">
        <x:v>research/olam-global/raw/wpp-milestones.csv:KNA</x:v>
      </x:c>
      <x:c r="H324" s="2" t="str">
        <x:v>WPP Medium in thousands ×1000; no income/category-demand inference</x:v>
      </x:c>
      <x:c r="I324" s="2" t="str">
        <x:v>Medium fertility variant only; low/high not in the compact source and not retrieved</x:v>
      </x:c>
    </x:row>
    <x:row r="325" ht="100" customHeight="1">
      <x:c r="A325" s="2" t="str">
        <x:v>I-WBFOOD-KNA</x:v>
      </x:c>
      <x:c r="B325" s="2" t="str">
        <x:v>{"country":"KNA","year":2017,"result_USD":78439335.32722318,"inputs":"Exact matched year and variable values in country-panel.csv"}</x:v>
      </x:c>
      <x:c r="C325" s="2" t="str">
        <x:v>Percent merchandise imports × current USD</x:v>
      </x:c>
      <x:c r="D325" s="2" t="str">
        <x:v>Reported fact</x:v>
      </x:c>
      <x:c r="E325" s="2" t="str">
        <x:v>WB_food_import_share;WB_imports_usd</x:v>
      </x:c>
      <x:c r="F325" s="2" t="str">
        <x:v>Finance / Strategy to validate</x:v>
      </x:c>
      <x:c r="G325" s="2" t="str">
        <x:v>research/olam-global/country-panel.csv:KNA:2017</x:v>
      </x:c>
      <x:c r="H325" s="2" t="str">
        <x:v>Same-year matching prevents multiplying different vintages</x:v>
      </x:c>
      <x:c r="I325" s="2" t="str">
        <x:v>No empirical calibration; sensitivity or missing-data gate applies</x:v>
      </x:c>
    </x:row>
    <x:row r="326" ht="100" customHeight="1">
      <x:c r="A326" s="2" t="str">
        <x:v>UN_WPP_LCA</x:v>
      </x:c>
      <x:c r="B326" s="2" t="str">
        <x:v>{"2026":180488,"2030":181359,"2035":181178,"2040":179293,"2045":176236,"2050":172081,"2051":171147}</x:v>
      </x:c>
      <x:c r="C326" s="2" t="str">
        <x:v>Persons at seven milestones</x:v>
      </x:c>
      <x:c r="D326" s="2" t="str">
        <x:v>External projection</x:v>
      </x:c>
      <x:c r="E326" s="2" t="str">
        <x:v>UN_WPP</x:v>
      </x:c>
      <x:c r="F326" s="2" t="str">
        <x:v>UN DESA issuer; Strategy refresh</x:v>
      </x:c>
      <x:c r="G326" s="2" t="str">
        <x:v>research/olam-global/raw/wpp-milestones.csv:LCA</x:v>
      </x:c>
      <x:c r="H326" s="2" t="str">
        <x:v>WPP Medium in thousands ×1000; no income/category-demand inference</x:v>
      </x:c>
      <x:c r="I326" s="2" t="str">
        <x:v>Medium fertility variant only; low/high not in the compact source and not retrieved</x:v>
      </x:c>
    </x:row>
    <x:row r="327" ht="100" customHeight="1">
      <x:c r="A327" s="2" t="str">
        <x:v>I-WBFOOD-LCA</x:v>
      </x:c>
      <x:c r="B327" s="2" t="str">
        <x:v>{"country":"LCA","year":2020,"result_USD":139320946.3522852,"inputs":"Exact matched year and variable values in country-panel.csv"}</x:v>
      </x:c>
      <x:c r="C327" s="2" t="str">
        <x:v>Percent merchandise imports × current USD</x:v>
      </x:c>
      <x:c r="D327" s="2" t="str">
        <x:v>Reported fact</x:v>
      </x:c>
      <x:c r="E327" s="2" t="str">
        <x:v>WB_food_import_share;WB_imports_usd</x:v>
      </x:c>
      <x:c r="F327" s="2" t="str">
        <x:v>Finance / Strategy to validate</x:v>
      </x:c>
      <x:c r="G327" s="2" t="str">
        <x:v>research/olam-global/country-panel.csv:LCA:2020</x:v>
      </x:c>
      <x:c r="H327" s="2" t="str">
        <x:v>Same-year matching prevents multiplying different vintages</x:v>
      </x:c>
      <x:c r="I327" s="2" t="str">
        <x:v>No empirical calibration; sensitivity or missing-data gate applies</x:v>
      </x:c>
    </x:row>
    <x:row r="328" ht="100" customHeight="1">
      <x:c r="A328" s="2" t="str">
        <x:v>UN_WPP_VCT</x:v>
      </x:c>
      <x:c r="B328" s="2" t="str">
        <x:v>{"2026":99245,"2030":96856,"2035":94484,"2040":92650,"2045":90955,"2050":88942,"2051":88495}</x:v>
      </x:c>
      <x:c r="C328" s="2" t="str">
        <x:v>Persons at seven milestones</x:v>
      </x:c>
      <x:c r="D328" s="2" t="str">
        <x:v>External projection</x:v>
      </x:c>
      <x:c r="E328" s="2" t="str">
        <x:v>UN_WPP</x:v>
      </x:c>
      <x:c r="F328" s="2" t="str">
        <x:v>UN DESA issuer; Strategy refresh</x:v>
      </x:c>
      <x:c r="G328" s="2" t="str">
        <x:v>research/olam-global/raw/wpp-milestones.csv:VCT</x:v>
      </x:c>
      <x:c r="H328" s="2" t="str">
        <x:v>WPP Medium in thousands ×1000; no income/category-demand inference</x:v>
      </x:c>
      <x:c r="I328" s="2" t="str">
        <x:v>Medium fertility variant only; low/high not in the compact source and not retrieved</x:v>
      </x:c>
    </x:row>
    <x:row r="329" ht="100" customHeight="1">
      <x:c r="A329" s="2" t="str">
        <x:v>I-WBFOOD-VCT</x:v>
      </x:c>
      <x:c r="B329" s="2" t="str">
        <x:v>{"country":"VCT","year":2023,"result_USD":118542155.84744492,"inputs":"Exact matched year and variable values in country-panel.csv"}</x:v>
      </x:c>
      <x:c r="C329" s="2" t="str">
        <x:v>Percent merchandise imports × current USD</x:v>
      </x:c>
      <x:c r="D329" s="2" t="str">
        <x:v>Reported fact</x:v>
      </x:c>
      <x:c r="E329" s="2" t="str">
        <x:v>WB_food_import_share;WB_imports_usd</x:v>
      </x:c>
      <x:c r="F329" s="2" t="str">
        <x:v>Finance / Strategy to validate</x:v>
      </x:c>
      <x:c r="G329" s="2" t="str">
        <x:v>research/olam-global/country-panel.csv:VCT:2023</x:v>
      </x:c>
      <x:c r="H329" s="2" t="str">
        <x:v>Same-year matching prevents multiplying different vintages</x:v>
      </x:c>
      <x:c r="I329" s="2" t="str">
        <x:v>No empirical calibration; sensitivity or missing-data gate applies</x:v>
      </x:c>
    </x:row>
    <x:row r="330" ht="100" customHeight="1">
      <x:c r="A330" s="2" t="str">
        <x:v>UN_WPP_WSM</x:v>
      </x:c>
      <x:c r="B330" s="2" t="str">
        <x:v>{"2026":220528,"2030":225971,"2035":235179,"2040":247196,"2045":260262,"2050":272726,"2051":275124}</x:v>
      </x:c>
      <x:c r="C330" s="2" t="str">
        <x:v>Persons at seven milestones</x:v>
      </x:c>
      <x:c r="D330" s="2" t="str">
        <x:v>External projection</x:v>
      </x:c>
      <x:c r="E330" s="2" t="str">
        <x:v>UN_WPP</x:v>
      </x:c>
      <x:c r="F330" s="2" t="str">
        <x:v>UN DESA issuer; Strategy refresh</x:v>
      </x:c>
      <x:c r="G330" s="2" t="str">
        <x:v>research/olam-global/raw/wpp-milestones.csv:WSM</x:v>
      </x:c>
      <x:c r="H330" s="2" t="str">
        <x:v>WPP Medium in thousands ×1000; no income/category-demand inference</x:v>
      </x:c>
      <x:c r="I330" s="2" t="str">
        <x:v>Medium fertility variant only; low/high not in the compact source and not retrieved</x:v>
      </x:c>
    </x:row>
    <x:row r="331" ht="100" customHeight="1">
      <x:c r="A331" s="2" t="str">
        <x:v>I-WBFOOD-WSM</x:v>
      </x:c>
      <x:c r="B331" s="2" t="str">
        <x:v>{"country":"WSM","year":2024,"result_USD":145197308.3270937,"inputs":"Exact matched year and variable values in country-panel.csv"}</x:v>
      </x:c>
      <x:c r="C331" s="2" t="str">
        <x:v>Percent merchandise imports × current USD</x:v>
      </x:c>
      <x:c r="D331" s="2" t="str">
        <x:v>Reported fact</x:v>
      </x:c>
      <x:c r="E331" s="2" t="str">
        <x:v>WB_food_import_share;WB_imports_usd</x:v>
      </x:c>
      <x:c r="F331" s="2" t="str">
        <x:v>Finance / Strategy to validate</x:v>
      </x:c>
      <x:c r="G331" s="2" t="str">
        <x:v>research/olam-global/country-panel.csv:WSM:2024</x:v>
      </x:c>
      <x:c r="H331" s="2" t="str">
        <x:v>Same-year matching prevents multiplying different vintages</x:v>
      </x:c>
      <x:c r="I331" s="2" t="str">
        <x:v>No empirical calibration; sensitivity or missing-data gate applies</x:v>
      </x:c>
    </x:row>
    <x:row r="332" ht="100" customHeight="1">
      <x:c r="A332" s="2" t="str">
        <x:v>UN_WPP_SMR</x:v>
      </x:c>
      <x:c r="B332" s="2" t="str">
        <x:v>{"2026":33605,"2030":33742,"2035":33828,"2040":33969,"2045":33920,"2050":33696,"2051":33643}</x:v>
      </x:c>
      <x:c r="C332" s="2" t="str">
        <x:v>Persons at seven milestones</x:v>
      </x:c>
      <x:c r="D332" s="2" t="str">
        <x:v>External projection</x:v>
      </x:c>
      <x:c r="E332" s="2" t="str">
        <x:v>UN_WPP</x:v>
      </x:c>
      <x:c r="F332" s="2" t="str">
        <x:v>UN DESA issuer; Strategy refresh</x:v>
      </x:c>
      <x:c r="G332" s="2" t="str">
        <x:v>research/olam-global/raw/wpp-milestones.csv:SMR</x:v>
      </x:c>
      <x:c r="H332" s="2" t="str">
        <x:v>WPP Medium in thousands ×1000; no income/category-demand inference</x:v>
      </x:c>
      <x:c r="I332" s="2" t="str">
        <x:v>Medium fertility variant only; low/high not in the compact source and not retrieved</x:v>
      </x:c>
    </x:row>
    <x:row r="333" ht="100" customHeight="1">
      <x:c r="A333" s="2" t="str">
        <x:v>UN_WPP_STP</x:v>
      </x:c>
      <x:c r="B333" s="2" t="str">
        <x:v>{"2026":244994,"2030":264565,"2035":290088,"2040":315842,"2045":340926,"2050":365115,"2051":369875}</x:v>
      </x:c>
      <x:c r="C333" s="2" t="str">
        <x:v>Persons at seven milestones</x:v>
      </x:c>
      <x:c r="D333" s="2" t="str">
        <x:v>External projection</x:v>
      </x:c>
      <x:c r="E333" s="2" t="str">
        <x:v>UN_WPP</x:v>
      </x:c>
      <x:c r="F333" s="2" t="str">
        <x:v>UN DESA issuer; Strategy refresh</x:v>
      </x:c>
      <x:c r="G333" s="2" t="str">
        <x:v>research/olam-global/raw/wpp-milestones.csv:STP</x:v>
      </x:c>
      <x:c r="H333" s="2" t="str">
        <x:v>WPP Medium in thousands ×1000; no income/category-demand inference</x:v>
      </x:c>
      <x:c r="I333" s="2" t="str">
        <x:v>Medium fertility variant only; low/high not in the compact source and not retrieved</x:v>
      </x:c>
    </x:row>
    <x:row r="334" ht="100" customHeight="1">
      <x:c r="A334" s="2" t="str">
        <x:v>I-WBFOOD-STP</x:v>
      </x:c>
      <x:c r="B334" s="2" t="str">
        <x:v>{"country":"STP","year":2023,"result_USD":58539324.17557372,"inputs":"Exact matched year and variable values in country-panel.csv"}</x:v>
      </x:c>
      <x:c r="C334" s="2" t="str">
        <x:v>Percent merchandise imports × current USD</x:v>
      </x:c>
      <x:c r="D334" s="2" t="str">
        <x:v>Reported fact</x:v>
      </x:c>
      <x:c r="E334" s="2" t="str">
        <x:v>WB_food_import_share;WB_imports_usd</x:v>
      </x:c>
      <x:c r="F334" s="2" t="str">
        <x:v>Finance / Strategy to validate</x:v>
      </x:c>
      <x:c r="G334" s="2" t="str">
        <x:v>research/olam-global/country-panel.csv:STP:2023</x:v>
      </x:c>
      <x:c r="H334" s="2" t="str">
        <x:v>Same-year matching prevents multiplying different vintages</x:v>
      </x:c>
      <x:c r="I334" s="2" t="str">
        <x:v>No empirical calibration; sensitivity or missing-data gate applies</x:v>
      </x:c>
    </x:row>
    <x:row r="335" ht="100" customHeight="1">
      <x:c r="A335" s="2" t="str">
        <x:v>UN_WPP_SAU</x:v>
      </x:c>
      <x:c r="B335" s="2" t="str">
        <x:v>{"2026":35165787,"2030":37443751,"2035":40012640,"2040":42592205,"2045":45156465,"2050":47693910,"2051":48198043}</x:v>
      </x:c>
      <x:c r="C335" s="2" t="str">
        <x:v>Persons at seven milestones</x:v>
      </x:c>
      <x:c r="D335" s="2" t="str">
        <x:v>External projection</x:v>
      </x:c>
      <x:c r="E335" s="2" t="str">
        <x:v>UN_WPP</x:v>
      </x:c>
      <x:c r="F335" s="2" t="str">
        <x:v>UN DESA issuer; Strategy refresh</x:v>
      </x:c>
      <x:c r="G335" s="2" t="str">
        <x:v>research/olam-global/raw/wpp-milestones.csv:SAU</x:v>
      </x:c>
      <x:c r="H335" s="2" t="str">
        <x:v>WPP Medium in thousands ×1000; no income/category-demand inference</x:v>
      </x:c>
      <x:c r="I335" s="2" t="str">
        <x:v>Medium fertility variant only; low/high not in the compact source and not retrieved</x:v>
      </x:c>
    </x:row>
    <x:row r="336" ht="100" customHeight="1">
      <x:c r="A336" s="2" t="str">
        <x:v>I-WBFOOD-SAU</x:v>
      </x:c>
      <x:c r="B336" s="2" t="str">
        <x:v>{"country":"SAU","year":2024,"result_USD":30152408748.531284,"inputs":"Exact matched year and variable values in country-panel.csv"}</x:v>
      </x:c>
      <x:c r="C336" s="2" t="str">
        <x:v>Percent merchandise imports × current USD</x:v>
      </x:c>
      <x:c r="D336" s="2" t="str">
        <x:v>Reported fact</x:v>
      </x:c>
      <x:c r="E336" s="2" t="str">
        <x:v>WB_food_import_share;WB_imports_usd</x:v>
      </x:c>
      <x:c r="F336" s="2" t="str">
        <x:v>Finance / Strategy to validate</x:v>
      </x:c>
      <x:c r="G336" s="2" t="str">
        <x:v>research/olam-global/country-panel.csv:SAU:2024</x:v>
      </x:c>
      <x:c r="H336" s="2" t="str">
        <x:v>Same-year matching prevents multiplying different vintages</x:v>
      </x:c>
      <x:c r="I336" s="2" t="str">
        <x:v>No empirical calibration; sensitivity or missing-data gate applies</x:v>
      </x:c>
    </x:row>
    <x:row r="337" ht="100" customHeight="1">
      <x:c r="A337" s="2" t="str">
        <x:v>UN_WPP_SEN</x:v>
      </x:c>
      <x:c r="B337" s="2" t="str">
        <x:v>{"2026":19366548,"2030":21163192,"2035":23476596,"2040":25797510,"2045":28089699,"2050":30364954,"2051":30817068}</x:v>
      </x:c>
      <x:c r="C337" s="2" t="str">
        <x:v>Persons at seven milestones</x:v>
      </x:c>
      <x:c r="D337" s="2" t="str">
        <x:v>External projection</x:v>
      </x:c>
      <x:c r="E337" s="2" t="str">
        <x:v>UN_WPP</x:v>
      </x:c>
      <x:c r="F337" s="2" t="str">
        <x:v>UN DESA issuer; Strategy refresh</x:v>
      </x:c>
      <x:c r="G337" s="2" t="str">
        <x:v>research/olam-global/raw/wpp-milestones.csv:SEN</x:v>
      </x:c>
      <x:c r="H337" s="2" t="str">
        <x:v>WPP Medium in thousands ×1000; no income/category-demand inference</x:v>
      </x:c>
      <x:c r="I337" s="2" t="str">
        <x:v>Medium fertility variant only; low/high not in the compact source and not retrieved</x:v>
      </x:c>
    </x:row>
    <x:row r="338" ht="100" customHeight="1">
      <x:c r="A338" s="2" t="str">
        <x:v>I-WBFOOD-SEN</x:v>
      </x:c>
      <x:c r="B338" s="2" t="str">
        <x:v>{"country":"SEN","year":2024,"result_USD":2162657226.0690823,"inputs":"Exact matched year and variable values in country-panel.csv"}</x:v>
      </x:c>
      <x:c r="C338" s="2" t="str">
        <x:v>Percent merchandise imports × current USD</x:v>
      </x:c>
      <x:c r="D338" s="2" t="str">
        <x:v>Reported fact</x:v>
      </x:c>
      <x:c r="E338" s="2" t="str">
        <x:v>WB_food_import_share;WB_imports_usd</x:v>
      </x:c>
      <x:c r="F338" s="2" t="str">
        <x:v>Finance / Strategy to validate</x:v>
      </x:c>
      <x:c r="G338" s="2" t="str">
        <x:v>research/olam-global/country-panel.csv:SEN:2024</x:v>
      </x:c>
      <x:c r="H338" s="2" t="str">
        <x:v>Same-year matching prevents multiplying different vintages</x:v>
      </x:c>
      <x:c r="I338" s="2" t="str">
        <x:v>No empirical calibration; sensitivity or missing-data gate applies</x:v>
      </x:c>
    </x:row>
    <x:row r="339" ht="100" customHeight="1">
      <x:c r="A339" s="2" t="str">
        <x:v>UN_WPP_SRB</x:v>
      </x:c>
      <x:c r="B339" s="2" t="str">
        <x:v>{"2026":6641964,"2030":6461212,"2035":6226578,"2040":5987456,"2045":5753266,"2050":5532870,"2051":5489989}</x:v>
      </x:c>
      <x:c r="C339" s="2" t="str">
        <x:v>Persons at seven milestones</x:v>
      </x:c>
      <x:c r="D339" s="2" t="str">
        <x:v>External projection</x:v>
      </x:c>
      <x:c r="E339" s="2" t="str">
        <x:v>UN_WPP</x:v>
      </x:c>
      <x:c r="F339" s="2" t="str">
        <x:v>UN DESA issuer; Strategy refresh</x:v>
      </x:c>
      <x:c r="G339" s="2" t="str">
        <x:v>research/olam-global/raw/wpp-milestones.csv:SRB</x:v>
      </x:c>
      <x:c r="H339" s="2" t="str">
        <x:v>WPP Medium in thousands ×1000; no income/category-demand inference</x:v>
      </x:c>
      <x:c r="I339" s="2" t="str">
        <x:v>Medium fertility variant only; low/high not in the compact source and not retrieved</x:v>
      </x:c>
    </x:row>
    <x:row r="340" ht="100" customHeight="1">
      <x:c r="A340" s="2" t="str">
        <x:v>I-WBFOOD-SRB</x:v>
      </x:c>
      <x:c r="B340" s="2" t="str">
        <x:v>{"country":"SRB","year":2007,"result_USD":1107134216.1694326,"inputs":"Exact matched year and variable values in country-panel.csv"}</x:v>
      </x:c>
      <x:c r="C340" s="2" t="str">
        <x:v>Percent merchandise imports × current USD</x:v>
      </x:c>
      <x:c r="D340" s="2" t="str">
        <x:v>Reported fact</x:v>
      </x:c>
      <x:c r="E340" s="2" t="str">
        <x:v>WB_food_import_share;WB_imports_usd</x:v>
      </x:c>
      <x:c r="F340" s="2" t="str">
        <x:v>Finance / Strategy to validate</x:v>
      </x:c>
      <x:c r="G340" s="2" t="str">
        <x:v>research/olam-global/country-panel.csv:SRB:2007</x:v>
      </x:c>
      <x:c r="H340" s="2" t="str">
        <x:v>Same-year matching prevents multiplying different vintages</x:v>
      </x:c>
      <x:c r="I340" s="2" t="str">
        <x:v>No empirical calibration; sensitivity or missing-data gate applies</x:v>
      </x:c>
    </x:row>
    <x:row r="341" ht="100" customHeight="1">
      <x:c r="A341" s="2" t="str">
        <x:v>UN_WPP_SYC</x:v>
      </x:c>
      <x:c r="B341" s="2" t="str">
        <x:v>{"2026":134959,"2030":140399,"2035":141891,"2040":142544,"2045":142524,"2050":141746,"2051":141518}</x:v>
      </x:c>
      <x:c r="C341" s="2" t="str">
        <x:v>Persons at seven milestones</x:v>
      </x:c>
      <x:c r="D341" s="2" t="str">
        <x:v>External projection</x:v>
      </x:c>
      <x:c r="E341" s="2" t="str">
        <x:v>UN_WPP</x:v>
      </x:c>
      <x:c r="F341" s="2" t="str">
        <x:v>UN DESA issuer; Strategy refresh</x:v>
      </x:c>
      <x:c r="G341" s="2" t="str">
        <x:v>research/olam-global/raw/wpp-milestones.csv:SYC</x:v>
      </x:c>
      <x:c r="H341" s="2" t="str">
        <x:v>WPP Medium in thousands ×1000; no income/category-demand inference</x:v>
      </x:c>
      <x:c r="I341" s="2" t="str">
        <x:v>Medium fertility variant only; low/high not in the compact source and not retrieved</x:v>
      </x:c>
    </x:row>
    <x:row r="342" ht="100" customHeight="1">
      <x:c r="A342" s="2" t="str">
        <x:v>I-WBFOOD-SYC</x:v>
      </x:c>
      <x:c r="B342" s="2" t="str">
        <x:v>{"country":"SYC","year":2024,"result_USD":377518200.46535337,"inputs":"Exact matched year and variable values in country-panel.csv"}</x:v>
      </x:c>
      <x:c r="C342" s="2" t="str">
        <x:v>Percent merchandise imports × current USD</x:v>
      </x:c>
      <x:c r="D342" s="2" t="str">
        <x:v>Reported fact</x:v>
      </x:c>
      <x:c r="E342" s="2" t="str">
        <x:v>WB_food_import_share;WB_imports_usd</x:v>
      </x:c>
      <x:c r="F342" s="2" t="str">
        <x:v>Finance / Strategy to validate</x:v>
      </x:c>
      <x:c r="G342" s="2" t="str">
        <x:v>research/olam-global/country-panel.csv:SYC:2024</x:v>
      </x:c>
      <x:c r="H342" s="2" t="str">
        <x:v>Same-year matching prevents multiplying different vintages</x:v>
      </x:c>
      <x:c r="I342" s="2" t="str">
        <x:v>No empirical calibration; sensitivity or missing-data gate applies</x:v>
      </x:c>
    </x:row>
    <x:row r="343" ht="100" customHeight="1">
      <x:c r="A343" s="2" t="str">
        <x:v>UN_WPP_SLE</x:v>
      </x:c>
      <x:c r="B343" s="2" t="str">
        <x:v>{"2026":8996745,"2030":9694858,"2035":10563167,"2040":11398400,"2045":12208880,"2050":12948325,"2051":13093462}</x:v>
      </x:c>
      <x:c r="C343" s="2" t="str">
        <x:v>Persons at seven milestones</x:v>
      </x:c>
      <x:c r="D343" s="2" t="str">
        <x:v>External projection</x:v>
      </x:c>
      <x:c r="E343" s="2" t="str">
        <x:v>UN_WPP</x:v>
      </x:c>
      <x:c r="F343" s="2" t="str">
        <x:v>UN DESA issuer; Strategy refresh</x:v>
      </x:c>
      <x:c r="G343" s="2" t="str">
        <x:v>research/olam-global/raw/wpp-milestones.csv:SLE</x:v>
      </x:c>
      <x:c r="H343" s="2" t="str">
        <x:v>WPP Medium in thousands ×1000; no income/category-demand inference</x:v>
      </x:c>
      <x:c r="I343" s="2" t="str">
        <x:v>Medium fertility variant only; low/high not in the compact source and not retrieved</x:v>
      </x:c>
    </x:row>
    <x:row r="344" ht="100" customHeight="1">
      <x:c r="A344" s="2" t="str">
        <x:v>I-WBFOOD-SLE</x:v>
      </x:c>
      <x:c r="B344" s="2" t="str">
        <x:v>{"country":"SLE","year":2018,"result_USD":437163317.8278171,"inputs":"Exact matched year and variable values in country-panel.csv"}</x:v>
      </x:c>
      <x:c r="C344" s="2" t="str">
        <x:v>Percent merchandise imports × current USD</x:v>
      </x:c>
      <x:c r="D344" s="2" t="str">
        <x:v>Reported fact</x:v>
      </x:c>
      <x:c r="E344" s="2" t="str">
        <x:v>WB_food_import_share;WB_imports_usd</x:v>
      </x:c>
      <x:c r="F344" s="2" t="str">
        <x:v>Finance / Strategy to validate</x:v>
      </x:c>
      <x:c r="G344" s="2" t="str">
        <x:v>research/olam-global/country-panel.csv:SLE:2018</x:v>
      </x:c>
      <x:c r="H344" s="2" t="str">
        <x:v>Same-year matching prevents multiplying different vintages</x:v>
      </x:c>
      <x:c r="I344" s="2" t="str">
        <x:v>No empirical calibration; sensitivity or missing-data gate applies</x:v>
      </x:c>
    </x:row>
    <x:row r="345" ht="100" customHeight="1">
      <x:c r="A345" s="2" t="str">
        <x:v>UN_WPP_SGP</x:v>
      </x:c>
      <x:c r="B345" s="2" t="str">
        <x:v>{"2026":5905748,"2030":6031377,"2035":6153233,"2040":6194782,"2045":6156188,"2050":6081691,"2051":6064528}</x:v>
      </x:c>
      <x:c r="C345" s="2" t="str">
        <x:v>Persons at seven milestones</x:v>
      </x:c>
      <x:c r="D345" s="2" t="str">
        <x:v>External projection</x:v>
      </x:c>
      <x:c r="E345" s="2" t="str">
        <x:v>UN_WPP</x:v>
      </x:c>
      <x:c r="F345" s="2" t="str">
        <x:v>UN DESA issuer; Strategy refresh</x:v>
      </x:c>
      <x:c r="G345" s="2" t="str">
        <x:v>research/olam-global/raw/wpp-milestones.csv:SGP</x:v>
      </x:c>
      <x:c r="H345" s="2" t="str">
        <x:v>WPP Medium in thousands ×1000; no income/category-demand inference</x:v>
      </x:c>
      <x:c r="I345" s="2" t="str">
        <x:v>Medium fertility variant only; low/high not in the compact source and not retrieved</x:v>
      </x:c>
    </x:row>
    <x:row r="346" ht="100" customHeight="1">
      <x:c r="A346" s="2" t="str">
        <x:v>I-WBFOOD-SGP</x:v>
      </x:c>
      <x:c r="B346" s="2" t="str">
        <x:v>{"country":"SGP","year":2024,"result_USD":16756311869.639526,"inputs":"Exact matched year and variable values in country-panel.csv"}</x:v>
      </x:c>
      <x:c r="C346" s="2" t="str">
        <x:v>Percent merchandise imports × current USD</x:v>
      </x:c>
      <x:c r="D346" s="2" t="str">
        <x:v>Reported fact</x:v>
      </x:c>
      <x:c r="E346" s="2" t="str">
        <x:v>WB_food_import_share;WB_imports_usd</x:v>
      </x:c>
      <x:c r="F346" s="2" t="str">
        <x:v>Finance / Strategy to validate</x:v>
      </x:c>
      <x:c r="G346" s="2" t="str">
        <x:v>research/olam-global/country-panel.csv:SGP:2024</x:v>
      </x:c>
      <x:c r="H346" s="2" t="str">
        <x:v>Same-year matching prevents multiplying different vintages</x:v>
      </x:c>
      <x:c r="I346" s="2" t="str">
        <x:v>No empirical calibration; sensitivity or missing-data gate applies</x:v>
      </x:c>
    </x:row>
    <x:row r="347" ht="100" customHeight="1">
      <x:c r="A347" s="2" t="str">
        <x:v>UN_WPP_SVK</x:v>
      </x:c>
      <x:c r="B347" s="2" t="str">
        <x:v>{"2026":5451342,"2030":5401392,"2035":5307343,"2040":5192010,"2045":5066919,"2050":4936488,"2051":4909328}</x:v>
      </x:c>
      <x:c r="C347" s="2" t="str">
        <x:v>Persons at seven milestones</x:v>
      </x:c>
      <x:c r="D347" s="2" t="str">
        <x:v>External projection</x:v>
      </x:c>
      <x:c r="E347" s="2" t="str">
        <x:v>UN_WPP</x:v>
      </x:c>
      <x:c r="F347" s="2" t="str">
        <x:v>UN DESA issuer; Strategy refresh</x:v>
      </x:c>
      <x:c r="G347" s="2" t="str">
        <x:v>research/olam-global/raw/wpp-milestones.csv:SVK</x:v>
      </x:c>
      <x:c r="H347" s="2" t="str">
        <x:v>WPP Medium in thousands ×1000; no income/category-demand inference</x:v>
      </x:c>
      <x:c r="I347" s="2" t="str">
        <x:v>Medium fertility variant only; low/high not in the compact source and not retrieved</x:v>
      </x:c>
    </x:row>
    <x:row r="348" ht="100" customHeight="1">
      <x:c r="A348" s="2" t="str">
        <x:v>I-WBFOOD-SVK</x:v>
      </x:c>
      <x:c r="B348" s="2" t="str">
        <x:v>{"country":"SVK","year":2024,"result_USD":8257356693.28558,"inputs":"Exact matched year and variable values in country-panel.csv"}</x:v>
      </x:c>
      <x:c r="C348" s="2" t="str">
        <x:v>Percent merchandise imports × current USD</x:v>
      </x:c>
      <x:c r="D348" s="2" t="str">
        <x:v>Reported fact</x:v>
      </x:c>
      <x:c r="E348" s="2" t="str">
        <x:v>WB_food_import_share;WB_imports_usd</x:v>
      </x:c>
      <x:c r="F348" s="2" t="str">
        <x:v>Finance / Strategy to validate</x:v>
      </x:c>
      <x:c r="G348" s="2" t="str">
        <x:v>research/olam-global/country-panel.csv:SVK:2024</x:v>
      </x:c>
      <x:c r="H348" s="2" t="str">
        <x:v>Same-year matching prevents multiplying different vintages</x:v>
      </x:c>
      <x:c r="I348" s="2" t="str">
        <x:v>No empirical calibration; sensitivity or missing-data gate applies</x:v>
      </x:c>
    </x:row>
    <x:row r="349" ht="100" customHeight="1">
      <x:c r="A349" s="2" t="str">
        <x:v>UN_WPP_SVN</x:v>
      </x:c>
      <x:c r="B349" s="2" t="str">
        <x:v>{"2026":2114573,"2030":2098956,"2035":2073835.9999999998,"2040":2046764,"2045":2016283,"2050":1981553,"2051":1973639}</x:v>
      </x:c>
      <x:c r="C349" s="2" t="str">
        <x:v>Persons at seven milestones</x:v>
      </x:c>
      <x:c r="D349" s="2" t="str">
        <x:v>External projection</x:v>
      </x:c>
      <x:c r="E349" s="2" t="str">
        <x:v>UN_WPP</x:v>
      </x:c>
      <x:c r="F349" s="2" t="str">
        <x:v>UN DESA issuer; Strategy refresh</x:v>
      </x:c>
      <x:c r="G349" s="2" t="str">
        <x:v>research/olam-global/raw/wpp-milestones.csv:SVN</x:v>
      </x:c>
      <x:c r="H349" s="2" t="str">
        <x:v>WPP Medium in thousands ×1000; no income/category-demand inference</x:v>
      </x:c>
      <x:c r="I349" s="2" t="str">
        <x:v>Medium fertility variant only; low/high not in the compact source and not retrieved</x:v>
      </x:c>
    </x:row>
    <x:row r="350" ht="100" customHeight="1">
      <x:c r="A350" s="2" t="str">
        <x:v>I-WBFOOD-SVN</x:v>
      </x:c>
      <x:c r="B350" s="2" t="str">
        <x:v>{"country":"SVN","year":2024,"result_USD":4517146779.663229,"inputs":"Exact matched year and variable values in country-panel.csv"}</x:v>
      </x:c>
      <x:c r="C350" s="2" t="str">
        <x:v>Percent merchandise imports × current USD</x:v>
      </x:c>
      <x:c r="D350" s="2" t="str">
        <x:v>Reported fact</x:v>
      </x:c>
      <x:c r="E350" s="2" t="str">
        <x:v>WB_food_import_share;WB_imports_usd</x:v>
      </x:c>
      <x:c r="F350" s="2" t="str">
        <x:v>Finance / Strategy to validate</x:v>
      </x:c>
      <x:c r="G350" s="2" t="str">
        <x:v>research/olam-global/country-panel.csv:SVN:2024</x:v>
      </x:c>
      <x:c r="H350" s="2" t="str">
        <x:v>Same-year matching prevents multiplying different vintages</x:v>
      </x:c>
      <x:c r="I350" s="2" t="str">
        <x:v>No empirical calibration; sensitivity or missing-data gate applies</x:v>
      </x:c>
    </x:row>
    <x:row r="351" ht="100" customHeight="1">
      <x:c r="A351" s="2" t="str">
        <x:v>UN_WPP_SLB</x:v>
      </x:c>
      <x:c r="B351" s="2" t="str">
        <x:v>{"2026":858288,"2030":938348,"2035":1039656.9999999999,"2040":1135455,"2045":1224199,"2050":1309110,"2051":1325603}</x:v>
      </x:c>
      <x:c r="C351" s="2" t="str">
        <x:v>Persons at seven milestones</x:v>
      </x:c>
      <x:c r="D351" s="2" t="str">
        <x:v>External projection</x:v>
      </x:c>
      <x:c r="E351" s="2" t="str">
        <x:v>UN_WPP</x:v>
      </x:c>
      <x:c r="F351" s="2" t="str">
        <x:v>UN DESA issuer; Strategy refresh</x:v>
      </x:c>
      <x:c r="G351" s="2" t="str">
        <x:v>research/olam-global/raw/wpp-milestones.csv:SLB</x:v>
      </x:c>
      <x:c r="H351" s="2" t="str">
        <x:v>WPP Medium in thousands ×1000; no income/category-demand inference</x:v>
      </x:c>
      <x:c r="I351" s="2" t="str">
        <x:v>Medium fertility variant only; low/high not in the compact source and not retrieved</x:v>
      </x:c>
    </x:row>
    <x:row r="352" ht="100" customHeight="1">
      <x:c r="A352" s="2" t="str">
        <x:v>I-WBFOOD-SLB</x:v>
      </x:c>
      <x:c r="B352" s="2" t="str">
        <x:v>{"country":"SLB","year":2018,"result_USD":133389434.6145737,"inputs":"Exact matched year and variable values in country-panel.csv"}</x:v>
      </x:c>
      <x:c r="C352" s="2" t="str">
        <x:v>Percent merchandise imports × current USD</x:v>
      </x:c>
      <x:c r="D352" s="2" t="str">
        <x:v>Reported fact</x:v>
      </x:c>
      <x:c r="E352" s="2" t="str">
        <x:v>WB_food_import_share;WB_imports_usd</x:v>
      </x:c>
      <x:c r="F352" s="2" t="str">
        <x:v>Finance / Strategy to validate</x:v>
      </x:c>
      <x:c r="G352" s="2" t="str">
        <x:v>research/olam-global/country-panel.csv:SLB:2018</x:v>
      </x:c>
      <x:c r="H352" s="2" t="str">
        <x:v>Same-year matching prevents multiplying different vintages</x:v>
      </x:c>
      <x:c r="I352" s="2" t="str">
        <x:v>No empirical calibration; sensitivity or missing-data gate applies</x:v>
      </x:c>
    </x:row>
    <x:row r="353" ht="100" customHeight="1">
      <x:c r="A353" s="2" t="str">
        <x:v>UN_WPP_SOM</x:v>
      </x:c>
      <x:c r="B353" s="2" t="str">
        <x:v>{"2026":20305907,"2030":22915044,"2035":26294950,"2040":29896287,"2045":33510165.999999996,"2050":37206512,"2051":37953802}</x:v>
      </x:c>
      <x:c r="C353" s="2" t="str">
        <x:v>Persons at seven milestones</x:v>
      </x:c>
      <x:c r="D353" s="2" t="str">
        <x:v>External projection</x:v>
      </x:c>
      <x:c r="E353" s="2" t="str">
        <x:v>UN_WPP</x:v>
      </x:c>
      <x:c r="F353" s="2" t="str">
        <x:v>UN DESA issuer; Strategy refresh</x:v>
      </x:c>
      <x:c r="G353" s="2" t="str">
        <x:v>research/olam-global/raw/wpp-milestones.csv:SOM</x:v>
      </x:c>
      <x:c r="H353" s="2" t="str">
        <x:v>WPP Medium in thousands ×1000; no income/category-demand inference</x:v>
      </x:c>
      <x:c r="I353" s="2" t="str">
        <x:v>Medium fertility variant only; low/high not in the compact source and not retrieved</x:v>
      </x:c>
    </x:row>
    <x:row r="354" ht="100" customHeight="1">
      <x:c r="A354" s="2" t="str">
        <x:v>UN_WPP_ZAF</x:v>
      </x:c>
      <x:c r="B354" s="2" t="str">
        <x:v>{"2026":65453084,"2030":68161359,"2035":71234752,"2040":74035624,"2045":76681450,"2050":79177328,"2051":79652213}</x:v>
      </x:c>
      <x:c r="C354" s="2" t="str">
        <x:v>Persons at seven milestones</x:v>
      </x:c>
      <x:c r="D354" s="2" t="str">
        <x:v>External projection</x:v>
      </x:c>
      <x:c r="E354" s="2" t="str">
        <x:v>UN_WPP</x:v>
      </x:c>
      <x:c r="F354" s="2" t="str">
        <x:v>UN DESA issuer; Strategy refresh</x:v>
      </x:c>
      <x:c r="G354" s="2" t="str">
        <x:v>research/olam-global/raw/wpp-milestones.csv:ZAF</x:v>
      </x:c>
      <x:c r="H354" s="2" t="str">
        <x:v>WPP Medium in thousands ×1000; no income/category-demand inference</x:v>
      </x:c>
      <x:c r="I354" s="2" t="str">
        <x:v>Medium fertility variant only; low/high not in the compact source and not retrieved</x:v>
      </x:c>
    </x:row>
    <x:row r="355" ht="100" customHeight="1">
      <x:c r="A355" s="2" t="str">
        <x:v>I-WBFOOD-ZAF</x:v>
      </x:c>
      <x:c r="B355" s="2" t="str">
        <x:v>{"country":"ZAF","year":2025,"result_USD":9173948103.854956,"inputs":"Exact matched year and variable values in country-panel.csv"}</x:v>
      </x:c>
      <x:c r="C355" s="2" t="str">
        <x:v>Percent merchandise imports × current USD</x:v>
      </x:c>
      <x:c r="D355" s="2" t="str">
        <x:v>Reported fact</x:v>
      </x:c>
      <x:c r="E355" s="2" t="str">
        <x:v>WB_food_import_share;WB_imports_usd</x:v>
      </x:c>
      <x:c r="F355" s="2" t="str">
        <x:v>Finance / Strategy to validate</x:v>
      </x:c>
      <x:c r="G355" s="2" t="str">
        <x:v>research/olam-global/country-panel.csv:ZAF:2025</x:v>
      </x:c>
      <x:c r="H355" s="2" t="str">
        <x:v>Same-year matching prevents multiplying different vintages</x:v>
      </x:c>
      <x:c r="I355" s="2" t="str">
        <x:v>No empirical calibration; sensitivity or missing-data gate applies</x:v>
      </x:c>
    </x:row>
    <x:row r="356" ht="100" customHeight="1">
      <x:c r="A356" s="2" t="str">
        <x:v>UN_WPP_SSD</x:v>
      </x:c>
      <x:c r="B356" s="2" t="str">
        <x:v>{"2026":12436037,"2030":13457453,"2035":14798600,"2040":16101480,"2045":17286410,"2050":18341974,"2051":18542997}</x:v>
      </x:c>
      <x:c r="C356" s="2" t="str">
        <x:v>Persons at seven milestones</x:v>
      </x:c>
      <x:c r="D356" s="2" t="str">
        <x:v>External projection</x:v>
      </x:c>
      <x:c r="E356" s="2" t="str">
        <x:v>UN_WPP</x:v>
      </x:c>
      <x:c r="F356" s="2" t="str">
        <x:v>UN DESA issuer; Strategy refresh</x:v>
      </x:c>
      <x:c r="G356" s="2" t="str">
        <x:v>research/olam-global/raw/wpp-milestones.csv:SSD</x:v>
      </x:c>
      <x:c r="H356" s="2" t="str">
        <x:v>WPP Medium in thousands ×1000; no income/category-demand inference</x:v>
      </x:c>
      <x:c r="I356" s="2" t="str">
        <x:v>Medium fertility variant only; low/high not in the compact source and not retrieved</x:v>
      </x:c>
    </x:row>
    <x:row r="357" ht="100" customHeight="1">
      <x:c r="A357" s="2" t="str">
        <x:v>UN_WPP_ESP</x:v>
      </x:c>
      <x:c r="B357" s="2" t="str">
        <x:v>{"2026":47850793,"2030":47610520,"2035":47154196,"2040":46591674,"2045":45879964,"2050":44928558,"2051":44712279}</x:v>
      </x:c>
      <x:c r="C357" s="2" t="str">
        <x:v>Persons at seven milestones</x:v>
      </x:c>
      <x:c r="D357" s="2" t="str">
        <x:v>External projection</x:v>
      </x:c>
      <x:c r="E357" s="2" t="str">
        <x:v>UN_WPP</x:v>
      </x:c>
      <x:c r="F357" s="2" t="str">
        <x:v>UN DESA issuer; Strategy refresh</x:v>
      </x:c>
      <x:c r="G357" s="2" t="str">
        <x:v>research/olam-global/raw/wpp-milestones.csv:ESP</x:v>
      </x:c>
      <x:c r="H357" s="2" t="str">
        <x:v>WPP Medium in thousands ×1000; no income/category-demand inference</x:v>
      </x:c>
      <x:c r="I357" s="2" t="str">
        <x:v>Medium fertility variant only; low/high not in the compact source and not retrieved</x:v>
      </x:c>
    </x:row>
    <x:row r="358" ht="100" customHeight="1">
      <x:c r="A358" s="2" t="str">
        <x:v>I-WBFOOD-ESP</x:v>
      </x:c>
      <x:c r="B358" s="2" t="str">
        <x:v>{"country":"ESP","year":2024,"result_USD":59725409305.01281,"inputs":"Exact matched year and variable values in country-panel.csv"}</x:v>
      </x:c>
      <x:c r="C358" s="2" t="str">
        <x:v>Percent merchandise imports × current USD</x:v>
      </x:c>
      <x:c r="D358" s="2" t="str">
        <x:v>Reported fact</x:v>
      </x:c>
      <x:c r="E358" s="2" t="str">
        <x:v>WB_food_import_share;WB_imports_usd</x:v>
      </x:c>
      <x:c r="F358" s="2" t="str">
        <x:v>Finance / Strategy to validate</x:v>
      </x:c>
      <x:c r="G358" s="2" t="str">
        <x:v>research/olam-global/country-panel.csv:ESP:2024</x:v>
      </x:c>
      <x:c r="H358" s="2" t="str">
        <x:v>Same-year matching prevents multiplying different vintages</x:v>
      </x:c>
      <x:c r="I358" s="2" t="str">
        <x:v>No empirical calibration; sensitivity or missing-data gate applies</x:v>
      </x:c>
    </x:row>
    <x:row r="359" ht="100" customHeight="1">
      <x:c r="A359" s="2" t="str">
        <x:v>UN_WPP_LKA</x:v>
      </x:c>
      <x:c r="B359" s="2" t="str">
        <x:v>{"2026":23348315,"2030":23767952,"2035":24196475,"2040":24526699,"2045":24736435,"2050":24813690,"2051":24814757}</x:v>
      </x:c>
      <x:c r="C359" s="2" t="str">
        <x:v>Persons at seven milestones</x:v>
      </x:c>
      <x:c r="D359" s="2" t="str">
        <x:v>External projection</x:v>
      </x:c>
      <x:c r="E359" s="2" t="str">
        <x:v>UN_WPP</x:v>
      </x:c>
      <x:c r="F359" s="2" t="str">
        <x:v>UN DESA issuer; Strategy refresh</x:v>
      </x:c>
      <x:c r="G359" s="2" t="str">
        <x:v>research/olam-global/raw/wpp-milestones.csv:LKA</x:v>
      </x:c>
      <x:c r="H359" s="2" t="str">
        <x:v>WPP Medium in thousands ×1000; no income/category-demand inference</x:v>
      </x:c>
      <x:c r="I359" s="2" t="str">
        <x:v>Medium fertility variant only; low/high not in the compact source and not retrieved</x:v>
      </x:c>
    </x:row>
    <x:row r="360" ht="100" customHeight="1">
      <x:c r="A360" s="2" t="str">
        <x:v>I-WBFOOD-LKA</x:v>
      </x:c>
      <x:c r="B360" s="2" t="str">
        <x:v>{"country":"LKA","year":2024,"result_USD":2881422041.147365,"inputs":"Exact matched year and variable values in country-panel.csv"}</x:v>
      </x:c>
      <x:c r="C360" s="2" t="str">
        <x:v>Percent merchandise imports × current USD</x:v>
      </x:c>
      <x:c r="D360" s="2" t="str">
        <x:v>Reported fact</x:v>
      </x:c>
      <x:c r="E360" s="2" t="str">
        <x:v>WB_food_import_share;WB_imports_usd</x:v>
      </x:c>
      <x:c r="F360" s="2" t="str">
        <x:v>Finance / Strategy to validate</x:v>
      </x:c>
      <x:c r="G360" s="2" t="str">
        <x:v>research/olam-global/country-panel.csv:LKA:2024</x:v>
      </x:c>
      <x:c r="H360" s="2" t="str">
        <x:v>Same-year matching prevents multiplying different vintages</x:v>
      </x:c>
      <x:c r="I360" s="2" t="str">
        <x:v>No empirical calibration; sensitivity or missing-data gate applies</x:v>
      </x:c>
    </x:row>
    <x:row r="361" ht="100" customHeight="1">
      <x:c r="A361" s="2" t="str">
        <x:v>UN_WPP_PSE</x:v>
      </x:c>
      <x:c r="B361" s="2" t="str">
        <x:v>{"2026":5692790,"2030":6122314,"2035":6692735,"2040":7291826,"2045":7895095,"2050":8451891,"2051":8559237}</x:v>
      </x:c>
      <x:c r="C361" s="2" t="str">
        <x:v>Persons at seven milestones</x:v>
      </x:c>
      <x:c r="D361" s="2" t="str">
        <x:v>External projection</x:v>
      </x:c>
      <x:c r="E361" s="2" t="str">
        <x:v>UN_WPP</x:v>
      </x:c>
      <x:c r="F361" s="2" t="str">
        <x:v>UN DESA issuer; Strategy refresh</x:v>
      </x:c>
      <x:c r="G361" s="2" t="str">
        <x:v>research/olam-global/raw/wpp-milestones.csv:PSE</x:v>
      </x:c>
      <x:c r="H361" s="2" t="str">
        <x:v>WPP Medium in thousands ×1000; no income/category-demand inference</x:v>
      </x:c>
      <x:c r="I361" s="2" t="str">
        <x:v>Medium fertility variant only; low/high not in the compact source and not retrieved</x:v>
      </x:c>
    </x:row>
    <x:row r="362" ht="100" customHeight="1">
      <x:c r="A362" s="2" t="str">
        <x:v>UN_WPP_SDN</x:v>
      </x:c>
      <x:c r="B362" s="2" t="str">
        <x:v>{"2026":53282719,"2030":58571616,"2035":65148317,"2040":71730599,"2045":78415203,"2050":85206383,"2051":86579067}</x:v>
      </x:c>
      <x:c r="C362" s="2" t="str">
        <x:v>Persons at seven milestones</x:v>
      </x:c>
      <x:c r="D362" s="2" t="str">
        <x:v>External projection</x:v>
      </x:c>
      <x:c r="E362" s="2" t="str">
        <x:v>UN_WPP</x:v>
      </x:c>
      <x:c r="F362" s="2" t="str">
        <x:v>UN DESA issuer; Strategy refresh</x:v>
      </x:c>
      <x:c r="G362" s="2" t="str">
        <x:v>research/olam-global/raw/wpp-milestones.csv:SDN</x:v>
      </x:c>
      <x:c r="H362" s="2" t="str">
        <x:v>WPP Medium in thousands ×1000; no income/category-demand inference</x:v>
      </x:c>
      <x:c r="I362" s="2" t="str">
        <x:v>Medium fertility variant only; low/high not in the compact source and not retrieved</x:v>
      </x:c>
    </x:row>
    <x:row r="363" ht="100" customHeight="1">
      <x:c r="A363" s="2" t="str">
        <x:v>I-WBFOOD-SDN</x:v>
      </x:c>
      <x:c r="B363" s="2" t="str">
        <x:v>{"country":"SDN","year":2018,"result_USD":2347941820.0765934,"inputs":"Exact matched year and variable values in country-panel.csv"}</x:v>
      </x:c>
      <x:c r="C363" s="2" t="str">
        <x:v>Percent merchandise imports × current USD</x:v>
      </x:c>
      <x:c r="D363" s="2" t="str">
        <x:v>Reported fact</x:v>
      </x:c>
      <x:c r="E363" s="2" t="str">
        <x:v>WB_food_import_share;WB_imports_usd</x:v>
      </x:c>
      <x:c r="F363" s="2" t="str">
        <x:v>Finance / Strategy to validate</x:v>
      </x:c>
      <x:c r="G363" s="2" t="str">
        <x:v>research/olam-global/country-panel.csv:SDN:2018</x:v>
      </x:c>
      <x:c r="H363" s="2" t="str">
        <x:v>Same-year matching prevents multiplying different vintages</x:v>
      </x:c>
      <x:c r="I363" s="2" t="str">
        <x:v>No empirical calibration; sensitivity or missing-data gate applies</x:v>
      </x:c>
    </x:row>
    <x:row r="364" ht="100" customHeight="1">
      <x:c r="A364" s="2" t="str">
        <x:v>UN_WPP_SUR</x:v>
      </x:c>
      <x:c r="B364" s="2" t="str">
        <x:v>{"2026":645256,"2030":665652,"2035":688191,"2040":707160,"2045":722756,"2050":733904,"2051":735702}</x:v>
      </x:c>
      <x:c r="C364" s="2" t="str">
        <x:v>Persons at seven milestones</x:v>
      </x:c>
      <x:c r="D364" s="2" t="str">
        <x:v>External projection</x:v>
      </x:c>
      <x:c r="E364" s="2" t="str">
        <x:v>UN_WPP</x:v>
      </x:c>
      <x:c r="F364" s="2" t="str">
        <x:v>UN DESA issuer; Strategy refresh</x:v>
      </x:c>
      <x:c r="G364" s="2" t="str">
        <x:v>research/olam-global/raw/wpp-milestones.csv:SUR</x:v>
      </x:c>
      <x:c r="H364" s="2" t="str">
        <x:v>WPP Medium in thousands ×1000; no income/category-demand inference</x:v>
      </x:c>
      <x:c r="I364" s="2" t="str">
        <x:v>Medium fertility variant only; low/high not in the compact source and not retrieved</x:v>
      </x:c>
    </x:row>
    <x:row r="365" ht="100" customHeight="1">
      <x:c r="A365" s="2" t="str">
        <x:v>I-WBFOOD-SUR</x:v>
      </x:c>
      <x:c r="B365" s="2" t="str">
        <x:v>{"country":"SUR","year":2024,"result_USD":271460918.466405,"inputs":"Exact matched year and variable values in country-panel.csv"}</x:v>
      </x:c>
      <x:c r="C365" s="2" t="str">
        <x:v>Percent merchandise imports × current USD</x:v>
      </x:c>
      <x:c r="D365" s="2" t="str">
        <x:v>Reported fact</x:v>
      </x:c>
      <x:c r="E365" s="2" t="str">
        <x:v>WB_food_import_share;WB_imports_usd</x:v>
      </x:c>
      <x:c r="F365" s="2" t="str">
        <x:v>Finance / Strategy to validate</x:v>
      </x:c>
      <x:c r="G365" s="2" t="str">
        <x:v>research/olam-global/country-panel.csv:SUR:2024</x:v>
      </x:c>
      <x:c r="H365" s="2" t="str">
        <x:v>Same-year matching prevents multiplying different vintages</x:v>
      </x:c>
      <x:c r="I365" s="2" t="str">
        <x:v>No empirical calibration; sensitivity or missing-data gate applies</x:v>
      </x:c>
    </x:row>
    <x:row r="366" ht="100" customHeight="1">
      <x:c r="A366" s="2" t="str">
        <x:v>UN_WPP_SWE</x:v>
      </x:c>
      <x:c r="B366" s="2" t="str">
        <x:v>{"2026":10701047,"2030":10841810,"2035":10964978,"2040":11078602,"2045":11202872,"2050":11309630,"2051":11327101}</x:v>
      </x:c>
      <x:c r="C366" s="2" t="str">
        <x:v>Persons at seven milestones</x:v>
      </x:c>
      <x:c r="D366" s="2" t="str">
        <x:v>External projection</x:v>
      </x:c>
      <x:c r="E366" s="2" t="str">
        <x:v>UN_WPP</x:v>
      </x:c>
      <x:c r="F366" s="2" t="str">
        <x:v>UN DESA issuer; Strategy refresh</x:v>
      </x:c>
      <x:c r="G366" s="2" t="str">
        <x:v>research/olam-global/raw/wpp-milestones.csv:SWE</x:v>
      </x:c>
      <x:c r="H366" s="2" t="str">
        <x:v>WPP Medium in thousands ×1000; no income/category-demand inference</x:v>
      </x:c>
      <x:c r="I366" s="2" t="str">
        <x:v>Medium fertility variant only; low/high not in the compact source and not retrieved</x:v>
      </x:c>
    </x:row>
    <x:row r="367" ht="100" customHeight="1">
      <x:c r="A367" s="2" t="str">
        <x:v>I-WBFOOD-SWE</x:v>
      </x:c>
      <x:c r="B367" s="2" t="str">
        <x:v>{"country":"SWE","year":2024,"result_USD":21149534801.525703,"inputs":"Exact matched year and variable values in country-panel.csv"}</x:v>
      </x:c>
      <x:c r="C367" s="2" t="str">
        <x:v>Percent merchandise imports × current USD</x:v>
      </x:c>
      <x:c r="D367" s="2" t="str">
        <x:v>Reported fact</x:v>
      </x:c>
      <x:c r="E367" s="2" t="str">
        <x:v>WB_food_import_share;WB_imports_usd</x:v>
      </x:c>
      <x:c r="F367" s="2" t="str">
        <x:v>Finance / Strategy to validate</x:v>
      </x:c>
      <x:c r="G367" s="2" t="str">
        <x:v>research/olam-global/country-panel.csv:SWE:2024</x:v>
      </x:c>
      <x:c r="H367" s="2" t="str">
        <x:v>Same-year matching prevents multiplying different vintages</x:v>
      </x:c>
      <x:c r="I367" s="2" t="str">
        <x:v>No empirical calibration; sensitivity or missing-data gate applies</x:v>
      </x:c>
    </x:row>
    <x:row r="368" ht="100" customHeight="1">
      <x:c r="A368" s="2" t="str">
        <x:v>UN_WPP_CHE</x:v>
      </x:c>
      <x:c r="B368" s="2" t="str">
        <x:v>{"2026":9007798,"2030":9130292,"2035":9224225,"2040":9276178,"2045":9315498,"2050":9342586,"2051":9343512}</x:v>
      </x:c>
      <x:c r="C368" s="2" t="str">
        <x:v>Persons at seven milestones</x:v>
      </x:c>
      <x:c r="D368" s="2" t="str">
        <x:v>External projection</x:v>
      </x:c>
      <x:c r="E368" s="2" t="str">
        <x:v>UN_WPP</x:v>
      </x:c>
      <x:c r="F368" s="2" t="str">
        <x:v>UN DESA issuer; Strategy refresh</x:v>
      </x:c>
      <x:c r="G368" s="2" t="str">
        <x:v>research/olam-global/raw/wpp-milestones.csv:CHE</x:v>
      </x:c>
      <x:c r="H368" s="2" t="str">
        <x:v>WPP Medium in thousands ×1000; no income/category-demand inference</x:v>
      </x:c>
      <x:c r="I368" s="2" t="str">
        <x:v>Medium fertility variant only; low/high not in the compact source and not retrieved</x:v>
      </x:c>
    </x:row>
    <x:row r="369" ht="100" customHeight="1">
      <x:c r="A369" s="2" t="str">
        <x:v>I-WBFOOD-CHE</x:v>
      </x:c>
      <x:c r="B369" s="2" t="str">
        <x:v>{"country":"CHE","year":2024,"result_USD":17260038030.645496,"inputs":"Exact matched year and variable values in country-panel.csv"}</x:v>
      </x:c>
      <x:c r="C369" s="2" t="str">
        <x:v>Percent merchandise imports × current USD</x:v>
      </x:c>
      <x:c r="D369" s="2" t="str">
        <x:v>Reported fact</x:v>
      </x:c>
      <x:c r="E369" s="2" t="str">
        <x:v>WB_food_import_share;WB_imports_usd</x:v>
      </x:c>
      <x:c r="F369" s="2" t="str">
        <x:v>Finance / Strategy to validate</x:v>
      </x:c>
      <x:c r="G369" s="2" t="str">
        <x:v>research/olam-global/country-panel.csv:CHE:2024</x:v>
      </x:c>
      <x:c r="H369" s="2" t="str">
        <x:v>Same-year matching prevents multiplying different vintages</x:v>
      </x:c>
      <x:c r="I369" s="2" t="str">
        <x:v>No empirical calibration; sensitivity or missing-data gate applies</x:v>
      </x:c>
    </x:row>
    <x:row r="370" ht="100" customHeight="1">
      <x:c r="A370" s="2" t="str">
        <x:v>UN_WPP_SYR</x:v>
      </x:c>
      <x:c r="B370" s="2" t="str">
        <x:v>{"2026":26472497,"2030":29395540,"2035":32294793,"2040":34533185,"2045":36265286,"2050":37793372,"2051":38104385}</x:v>
      </x:c>
      <x:c r="C370" s="2" t="str">
        <x:v>Persons at seven milestones</x:v>
      </x:c>
      <x:c r="D370" s="2" t="str">
        <x:v>External projection</x:v>
      </x:c>
      <x:c r="E370" s="2" t="str">
        <x:v>UN_WPP</x:v>
      </x:c>
      <x:c r="F370" s="2" t="str">
        <x:v>UN DESA issuer; Strategy refresh</x:v>
      </x:c>
      <x:c r="G370" s="2" t="str">
        <x:v>research/olam-global/raw/wpp-milestones.csv:SYR</x:v>
      </x:c>
      <x:c r="H370" s="2" t="str">
        <x:v>WPP Medium in thousands ×1000; no income/category-demand inference</x:v>
      </x:c>
      <x:c r="I370" s="2" t="str">
        <x:v>Medium fertility variant only; low/high not in the compact source and not retrieved</x:v>
      </x:c>
    </x:row>
    <x:row r="371" ht="100" customHeight="1">
      <x:c r="A371" s="2" t="str">
        <x:v>I-WBFOOD-SYR</x:v>
      </x:c>
      <x:c r="B371" s="2" t="str">
        <x:v>{"country":"SYR","year":2010,"result_USD":3694720975.4071794,"inputs":"Exact matched year and variable values in country-panel.csv"}</x:v>
      </x:c>
      <x:c r="C371" s="2" t="str">
        <x:v>Percent merchandise imports × current USD</x:v>
      </x:c>
      <x:c r="D371" s="2" t="str">
        <x:v>Reported fact</x:v>
      </x:c>
      <x:c r="E371" s="2" t="str">
        <x:v>WB_food_import_share;WB_imports_usd</x:v>
      </x:c>
      <x:c r="F371" s="2" t="str">
        <x:v>Finance / Strategy to validate</x:v>
      </x:c>
      <x:c r="G371" s="2" t="str">
        <x:v>research/olam-global/country-panel.csv:SYR:2010</x:v>
      </x:c>
      <x:c r="H371" s="2" t="str">
        <x:v>Same-year matching prevents multiplying different vintages</x:v>
      </x:c>
      <x:c r="I371" s="2" t="str">
        <x:v>No empirical calibration; sensitivity or missing-data gate applies</x:v>
      </x:c>
    </x:row>
    <x:row r="372" ht="100" customHeight="1">
      <x:c r="A372" s="2" t="str">
        <x:v>UN_WPP_TJK</x:v>
      </x:c>
      <x:c r="B372" s="2" t="str">
        <x:v>{"2026":10978599,"2030":11733068,"2035":12695585,"2040":13713947,"2045":14694862,"2050":15574642,"2051":15737680}</x:v>
      </x:c>
      <x:c r="C372" s="2" t="str">
        <x:v>Persons at seven milestones</x:v>
      </x:c>
      <x:c r="D372" s="2" t="str">
        <x:v>External projection</x:v>
      </x:c>
      <x:c r="E372" s="2" t="str">
        <x:v>UN_WPP</x:v>
      </x:c>
      <x:c r="F372" s="2" t="str">
        <x:v>UN DESA issuer; Strategy refresh</x:v>
      </x:c>
      <x:c r="G372" s="2" t="str">
        <x:v>research/olam-global/raw/wpp-milestones.csv:TJK</x:v>
      </x:c>
      <x:c r="H372" s="2" t="str">
        <x:v>WPP Medium in thousands ×1000; no income/category-demand inference</x:v>
      </x:c>
      <x:c r="I372" s="2" t="str">
        <x:v>Medium fertility variant only; low/high not in the compact source and not retrieved</x:v>
      </x:c>
    </x:row>
    <x:row r="373" ht="100" customHeight="1">
      <x:c r="A373" s="2" t="str">
        <x:v>I-WBFOOD-TJK</x:v>
      </x:c>
      <x:c r="B373" s="2" t="str">
        <x:v>{"country":"TJK","year":2023,"result_USD":1555862691.534611,"inputs":"Exact matched year and variable values in country-panel.csv"}</x:v>
      </x:c>
      <x:c r="C373" s="2" t="str">
        <x:v>Percent merchandise imports × current USD</x:v>
      </x:c>
      <x:c r="D373" s="2" t="str">
        <x:v>Reported fact</x:v>
      </x:c>
      <x:c r="E373" s="2" t="str">
        <x:v>WB_food_import_share;WB_imports_usd</x:v>
      </x:c>
      <x:c r="F373" s="2" t="str">
        <x:v>Finance / Strategy to validate</x:v>
      </x:c>
      <x:c r="G373" s="2" t="str">
        <x:v>research/olam-global/country-panel.csv:TJK:2023</x:v>
      </x:c>
      <x:c r="H373" s="2" t="str">
        <x:v>Same-year matching prevents multiplying different vintages</x:v>
      </x:c>
      <x:c r="I373" s="2" t="str">
        <x:v>No empirical calibration; sensitivity or missing-data gate applies</x:v>
      </x:c>
    </x:row>
    <x:row r="374" ht="100" customHeight="1">
      <x:c r="A374" s="2" t="str">
        <x:v>UN_WPP_THA</x:v>
      </x:c>
      <x:c r="B374" s="2" t="str">
        <x:v>{"2026":71559614,"2030":71215022,"2035":70540885,"2040":69535002,"2045":68150152,"2050":66382735,"2051":65985159}</x:v>
      </x:c>
      <x:c r="C374" s="2" t="str">
        <x:v>Persons at seven milestones</x:v>
      </x:c>
      <x:c r="D374" s="2" t="str">
        <x:v>External projection</x:v>
      </x:c>
      <x:c r="E374" s="2" t="str">
        <x:v>UN_WPP</x:v>
      </x:c>
      <x:c r="F374" s="2" t="str">
        <x:v>UN DESA issuer; Strategy refresh</x:v>
      </x:c>
      <x:c r="G374" s="2" t="str">
        <x:v>research/olam-global/raw/wpp-milestones.csv:THA</x:v>
      </x:c>
      <x:c r="H374" s="2" t="str">
        <x:v>WPP Medium in thousands ×1000; no income/category-demand inference</x:v>
      </x:c>
      <x:c r="I374" s="2" t="str">
        <x:v>Medium fertility variant only; low/high not in the compact source and not retrieved</x:v>
      </x:c>
    </x:row>
    <x:row r="375" ht="100" customHeight="1">
      <x:c r="A375" s="2" t="str">
        <x:v>I-WBFOOD-THA</x:v>
      </x:c>
      <x:c r="B375" s="2" t="str">
        <x:v>{"country":"THA","year":2024,"result_USD":20128796041.193356,"inputs":"Exact matched year and variable values in country-panel.csv"}</x:v>
      </x:c>
      <x:c r="C375" s="2" t="str">
        <x:v>Percent merchandise imports × current USD</x:v>
      </x:c>
      <x:c r="D375" s="2" t="str">
        <x:v>Reported fact</x:v>
      </x:c>
      <x:c r="E375" s="2" t="str">
        <x:v>WB_food_import_share;WB_imports_usd</x:v>
      </x:c>
      <x:c r="F375" s="2" t="str">
        <x:v>Finance / Strategy to validate</x:v>
      </x:c>
      <x:c r="G375" s="2" t="str">
        <x:v>research/olam-global/country-panel.csv:THA:2024</x:v>
      </x:c>
      <x:c r="H375" s="2" t="str">
        <x:v>Same-year matching prevents multiplying different vintages</x:v>
      </x:c>
      <x:c r="I375" s="2" t="str">
        <x:v>No empirical calibration; sensitivity or missing-data gate applies</x:v>
      </x:c>
    </x:row>
    <x:row r="376" ht="100" customHeight="1">
      <x:c r="A376" s="2" t="str">
        <x:v>UN_WPP_TLS</x:v>
      </x:c>
      <x:c r="B376" s="2" t="str">
        <x:v>{"2026":1436923,"2030":1519804,"2035":1618798,"2040":1718249,"2045":1809633,"2050":1889249,"2051":1902810}</x:v>
      </x:c>
      <x:c r="C376" s="2" t="str">
        <x:v>Persons at seven milestones</x:v>
      </x:c>
      <x:c r="D376" s="2" t="str">
        <x:v>External projection</x:v>
      </x:c>
      <x:c r="E376" s="2" t="str">
        <x:v>UN_WPP</x:v>
      </x:c>
      <x:c r="F376" s="2" t="str">
        <x:v>UN DESA issuer; Strategy refresh</x:v>
      </x:c>
      <x:c r="G376" s="2" t="str">
        <x:v>research/olam-global/raw/wpp-milestones.csv:TLS</x:v>
      </x:c>
      <x:c r="H376" s="2" t="str">
        <x:v>WPP Medium in thousands ×1000; no income/category-demand inference</x:v>
      </x:c>
      <x:c r="I376" s="2" t="str">
        <x:v>Medium fertility variant only; low/high not in the compact source and not retrieved</x:v>
      </x:c>
    </x:row>
    <x:row r="377" ht="100" customHeight="1">
      <x:c r="A377" s="2" t="str">
        <x:v>I-WBFOOD-TLS</x:v>
      </x:c>
      <x:c r="B377" s="2" t="str">
        <x:v>{"country":"TLS","year":2023,"result_USD":253625110.1800985,"inputs":"Exact matched year and variable values in country-panel.csv"}</x:v>
      </x:c>
      <x:c r="C377" s="2" t="str">
        <x:v>Percent merchandise imports × current USD</x:v>
      </x:c>
      <x:c r="D377" s="2" t="str">
        <x:v>Reported fact</x:v>
      </x:c>
      <x:c r="E377" s="2" t="str">
        <x:v>WB_food_import_share;WB_imports_usd</x:v>
      </x:c>
      <x:c r="F377" s="2" t="str">
        <x:v>Finance / Strategy to validate</x:v>
      </x:c>
      <x:c r="G377" s="2" t="str">
        <x:v>research/olam-global/country-panel.csv:TLS:2023</x:v>
      </x:c>
      <x:c r="H377" s="2" t="str">
        <x:v>Same-year matching prevents multiplying different vintages</x:v>
      </x:c>
      <x:c r="I377" s="2" t="str">
        <x:v>No empirical calibration; sensitivity or missing-data gate applies</x:v>
      </x:c>
    </x:row>
    <x:row r="378" ht="100" customHeight="1">
      <x:c r="A378" s="2" t="str">
        <x:v>UN_WPP_TGO</x:v>
      </x:c>
      <x:c r="B378" s="2" t="str">
        <x:v>{"2026":9930918,"2030":10792997,"2035":11937684,"2040":13121352,"2045":14347512,"2050":15584778,"2051":15831367}</x:v>
      </x:c>
      <x:c r="C378" s="2" t="str">
        <x:v>Persons at seven milestones</x:v>
      </x:c>
      <x:c r="D378" s="2" t="str">
        <x:v>External projection</x:v>
      </x:c>
      <x:c r="E378" s="2" t="str">
        <x:v>UN_WPP</x:v>
      </x:c>
      <x:c r="F378" s="2" t="str">
        <x:v>UN DESA issuer; Strategy refresh</x:v>
      </x:c>
      <x:c r="G378" s="2" t="str">
        <x:v>research/olam-global/raw/wpp-milestones.csv:TGO</x:v>
      </x:c>
      <x:c r="H378" s="2" t="str">
        <x:v>WPP Medium in thousands ×1000; no income/category-demand inference</x:v>
      </x:c>
      <x:c r="I378" s="2" t="str">
        <x:v>Medium fertility variant only; low/high not in the compact source and not retrieved</x:v>
      </x:c>
    </x:row>
    <x:row r="379" ht="100" customHeight="1">
      <x:c r="A379" s="2" t="str">
        <x:v>I-WBFOOD-TGO</x:v>
      </x:c>
      <x:c r="B379" s="2" t="str">
        <x:v>{"country":"TGO","year":2024,"result_USD":569161693.1168905,"inputs":"Exact matched year and variable values in country-panel.csv"}</x:v>
      </x:c>
      <x:c r="C379" s="2" t="str">
        <x:v>Percent merchandise imports × current USD</x:v>
      </x:c>
      <x:c r="D379" s="2" t="str">
        <x:v>Reported fact</x:v>
      </x:c>
      <x:c r="E379" s="2" t="str">
        <x:v>WB_food_import_share;WB_imports_usd</x:v>
      </x:c>
      <x:c r="F379" s="2" t="str">
        <x:v>Finance / Strategy to validate</x:v>
      </x:c>
      <x:c r="G379" s="2" t="str">
        <x:v>research/olam-global/country-panel.csv:TGO:2024</x:v>
      </x:c>
      <x:c r="H379" s="2" t="str">
        <x:v>Same-year matching prevents multiplying different vintages</x:v>
      </x:c>
      <x:c r="I379" s="2" t="str">
        <x:v>No empirical calibration; sensitivity or missing-data gate applies</x:v>
      </x:c>
    </x:row>
    <x:row r="380" ht="100" customHeight="1">
      <x:c r="A380" s="2" t="str">
        <x:v>UN_WPP_TON</x:v>
      </x:c>
      <x:c r="B380" s="2" t="str">
        <x:v>{"2026":103291,"2030":102072,"2035":101829,"2040":102565,"2045":103930,"2050":105195,"2051":105416}</x:v>
      </x:c>
      <x:c r="C380" s="2" t="str">
        <x:v>Persons at seven milestones</x:v>
      </x:c>
      <x:c r="D380" s="2" t="str">
        <x:v>External projection</x:v>
      </x:c>
      <x:c r="E380" s="2" t="str">
        <x:v>UN_WPP</x:v>
      </x:c>
      <x:c r="F380" s="2" t="str">
        <x:v>UN DESA issuer; Strategy refresh</x:v>
      </x:c>
      <x:c r="G380" s="2" t="str">
        <x:v>research/olam-global/raw/wpp-milestones.csv:TON</x:v>
      </x:c>
      <x:c r="H380" s="2" t="str">
        <x:v>WPP Medium in thousands ×1000; no income/category-demand inference</x:v>
      </x:c>
      <x:c r="I380" s="2" t="str">
        <x:v>Medium fertility variant only; low/high not in the compact source and not retrieved</x:v>
      </x:c>
    </x:row>
    <x:row r="381" ht="100" customHeight="1">
      <x:c r="A381" s="2" t="str">
        <x:v>I-WBFOOD-TON</x:v>
      </x:c>
      <x:c r="B381" s="2" t="str">
        <x:v>{"country":"TON","year":2023,"result_USD":74771511.93691875,"inputs":"Exact matched year and variable values in country-panel.csv"}</x:v>
      </x:c>
      <x:c r="C381" s="2" t="str">
        <x:v>Percent merchandise imports × current USD</x:v>
      </x:c>
      <x:c r="D381" s="2" t="str">
        <x:v>Reported fact</x:v>
      </x:c>
      <x:c r="E381" s="2" t="str">
        <x:v>WB_food_import_share;WB_imports_usd</x:v>
      </x:c>
      <x:c r="F381" s="2" t="str">
        <x:v>Finance / Strategy to validate</x:v>
      </x:c>
      <x:c r="G381" s="2" t="str">
        <x:v>research/olam-global/country-panel.csv:TON:2023</x:v>
      </x:c>
      <x:c r="H381" s="2" t="str">
        <x:v>Same-year matching prevents multiplying different vintages</x:v>
      </x:c>
      <x:c r="I381" s="2" t="str">
        <x:v>No empirical calibration; sensitivity or missing-data gate applies</x:v>
      </x:c>
    </x:row>
    <x:row r="382" ht="100" customHeight="1">
      <x:c r="A382" s="2" t="str">
        <x:v>UN_WPP_TTO</x:v>
      </x:c>
      <x:c r="B382" s="2" t="str">
        <x:v>{"2026":1513268,"2030":1512322,"2035":1497855,"2040":1472944,"2045":1439585,"2050":1399800,"2051":1391195}</x:v>
      </x:c>
      <x:c r="C382" s="2" t="str">
        <x:v>Persons at seven milestones</x:v>
      </x:c>
      <x:c r="D382" s="2" t="str">
        <x:v>External projection</x:v>
      </x:c>
      <x:c r="E382" s="2" t="str">
        <x:v>UN_WPP</x:v>
      </x:c>
      <x:c r="F382" s="2" t="str">
        <x:v>UN DESA issuer; Strategy refresh</x:v>
      </x:c>
      <x:c r="G382" s="2" t="str">
        <x:v>research/olam-global/raw/wpp-milestones.csv:TTO</x:v>
      </x:c>
      <x:c r="H382" s="2" t="str">
        <x:v>WPP Medium in thousands ×1000; no income/category-demand inference</x:v>
      </x:c>
      <x:c r="I382" s="2" t="str">
        <x:v>Medium fertility variant only; low/high not in the compact source and not retrieved</x:v>
      </x:c>
    </x:row>
    <x:row r="383" ht="100" customHeight="1">
      <x:c r="A383" s="2" t="str">
        <x:v>I-WBFOOD-TTO</x:v>
      </x:c>
      <x:c r="B383" s="2" t="str">
        <x:v>{"country":"TTO","year":2024,"result_USD":1260802781.056288,"inputs":"Exact matched year and variable values in country-panel.csv"}</x:v>
      </x:c>
      <x:c r="C383" s="2" t="str">
        <x:v>Percent merchandise imports × current USD</x:v>
      </x:c>
      <x:c r="D383" s="2" t="str">
        <x:v>Reported fact</x:v>
      </x:c>
      <x:c r="E383" s="2" t="str">
        <x:v>WB_food_import_share;WB_imports_usd</x:v>
      </x:c>
      <x:c r="F383" s="2" t="str">
        <x:v>Finance / Strategy to validate</x:v>
      </x:c>
      <x:c r="G383" s="2" t="str">
        <x:v>research/olam-global/country-panel.csv:TTO:2024</x:v>
      </x:c>
      <x:c r="H383" s="2" t="str">
        <x:v>Same-year matching prevents multiplying different vintages</x:v>
      </x:c>
      <x:c r="I383" s="2" t="str">
        <x:v>No empirical calibration; sensitivity or missing-data gate applies</x:v>
      </x:c>
    </x:row>
    <x:row r="384" ht="100" customHeight="1">
      <x:c r="A384" s="2" t="str">
        <x:v>UN_WPP_TUN</x:v>
      </x:c>
      <x:c r="B384" s="2" t="str">
        <x:v>{"2026":12415138,"2030":12628142,"2035":12812269,"2040":12953864,"2045":13076089,"2050":13145141,"2051":13148162}</x:v>
      </x:c>
      <x:c r="C384" s="2" t="str">
        <x:v>Persons at seven milestones</x:v>
      </x:c>
      <x:c r="D384" s="2" t="str">
        <x:v>External projection</x:v>
      </x:c>
      <x:c r="E384" s="2" t="str">
        <x:v>UN_WPP</x:v>
      </x:c>
      <x:c r="F384" s="2" t="str">
        <x:v>UN DESA issuer; Strategy refresh</x:v>
      </x:c>
      <x:c r="G384" s="2" t="str">
        <x:v>research/olam-global/raw/wpp-milestones.csv:TUN</x:v>
      </x:c>
      <x:c r="H384" s="2" t="str">
        <x:v>WPP Medium in thousands ×1000; no income/category-demand inference</x:v>
      </x:c>
      <x:c r="I384" s="2" t="str">
        <x:v>Medium fertility variant only; low/high not in the compact source and not retrieved</x:v>
      </x:c>
    </x:row>
    <x:row r="385" ht="100" customHeight="1">
      <x:c r="A385" s="2" t="str">
        <x:v>I-WBFOOD-TUN</x:v>
      </x:c>
      <x:c r="B385" s="2" t="str">
        <x:v>{"country":"TUN","year":2024,"result_USD":2998833454.35892,"inputs":"Exact matched year and variable values in country-panel.csv"}</x:v>
      </x:c>
      <x:c r="C385" s="2" t="str">
        <x:v>Percent merchandise imports × current USD</x:v>
      </x:c>
      <x:c r="D385" s="2" t="str">
        <x:v>Reported fact</x:v>
      </x:c>
      <x:c r="E385" s="2" t="str">
        <x:v>WB_food_import_share;WB_imports_usd</x:v>
      </x:c>
      <x:c r="F385" s="2" t="str">
        <x:v>Finance / Strategy to validate</x:v>
      </x:c>
      <x:c r="G385" s="2" t="str">
        <x:v>research/olam-global/country-panel.csv:TUN:2024</x:v>
      </x:c>
      <x:c r="H385" s="2" t="str">
        <x:v>Same-year matching prevents multiplying different vintages</x:v>
      </x:c>
      <x:c r="I385" s="2" t="str">
        <x:v>No empirical calibration; sensitivity or missing-data gate applies</x:v>
      </x:c>
    </x:row>
    <x:row r="386" ht="100" customHeight="1">
      <x:c r="A386" s="2" t="str">
        <x:v>UN_WPP_TKM</x:v>
      </x:c>
      <x:c r="B386" s="2" t="str">
        <x:v>{"2026":7736632,"2030":8135729,"2035":8538668,"2040":8932231,"2045":9312822,"2050":9639708,"2051":9694833}</x:v>
      </x:c>
      <x:c r="C386" s="2" t="str">
        <x:v>Persons at seven milestones</x:v>
      </x:c>
      <x:c r="D386" s="2" t="str">
        <x:v>External projection</x:v>
      </x:c>
      <x:c r="E386" s="2" t="str">
        <x:v>UN_WPP</x:v>
      </x:c>
      <x:c r="F386" s="2" t="str">
        <x:v>UN DESA issuer; Strategy refresh</x:v>
      </x:c>
      <x:c r="G386" s="2" t="str">
        <x:v>research/olam-global/raw/wpp-milestones.csv:TKM</x:v>
      </x:c>
      <x:c r="H386" s="2" t="str">
        <x:v>WPP Medium in thousands ×1000; no income/category-demand inference</x:v>
      </x:c>
      <x:c r="I386" s="2" t="str">
        <x:v>Medium fertility variant only; low/high not in the compact source and not retrieved</x:v>
      </x:c>
    </x:row>
    <x:row r="387" ht="100" customHeight="1">
      <x:c r="A387" s="2" t="str">
        <x:v>I-WBFOOD-TKM</x:v>
      </x:c>
      <x:c r="B387" s="2" t="str">
        <x:v>{"country":"TKM","year":2000,"result_USD":209732293.29485548,"inputs":"Exact matched year and variable values in country-panel.csv"}</x:v>
      </x:c>
      <x:c r="C387" s="2" t="str">
        <x:v>Percent merchandise imports × current USD</x:v>
      </x:c>
      <x:c r="D387" s="2" t="str">
        <x:v>Reported fact</x:v>
      </x:c>
      <x:c r="E387" s="2" t="str">
        <x:v>WB_food_import_share;WB_imports_usd</x:v>
      </x:c>
      <x:c r="F387" s="2" t="str">
        <x:v>Finance / Strategy to validate</x:v>
      </x:c>
      <x:c r="G387" s="2" t="str">
        <x:v>research/olam-global/country-panel.csv:TKM:2000</x:v>
      </x:c>
      <x:c r="H387" s="2" t="str">
        <x:v>Same-year matching prevents multiplying different vintages</x:v>
      </x:c>
      <x:c r="I387" s="2" t="str">
        <x:v>No empirical calibration; sensitivity or missing-data gate applies</x:v>
      </x:c>
    </x:row>
    <x:row r="388" ht="100" customHeight="1">
      <x:c r="A388" s="2" t="str">
        <x:v>UN_WPP_TUV</x:v>
      </x:c>
      <x:c r="B388" s="2" t="str">
        <x:v>{"2026":9362,"2030":9047,"2035":8980,"2040":9140,"2045":9438,"2050":9781,"2051":9849}</x:v>
      </x:c>
      <x:c r="C388" s="2" t="str">
        <x:v>Persons at seven milestones</x:v>
      </x:c>
      <x:c r="D388" s="2" t="str">
        <x:v>External projection</x:v>
      </x:c>
      <x:c r="E388" s="2" t="str">
        <x:v>UN_WPP</x:v>
      </x:c>
      <x:c r="F388" s="2" t="str">
        <x:v>UN DESA issuer; Strategy refresh</x:v>
      </x:c>
      <x:c r="G388" s="2" t="str">
        <x:v>research/olam-global/raw/wpp-milestones.csv:TUV</x:v>
      </x:c>
      <x:c r="H388" s="2" t="str">
        <x:v>WPP Medium in thousands ×1000; no income/category-demand inference</x:v>
      </x:c>
      <x:c r="I388" s="2" t="str">
        <x:v>Medium fertility variant only; low/high not in the compact source and not retrieved</x:v>
      </x:c>
    </x:row>
    <x:row r="389" ht="100" customHeight="1">
      <x:c r="A389" s="2" t="str">
        <x:v>I-WBFOOD-TUV</x:v>
      </x:c>
      <x:c r="B389" s="2" t="str">
        <x:v>{"country":"TUV","year":2008,"result_USD":5600447.915124739,"inputs":"Exact matched year and variable values in country-panel.csv"}</x:v>
      </x:c>
      <x:c r="C389" s="2" t="str">
        <x:v>Percent merchandise imports × current USD</x:v>
      </x:c>
      <x:c r="D389" s="2" t="str">
        <x:v>Reported fact</x:v>
      </x:c>
      <x:c r="E389" s="2" t="str">
        <x:v>WB_food_import_share;WB_imports_usd</x:v>
      </x:c>
      <x:c r="F389" s="2" t="str">
        <x:v>Finance / Strategy to validate</x:v>
      </x:c>
      <x:c r="G389" s="2" t="str">
        <x:v>research/olam-global/country-panel.csv:TUV:2008</x:v>
      </x:c>
      <x:c r="H389" s="2" t="str">
        <x:v>Same-year matching prevents multiplying different vintages</x:v>
      </x:c>
      <x:c r="I389" s="2" t="str">
        <x:v>No empirical calibration; sensitivity or missing-data gate applies</x:v>
      </x:c>
    </x:row>
    <x:row r="390" ht="100" customHeight="1">
      <x:c r="A390" s="2" t="str">
        <x:v>UN_WPP_TUR</x:v>
      </x:c>
      <x:c r="B390" s="2" t="str">
        <x:v>{"2026":87926082,"2030":89027542,"2035":90188557,"2040":91009681,"2045":91392535,"2050":91258061,"2051":91140413}</x:v>
      </x:c>
      <x:c r="C390" s="2" t="str">
        <x:v>Persons at seven milestones</x:v>
      </x:c>
      <x:c r="D390" s="2" t="str">
        <x:v>External projection</x:v>
      </x:c>
      <x:c r="E390" s="2" t="str">
        <x:v>UN_WPP</x:v>
      </x:c>
      <x:c r="F390" s="2" t="str">
        <x:v>UN DESA issuer; Strategy refresh</x:v>
      </x:c>
      <x:c r="G390" s="2" t="str">
        <x:v>research/olam-global/raw/wpp-milestones.csv:TUR</x:v>
      </x:c>
      <x:c r="H390" s="2" t="str">
        <x:v>WPP Medium in thousands ×1000; no income/category-demand inference</x:v>
      </x:c>
      <x:c r="I390" s="2" t="str">
        <x:v>Medium fertility variant only; low/high not in the compact source and not retrieved</x:v>
      </x:c>
    </x:row>
    <x:row r="391" ht="100" customHeight="1">
      <x:c r="A391" s="2" t="str">
        <x:v>I-WBFOOD-TUR</x:v>
      </x:c>
      <x:c r="B391" s="2" t="str">
        <x:v>{"country":"TUR","year":2024,"result_USD":21380173402.183914,"inputs":"Exact matched year and variable values in country-panel.csv"}</x:v>
      </x:c>
      <x:c r="C391" s="2" t="str">
        <x:v>Percent merchandise imports × current USD</x:v>
      </x:c>
      <x:c r="D391" s="2" t="str">
        <x:v>Reported fact</x:v>
      </x:c>
      <x:c r="E391" s="2" t="str">
        <x:v>WB_food_import_share;WB_imports_usd</x:v>
      </x:c>
      <x:c r="F391" s="2" t="str">
        <x:v>Finance / Strategy to validate</x:v>
      </x:c>
      <x:c r="G391" s="2" t="str">
        <x:v>research/olam-global/country-panel.csv:TUR:2024</x:v>
      </x:c>
      <x:c r="H391" s="2" t="str">
        <x:v>Same-year matching prevents multiplying different vintages</x:v>
      </x:c>
      <x:c r="I391" s="2" t="str">
        <x:v>No empirical calibration; sensitivity or missing-data gate applies</x:v>
      </x:c>
    </x:row>
    <x:row r="392" ht="100" customHeight="1">
      <x:c r="A392" s="2" t="str">
        <x:v>UN_WPP_UGA</x:v>
      </x:c>
      <x:c r="B392" s="2" t="str">
        <x:v>{"2026":52761469,"2030":58312940,"2035":65205574,"2040":72020418,"2045":78797992,"2050":85431202,"2051":86718842}</x:v>
      </x:c>
      <x:c r="C392" s="2" t="str">
        <x:v>Persons at seven milestones</x:v>
      </x:c>
      <x:c r="D392" s="2" t="str">
        <x:v>External projection</x:v>
      </x:c>
      <x:c r="E392" s="2" t="str">
        <x:v>UN_WPP</x:v>
      </x:c>
      <x:c r="F392" s="2" t="str">
        <x:v>UN DESA issuer; Strategy refresh</x:v>
      </x:c>
      <x:c r="G392" s="2" t="str">
        <x:v>research/olam-global/raw/wpp-milestones.csv:UGA</x:v>
      </x:c>
      <x:c r="H392" s="2" t="str">
        <x:v>WPP Medium in thousands ×1000; no income/category-demand inference</x:v>
      </x:c>
      <x:c r="I392" s="2" t="str">
        <x:v>Medium fertility variant only; low/high not in the compact source and not retrieved</x:v>
      </x:c>
    </x:row>
    <x:row r="393" ht="100" customHeight="1">
      <x:c r="A393" s="2" t="str">
        <x:v>I-WBFOOD-UGA</x:v>
      </x:c>
      <x:c r="B393" s="2" t="str">
        <x:v>{"country":"UGA","year":2024,"result_USD":1485028663.9236047,"inputs":"Exact matched year and variable values in country-panel.csv"}</x:v>
      </x:c>
      <x:c r="C393" s="2" t="str">
        <x:v>Percent merchandise imports × current USD</x:v>
      </x:c>
      <x:c r="D393" s="2" t="str">
        <x:v>Reported fact</x:v>
      </x:c>
      <x:c r="E393" s="2" t="str">
        <x:v>WB_food_import_share;WB_imports_usd</x:v>
      </x:c>
      <x:c r="F393" s="2" t="str">
        <x:v>Finance / Strategy to validate</x:v>
      </x:c>
      <x:c r="G393" s="2" t="str">
        <x:v>research/olam-global/country-panel.csv:UGA:2024</x:v>
      </x:c>
      <x:c r="H393" s="2" t="str">
        <x:v>Same-year matching prevents multiplying different vintages</x:v>
      </x:c>
      <x:c r="I393" s="2" t="str">
        <x:v>No empirical calibration; sensitivity or missing-data gate applies</x:v>
      </x:c>
    </x:row>
    <x:row r="394" ht="100" customHeight="1">
      <x:c r="A394" s="2" t="str">
        <x:v>UN_WPP_UKR</x:v>
      </x:c>
      <x:c r="B394" s="2" t="str">
        <x:v>{"2026":39535849,"2030":38353853,"2035":36828147,"2040":35270911,"2045":33680445,"2050":31990132,"2051":31637037}</x:v>
      </x:c>
      <x:c r="C394" s="2" t="str">
        <x:v>Persons at seven milestones</x:v>
      </x:c>
      <x:c r="D394" s="2" t="str">
        <x:v>External projection</x:v>
      </x:c>
      <x:c r="E394" s="2" t="str">
        <x:v>UN_WPP</x:v>
      </x:c>
      <x:c r="F394" s="2" t="str">
        <x:v>UN DESA issuer; Strategy refresh</x:v>
      </x:c>
      <x:c r="G394" s="2" t="str">
        <x:v>research/olam-global/raw/wpp-milestones.csv:UKR</x:v>
      </x:c>
      <x:c r="H394" s="2" t="str">
        <x:v>WPP Medium in thousands ×1000; no income/category-demand inference</x:v>
      </x:c>
      <x:c r="I394" s="2" t="str">
        <x:v>Medium fertility variant only; low/high not in the compact source and not retrieved</x:v>
      </x:c>
    </x:row>
    <x:row r="395" ht="100" customHeight="1">
      <x:c r="A395" s="2" t="str">
        <x:v>I-WBFOOD-UKR</x:v>
      </x:c>
      <x:c r="B395" s="2" t="str">
        <x:v>{"country":"UKR","year":2024,"result_USD":7422219074.538817,"inputs":"Exact matched year and variable values in country-panel.csv"}</x:v>
      </x:c>
      <x:c r="C395" s="2" t="str">
        <x:v>Percent merchandise imports × current USD</x:v>
      </x:c>
      <x:c r="D395" s="2" t="str">
        <x:v>Reported fact</x:v>
      </x:c>
      <x:c r="E395" s="2" t="str">
        <x:v>WB_food_import_share;WB_imports_usd</x:v>
      </x:c>
      <x:c r="F395" s="2" t="str">
        <x:v>Finance / Strategy to validate</x:v>
      </x:c>
      <x:c r="G395" s="2" t="str">
        <x:v>research/olam-global/country-panel.csv:UKR:2024</x:v>
      </x:c>
      <x:c r="H395" s="2" t="str">
        <x:v>Same-year matching prevents multiplying different vintages</x:v>
      </x:c>
      <x:c r="I395" s="2" t="str">
        <x:v>No empirical calibration; sensitivity or missing-data gate applies</x:v>
      </x:c>
    </x:row>
    <x:row r="396" ht="100" customHeight="1">
      <x:c r="A396" s="2" t="str">
        <x:v>UN_WPP_ARE</x:v>
      </x:c>
      <x:c r="B396" s="2" t="str">
        <x:v>{"2026":11574682,"2030":12190605,"2035":12910702,"2040":13693776,"2045":14507366,"2050":15367392,"2051":15543672}</x:v>
      </x:c>
      <x:c r="C396" s="2" t="str">
        <x:v>Persons at seven milestones</x:v>
      </x:c>
      <x:c r="D396" s="2" t="str">
        <x:v>External projection</x:v>
      </x:c>
      <x:c r="E396" s="2" t="str">
        <x:v>UN_WPP</x:v>
      </x:c>
      <x:c r="F396" s="2" t="str">
        <x:v>UN DESA issuer; Strategy refresh</x:v>
      </x:c>
      <x:c r="G396" s="2" t="str">
        <x:v>research/olam-global/raw/wpp-milestones.csv:ARE</x:v>
      </x:c>
      <x:c r="H396" s="2" t="str">
        <x:v>WPP Medium in thousands ×1000; no income/category-demand inference</x:v>
      </x:c>
      <x:c r="I396" s="2" t="str">
        <x:v>Medium fertility variant only; low/high not in the compact source and not retrieved</x:v>
      </x:c>
    </x:row>
    <x:row r="397" ht="100" customHeight="1">
      <x:c r="A397" s="2" t="str">
        <x:v>I-WBFOOD-ARE</x:v>
      </x:c>
      <x:c r="B397" s="2" t="str">
        <x:v>{"country":"ARE","year":2023,"result_USD":23474888200.932762,"inputs":"Exact matched year and variable values in country-panel.csv"}</x:v>
      </x:c>
      <x:c r="C397" s="2" t="str">
        <x:v>Percent merchandise imports × current USD</x:v>
      </x:c>
      <x:c r="D397" s="2" t="str">
        <x:v>Reported fact</x:v>
      </x:c>
      <x:c r="E397" s="2" t="str">
        <x:v>WB_food_import_share;WB_imports_usd</x:v>
      </x:c>
      <x:c r="F397" s="2" t="str">
        <x:v>Finance / Strategy to validate</x:v>
      </x:c>
      <x:c r="G397" s="2" t="str">
        <x:v>research/olam-global/country-panel.csv:ARE:2023</x:v>
      </x:c>
      <x:c r="H397" s="2" t="str">
        <x:v>Same-year matching prevents multiplying different vintages</x:v>
      </x:c>
      <x:c r="I397" s="2" t="str">
        <x:v>No empirical calibration; sensitivity or missing-data gate applies</x:v>
      </x:c>
    </x:row>
    <x:row r="398" ht="100" customHeight="1">
      <x:c r="A398" s="2" t="str">
        <x:v>UN_WPP_GBR</x:v>
      </x:c>
      <x:c r="B398" s="2" t="str">
        <x:v>{"2026":69931528,"2030":71286992,"2035":72656815,"2040":73774626,"2045":74753658,"2050":75504681,"2051":75616457}</x:v>
      </x:c>
      <x:c r="C398" s="2" t="str">
        <x:v>Persons at seven milestones</x:v>
      </x:c>
      <x:c r="D398" s="2" t="str">
        <x:v>External projection</x:v>
      </x:c>
      <x:c r="E398" s="2" t="str">
        <x:v>UN_WPP</x:v>
      </x:c>
      <x:c r="F398" s="2" t="str">
        <x:v>UN DESA issuer; Strategy refresh</x:v>
      </x:c>
      <x:c r="G398" s="2" t="str">
        <x:v>research/olam-global/raw/wpp-milestones.csv:GBR</x:v>
      </x:c>
      <x:c r="H398" s="2" t="str">
        <x:v>WPP Medium in thousands ×1000; no income/category-demand inference</x:v>
      </x:c>
      <x:c r="I398" s="2" t="str">
        <x:v>Medium fertility variant only; low/high not in the compact source and not retrieved</x:v>
      </x:c>
    </x:row>
    <x:row r="399" ht="100" customHeight="1">
      <x:c r="A399" s="2" t="str">
        <x:v>I-WBFOOD-GBR</x:v>
      </x:c>
      <x:c r="B399" s="2" t="str">
        <x:v>{"country":"GBR","year":2025,"result_USD":93031876694.23149,"inputs":"Exact matched year and variable values in country-panel.csv"}</x:v>
      </x:c>
      <x:c r="C399" s="2" t="str">
        <x:v>Percent merchandise imports × current USD</x:v>
      </x:c>
      <x:c r="D399" s="2" t="str">
        <x:v>Reported fact</x:v>
      </x:c>
      <x:c r="E399" s="2" t="str">
        <x:v>WB_food_import_share;WB_imports_usd</x:v>
      </x:c>
      <x:c r="F399" s="2" t="str">
        <x:v>Finance / Strategy to validate</x:v>
      </x:c>
      <x:c r="G399" s="2" t="str">
        <x:v>research/olam-global/country-panel.csv:GBR:2025</x:v>
      </x:c>
      <x:c r="H399" s="2" t="str">
        <x:v>Same-year matching prevents multiplying different vintages</x:v>
      </x:c>
      <x:c r="I399" s="2" t="str">
        <x:v>No empirical calibration; sensitivity or missing-data gate applies</x:v>
      </x:c>
    </x:row>
    <x:row r="400" ht="100" customHeight="1">
      <x:c r="A400" s="2" t="str">
        <x:v>UN_WPP_TZA</x:v>
      </x:c>
      <x:c r="B400" s="2" t="str">
        <x:v>{"2026":72563780,"2030":80913124,"2035":92091429,"2040":103999359,"2045":116525473,"2050":129621102,"2051":132280446.99999999}</x:v>
      </x:c>
      <x:c r="C400" s="2" t="str">
        <x:v>Persons at seven milestones</x:v>
      </x:c>
      <x:c r="D400" s="2" t="str">
        <x:v>External projection</x:v>
      </x:c>
      <x:c r="E400" s="2" t="str">
        <x:v>UN_WPP</x:v>
      </x:c>
      <x:c r="F400" s="2" t="str">
        <x:v>UN DESA issuer; Strategy refresh</x:v>
      </x:c>
      <x:c r="G400" s="2" t="str">
        <x:v>research/olam-global/raw/wpp-milestones.csv:TZA</x:v>
      </x:c>
      <x:c r="H400" s="2" t="str">
        <x:v>WPP Medium in thousands ×1000; no income/category-demand inference</x:v>
      </x:c>
      <x:c r="I400" s="2" t="str">
        <x:v>Medium fertility variant only; low/high not in the compact source and not retrieved</x:v>
      </x:c>
    </x:row>
    <x:row r="401" ht="100" customHeight="1">
      <x:c r="A401" s="2" t="str">
        <x:v>I-WBFOOD-TZA</x:v>
      </x:c>
      <x:c r="B401" s="2" t="str">
        <x:v>{"country":"TZA","year":2024,"result_USD":1305228826.4831173,"inputs":"Exact matched year and variable values in country-panel.csv"}</x:v>
      </x:c>
      <x:c r="C401" s="2" t="str">
        <x:v>Percent merchandise imports × current USD</x:v>
      </x:c>
      <x:c r="D401" s="2" t="str">
        <x:v>Reported fact</x:v>
      </x:c>
      <x:c r="E401" s="2" t="str">
        <x:v>WB_food_import_share;WB_imports_usd</x:v>
      </x:c>
      <x:c r="F401" s="2" t="str">
        <x:v>Finance / Strategy to validate</x:v>
      </x:c>
      <x:c r="G401" s="2" t="str">
        <x:v>research/olam-global/country-panel.csv:TZA:2024</x:v>
      </x:c>
      <x:c r="H401" s="2" t="str">
        <x:v>Same-year matching prevents multiplying different vintages</x:v>
      </x:c>
      <x:c r="I401" s="2" t="str">
        <x:v>No empirical calibration; sensitivity or missing-data gate applies</x:v>
      </x:c>
    </x:row>
    <x:row r="402" ht="100" customHeight="1">
      <x:c r="A402" s="2" t="str">
        <x:v>UN_WPP_USA</x:v>
      </x:c>
      <x:c r="B402" s="2" t="str">
        <x:v>{"2026":349035494,"2030":355649881,"2035":363284716,"2040":370209316,"2045":376106472,"2050":380846910,"2051":381708396}</x:v>
      </x:c>
      <x:c r="C402" s="2" t="str">
        <x:v>Persons at seven milestones</x:v>
      </x:c>
      <x:c r="D402" s="2" t="str">
        <x:v>External projection</x:v>
      </x:c>
      <x:c r="E402" s="2" t="str">
        <x:v>UN_WPP</x:v>
      </x:c>
      <x:c r="F402" s="2" t="str">
        <x:v>UN DESA issuer; Strategy refresh</x:v>
      </x:c>
      <x:c r="G402" s="2" t="str">
        <x:v>research/olam-global/raw/wpp-milestones.csv:USA</x:v>
      </x:c>
      <x:c r="H402" s="2" t="str">
        <x:v>WPP Medium in thousands ×1000; no income/category-demand inference</x:v>
      </x:c>
      <x:c r="I402" s="2" t="str">
        <x:v>Medium fertility variant only; low/high not in the compact source and not retrieved</x:v>
      </x:c>
    </x:row>
    <x:row r="403" ht="100" customHeight="1">
      <x:c r="A403" s="2" t="str">
        <x:v>I-WBFOOD-USA</x:v>
      </x:c>
      <x:c r="B403" s="2" t="str">
        <x:v>{"country":"USA","year":2024,"result_USD":232809983536.10242,"inputs":"Exact matched year and variable values in country-panel.csv"}</x:v>
      </x:c>
      <x:c r="C403" s="2" t="str">
        <x:v>Percent merchandise imports × current USD</x:v>
      </x:c>
      <x:c r="D403" s="2" t="str">
        <x:v>Reported fact</x:v>
      </x:c>
      <x:c r="E403" s="2" t="str">
        <x:v>WB_food_import_share;WB_imports_usd</x:v>
      </x:c>
      <x:c r="F403" s="2" t="str">
        <x:v>Finance / Strategy to validate</x:v>
      </x:c>
      <x:c r="G403" s="2" t="str">
        <x:v>research/olam-global/country-panel.csv:USA:2024</x:v>
      </x:c>
      <x:c r="H403" s="2" t="str">
        <x:v>Same-year matching prevents multiplying different vintages</x:v>
      </x:c>
      <x:c r="I403" s="2" t="str">
        <x:v>No empirical calibration; sensitivity or missing-data gate applies</x:v>
      </x:c>
    </x:row>
    <x:row r="404" ht="100" customHeight="1">
      <x:c r="A404" s="2" t="str">
        <x:v>UN_WPP_URY</x:v>
      </x:c>
      <x:c r="B404" s="2" t="str">
        <x:v>{"2026":3382537,"2030":3372887,"2035":3358282,"2040":3336459,"2045":3302675,"2050":3254354,"2051":3242784}</x:v>
      </x:c>
      <x:c r="C404" s="2" t="str">
        <x:v>Persons at seven milestones</x:v>
      </x:c>
      <x:c r="D404" s="2" t="str">
        <x:v>External projection</x:v>
      </x:c>
      <x:c r="E404" s="2" t="str">
        <x:v>UN_WPP</x:v>
      </x:c>
      <x:c r="F404" s="2" t="str">
        <x:v>UN DESA issuer; Strategy refresh</x:v>
      </x:c>
      <x:c r="G404" s="2" t="str">
        <x:v>research/olam-global/raw/wpp-milestones.csv:URY</x:v>
      </x:c>
      <x:c r="H404" s="2" t="str">
        <x:v>WPP Medium in thousands ×1000; no income/category-demand inference</x:v>
      </x:c>
      <x:c r="I404" s="2" t="str">
        <x:v>Medium fertility variant only; low/high not in the compact source and not retrieved</x:v>
      </x:c>
    </x:row>
    <x:row r="405" ht="100" customHeight="1">
      <x:c r="A405" s="2" t="str">
        <x:v>I-WBFOOD-URY</x:v>
      </x:c>
      <x:c r="B405" s="2" t="str">
        <x:v>{"country":"URY","year":2024,"result_USD":1759547969.8426583,"inputs":"Exact matched year and variable values in country-panel.csv"}</x:v>
      </x:c>
      <x:c r="C405" s="2" t="str">
        <x:v>Percent merchandise imports × current USD</x:v>
      </x:c>
      <x:c r="D405" s="2" t="str">
        <x:v>Reported fact</x:v>
      </x:c>
      <x:c r="E405" s="2" t="str">
        <x:v>WB_food_import_share;WB_imports_usd</x:v>
      </x:c>
      <x:c r="F405" s="2" t="str">
        <x:v>Finance / Strategy to validate</x:v>
      </x:c>
      <x:c r="G405" s="2" t="str">
        <x:v>research/olam-global/country-panel.csv:URY:2024</x:v>
      </x:c>
      <x:c r="H405" s="2" t="str">
        <x:v>Same-year matching prevents multiplying different vintages</x:v>
      </x:c>
      <x:c r="I405" s="2" t="str">
        <x:v>No empirical calibration; sensitivity or missing-data gate applies</x:v>
      </x:c>
    </x:row>
    <x:row r="406" ht="100" customHeight="1">
      <x:c r="A406" s="2" t="str">
        <x:v>UN_WPP_UZB</x:v>
      </x:c>
      <x:c r="B406" s="2" t="str">
        <x:v>{"2026":37724223,"2030":40248241,"2035":43175102,"2040":46044152,"2045":49096063,"2050":52210755,"2051":52819885}</x:v>
      </x:c>
      <x:c r="C406" s="2" t="str">
        <x:v>Persons at seven milestones</x:v>
      </x:c>
      <x:c r="D406" s="2" t="str">
        <x:v>External projection</x:v>
      </x:c>
      <x:c r="E406" s="2" t="str">
        <x:v>UN_WPP</x:v>
      </x:c>
      <x:c r="F406" s="2" t="str">
        <x:v>UN DESA issuer; Strategy refresh</x:v>
      </x:c>
      <x:c r="G406" s="2" t="str">
        <x:v>research/olam-global/raw/wpp-milestones.csv:UZB</x:v>
      </x:c>
      <x:c r="H406" s="2" t="str">
        <x:v>WPP Medium in thousands ×1000; no income/category-demand inference</x:v>
      </x:c>
      <x:c r="I406" s="2" t="str">
        <x:v>Medium fertility variant only; low/high not in the compact source and not retrieved</x:v>
      </x:c>
    </x:row>
    <x:row r="407" ht="100" customHeight="1">
      <x:c r="A407" s="2" t="str">
        <x:v>I-WBFOOD-UZB</x:v>
      </x:c>
      <x:c r="B407" s="2" t="str">
        <x:v>{"country":"UZB","year":2024,"result_USD":4385907427.999414,"inputs":"Exact matched year and variable values in country-panel.csv"}</x:v>
      </x:c>
      <x:c r="C407" s="2" t="str">
        <x:v>Percent merchandise imports × current USD</x:v>
      </x:c>
      <x:c r="D407" s="2" t="str">
        <x:v>Reported fact</x:v>
      </x:c>
      <x:c r="E407" s="2" t="str">
        <x:v>WB_food_import_share;WB_imports_usd</x:v>
      </x:c>
      <x:c r="F407" s="2" t="str">
        <x:v>Finance / Strategy to validate</x:v>
      </x:c>
      <x:c r="G407" s="2" t="str">
        <x:v>research/olam-global/country-panel.csv:UZB:2024</x:v>
      </x:c>
      <x:c r="H407" s="2" t="str">
        <x:v>Same-year matching prevents multiplying different vintages</x:v>
      </x:c>
      <x:c r="I407" s="2" t="str">
        <x:v>No empirical calibration; sensitivity or missing-data gate applies</x:v>
      </x:c>
    </x:row>
    <x:row r="408" ht="100" customHeight="1">
      <x:c r="A408" s="2" t="str">
        <x:v>UN_WPP_VUT</x:v>
      </x:c>
      <x:c r="B408" s="2" t="str">
        <x:v>{"2026":342564,"2030":372428,"2035":411063,"2040":451512,"2045":492990,"2050":534388,"2051":542587}</x:v>
      </x:c>
      <x:c r="C408" s="2" t="str">
        <x:v>Persons at seven milestones</x:v>
      </x:c>
      <x:c r="D408" s="2" t="str">
        <x:v>External projection</x:v>
      </x:c>
      <x:c r="E408" s="2" t="str">
        <x:v>UN_WPP</x:v>
      </x:c>
      <x:c r="F408" s="2" t="str">
        <x:v>UN DESA issuer; Strategy refresh</x:v>
      </x:c>
      <x:c r="G408" s="2" t="str">
        <x:v>research/olam-global/raw/wpp-milestones.csv:VUT</x:v>
      </x:c>
      <x:c r="H408" s="2" t="str">
        <x:v>WPP Medium in thousands ×1000; no income/category-demand inference</x:v>
      </x:c>
      <x:c r="I408" s="2" t="str">
        <x:v>Medium fertility variant only; low/high not in the compact source and not retrieved</x:v>
      </x:c>
    </x:row>
    <x:row r="409" ht="100" customHeight="1">
      <x:c r="A409" s="2" t="str">
        <x:v>I-WBFOOD-VUT</x:v>
      </x:c>
      <x:c r="B409" s="2" t="str">
        <x:v>{"country":"VUT","year":2011,"result_USD":75890955.4548575,"inputs":"Exact matched year and variable values in country-panel.csv"}</x:v>
      </x:c>
      <x:c r="C409" s="2" t="str">
        <x:v>Percent merchandise imports × current USD</x:v>
      </x:c>
      <x:c r="D409" s="2" t="str">
        <x:v>Reported fact</x:v>
      </x:c>
      <x:c r="E409" s="2" t="str">
        <x:v>WB_food_import_share;WB_imports_usd</x:v>
      </x:c>
      <x:c r="F409" s="2" t="str">
        <x:v>Finance / Strategy to validate</x:v>
      </x:c>
      <x:c r="G409" s="2" t="str">
        <x:v>research/olam-global/country-panel.csv:VUT:2011</x:v>
      </x:c>
      <x:c r="H409" s="2" t="str">
        <x:v>Same-year matching prevents multiplying different vintages</x:v>
      </x:c>
      <x:c r="I409" s="2" t="str">
        <x:v>No empirical calibration; sensitivity or missing-data gate applies</x:v>
      </x:c>
    </x:row>
    <x:row r="410" ht="100" customHeight="1">
      <x:c r="A410" s="2" t="str">
        <x:v>UN_WPP_VEN</x:v>
      </x:c>
      <x:c r="B410" s="2" t="str">
        <x:v>{"2026":28633711,"2030":29151810,"2035":29883329,"2040":30495443,"2045":30871487,"2050":31094883,"2051":31122396}</x:v>
      </x:c>
      <x:c r="C410" s="2" t="str">
        <x:v>Persons at seven milestones</x:v>
      </x:c>
      <x:c r="D410" s="2" t="str">
        <x:v>External projection</x:v>
      </x:c>
      <x:c r="E410" s="2" t="str">
        <x:v>UN_WPP</x:v>
      </x:c>
      <x:c r="F410" s="2" t="str">
        <x:v>UN DESA issuer; Strategy refresh</x:v>
      </x:c>
      <x:c r="G410" s="2" t="str">
        <x:v>research/olam-global/raw/wpp-milestones.csv:VEN</x:v>
      </x:c>
      <x:c r="H410" s="2" t="str">
        <x:v>WPP Medium in thousands ×1000; no income/category-demand inference</x:v>
      </x:c>
      <x:c r="I410" s="2" t="str">
        <x:v>Medium fertility variant only; low/high not in the compact source and not retrieved</x:v>
      </x:c>
    </x:row>
    <x:row r="411" ht="100" customHeight="1">
      <x:c r="A411" s="2" t="str">
        <x:v>I-WBFOOD-VEN</x:v>
      </x:c>
      <x:c r="B411" s="2" t="str">
        <x:v>{"country":"VEN","year":2013,"result_USD":8979250101.346407,"inputs":"Exact matched year and variable values in country-panel.csv"}</x:v>
      </x:c>
      <x:c r="C411" s="2" t="str">
        <x:v>Percent merchandise imports × current USD</x:v>
      </x:c>
      <x:c r="D411" s="2" t="str">
        <x:v>Reported fact</x:v>
      </x:c>
      <x:c r="E411" s="2" t="str">
        <x:v>WB_food_import_share;WB_imports_usd</x:v>
      </x:c>
      <x:c r="F411" s="2" t="str">
        <x:v>Finance / Strategy to validate</x:v>
      </x:c>
      <x:c r="G411" s="2" t="str">
        <x:v>research/olam-global/country-panel.csv:VEN:2013</x:v>
      </x:c>
      <x:c r="H411" s="2" t="str">
        <x:v>Same-year matching prevents multiplying different vintages</x:v>
      </x:c>
      <x:c r="I411" s="2" t="str">
        <x:v>No empirical calibration; sensitivity or missing-data gate applies</x:v>
      </x:c>
    </x:row>
    <x:row r="412" ht="100" customHeight="1">
      <x:c r="A412" s="2" t="str">
        <x:v>UN_WPP_VNM</x:v>
      </x:c>
      <x:c r="B412" s="2" t="str">
        <x:v>{"2026":102177431,"2030":104254902,"2035":106530676,"2040":108437635,"2045":109685398,"2050":110008908,"2051":109963189}</x:v>
      </x:c>
      <x:c r="C412" s="2" t="str">
        <x:v>Persons at seven milestones</x:v>
      </x:c>
      <x:c r="D412" s="2" t="str">
        <x:v>External projection</x:v>
      </x:c>
      <x:c r="E412" s="2" t="str">
        <x:v>UN_WPP</x:v>
      </x:c>
      <x:c r="F412" s="2" t="str">
        <x:v>UN DESA issuer; Strategy refresh</x:v>
      </x:c>
      <x:c r="G412" s="2" t="str">
        <x:v>research/olam-global/raw/wpp-milestones.csv:VNM</x:v>
      </x:c>
      <x:c r="H412" s="2" t="str">
        <x:v>WPP Medium in thousands ×1000; no income/category-demand inference</x:v>
      </x:c>
      <x:c r="I412" s="2" t="str">
        <x:v>Medium fertility variant only; low/high not in the compact source and not retrieved</x:v>
      </x:c>
    </x:row>
    <x:row r="413" ht="100" customHeight="1">
      <x:c r="A413" s="2" t="str">
        <x:v>I-WBFOOD-VNM</x:v>
      </x:c>
      <x:c r="B413" s="2" t="str">
        <x:v>{"country":"VNM","year":2023,"result_USD":28665117554.445892,"inputs":"Exact matched year and variable values in country-panel.csv"}</x:v>
      </x:c>
      <x:c r="C413" s="2" t="str">
        <x:v>Percent merchandise imports × current USD</x:v>
      </x:c>
      <x:c r="D413" s="2" t="str">
        <x:v>Reported fact</x:v>
      </x:c>
      <x:c r="E413" s="2" t="str">
        <x:v>WB_food_import_share;WB_imports_usd</x:v>
      </x:c>
      <x:c r="F413" s="2" t="str">
        <x:v>Finance / Strategy to validate</x:v>
      </x:c>
      <x:c r="G413" s="2" t="str">
        <x:v>research/olam-global/country-panel.csv:VNM:2023</x:v>
      </x:c>
      <x:c r="H413" s="2" t="str">
        <x:v>Same-year matching prevents multiplying different vintages</x:v>
      </x:c>
      <x:c r="I413" s="2" t="str">
        <x:v>No empirical calibration; sensitivity or missing-data gate applies</x:v>
      </x:c>
    </x:row>
    <x:row r="414" ht="100" customHeight="1">
      <x:c r="A414" s="2" t="str">
        <x:v>UN_WPP_YEM</x:v>
      </x:c>
      <x:c r="B414" s="2" t="str">
        <x:v>{"2026":42961653,"2030":47667662,"2035":53429325,"2040":59181526,"2045":65066356,"2050":70976403,"2051":72147203}</x:v>
      </x:c>
      <x:c r="C414" s="2" t="str">
        <x:v>Persons at seven milestones</x:v>
      </x:c>
      <x:c r="D414" s="2" t="str">
        <x:v>External projection</x:v>
      </x:c>
      <x:c r="E414" s="2" t="str">
        <x:v>UN_WPP</x:v>
      </x:c>
      <x:c r="F414" s="2" t="str">
        <x:v>UN DESA issuer; Strategy refresh</x:v>
      </x:c>
      <x:c r="G414" s="2" t="str">
        <x:v>research/olam-global/raw/wpp-milestones.csv:YEM</x:v>
      </x:c>
      <x:c r="H414" s="2" t="str">
        <x:v>WPP Medium in thousands ×1000; no income/category-demand inference</x:v>
      </x:c>
      <x:c r="I414" s="2" t="str">
        <x:v>Medium fertility variant only; low/high not in the compact source and not retrieved</x:v>
      </x:c>
    </x:row>
    <x:row r="415" ht="100" customHeight="1">
      <x:c r="A415" s="2" t="str">
        <x:v>I-WBFOOD-YEM</x:v>
      </x:c>
      <x:c r="B415" s="2" t="str">
        <x:v>{"country":"YEM","year":2019,"result_USD":1808757505.945069,"inputs":"Exact matched year and variable values in country-panel.csv"}</x:v>
      </x:c>
      <x:c r="C415" s="2" t="str">
        <x:v>Percent merchandise imports × current USD</x:v>
      </x:c>
      <x:c r="D415" s="2" t="str">
        <x:v>Reported fact</x:v>
      </x:c>
      <x:c r="E415" s="2" t="str">
        <x:v>WB_food_import_share;WB_imports_usd</x:v>
      </x:c>
      <x:c r="F415" s="2" t="str">
        <x:v>Finance / Strategy to validate</x:v>
      </x:c>
      <x:c r="G415" s="2" t="str">
        <x:v>research/olam-global/country-panel.csv:YEM:2019</x:v>
      </x:c>
      <x:c r="H415" s="2" t="str">
        <x:v>Same-year matching prevents multiplying different vintages</x:v>
      </x:c>
      <x:c r="I415" s="2" t="str">
        <x:v>No empirical calibration; sensitivity or missing-data gate applies</x:v>
      </x:c>
    </x:row>
    <x:row r="416" ht="100" customHeight="1">
      <x:c r="A416" s="2" t="str">
        <x:v>UN_WPP_ZMB</x:v>
      </x:c>
      <x:c r="B416" s="2" t="str">
        <x:v>{"2026":22521915,"2030":25024901,"2035":28266892,"2040":31550402,"2045":34821106,"2050":38083385,"2051":38728892}</x:v>
      </x:c>
      <x:c r="C416" s="2" t="str">
        <x:v>Persons at seven milestones</x:v>
      </x:c>
      <x:c r="D416" s="2" t="str">
        <x:v>External projection</x:v>
      </x:c>
      <x:c r="E416" s="2" t="str">
        <x:v>UN_WPP</x:v>
      </x:c>
      <x:c r="F416" s="2" t="str">
        <x:v>UN DESA issuer; Strategy refresh</x:v>
      </x:c>
      <x:c r="G416" s="2" t="str">
        <x:v>research/olam-global/raw/wpp-milestones.csv:ZMB</x:v>
      </x:c>
      <x:c r="H416" s="2" t="str">
        <x:v>WPP Medium in thousands ×1000; no income/category-demand inference</x:v>
      </x:c>
      <x:c r="I416" s="2" t="str">
        <x:v>Medium fertility variant only; low/high not in the compact source and not retrieved</x:v>
      </x:c>
    </x:row>
    <x:row r="417" ht="100" customHeight="1">
      <x:c r="A417" s="2" t="str">
        <x:v>I-WBFOOD-ZMB</x:v>
      </x:c>
      <x:c r="B417" s="2" t="str">
        <x:v>{"country":"ZMB","year":2024,"result_USD":882370198.5837479,"inputs":"Exact matched year and variable values in country-panel.csv"}</x:v>
      </x:c>
      <x:c r="C417" s="2" t="str">
        <x:v>Percent merchandise imports × current USD</x:v>
      </x:c>
      <x:c r="D417" s="2" t="str">
        <x:v>Reported fact</x:v>
      </x:c>
      <x:c r="E417" s="2" t="str">
        <x:v>WB_food_import_share;WB_imports_usd</x:v>
      </x:c>
      <x:c r="F417" s="2" t="str">
        <x:v>Finance / Strategy to validate</x:v>
      </x:c>
      <x:c r="G417" s="2" t="str">
        <x:v>research/olam-global/country-panel.csv:ZMB:2024</x:v>
      </x:c>
      <x:c r="H417" s="2" t="str">
        <x:v>Same-year matching prevents multiplying different vintages</x:v>
      </x:c>
      <x:c r="I417" s="2" t="str">
        <x:v>No empirical calibration; sensitivity or missing-data gate applies</x:v>
      </x:c>
    </x:row>
    <x:row r="418" ht="100" customHeight="1">
      <x:c r="A418" s="2" t="str">
        <x:v>UN_WPP_ZWE</x:v>
      </x:c>
      <x:c r="B418" s="2" t="str">
        <x:v>{"2026":17273580,"2030":18610349,"2035":20409146,"2040":22250109,"2045":24102380,"2050":25866385,"2051":26217392}</x:v>
      </x:c>
      <x:c r="C418" s="2" t="str">
        <x:v>Persons at seven milestones</x:v>
      </x:c>
      <x:c r="D418" s="2" t="str">
        <x:v>External projection</x:v>
      </x:c>
      <x:c r="E418" s="2" t="str">
        <x:v>UN_WPP</x:v>
      </x:c>
      <x:c r="F418" s="2" t="str">
        <x:v>UN DESA issuer; Strategy refresh</x:v>
      </x:c>
      <x:c r="G418" s="2" t="str">
        <x:v>research/olam-global/raw/wpp-milestones.csv:ZWE</x:v>
      </x:c>
      <x:c r="H418" s="2" t="str">
        <x:v>WPP Medium in thousands ×1000; no income/category-demand inference</x:v>
      </x:c>
      <x:c r="I418" s="2" t="str">
        <x:v>Medium fertility variant only; low/high not in the compact source and not retrieved</x:v>
      </x:c>
    </x:row>
    <x:row r="419" ht="100" customHeight="1">
      <x:c r="A419" s="2" t="str">
        <x:v>I-WBFOOD-ZWE</x:v>
      </x:c>
      <x:c r="B419" s="2" t="str">
        <x:v>{"country":"ZWE","year":2024,"result_USD":1800536737.8009546,"inputs":"Exact matched year and variable values in country-panel.csv"}</x:v>
      </x:c>
      <x:c r="C419" s="2" t="str">
        <x:v>Percent merchandise imports × current USD</x:v>
      </x:c>
      <x:c r="D419" s="2" t="str">
        <x:v>Reported fact</x:v>
      </x:c>
      <x:c r="E419" s="2" t="str">
        <x:v>WB_food_import_share;WB_imports_usd</x:v>
      </x:c>
      <x:c r="F419" s="2" t="str">
        <x:v>Finance / Strategy to validate</x:v>
      </x:c>
      <x:c r="G419" s="2" t="str">
        <x:v>research/olam-global/country-panel.csv:ZWE:2024</x:v>
      </x:c>
      <x:c r="H419" s="2" t="str">
        <x:v>Same-year matching prevents multiplying different vintages</x:v>
      </x:c>
      <x:c r="I419" s="2" t="str">
        <x:v>No empirical calibration; sensitivity or missing-data gate applies</x:v>
      </x:c>
    </x:row>
    <x:row r="420" ht="100" customHeight="1">
      <x:c r="A420" s="2" t="str">
        <x:v>I-C-CAPITAL</x:v>
      </x:c>
      <x:c r="B420" s="2" t="str">
        <x:v>Full input block in input-register.csv; analysis.json:capital_metrics; capital-metrics.csv</x:v>
      </x:c>
      <x:c r="C420" s="2" t="str">
        <x:v>USDm, fractions, years</x:v>
      </x:c>
      <x:c r="D420" s="2" t="str">
        <x:v>Planning assumption</x:v>
      </x:c>
      <x:c r="E420" s="2" t="str"/>
      <x:c r="F420" s="2" t="str">
        <x:v>Finance / Strategy to validate</x:v>
      </x:c>
      <x:c r="G420" s="2" t="str">
        <x:v>analysis.json:capital_metrics; capital-metrics.csv</x:v>
      </x:c>
      <x:c r="H420" s="2" t="str">
        <x:v>Executed teaching case; all chosen inputs and output stored together, not empirical validation</x:v>
      </x:c>
      <x:c r="I420" s="2" t="str">
        <x:v>No empirical calibration; sensitivity or missing-data gate applies</x:v>
      </x:c>
    </x:row>
    <x:row r="421" ht="100" customHeight="1">
      <x:c r="A421" s="2" t="str">
        <x:v>I-C-SENSITIVITY</x:v>
      </x:c>
      <x:c r="B421" s="2" t="str">
        <x:v>{"one_variable_rows":630,"two_variable_rows":75}</x:v>
      </x:c>
      <x:c r="C421" s="2" t="str">
        <x:v>USDm; tonnes; USD/t; days</x:v>
      </x:c>
      <x:c r="D421" s="2" t="str">
        <x:v>Planning assumption</x:v>
      </x:c>
      <x:c r="E421" s="2" t="str"/>
      <x:c r="F421" s="2" t="str">
        <x:v>Finance / Strategy to validate</x:v>
      </x:c>
      <x:c r="G421" s="2" t="str">
        <x:v>sensitivity-one-variable.csv; sensitivity-two-variable.csv</x:v>
      </x:c>
      <x:c r="H421" s="2" t="str">
        <x:v>Executed teaching case; all chosen inputs and output stored together, not empirical validation</x:v>
      </x:c>
      <x:c r="I421" s="2" t="str">
        <x:v>No empirical calibration; sensitivity or missing-data gate applies</x:v>
      </x:c>
    </x:row>
    <x:row r="422" ht="100" customHeight="1">
      <x:c r="A422" s="2" t="str">
        <x:v>I-C-MONTHLY</x:v>
      </x:c>
      <x:c r="B422" s="2" t="str">
        <x:v>Full input block in input-register.csv; monthly-cash-example.csv</x:v>
      </x:c>
      <x:c r="C422" s="2" t="str">
        <x:v>tonnes; USDm; month</x:v>
      </x:c>
      <x:c r="D422" s="2" t="str">
        <x:v>Planning assumption</x:v>
      </x:c>
      <x:c r="E422" s="2" t="str"/>
      <x:c r="F422" s="2" t="str">
        <x:v>Finance / Strategy to validate</x:v>
      </x:c>
      <x:c r="G422" s="2" t="str">
        <x:v>monthly-cash-example.csv</x:v>
      </x:c>
      <x:c r="H422" s="2" t="str">
        <x:v>Executed teaching case; all chosen inputs and output stored together, not empirical validation</x:v>
      </x:c>
      <x:c r="I422" s="2" t="str">
        <x:v>No empirical calibration; sensitivity or missing-data gate applies</x:v>
      </x:c>
    </x:row>
    <x:row r="423" ht="100" customHeight="1">
      <x:c r="A423" s="2" t="str">
        <x:v>I-C-DEPENDENCE</x:v>
      </x:c>
      <x:c r="B423" s="2" t="str">
        <x:v>Full input block in input-register.csv; dependence-tail-comparison.csv</x:v>
      </x:c>
      <x:c r="C423" s="2" t="str">
        <x:v>USDm; covariance in native driver units</x:v>
      </x:c>
      <x:c r="D423" s="2" t="str">
        <x:v>Planning assumption</x:v>
      </x:c>
      <x:c r="E423" s="2" t="str"/>
      <x:c r="F423" s="2" t="str">
        <x:v>Finance / Strategy to validate</x:v>
      </x:c>
      <x:c r="G423" s="2" t="str">
        <x:v>dependence-tail-comparison.csv</x:v>
      </x:c>
      <x:c r="H423" s="2" t="str">
        <x:v>Executed teaching case; all chosen inputs and output stored together, not empirical validation</x:v>
      </x:c>
      <x:c r="I423" s="2" t="str">
        <x:v>No empirical calibration; sensitivity or missing-data gate applies</x:v>
      </x:c>
    </x:row>
    <x:row r="424" ht="100" customHeight="1">
      <x:c r="A424" s="2" t="str">
        <x:v>I-C-EVSI</x:v>
      </x:c>
      <x:c r="B424" s="2" t="str">
        <x:v>Full input block in input-register.csv; analysis.json:learning_experiment; information-value-sensitivity.csv</x:v>
      </x:c>
      <x:c r="C424" s="2" t="str">
        <x:v>USDm; chosen prior/accuracy fractions</x:v>
      </x:c>
      <x:c r="D424" s="2" t="str">
        <x:v>Planning assumption</x:v>
      </x:c>
      <x:c r="E424" s="2" t="str"/>
      <x:c r="F424" s="2" t="str">
        <x:v>Finance / Strategy to validate</x:v>
      </x:c>
      <x:c r="G424" s="2" t="str">
        <x:v>analysis.json:learning_experiment; information-value-sensitivity.csv</x:v>
      </x:c>
      <x:c r="H424" s="2" t="str">
        <x:v>Executed teaching case; all chosen inputs and output stored together, not empirical validation</x:v>
      </x:c>
      <x:c r="I424" s="2" t="str">
        <x:v>No empirical calibration; sensitivity or missing-data gate applies</x:v>
      </x:c>
    </x:row>
    <x:row r="425" ht="100" customHeight="1">
      <x:c r="A425" s="2" t="str">
        <x:v>I-C-CAPACITY-MARKETING</x:v>
      </x:c>
      <x:c r="B425" s="2" t="str">
        <x:v>Full input block in input-register.csv; analysis.json:capacity_marketing_experiment</x:v>
      </x:c>
      <x:c r="C425" s="2" t="str">
        <x:v>USD, tonnes; one period</x:v>
      </x:c>
      <x:c r="D425" s="2" t="str">
        <x:v>Planning assumption</x:v>
      </x:c>
      <x:c r="E425" s="2" t="str"/>
      <x:c r="F425" s="2" t="str">
        <x:v>Finance / Strategy to validate</x:v>
      </x:c>
      <x:c r="G425" s="2" t="str">
        <x:v>analysis.json:capacity_marketing_experiment</x:v>
      </x:c>
      <x:c r="H425" s="2" t="str">
        <x:v>Executed teaching case; all chosen inputs and output stored together, not empirical validation</x:v>
      </x:c>
      <x:c r="I425" s="2" t="str">
        <x:v>No empirical calibration; sensitivity or missing-data gate applies</x:v>
      </x:c>
    </x:row>
    <x:row r="426" ht="100" customHeight="1">
      <x:c r="A426" s="2" t="str">
        <x:v>I-C-NETWORK</x:v>
      </x:c>
      <x:c r="B426" s="2" t="str">
        <x:v>Full input block in input-register.csv; network-flow-example.csv; scripts/olam-extend-analysis.py:decision_experiments</x:v>
      </x:c>
      <x:c r="C426" s="2" t="str">
        <x:v>USD; tonnes; one period</x:v>
      </x:c>
      <x:c r="D426" s="2" t="str">
        <x:v>Planning assumption</x:v>
      </x:c>
      <x:c r="E426" s="2" t="str"/>
      <x:c r="F426" s="2" t="str">
        <x:v>Finance / Strategy to validate</x:v>
      </x:c>
      <x:c r="G426" s="2" t="str">
        <x:v>network-flow-example.csv; scripts/olam-extend-analysis.py:decision_experiments</x:v>
      </x:c>
      <x:c r="H426" s="2" t="str">
        <x:v>Executed teaching case; all chosen inputs and output stored together, not empirical validation</x:v>
      </x:c>
      <x:c r="I426" s="2" t="str">
        <x:v>No empirical calibration; sensitivity or missing-data gate applies</x:v>
      </x:c>
    </x:row>
    <x:row r="427" ht="100" customHeight="1">
      <x:c r="A427" s="2" t="str">
        <x:v>I-C-ABLATION</x:v>
      </x:c>
      <x:c r="B427" s="2" t="str">
        <x:v>Full input block in input-register.csv; model-ablations.csv</x:v>
      </x:c>
      <x:c r="C427" s="2" t="str">
        <x:v>USDm</x:v>
      </x:c>
      <x:c r="D427" s="2" t="str">
        <x:v>Planning assumption</x:v>
      </x:c>
      <x:c r="E427" s="2" t="str"/>
      <x:c r="F427" s="2" t="str">
        <x:v>Finance / Strategy to validate</x:v>
      </x:c>
      <x:c r="G427" s="2" t="str">
        <x:v>model-ablations.csv</x:v>
      </x:c>
      <x:c r="H427" s="2" t="str">
        <x:v>Executed teaching case; all chosen inputs and output stored together, not empirical validation</x:v>
      </x:c>
      <x:c r="I427" s="2" t="str">
        <x:v>No empirical calibration; sensitivity or missing-data gate applies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3" hidden="0" customWidth="1"/>
    <x:col min="2" max="2" width="45" hidden="0" customWidth="1"/>
    <x:col min="3" max="3" width="45" hidden="0" customWidth="1"/>
    <x:col min="4" max="4" width="45" hidden="0" customWidth="1"/>
    <x:col min="5" max="5" width="45" hidden="0" customWidth="1"/>
    <x:col min="6" max="6" width="45" hidden="0" customWidth="1"/>
    <x:col min="7" max="7" width="45" hidden="0" customWidth="1"/>
    <x:col min="8" max="8" width="45" hidden="0" customWidth="1"/>
    <x:col min="9" max="9" width="45" hidden="0" customWidth="1"/>
  </x:cols>
  <x:sheetData>
    <x:row r="1" ht="42" customHeight="1">
      <x:c r="A1" s="5" t="str">
        <x:v>Requirements / v1.1.0</x:v>
      </x:c>
      <x:c r="B1" s="2"/>
      <x:c r="C1" s="2"/>
      <x:c r="D1" s="2"/>
      <x:c r="E1" s="2"/>
    </x:row>
    <x:row r="2" ht="42" customHeight="1">
      <x:c r="A2" s="2" t="str">
        <x:v>Public evidence + chosen examples; no Olam internal investment valuation</x:v>
      </x:c>
      <x:c r="B2" s="2"/>
      <x:c r="C2" s="2"/>
      <x:c r="D2" s="2"/>
      <x:c r="E2" s="2"/>
    </x:row>
    <x:row r="3" ht="72" customHeight="1">
      <x:c r="A3" s="4" t="str">
        <x:v>section</x:v>
      </x:c>
      <x:c r="B3" s="4" t="str">
        <x:v>title</x:v>
      </x:c>
      <x:c r="C3" s="4" t="str">
        <x:v>status</x:v>
      </x:c>
      <x:c r="D3" s="4" t="str">
        <x:v>evidence</x:v>
      </x:c>
      <x:c r="E3" s="4" t="str">
        <x:v>finding</x:v>
      </x:c>
    </x:row>
    <x:row r="4" ht="72" customHeight="1">
      <x:c r="A4" s="2" t="n">
        <x:v>1</x:v>
      </x:c>
      <x:c r="B4" s="2" t="str">
        <x:v>The mandate and the decision that matters</x:v>
      </x:c>
      <x:c r="C4" s="2" t="str">
        <x:v>Verified scope / implementation</x:v>
      </x:c>
      <x:c r="D4" s="2" t="str">
        <x:v>executive-decision-memo.md; deck.json</x:v>
      </x:c>
      <x:c r="E4" s="2" t="str">
        <x:v>Implemented and linked; exact checks in validation report.</x:v>
      </x:c>
    </x:row>
    <x:row r="5" ht="72" customHeight="1">
      <x:c r="A5" s="2" t="n">
        <x:v>2</x:v>
      </x:c>
      <x:c r="B5" s="2" t="str">
        <x:v>Operating roles and standards</x:v>
      </x:c>
      <x:c r="C5" s="2" t="str">
        <x:v>Conditional / data required</x:v>
      </x:c>
      <x:c r="D5" s="2" t="str">
        <x:v>validation-and-red-team.md; model-selection-and-foundations.md</x:v>
      </x:c>
      <x:c r="E5" s="2" t="str">
        <x:v>Implemented and linked; exact checks in validation report.</x:v>
      </x:c>
    </x:row>
    <x:row r="6" ht="72" customHeight="1">
      <x:c r="A6" s="2" t="n">
        <x:v>3</x:v>
      </x:c>
      <x:c r="B6" s="2" t="str">
        <x:v>Inspect the actual starting point</x:v>
      </x:c>
      <x:c r="C6" s="2" t="str">
        <x:v>Verified scope / implementation</x:v>
      </x:c>
      <x:c r="D6" s="2" t="str">
        <x:v>change-audit.csv; baseline.json</x:v>
      </x:c>
      <x:c r="E6" s="2" t="str">
        <x:v>Implemented and linked; exact checks in validation report.</x:v>
      </x:c>
    </x:row>
    <x:row r="7" ht="72" customHeight="1">
      <x:c r="A7" s="2" t="n">
        <x:v>4</x:v>
      </x:c>
      <x:c r="B7" s="2" t="str">
        <x:v>Starting-model facts to preserve as assumptions, not company disclosures</x:v>
      </x:c>
      <x:c r="C7" s="2" t="str">
        <x:v>Verified scope / implementation</x:v>
      </x:c>
      <x:c r="D7" s="2" t="str">
        <x:v>C-LEGACY; C-E10; src/lib/olamNigeriaDecisionModel.ts</x:v>
      </x:c>
      <x:c r="E7" s="2" t="str">
        <x:v>Implemented and linked; exact checks in validation report.</x:v>
      </x:c>
    </x:row>
    <x:row r="8" ht="72" customHeight="1">
      <x:c r="A8" s="2" t="n">
        <x:v>5</x:v>
      </x:c>
      <x:c r="B8" s="2" t="str">
        <x:v>Establish the legal entity and strategic perimeter first</x:v>
      </x:c>
      <x:c r="C8" s="2" t="str">
        <x:v>Conditional / data required</x:v>
      </x:c>
      <x:c r="D8" s="2" t="str">
        <x:v>entity-perimeter.csv; entry-modes-and-perimeter.md</x:v>
      </x:c>
      <x:c r="E8" s="2" t="str">
        <x:v>Subsidiary legal entities, rights and affiliate agreements must be supplied.</x:v>
      </x:c>
    </x:row>
    <x:row r="9" ht="72" customHeight="1">
      <x:c r="A9" s="2" t="n">
        <x:v>6</x:v>
      </x:c>
      <x:c r="B9" s="2" t="str">
        <x:v>Define time, geography, and unit of analysis</x:v>
      </x:c>
      <x:c r="C9" s="2" t="str">
        <x:v>Verified scope / implementation</x:v>
      </x:c>
      <x:c r="D9" s="2" t="str">
        <x:v>country-register.csv; country-scenario-matrix.csv</x:v>
      </x:c>
      <x:c r="E9" s="2" t="str">
        <x:v>Implemented and linked; exact checks in validation report.</x:v>
      </x:c>
    </x:row>
    <x:row r="10" ht="72" customHeight="1">
      <x:c r="A10" s="2" t="n">
        <x:v>7</x:v>
      </x:c>
      <x:c r="B10" s="2" t="str">
        <x:v>Evidence classes and intellectual honesty</x:v>
      </x:c>
      <x:c r="C10" s="2" t="str">
        <x:v>Verified scope / implementation</x:v>
      </x:c>
      <x:c r="D10" s="2" t="str">
        <x:v>claim-register.csv; assumption-register.csv</x:v>
      </x:c>
      <x:c r="E10" s="2" t="str">
        <x:v>Implemented and linked; exact checks in validation report.</x:v>
      </x:c>
    </x:row>
    <x:row r="11" ht="72" customHeight="1">
      <x:c r="A11" s="2" t="n">
        <x:v>8</x:v>
      </x:c>
      <x:c r="B11" s="2" t="str">
        <x:v>A source register that can survive presentation questions</x:v>
      </x:c>
      <x:c r="C11" s="2" t="str">
        <x:v>Conditional / data required</x:v>
      </x:c>
      <x:c r="D11" s="2" t="str">
        <x:v>source-book.csv; input-register.csv</x:v>
      </x:c>
      <x:c r="E11" s="2" t="str">
        <x:v>Some undated sources/PDF indexes/timestamps remain explicitly unverified; no invented metadata.</x:v>
      </x:c>
    </x:row>
    <x:row r="12" ht="72" customHeight="1">
      <x:c r="A12" s="2" t="n">
        <x:v>9</x:v>
      </x:c>
      <x:c r="B12" s="2" t="str">
        <x:v>Authoritative source map and retrieval priorities</x:v>
      </x:c>
      <x:c r="C12" s="2" t="str">
        <x:v>Conditional / data required</x:v>
      </x:c>
      <x:c r="D12" s="2" t="str">
        <x:v>source-book.csv; retrieval manifests; country-driver-coverage.csv</x:v>
      </x:c>
      <x:c r="E12" s="2" t="str">
        <x:v>Country/product/asset/customer coverage is uneven; preferred primary sources not all retrievable.</x:v>
      </x:c>
    </x:row>
    <x:row r="13" ht="72" customHeight="1">
      <x:c r="A13" s="2" t="n">
        <x:v>10</x:v>
      </x:c>
      <x:c r="B13" s="2" t="str">
        <x:v>Data model, concordance, and global coverage</x:v>
      </x:c>
      <x:c r="C13" s="2" t="str">
        <x:v>Conditional / data required</x:v>
      </x:c>
      <x:c r="D13" s="2" t="str">
        <x:v>country-driver-coverage.csv; membership-verification.csv; population-variants.csv</x:v>
      </x:c>
      <x:c r="E13" s="2" t="str">
        <x:v>No household/asset identifiers, actual HS concordance, or WPP low/high variants retrieved.</x:v>
      </x:c>
    </x:row>
    <x:row r="14" ht="72" customHeight="1">
      <x:c r="A14" s="2" t="n">
        <x:v>11</x:v>
      </x:c>
      <x:c r="B14" s="2" t="str">
        <x:v>Country drivers: demographics and purchasing power</x:v>
      </x:c>
      <x:c r="C14" s="2" t="str">
        <x:v>Conditional / data required</x:v>
      </x:c>
      <x:c r="D14" s="2" t="str">
        <x:v>country-driver-coverage.csv; country atlas</x:v>
      </x:c>
      <x:c r="E14" s="2" t="str">
        <x:v>Age/health/migration proxies retrieved; household/product future purchase paths absent.</x:v>
      </x:c>
    </x:row>
    <x:row r="15" ht="72" customHeight="1">
      <x:c r="A15" s="2" t="n">
        <x:v>12</x:v>
      </x:c>
      <x:c r="B15" s="2" t="str">
        <x:v>Country drivers: economics, institutions, and finance</x:v>
      </x:c>
      <x:c r="C15" s="2" t="str">
        <x:v>Conditional / data required</x:v>
      </x:c>
      <x:c r="D15" s="2" t="str">
        <x:v>country-driver-coverage.csv; evidence-request-queue.csv</x:v>
      </x:c>
      <x:c r="E15" s="2" t="str">
        <x:v>Public drivers retrieved; actual company financing/currency/tax and institutions absent.</x:v>
      </x:c>
    </x:row>
    <x:row r="16" ht="72" customHeight="1">
      <x:c r="A16" s="2" t="n">
        <x:v>13</x:v>
      </x:c>
      <x:c r="B16" s="2" t="str">
        <x:v>Country drivers: food preferences, health, and customer needs</x:v>
      </x:c>
      <x:c r="C16" s="2" t="str">
        <x:v>Conditional / data required</x:v>
      </x:c>
      <x:c r="D16" s="2" t="str">
        <x:v>priority-commercial-plans.md; model-selection-register.csv</x:v>
      </x:c>
      <x:c r="E16" s="2" t="str">
        <x:v>No observed category preferences, household consumption or nutrition premium.</x:v>
      </x:c>
    </x:row>
    <x:row r="17" ht="72" customHeight="1">
      <x:c r="A17" s="2" t="n">
        <x:v>14</x:v>
      </x:c>
      <x:c r="B17" s="2" t="str">
        <x:v>Country drivers: climate, nature, disasters, and adaptation</x:v>
      </x:c>
      <x:c r="C17" s="2" t="str">
        <x:v>Conditional / data required</x:v>
      </x:c>
      <x:c r="D17" s="2" t="str">
        <x:v>climate slide; model-selection-register.csv; E5</x:v>
      </x:c>
      <x:c r="E17" s="2" t="str">
        <x:v>No geocoded crop/basin/asset hazards or adaptation costs.</x:v>
      </x:c>
    </x:row>
    <x:row r="18" ht="72" customHeight="1">
      <x:c r="A18" s="2" t="n">
        <x:v>15</x:v>
      </x:c>
      <x:c r="B18" s="2" t="str">
        <x:v>Country drivers: geopolitics and international trade</x:v>
      </x:c>
      <x:c r="C18" s="2" t="str">
        <x:v>Conditional / data required</x:v>
      </x:c>
      <x:c r="D18" s="2" t="str">
        <x:v>trade slide; E3/E6; source-book.csv</x:v>
      </x:c>
      <x:c r="E18" s="2" t="str">
        <x:v>Current product-specific rights, tariffs, sanctions and counterparty clearance need Legal.</x:v>
      </x:c>
    </x:row>
    <x:row r="19" ht="72" customHeight="1">
      <x:c r="A19" s="2" t="n">
        <x:v>16</x:v>
      </x:c>
      <x:c r="B19" s="2" t="str">
        <x:v>Product, competitor, and operating analysis</x:v>
      </x:c>
      <x:c r="C19" s="2" t="str">
        <x:v>Conditional / data required</x:v>
      </x:c>
      <x:c r="D19" s="2" t="str">
        <x:v>priority-product-plans.csv; competitive-baseline; entry-mode-register.csv</x:v>
      </x:c>
      <x:c r="E19" s="2" t="str">
        <x:v>Global competitors inspected; local shares/costs and complete product mass balances unavailable.</x:v>
      </x:c>
    </x:row>
    <x:row r="20" ht="72" customHeight="1">
      <x:c r="A20" s="2" t="n">
        <x:v>17</x:v>
      </x:c>
      <x:c r="B20" s="2" t="str">
        <x:v>Convert global coverage into an actionable prioritisation system</x:v>
      </x:c>
      <x:c r="C20" s="2" t="str">
        <x:v>Conditional / data required</x:v>
      </x:c>
      <x:c r="D20" s="2" t="str">
        <x:v>country-register.csv; priorities; C-SENSITIVITY</x:v>
      </x:c>
      <x:c r="E20" s="2" t="str">
        <x:v>Priority/dispositions are evidence priorities; actual country profitability ranking unavailable.</x:v>
      </x:c>
    </x:row>
    <x:row r="21" ht="72" customHeight="1">
      <x:c r="A21" s="2" t="n">
        <x:v>18</x:v>
      </x:c>
      <x:c r="B21" s="2" t="str">
        <x:v>Scenario architecture: macro worlds and business mechanisms</x:v>
      </x:c>
      <x:c r="C21" s="2" t="str">
        <x:v>Verified scope / implementation</x:v>
      </x:c>
      <x:c r="D21" s="2" t="str">
        <x:v>analysis.json:scenarios; Scenario_Inputs</x:v>
      </x:c>
      <x:c r="E21" s="2" t="str">
        <x:v>Implemented and linked; exact checks in validation report.</x:v>
      </x:c>
    </x:row>
    <x:row r="22" ht="72" customHeight="1">
      <x:c r="A22" s="2" t="n">
        <x:v>19</x:v>
      </x:c>
      <x:c r="B22" s="2" t="str">
        <x:v>The central case and probability discipline</x:v>
      </x:c>
      <x:c r="C22" s="2" t="str">
        <x:v>Verified scope / implementation</x:v>
      </x:c>
      <x:c r="D22" s="2" t="str">
        <x:v>central; worlds; assumption-register.csv</x:v>
      </x:c>
      <x:c r="E22" s="2" t="str">
        <x:v>Implemented and linked; exact checks in validation report.</x:v>
      </x:c>
    </x:row>
    <x:row r="23" ht="72" customHeight="1">
      <x:c r="A23" s="2" t="n">
        <x:v>20</x:v>
      </x:c>
      <x:c r="B23" s="2" t="str">
        <x:v>Econometric design: questions before equations</x:v>
      </x:c>
      <x:c r="C23" s="2" t="str">
        <x:v>Conditional / data required</x:v>
      </x:c>
      <x:c r="D23" s="2" t="str">
        <x:v>model-selection-register.csv; regression-diagnostics.pdf</x:v>
      </x:c>
      <x:c r="E23" s="2" t="str">
        <x:v>One supply benchmark executed/rejected; demand/trade/causal modules unestimated for documented data reasons.</x:v>
      </x:c>
    </x:row>
    <x:row r="24" ht="72" customHeight="1">
      <x:c r="A24" s="2" t="n">
        <x:v>21</x:v>
      </x:c>
      <x:c r="B24" s="2" t="str">
        <x:v>Demand systems, elasticity, and health-related substitution</x:v>
      </x:c>
      <x:c r="C24" s="2" t="str">
        <x:v>Conditional / data required</x:v>
      </x:c>
      <x:c r="D24" s="2" t="str">
        <x:v>MODEL-1; E6</x:v>
      </x:c>
      <x:c r="E24" s="2" t="str">
        <x:v>Demand system conditional on household/category panel; not fitted.</x:v>
      </x:c>
    </x:row>
    <x:row r="25" ht="72" customHeight="1">
      <x:c r="A25" s="2" t="n">
        <x:v>22</x:v>
      </x:c>
      <x:c r="B25" s="2" t="str">
        <x:v>Trade modelling and the difference between opportunity and capture</x:v>
      </x:c>
      <x:c r="C25" s="2" t="str">
        <x:v>Conditional / data required</x:v>
      </x:c>
      <x:c r="D25" s="2" t="str">
        <x:v>MODEL-2; C-TRADE-NGA</x:v>
      </x:c>
      <x:c r="E25" s="2" t="str">
        <x:v>Gravity/attainable capture data insufficient; broad imports not substituted.</x:v>
      </x:c>
    </x:row>
    <x:row r="26" ht="72" customHeight="1">
      <x:c r="A26" s="2" t="n">
        <x:v>23</x:v>
      </x:c>
      <x:c r="B26" s="2" t="str">
        <x:v>Time-series models, volatility, and structural breaks</x:v>
      </x:c>
      <x:c r="C26" s="2" t="str">
        <x:v>Conditional / data required</x:v>
      </x:c>
      <x:c r="D26" s="2" t="str">
        <x:v>MODEL-4; E2</x:v>
      </x:c>
      <x:c r="E26" s="2" t="str">
        <x:v>No matched procurement/commodity/FX exposure and hedge series.</x:v>
      </x:c>
    </x:row>
    <x:row r="27" ht="72" customHeight="1">
      <x:c r="A27" s="2" t="n">
        <x:v>24</x:v>
      </x:c>
      <x:c r="B27" s="2" t="str">
        <x:v>Climate and agriculture models</x:v>
      </x:c>
      <x:c r="C27" s="2" t="str">
        <x:v>Conditional / data required</x:v>
      </x:c>
      <x:c r="D27" s="2" t="str">
        <x:v>MODEL-5; E5</x:v>
      </x:c>
      <x:c r="E27" s="2" t="str">
        <x:v>No location-specific crop/climate damage estimates.</x:v>
      </x:c>
    </x:row>
    <x:row r="28" ht="72" customHeight="1">
      <x:c r="A28" s="2" t="n">
        <x:v>25</x:v>
      </x:c>
      <x:c r="B28" s="2" t="str">
        <x:v>Marketing and commercial causality</x:v>
      </x:c>
      <x:c r="C28" s="2" t="str">
        <x:v>Conditional / data required</x:v>
      </x:c>
      <x:c r="D28" s="2" t="str">
        <x:v>pilot-charter.md; MODEL-6; C-E18</x:v>
      </x:c>
      <x:c r="E28" s="2" t="str">
        <x:v>Pilot designed; no actual treatment/control observations or effect.</x:v>
      </x:c>
    </x:row>
    <x:row r="29" ht="72" customHeight="1">
      <x:c r="A29" s="2" t="n">
        <x:v>26</x:v>
      </x:c>
      <x:c r="B29" s="2" t="str">
        <x:v>Long-run growth, institutions, and adaptation of established economics</x:v>
      </x:c>
      <x:c r="C29" s="2" t="str">
        <x:v>Conditional / data required</x:v>
      </x:c>
      <x:c r="D29" s="2" t="str">
        <x:v>model-selection-and-foundations.md</x:v>
      </x:c>
      <x:c r="E29" s="2" t="str">
        <x:v>Foundation applications/exclusions documented; not every original work/prize attribution independently retrieved.</x:v>
      </x:c>
    </x:row>
    <x:row r="30" ht="72" customHeight="1">
      <x:c r="A30" s="2" t="n">
        <x:v>27</x:v>
      </x:c>
      <x:c r="B30" s="2" t="str">
        <x:v>Mathematical foundations and why they belong</x:v>
      </x:c>
      <x:c r="C30" s="2" t="str">
        <x:v>Conditional / data required</x:v>
      </x:c>
      <x:c r="D30" s="2" t="str">
        <x:v>model-selection-and-foundations.md; C-EVSI/C-NETWORK/C-DEPENDENCE</x:v>
      </x:c>
      <x:c r="E30" s="2" t="str">
        <x:v>Executed appropriate methods; no estimated/calibrated global stochastic policy.</x:v>
      </x:c>
    </x:row>
    <x:row r="31" ht="72" customHeight="1">
      <x:c r="A31" s="2" t="n">
        <x:v>28</x:v>
      </x:c>
      <x:c r="B31" s="2" t="str">
        <x:v>Estimation diagnostics and model validation</x:v>
      </x:c>
      <x:c r="C31" s="2" t="str">
        <x:v>Conditional / data required</x:v>
      </x:c>
      <x:c r="D31" s="2" t="str">
        <x:v>regression-diagnostics.pdf; regression-year-errors.csv; model-selection-register.csv</x:v>
      </x:c>
      <x:c r="E31" s="2" t="str">
        <x:v>Latest-vintage retrospective diagnostics; real-time backtest and parameter uncertainty missing.</x:v>
      </x:c>
    </x:row>
    <x:row r="32" ht="72" customHeight="1">
      <x:c r="A32" s="2" t="n">
        <x:v>29</x:v>
      </x:c>
      <x:c r="B32" s="2" t="str">
        <x:v>Extrapolation from the official horizon to the 25-year horizon</x:v>
      </x:c>
      <x:c r="C32" s="2" t="str">
        <x:v>Conditional / data required</x:v>
      </x:c>
      <x:c r="D32" s="2" t="str">
        <x:v>A_OUTER; capital-metrics.csv; source-book.csv:OECD/UN_WPP</x:v>
      </x:c>
      <x:c r="E32" s="2" t="str">
        <x:v>Outer growth chosen, not an institutional forecast; uncertainty/structural alternatives uncalibrated.</x:v>
      </x:c>
    </x:row>
    <x:row r="33" ht="72" customHeight="1">
      <x:c r="A33" s="2" t="n">
        <x:v>30</x:v>
      </x:c>
      <x:c r="B33" s="2" t="str">
        <x:v>Scenario implementation and dependence</x:v>
      </x:c>
      <x:c r="C33" s="2" t="str">
        <x:v>Conditional / data required</x:v>
      </x:c>
      <x:c r="D33" s="2" t="str">
        <x:v>C-DEPENDENCE; dependence-tail-comparison.csv; C-SCENARIOS</x:v>
      </x:c>
      <x:c r="E33" s="2" t="str">
        <x:v>Dependence constructed and PSD checked; macro driver mapping remains qualitative, not calibrated.</x:v>
      </x:c>
    </x:row>
    <x:row r="34" ht="72" customHeight="1">
      <x:c r="A34" s="2" t="n">
        <x:v>31</x:v>
      </x:c>
      <x:c r="B34" s="2" t="str">
        <x:v>Finance: build the economics from operational quantities</x:v>
      </x:c>
      <x:c r="C34" s="2" t="str">
        <x:v>Conditional / data required</x:v>
      </x:c>
      <x:c r="D34" s="2" t="str">
        <x:v>C-DCF; Country_Financials!A4:AA28; E1/E3</x:v>
      </x:c>
      <x:c r="E34" s="2" t="str">
        <x:v>Full normalized cash computed; actual country operational costs/mass-balance components unavailable.</x:v>
      </x:c>
    </x:row>
    <x:row r="35" ht="72" customHeight="1">
      <x:c r="A35" s="2" t="n">
        <x:v>32</x:v>
      </x:c>
      <x:c r="B35" s="2" t="str">
        <x:v>Working capital, tax, and cash conversion</x:v>
      </x:c>
      <x:c r="C35" s="2" t="str">
        <x:v>Conditional / data required</x:v>
      </x:c>
      <x:c r="D35" s="2" t="str">
        <x:v>C-MONTHLY; monthly-cash-example.csv; E2</x:v>
      </x:c>
      <x:c r="E35" s="2" t="str">
        <x:v>Actual monthly seasonality, taxes, duties, depreciation and financing unavailable.</x:v>
      </x:c>
    </x:row>
    <x:row r="36" ht="72" customHeight="1">
      <x:c r="A36" s="2" t="n">
        <x:v>33</x:v>
      </x:c>
      <x:c r="B36" s="2" t="str">
        <x:v>Discounting, currency, and capital returns</x:v>
      </x:c>
      <x:c r="C36" s="2" t="str">
        <x:v>Conditional / data required</x:v>
      </x:c>
      <x:c r="D36" s="2" t="str">
        <x:v>C-CAPITAL; capital-metrics.csv; Financing_FX; E2</x:v>
      </x:c>
      <x:c r="E36" s="2" t="str">
        <x:v>Normalized capital metrics computed; actual local currency/WACC/hedge schedule unavailable.</x:v>
      </x:c>
    </x:row>
    <x:row r="37" ht="72" customHeight="1">
      <x:c r="A37" s="2" t="n">
        <x:v>34</x:v>
      </x:c>
      <x:c r="B37" s="2" t="str">
        <x:v>Unit economics, break-even, and financial evidence</x:v>
      </x:c>
      <x:c r="C37" s="2" t="str">
        <x:v>Conditional / data required</x:v>
      </x:c>
      <x:c r="D37" s="2" t="str">
        <x:v>C-SENSITIVITY; sensitivity-one-variable.csv; sensitivity-two-variable.csv</x:v>
      </x:c>
      <x:c r="E37" s="2" t="str">
        <x:v>Structural sensitivities computed; actual comparable volume/margin/capex ranges unavailable.</x:v>
      </x:c>
    </x:row>
    <x:row r="38" ht="72" customHeight="1">
      <x:c r="A38" s="2" t="n">
        <x:v>35</x:v>
      </x:c>
      <x:c r="B38" s="2" t="str">
        <x:v>Customer value and Olam value must connect</x:v>
      </x:c>
      <x:c r="C38" s="2" t="str">
        <x:v>Conditional / data required</x:v>
      </x:c>
      <x:c r="D38" s="2" t="str">
        <x:v>priority-commercial-plans.md; C-E05/C-E06</x:v>
      </x:c>
      <x:c r="E38" s="2" t="str">
        <x:v>Customer usable-output economics specified; observed willingness to pay/adoption missing.</x:v>
      </x:c>
    </x:row>
    <x:row r="39" ht="72" customHeight="1">
      <x:c r="A39" s="2" t="n">
        <x:v>36</x:v>
      </x:c>
      <x:c r="B39" s="2" t="str">
        <x:v>Marketing strategy by country and route</x:v>
      </x:c>
      <x:c r="C39" s="2" t="str">
        <x:v>Conditional / data required</x:v>
      </x:c>
      <x:c r="D39" s="2" t="str">
        <x:v>priority-product-plans.csv; priority-commercial-plans.md</x:v>
      </x:c>
      <x:c r="E39" s="2" t="str">
        <x:v>18 separate plans complete as hypotheses; local economics and actual budget/sample absent.</x:v>
      </x:c>
    </x:row>
    <x:row r="40" ht="72" customHeight="1">
      <x:c r="A40" s="2" t="n">
        <x:v>37</x:v>
      </x:c>
      <x:c r="B40" s="2" t="str">
        <x:v>Sustainability as both constraint and economic mechanism</x:v>
      </x:c>
      <x:c r="C40" s="2" t="str">
        <x:v>Conditional / data required</x:v>
      </x:c>
      <x:c r="D40" s="2" t="str">
        <x:v>climate; priority-product-plans.csv; E3/E5</x:v>
      </x:c>
      <x:c r="E40" s="2" t="str">
        <x:v>No actual emissions/water baselines, supplier-rights verification or premium/avoided-loss estimate.</x:v>
      </x:c>
    </x:row>
    <x:row r="41" ht="72" customHeight="1">
      <x:c r="A41" s="2" t="n">
        <x:v>38</x:v>
      </x:c>
      <x:c r="B41" s="2" t="str">
        <x:v>Portfolio and network optimisation</x:v>
      </x:c>
      <x:c r="C41" s="2" t="str">
        <x:v>Conditional / data required</x:v>
      </x:c>
      <x:c r="D41" s="2" t="str">
        <x:v>C-NETWORK/C-REGRET; network-flow-example.csv; policy-benchmarks.csv</x:v>
      </x:c>
      <x:c r="E41" s="2" t="str">
        <x:v>LP/regret teaching cases executed; global real portfolio/network allocation unsupported.</x:v>
      </x:c>
    </x:row>
    <x:row r="42" ht="72" customHeight="1">
      <x:c r="A42" s="2" t="n">
        <x:v>39</x:v>
      </x:c>
      <x:c r="B42" s="2" t="str">
        <x:v>Adaptive investment, real options, and decision triggers</x:v>
      </x:c>
      <x:c r="C42" s="2" t="str">
        <x:v>Conditional / data required</x:v>
      </x:c>
      <x:c r="D42" s="2" t="str">
        <x:v>C-EVSI; information-value-sensitivity.csv; Decision_Triggers</x:v>
      </x:c>
      <x:c r="E42" s="2" t="str">
        <x:v>Staged/EVSI teaching boundaries; actual option costs/likelihoods and contracts missing.</x:v>
      </x:c>
    </x:row>
    <x:row r="43" ht="72" customHeight="1">
      <x:c r="A43" s="2" t="n">
        <x:v>40</x:v>
      </x:c>
      <x:c r="B43" s="2" t="str">
        <x:v>The proposed integrated decision model</x:v>
      </x:c>
      <x:c r="C43" s="2" t="str">
        <x:v>Conditional / data required</x:v>
      </x:c>
      <x:c r="D43" s="2" t="str">
        <x:v>adaptive; C-REGRET/C-EVSI/C-NETWORK; model cards</x:v>
      </x:c>
      <x:c r="E43" s="2" t="str">
        <x:v>Integrated decision scaffold; no independently validated all-country optimal policy.</x:v>
      </x:c>
    </x:row>
    <x:row r="44" ht="72" customHeight="1">
      <x:c r="A44" s="2" t="n">
        <x:v>41</x:v>
      </x:c>
      <x:c r="B44" s="2" t="str">
        <x:v>Demand, supply, and financial layers of the proposed model</x:v>
      </x:c>
      <x:c r="C44" s="2" t="str">
        <x:v>Conditional / data required</x:v>
      </x:c>
      <x:c r="D44" s="2" t="str">
        <x:v>C-E02; C-DCF; model-selection-register.csv</x:v>
      </x:c>
      <x:c r="E44" s="2" t="str">
        <x:v>Physical/financial identities implemented; fitted country demand/supply layers unavailable.</x:v>
      </x:c>
    </x:row>
    <x:row r="45" ht="72" customHeight="1">
      <x:c r="A45" s="2" t="n">
        <x:v>42</x:v>
      </x:c>
      <x:c r="B45" s="2" t="str">
        <x:v>Two potentially distinctive insights to investigate</x:v>
      </x:c>
      <x:c r="C45" s="2" t="str">
        <x:v>Conditional / data required</x:v>
      </x:c>
      <x:c r="D45" s="2" t="str">
        <x:v>C-EVSI; C-CAPACITY-MARKETING; hypothesis-register.csv</x:v>
      </x:c>
      <x:c r="E45" s="2" t="str">
        <x:v>Mechanism counterexamples executed; distinctive empirical insights unvalidated on Olam cases.</x:v>
      </x:c>
    </x:row>
    <x:row r="46" ht="72" customHeight="1">
      <x:c r="A46" s="2" t="n">
        <x:v>43</x:v>
      </x:c>
      <x:c r="B46" s="2" t="str">
        <x:v>Value of information and the cost of learning</x:v>
      </x:c>
      <x:c r="C46" s="2" t="str">
        <x:v>Conditional / data required</x:v>
      </x:c>
      <x:c r="D46" s="2" t="str">
        <x:v>C-EVSI; Information_Value; evidence-request-queue.csv</x:v>
      </x:c>
      <x:c r="E46" s="2" t="str">
        <x:v>Chosen EVSI/accuracy sensitivity executed; actual research quote/delay and uncertainty needed.</x:v>
      </x:c>
    </x:row>
    <x:row r="47" ht="72" customHeight="1">
      <x:c r="A47" s="2" t="n">
        <x:v>44</x:v>
      </x:c>
      <x:c r="B47" s="2" t="str">
        <x:v>Proving that the proposed model is useful</x:v>
      </x:c>
      <x:c r="C47" s="2" t="str">
        <x:v>Conditional / data required</x:v>
      </x:c>
      <x:c r="D47" s="2" t="str">
        <x:v>policy-benchmarks.csv; model-ablations.csv; prior-art-and-originality.md</x:v>
      </x:c>
      <x:c r="E47" s="2" t="str">
        <x:v>Common-payoff benchmarks/ablations executed; actual management/country-score policy data missing.</x:v>
      </x:c>
    </x:row>
    <x:row r="48" ht="72" customHeight="1">
      <x:c r="A48" s="2" t="n">
        <x:v>45</x:v>
      </x:c>
      <x:c r="B48" s="2" t="str">
        <x:v>Originality review and the limits of a novelty claim</x:v>
      </x:c>
      <x:c r="C48" s="2" t="str">
        <x:v>Conditional / data required</x:v>
      </x:c>
      <x:c r="D48" s="2" t="str">
        <x:v>prior-art-search-log.csv; prior-art-and-originality.md</x:v>
      </x:c>
      <x:c r="E48" s="2" t="str">
        <x:v>Bounded primary-source search documented; exhaustive novelty/patent/commercial review unavailable.</x:v>
      </x:c>
    </x:row>
    <x:row r="49" ht="72" customHeight="1">
      <x:c r="A49" s="2" t="n">
        <x:v>46</x:v>
      </x:c>
      <x:c r="B49" s="2" t="str">
        <x:v>My contribution: credible, specific, and measurable</x:v>
      </x:c>
      <x:c r="C49" s="2" t="str">
        <x:v>Verified scope / implementation</x:v>
      </x:c>
      <x:c r="D49" s="2" t="str">
        <x:v>contribution; pilot-charter.md; BASELINE</x:v>
      </x:c>
      <x:c r="E49" s="2" t="str">
        <x:v>Implemented and linked; exact checks in validation report.</x:v>
      </x:c>
    </x:row>
    <x:row r="50" ht="72" customHeight="1">
      <x:c r="A50" s="2" t="n">
        <x:v>47</x:v>
      </x:c>
      <x:c r="B50" s="2" t="str">
        <x:v>A concrete 90-day proof plan</x:v>
      </x:c>
      <x:c r="C50" s="2" t="str">
        <x:v>Conditional / data required</x:v>
      </x:c>
      <x:c r="D50" s="2" t="str">
        <x:v>pilot-charter.md; priority-commercial-plans.md</x:v>
      </x:c>
      <x:c r="E50" s="2" t="str">
        <x:v>90-day plan specified; actual approved budget, access and baseline-derived power not supplied.</x:v>
      </x:c>
    </x:row>
    <x:row r="51" ht="72" customHeight="1">
      <x:c r="A51" s="2" t="n">
        <x:v>48</x:v>
      </x:c>
      <x:c r="B51" s="2" t="str">
        <x:v>Global country dossiers and mandatory dispositions</x:v>
      </x:c>
      <x:c r="C51" s="2" t="str">
        <x:v>Conditional / data required</x:v>
      </x:c>
      <x:c r="D51" s="2" t="str">
        <x:v>country-register.csv; country atlas; priority-product-plans.csv</x:v>
      </x:c>
      <x:c r="E51" s="2" t="str">
        <x:v>All195 dossiers complete as threshold scaffold; asset/legal/cost/competitor evidence open.</x:v>
      </x:c>
    </x:row>
    <x:row r="52" ht="72" customHeight="1">
      <x:c r="A52" s="2" t="n">
        <x:v>49</x:v>
      </x:c>
      <x:c r="B52" s="2" t="str">
        <x:v>The all-country, all-scenario calculation matrix</x:v>
      </x:c>
      <x:c r="C52" s="2" t="str">
        <x:v>Verified scope / implementation</x:v>
      </x:c>
      <x:c r="D52" s="2" t="str">
        <x:v>country-scenario-matrix.csv; analysis.json:summary</x:v>
      </x:c>
      <x:c r="E52" s="2" t="str">
        <x:v>Implemented and linked; exact checks in validation report.</x:v>
      </x:c>
    </x:row>
    <x:row r="53" ht="72" customHeight="1">
      <x:c r="A53" s="2" t="n">
        <x:v>50</x:v>
      </x:c>
      <x:c r="B53" s="2" t="str">
        <x:v>Executive narrative and slide architecture</x:v>
      </x:c>
      <x:c r="C53" s="2" t="str">
        <x:v>Verified scope / implementation</x:v>
      </x:c>
      <x:c r="D53" s="2" t="str">
        <x:v>deck.json:slides1–37; thank-you before appendix</x:v>
      </x:c>
      <x:c r="E53" s="2" t="str">
        <x:v>Implemented and linked; exact checks in validation report.</x:v>
      </x:c>
    </x:row>
    <x:row r="54" ht="72" customHeight="1">
      <x:c r="A54" s="2" t="n">
        <x:v>51</x:v>
      </x:c>
      <x:c r="B54" s="2" t="str">
        <x:v>Appendix structure and calculation education</x:v>
      </x:c>
      <x:c r="C54" s="2" t="str">
        <x:v>Verified scope / implementation</x:v>
      </x:c>
      <x:c r="D54" s="2" t="str">
        <x:v>appendix-navigation; calculation-appendix.md; country atlas</x:v>
      </x:c>
      <x:c r="E54" s="2" t="str">
        <x:v>Implemented and linked; exact checks in validation report.</x:v>
      </x:c>
    </x:row>
    <x:row r="55" ht="72" customHeight="1">
      <x:c r="A55" s="2" t="n">
        <x:v>52</x:v>
      </x:c>
      <x:c r="B55" s="2" t="str">
        <x:v>Plain-language calculation examples required in the appendix</x:v>
      </x:c>
      <x:c r="C55" s="2" t="str">
        <x:v>Verified scope / implementation</x:v>
      </x:c>
      <x:c r="D55" s="2" t="str">
        <x:v>C-E01 through C-E22; calculation-appendix.md</x:v>
      </x:c>
      <x:c r="E55" s="2" t="str">
        <x:v>Implemented and linked; exact checks in validation report.</x:v>
      </x:c>
    </x:row>
    <x:row r="56" ht="72" customHeight="1">
      <x:c r="A56" s="2" t="n">
        <x:v>53</x:v>
      </x:c>
      <x:c r="B56" s="2" t="str">
        <x:v>Calculation IDs, source lineage, and workbook architecture</x:v>
      </x:c>
      <x:c r="C56" s="2" t="str">
        <x:v>Conditional / data required</x:v>
      </x:c>
      <x:c r="D56" s="2" t="str">
        <x:v>input-register.csv; calculation-register.csv; olam-global-model-v1.xlsx</x:v>
      </x:c>
      <x:c r="E56" s="2" t="str">
        <x:v>Lineage and formulas repaired; every material figure still requires substantive source/input challenge.</x:v>
      </x:c>
    </x:row>
    <x:row r="57" ht="72" customHeight="1">
      <x:c r="A57" s="2" t="n">
        <x:v>54</x:v>
      </x:c>
      <x:c r="B57" s="2" t="str">
        <x:v>Charts that reveal decisions</x:v>
      </x:c>
      <x:c r="C57" s="2" t="str">
        <x:v>Conditional / data required</x:v>
      </x:c>
      <x:c r="D57" s="2" t="str">
        <x:v>Chart_Data; demography/resilience charts; regression-diagnostics.pdf; sensitivity grids</x:v>
      </x:c>
      <x:c r="E57" s="2" t="str">
        <x:v>Native charts and diagnostic plots supplied; crop/geographic premium/risk charts unsupported by data.</x:v>
      </x:c>
    </x:row>
    <x:row r="58" ht="72" customHeight="1">
      <x:c r="A58" s="2" t="n">
        <x:v>55</x:v>
      </x:c>
      <x:c r="B58" s="2" t="str">
        <x:v>Slide design and speaker notes</x:v>
      </x:c>
      <x:c r="C58" s="2" t="str">
        <x:v>Conditional / data required</x:v>
      </x:c>
      <x:c r="D58" s="2" t="str">
        <x:v>deck.json:speaker notes; native artifact layout/integrity receipt</x:v>
      </x:c>
      <x:c r="E58" s="2" t="str">
        <x:v>All slides rendered and geometrically checked; external viewing/accessibility review not independently commissioned.</x:v>
      </x:c>
    </x:row>
    <x:row r="59" ht="72" customHeight="1">
      <x:c r="A59" s="2" t="n">
        <x:v>56</x:v>
      </x:c>
      <x:c r="B59" s="2" t="str">
        <x:v>Quality controls for accounting and physical consistency</x:v>
      </x:c>
      <x:c r="C59" s="2" t="str">
        <x:v>Conditional / data required</x:v>
      </x:c>
      <x:c r="D59" s="2" t="str">
        <x:v>validation-checks.json; tests/olam-africa-strategy.ts; native artifact receipt</x:v>
      </x:c>
      <x:c r="E59" s="2" t="str">
        <x:v>Automated numerical/lineage checks; actual physical/legal/customer assumptions remain unvalidated.</x:v>
      </x:c>
    </x:row>
    <x:row r="60" ht="72" customHeight="1">
      <x:c r="A60" s="2" t="n">
        <x:v>57</x:v>
      </x:c>
      <x:c r="B60" s="2" t="str">
        <x:v>Red-team review: challenge the case before the CEO does</x:v>
      </x:c>
      <x:c r="C60" s="2" t="str">
        <x:v>Conditional / data required</x:v>
      </x:c>
      <x:c r="D60" s="2" t="str">
        <x:v>red-team-register.csv; validation-and-red-team.md</x:v>
      </x:c>
      <x:c r="E60" s="2" t="str">
        <x:v>Ten specified perspectives documented by author; independent specialist review not commissioned.</x:v>
      </x:c>
    </x:row>
    <x:row r="61" ht="72" customHeight="1">
      <x:c r="A61" s="2" t="n">
        <x:v>58</x:v>
      </x:c>
      <x:c r="B61" s="2" t="str">
        <x:v>Specific questions the finished deck must answer</x:v>
      </x:c>
      <x:c r="C61" s="2" t="str">
        <x:v>Verified scope / implementation</x:v>
      </x:c>
      <x:c r="D61" s="2" t="str">
        <x:v>ceo-question-register.csv; ceo-questions.md</x:v>
      </x:c>
      <x:c r="E61" s="2" t="str">
        <x:v>Implemented and linked; exact checks in validation report.</x:v>
      </x:c>
    </x:row>
    <x:row r="62" ht="72" customHeight="1">
      <x:c r="A62" s="2" t="n">
        <x:v>59</x:v>
      </x:c>
      <x:c r="B62" s="2" t="str">
        <x:v>Strategic hypotheses to test without forcing the answer</x:v>
      </x:c>
      <x:c r="C62" s="2" t="str">
        <x:v>Conditional / data required</x:v>
      </x:c>
      <x:c r="D62" s="2" t="str">
        <x:v>hypothesis-register.csv; strategic-hypotheses.md</x:v>
      </x:c>
      <x:c r="E62" s="2" t="str">
        <x:v>12 hypotheses with tests/results/falsifiers; field evidence unexecuted.</x:v>
      </x:c>
    </x:row>
    <x:row r="63" ht="72" customHeight="1">
      <x:c r="A63" s="2" t="n">
        <x:v>60</x:v>
      </x:c>
      <x:c r="B63" s="2" t="str">
        <x:v>Modelled financial cases for every scenario and country</x:v>
      </x:c>
      <x:c r="C63" s="2" t="str">
        <x:v>Conditional / data required</x:v>
      </x:c>
      <x:c r="D63" s="2" t="str">
        <x:v>country-scenario-matrix.csv; C-DCF; C-SENSITIVITY; country atlas</x:v>
      </x:c>
      <x:c r="E63" s="2" t="str">
        <x:v>All country worlds/milestones and thresholds complete; no investment-grade country valuation.</x:v>
      </x:c>
    </x:row>
    <x:row r="64" ht="72" customHeight="1">
      <x:c r="A64" s="2" t="n">
        <x:v>61</x:v>
      </x:c>
      <x:c r="B64" s="2" t="str">
        <x:v>Monitoring and the continuing intelligence system</x:v>
      </x:c>
      <x:c r="C64" s="2" t="str">
        <x:v>Verified scope / implementation</x:v>
      </x:c>
      <x:c r="D64" s="2" t="str">
        <x:v>monitoring-register.csv; monitoring-specification.md</x:v>
      </x:c>
      <x:c r="E64" s="2" t="str">
        <x:v>Implemented and linked; exact checks in validation report.</x:v>
      </x:c>
    </x:row>
    <x:row r="65" ht="72" customHeight="1">
      <x:c r="A65" s="2" t="n">
        <x:v>62</x:v>
      </x:c>
      <x:c r="B65" s="2" t="str">
        <x:v>Required deliverables</x:v>
      </x:c>
      <x:c r="C65" s="2" t="str">
        <x:v>Conditional / data required</x:v>
      </x:c>
      <x:c r="D65" s="2" t="str">
        <x:v>package-manifest.json;14 deliverables and indexed reports</x:v>
      </x:c>
      <x:c r="E65" s="2" t="str">
        <x:v>Formats delivered; full completeness subject to documented data and substantive review gaps.</x:v>
      </x:c>
    </x:row>
    <x:row r="66" ht="72" customHeight="1">
      <x:c r="A66" s="2" t="n">
        <x:v>63</x:v>
      </x:c>
      <x:c r="B66" s="2" t="str">
        <x:v>Execution sequence and checkpoints</x:v>
      </x:c>
      <x:c r="C66" s="2" t="str">
        <x:v>Conditional / data required</x:v>
      </x:c>
      <x:c r="D66" s="2" t="str">
        <x:v>reproduce.md; change-log.md; validation-checks.json</x:v>
      </x:c>
      <x:c r="E66" s="2" t="str">
        <x:v>Execution checkpoints retained; independently commissioned review unavailable.</x:v>
      </x:c>
    </x:row>
    <x:row r="67" ht="72" customHeight="1">
      <x:c r="A67" s="2" t="n">
        <x:v>64</x:v>
      </x:c>
      <x:c r="B67" s="2" t="str">
        <x:v>Handling practical limits without weakening the result</x:v>
      </x:c>
      <x:c r="C67" s="2" t="str">
        <x:v>Verified scope / implementation</x:v>
      </x:c>
      <x:c r="D67" s="2" t="str">
        <x:v>limitations-and-missing-data.md; evidence-request-queue.csv</x:v>
      </x:c>
      <x:c r="E67" s="2" t="str">
        <x:v>Implemented and linked; exact checks in validation report.</x:v>
      </x:c>
    </x:row>
    <x:row r="68" ht="72" customHeight="1">
      <x:c r="A68" s="2" t="n">
        <x:v>65</x:v>
      </x:c>
      <x:c r="B68" s="2" t="str">
        <x:v>Final acceptance criteria</x:v>
      </x:c>
      <x:c r="C68" s="2" t="str">
        <x:v>Conditional / data required</x:v>
      </x:c>
      <x:c r="D68" s="2" t="str">
        <x:v>requirements-audit.csv; validation-checks.json</x:v>
      </x:c>
      <x:c r="E68" s="2" t="str">
        <x:v>Acceptance criteria audited; open empirical/source/asset requirements prohibit blanket pass.</x:v>
      </x:c>
    </x:row>
    <x:row r="69" ht="72" customHeight="1">
      <x:c r="A69" s="2" t="n">
        <x:v>66</x:v>
      </x:c>
      <x:c r="B69" s="2" t="str">
        <x:v>The final instruction</x:v>
      </x:c>
      <x:c r="C69" s="2" t="str">
        <x:v>Conditional / data required</x:v>
      </x:c>
      <x:c r="D69" s="2" t="str">
        <x:v>executive-decision-memo.md; all registers; open evidence gates</x:v>
      </x:c>
      <x:c r="E69" s="2" t="str">
        <x:v>Continue independent authorized work completed; internal evidence gates remain open, no guaranteed25-year forecast.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3" hidden="0" customWidth="1"/>
    <x:col min="14" max="14" width="23" hidden="0" customWidth="1"/>
    <x:col min="15" max="15" width="23" hidden="0" customWidth="1"/>
  </x:cols>
  <x:sheetData>
    <x:row r="1" ht="42" customHeight="1">
      <x:c r="A1" s="5" t="str">
        <x:v>Capital Metrics / v1.1.0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 ht="42" customHeight="1">
      <x:c r="A2" s="2" t="str">
        <x:v>Public evidence + chosen examples; no Olam internal investment valuation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 ht="32" customHeight="1">
      <x:c r="A3" s="4" t="str">
        <x:v>mode</x:v>
      </x:c>
      <x:c r="B3" s="4" t="str">
        <x:v>scenario</x:v>
      </x:c>
      <x:c r="C3" s="4" t="str">
        <x:v>NPV</x:v>
      </x:c>
      <x:c r="D3" s="4" t="str">
        <x:v>IRR_roots</x:v>
      </x:c>
      <x:c r="E3" s="4" t="str">
        <x:v>annual_payback_year</x:v>
      </x:c>
      <x:c r="F3" s="4" t="str">
        <x:v>annual_discounted_payback_year</x:v>
      </x:c>
      <x:c r="G3" s="4" t="str">
        <x:v>year3_ROIC</x:v>
      </x:c>
      <x:c r="H3" s="4" t="str">
        <x:v>year3_capital_turns</x:v>
      </x:c>
      <x:c r="I3" s="4" t="str">
        <x:v>peak_annual_funding</x:v>
      </x:c>
      <x:c r="J3" s="4" t="str">
        <x:v>NPV_per_peak_funding</x:v>
      </x:c>
      <x:c r="K3" s="4" t="str">
        <x:v>closeout_PV</x:v>
      </x:c>
      <x:c r="L3" s="4" t="str">
        <x:v>NPV_without_closeout</x:v>
      </x:c>
      <x:c r="M3" s="4" t="str">
        <x:v>post2036_PV</x:v>
      </x:c>
      <x:c r="N3" s="4" t="str">
        <x:v>post2036_PV_share_of_gross_positive_PV</x:v>
      </x:c>
      <x:c r="O3" s="4" t="str">
        <x:v>definition</x:v>
      </x:c>
    </x:row>
    <x:row r="4" ht="44" customHeight="1">
      <x:c r="A4" s="2" t="str">
        <x:v>trade</x:v>
      </x:c>
      <x:c r="B4" s="2" t="str">
        <x:v>managed</x:v>
      </x:c>
      <x:c r="C4" s="2" t="n">
        <x:v>0.35768624230170054</x:v>
      </x:c>
      <x:c r="D4" s="2" t="str">
        <x:v>[0.112467775104]</x:v>
      </x:c>
      <x:c r="E4" s="2" t="n">
        <x:v>10</x:v>
      </x:c>
      <x:c r="F4" s="2" t="n">
        <x:v>24</x:v>
      </x:c>
      <x:c r="G4" s="2" t="n">
        <x:v>0.09890536114462992</x:v>
      </x:c>
      <x:c r="H4" s="2" t="n">
        <x:v>11.607475835245895</x:v>
      </x:c>
      <x:c r="I4" s="2" t="n">
        <x:v>2.9413770000000037</x:v>
      </x:c>
      <x:c r="J4" s="2" t="n">
        <x:v>0.12160503135154048</x:v>
      </x:c>
      <x:c r="K4" s="2" t="n">
        <x:v>0.2889778043333594</x:v>
      </x:c>
      <x:c r="L4" s="2" t="n">
        <x:v>0.06870843796834114</x:v>
      </x:c>
      <x:c r="M4" s="2" t="n">
        <x:v>1.4447570413376705</x:v>
      </x:c>
      <x:c r="N4" s="2" t="n">
        <x:v>0.46379043841650924</x:v>
      </x:c>
      <x:c r="O4" s="2" t="str">
        <x:v>Unlevered real USD. ROIC uses end-period net PPE+NWC and normalized 25% tax, not cash-tax-loss benefit; annual payback does not interpolate intra-year cash. No franchise terminal value.</x:v>
      </x:c>
    </x:row>
    <x:row r="5" ht="44" customHeight="1">
      <x:c r="A5" s="2" t="str">
        <x:v>trade</x:v>
      </x:c>
      <x:c r="B5" s="2" t="str">
        <x:v>integration</x:v>
      </x:c>
      <x:c r="C5" s="2" t="n">
        <x:v>7.869359046008329</x:v>
      </x:c>
      <x:c r="D5" s="2" t="str">
        <x:v>[0.398648655658]</x:v>
      </x:c>
      <x:c r="E5" s="2" t="n">
        <x:v>4</x:v>
      </x:c>
      <x:c r="F5" s="2" t="n">
        <x:v>5</x:v>
      </x:c>
      <x:c r="G5" s="2" t="n">
        <x:v>0.3442793112035172</x:v>
      </x:c>
      <x:c r="H5" s="2" t="n">
        <x:v>16.849982244601243</x:v>
      </x:c>
      <x:c r="I5" s="2" t="n">
        <x:v>1.5686896712328786</x:v>
      </x:c>
      <x:c r="J5" s="2" t="n">
        <x:v>5.016517409605669</x:v>
      </x:c>
      <x:c r="K5" s="2" t="n">
        <x:v>0.2721287884880997</x:v>
      </x:c>
      <x:c r="L5" s="2" t="n">
        <x:v>7.597230257520229</x:v>
      </x:c>
      <x:c r="M5" s="2" t="n">
        <x:v>4.44243377214161</x:v>
      </x:c>
      <x:c r="N5" s="2" t="n">
        <x:v>0.474717122946473</x:v>
      </x:c>
      <x:c r="O5" s="2" t="str">
        <x:v>Unlevered real USD. ROIC uses end-period net PPE+NWC and normalized 25% tax, not cash-tax-loss benefit; annual payback does not interpolate intra-year cash. No franchise terminal value.</x:v>
      </x:c>
    </x:row>
    <x:row r="6" ht="44" customHeight="1">
      <x:c r="A6" s="2" t="str">
        <x:v>trade</x:v>
      </x:c>
      <x:c r="B6" s="2" t="str">
        <x:v>fragmented</x:v>
      </x:c>
      <x:c r="C6" s="2" t="n">
        <x:v>-10.136255746401934</x:v>
      </x:c>
      <x:c r="D6" s="2" t="str">
        <x:v>[-0.137122735378]</x:v>
      </x:c>
      <x:c r="E6" s="2"/>
      <x:c r="F6" s="2"/>
      <x:c r="G6" s="2" t="n">
        <x:v>-0.11268830174517792</x:v>
      </x:c>
      <x:c r="H6" s="2" t="n">
        <x:v>6.142890326298819</x:v>
      </x:c>
      <x:c r="I6" s="2" t="n">
        <x:v>22.84820444735882</x:v>
      </x:c>
      <x:c r="J6" s="2" t="n">
        <x:v>-0.4436346746526795</x:v>
      </x:c>
      <x:c r="K6" s="2" t="n">
        <x:v>0.30778885964547525</x:v>
      </x:c>
      <x:c r="L6" s="2" t="n">
        <x:v>-10.44404460604741</x:v>
      </x:c>
      <x:c r="M6" s="2" t="n">
        <x:v>-1.357049557711676</x:v>
      </x:c>
      <x:c r="N6" s="2" t="n">
        <x:v>-5.029678443636748</x:v>
      </x:c>
      <x:c r="O6" s="2" t="str">
        <x:v>Unlevered real USD. ROIC uses end-period net PPE+NWC and normalized 25% tax, not cash-tax-loss benefit; annual payback does not interpolate intra-year cash. No franchise terminal value.</x:v>
      </x:c>
    </x:row>
    <x:row r="7" ht="44" customHeight="1">
      <x:c r="A7" s="2" t="str">
        <x:v>trade</x:v>
      </x:c>
      <x:c r="B7" s="2" t="str">
        <x:v>physical</x:v>
      </x:c>
      <x:c r="C7" s="2" t="n">
        <x:v>-25.560849591724317</x:v>
      </x:c>
      <x:c r="D7" s="2" t="str">
        <x:v>[-0.407815456078]</x:v>
      </x:c>
      <x:c r="E7" s="2"/>
      <x:c r="F7" s="2"/>
      <x:c r="G7" s="2" t="n">
        <x:v>-0.3398336763725446</x:v>
      </x:c>
      <x:c r="H7" s="2" t="n">
        <x:v>4.566853437567628</x:v>
      </x:c>
      <x:c r="I7" s="2" t="n">
        <x:v>70.94921425008118</x:v>
      </x:c>
      <x:c r="J7" s="2" t="n">
        <x:v>-0.360269664180179</x:v>
      </x:c>
      <x:c r="K7" s="2" t="n">
        <x:v>0.3950660581764834</x:v>
      </x:c>
      <x:c r="L7" s="2" t="n">
        <x:v>-25.9559156499008</x:v>
      </x:c>
      <x:c r="M7" s="2" t="n">
        <x:v>-5.701673320677543</x:v>
      </x:c>
      <x:c r="N7" s="2" t="n">
        <x:v>-24.20903803355725</x:v>
      </x:c>
      <x:c r="O7" s="2" t="str">
        <x:v>Unlevered real USD. ROIC uses end-period net PPE+NWC and normalized 25% tax, not cash-tax-loss benefit; annual payback does not interpolate intra-year cash. No franchise terminal value.</x:v>
      </x:c>
    </x:row>
    <x:row r="8" ht="44" customHeight="1">
      <x:c r="A8" s="2" t="str">
        <x:v>trade</x:v>
      </x:c>
      <x:c r="B8" s="2" t="str">
        <x:v>squeeze</x:v>
      </x:c>
      <x:c r="C8" s="2" t="n">
        <x:v>-13.357503120599379</x:v>
      </x:c>
      <x:c r="D8" s="2" t="str">
        <x:v>[-0.26206427547]</x:v>
      </x:c>
      <x:c r="E8" s="2"/>
      <x:c r="F8" s="2"/>
      <x:c r="G8" s="2" t="n">
        <x:v>-0.21217025321111577</x:v>
      </x:c>
      <x:c r="H8" s="2" t="n">
        <x:v>5.194752508762496</x:v>
      </x:c>
      <x:c r="I8" s="2" t="n">
        <x:v>36.99873139726028</x:v>
      </x:c>
      <x:c r="J8" s="2" t="n">
        <x:v>-0.361025976193024</x:v>
      </x:c>
      <x:c r="K8" s="2" t="n">
        <x:v>0.1871607140109395</x:v>
      </x:c>
      <x:c r="L8" s="2" t="n">
        <x:v>-13.544663834610319</x:v>
      </x:c>
      <x:c r="M8" s="2" t="n">
        <x:v>-2.0780270925079423</x:v>
      </x:c>
      <x:c r="N8" s="2" t="n">
        <x:v>-14.812252634633637</x:v>
      </x:c>
      <x:c r="O8" s="2" t="str">
        <x:v>Unlevered real USD. ROIC uses end-period net PPE+NWC and normalized 25% tax, not cash-tax-loss benefit; annual payback does not interpolate intra-year cash. No franchise terminal value.</x:v>
      </x:c>
    </x:row>
    <x:row r="9" ht="44" customHeight="1">
      <x:c r="A9" s="2" t="str">
        <x:v>trade</x:v>
      </x:c>
      <x:c r="B9" s="2" t="str">
        <x:v>nutrition</x:v>
      </x:c>
      <x:c r="C9" s="2" t="n">
        <x:v>-0.5433706314193101</x:v>
      </x:c>
      <x:c r="D9" s="2" t="str">
        <x:v>[0.085068996968]</x:v>
      </x:c>
      <x:c r="E9" s="2" t="n">
        <x:v>14</x:v>
      </x:c>
      <x:c r="F9" s="2"/>
      <x:c r="G9" s="2" t="n">
        <x:v>0.07747498383717258</x:v>
      </x:c>
      <x:c r="H9" s="2" t="n">
        <x:v>9.10479830947019</x:v>
      </x:c>
      <x:c r="I9" s="2" t="n">
        <x:v>4.071070447090416</x:v>
      </x:c>
      <x:c r="J9" s="2" t="n">
        <x:v>-0.13347119350579054</x:v>
      </x:c>
      <x:c r="K9" s="2" t="n">
        <x:v>0.38010252986579984</x:v>
      </x:c>
      <x:c r="L9" s="2" t="n">
        <x:v>-0.9234731612851099</x:v>
      </x:c>
      <x:c r="M9" s="2" t="n">
        <x:v>1.4871821355393458</x:v>
      </x:c>
      <x:c r="N9" s="2" t="n">
        <x:v>0.46691407586975897</x:v>
      </x:c>
      <x:c r="O9" s="2" t="str">
        <x:v>Unlevered real USD. ROIC uses end-period net PPE+NWC and normalized 25% tax, not cash-tax-loss benefit; annual payback does not interpolate intra-year cash. No franchise terminal value.</x:v>
      </x:c>
    </x:row>
    <x:row r="10" ht="44" customHeight="1">
      <x:c r="A10" s="2" t="str">
        <x:v>partner</x:v>
      </x:c>
      <x:c r="B10" s="2" t="str">
        <x:v>managed</x:v>
      </x:c>
      <x:c r="C10" s="2" t="n">
        <x:v>10.817370364399231</x:v>
      </x:c>
      <x:c r="D10" s="2" t="str">
        <x:v>[0.202782898515]</x:v>
      </x:c>
      <x:c r="E10" s="2" t="n">
        <x:v>6</x:v>
      </x:c>
      <x:c r="F10" s="2" t="n">
        <x:v>8</x:v>
      </x:c>
      <x:c r="G10" s="2" t="n">
        <x:v>0.18684299617632655</x:v>
      </x:c>
      <x:c r="H10" s="2" t="n">
        <x:v>3.5436200263392856</x:v>
      </x:c>
      <x:c r="I10" s="2" t="n">
        <x:v>9.795726027397262</x:v>
      </x:c>
      <x:c r="J10" s="2" t="n">
        <x:v>1.1042949072018322</x:v>
      </x:c>
      <x:c r="K10" s="2" t="n">
        <x:v>0.5461900166094749</x:v>
      </x:c>
      <x:c r="L10" s="2" t="n">
        <x:v>10.271180347789755</x:v>
      </x:c>
      <x:c r="M10" s="2" t="n">
        <x:v>7.656500458595857</x:v>
      </x:c>
      <x:c r="N10" s="2" t="n">
        <x:v>0.3597139997569077</x:v>
      </x:c>
      <x:c r="O10" s="2" t="str">
        <x:v>Unlevered real USD. ROIC uses end-period net PPE+NWC and normalized 25% tax, not cash-tax-loss benefit; annual payback does not interpolate intra-year cash. No franchise terminal value.</x:v>
      </x:c>
    </x:row>
    <x:row r="11" ht="44" customHeight="1">
      <x:c r="A11" s="2" t="str">
        <x:v>partner</x:v>
      </x:c>
      <x:c r="B11" s="2" t="str">
        <x:v>integration</x:v>
      </x:c>
      <x:c r="C11" s="2" t="n">
        <x:v>20.592951494337385</x:v>
      </x:c>
      <x:c r="D11" s="2" t="str">
        <x:v>[0.28381986333]</x:v>
      </x:c>
      <x:c r="E11" s="2" t="n">
        <x:v>5</x:v>
      </x:c>
      <x:c r="F11" s="2" t="n">
        <x:v>6</x:v>
      </x:c>
      <x:c r="G11" s="2" t="n">
        <x:v>0.28141906951457</x:v>
      </x:c>
      <x:c r="H11" s="2" t="n">
        <x:v>4.1600015866092654</x:v>
      </x:c>
      <x:c r="I11" s="2" t="n">
        <x:v>9.137024657534244</x:v>
      </x:c>
      <x:c r="J11" s="2" t="n">
        <x:v>2.2537918267908763</x:v>
      </x:c>
      <x:c r="K11" s="2" t="n">
        <x:v>0.5673576072904493</x:v>
      </x:c>
      <x:c r="L11" s="2" t="n">
        <x:v>20.025593887046934</x:v>
      </x:c>
      <x:c r="M11" s="2" t="n">
        <x:v>10.872703318727908</x:v>
      </x:c>
      <x:c r="N11" s="2" t="n">
        <x:v>0.3589456804409997</x:v>
      </x:c>
      <x:c r="O11" s="2" t="str">
        <x:v>Unlevered real USD. ROIC uses end-period net PPE+NWC and normalized 25% tax, not cash-tax-loss benefit; annual payback does not interpolate intra-year cash. No franchise terminal value.</x:v>
      </x:c>
    </x:row>
    <x:row r="12" ht="44" customHeight="1">
      <x:c r="A12" s="2" t="str">
        <x:v>partner</x:v>
      </x:c>
      <x:c r="B12" s="2" t="str">
        <x:v>fragmented</x:v>
      </x:c>
      <x:c r="C12" s="2" t="n">
        <x:v>-3.5847305871200685</x:v>
      </x:c>
      <x:c r="D12" s="2" t="str">
        <x:v>[0.081941712212]</x:v>
      </x:c>
      <x:c r="E12" s="2" t="n">
        <x:v>14</x:v>
      </x:c>
      <x:c r="F12" s="2"/>
      <x:c r="G12" s="2" t="n">
        <x:v>0.07618297771996084</x:v>
      </x:c>
      <x:c r="H12" s="2" t="n">
        <x:v>2.724409992215729</x:v>
      </x:c>
      <x:c r="I12" s="2" t="n">
        <x:v>12.709059419178088</x:v>
      </x:c>
      <x:c r="J12" s="2" t="n">
        <x:v>-0.282061045501973</x:v>
      </x:c>
      <x:c r="K12" s="2" t="n">
        <x:v>0.4494049369812504</x:v>
      </x:c>
      <x:c r="L12" s="2" t="n">
        <x:v>-4.034135524101319</x:v>
      </x:c>
      <x:c r="M12" s="2" t="n">
        <x:v>2.33429376460478</x:v>
      </x:c>
      <x:c r="N12" s="2" t="n">
        <x:v>0.24285239955555596</x:v>
      </x:c>
      <x:c r="O12" s="2" t="str">
        <x:v>Unlevered real USD. ROIC uses end-period net PPE+NWC and normalized 25% tax, not cash-tax-loss benefit; annual payback does not interpolate intra-year cash. No franchise terminal value.</x:v>
      </x:c>
    </x:row>
    <x:row r="13" ht="44" customHeight="1">
      <x:c r="A13" s="2" t="str">
        <x:v>partner</x:v>
      </x:c>
      <x:c r="B13" s="2" t="str">
        <x:v>physical</x:v>
      </x:c>
      <x:c r="C13" s="2" t="n">
        <x:v>-17.395001416781703</x:v>
      </x:c>
      <x:c r="D13" s="2" t="str">
        <x:v>[-0.064638823077]</x:v>
      </x:c>
      <x:c r="E13" s="2"/>
      <x:c r="F13" s="2"/>
      <x:c r="G13" s="2" t="n">
        <x:v>-0.04197620336778026</x:v>
      </x:c>
      <x:c r="H13" s="2" t="n">
        <x:v>2.3111021543650403</x:v>
      </x:c>
      <x:c r="I13" s="2" t="n">
        <x:v>27.95674091083143</x:v>
      </x:c>
      <x:c r="J13" s="2" t="n">
        <x:v>-0.6222113468899468</x:v>
      </x:c>
      <x:c r="K13" s="2" t="n">
        <x:v>0.5242200839947374</x:v>
      </x:c>
      <x:c r="L13" s="2" t="n">
        <x:v>-17.91922150077644</x:v>
      </x:c>
      <x:c r="M13" s="2" t="n">
        <x:v>-1.3684721673797406</x:v>
      </x:c>
      <x:c r="N13" s="2" t="n">
        <x:v>-1.6548760885448808</x:v>
      </x:c>
      <x:c r="O13" s="2" t="str">
        <x:v>Unlevered real USD. ROIC uses end-period net PPE+NWC and normalized 25% tax, not cash-tax-loss benefit; annual payback does not interpolate intra-year cash. No franchise terminal value.</x:v>
      </x:c>
    </x:row>
    <x:row r="14" ht="44" customHeight="1">
      <x:c r="A14" s="2" t="str">
        <x:v>partner</x:v>
      </x:c>
      <x:c r="B14" s="2" t="str">
        <x:v>squeeze</x:v>
      </x:c>
      <x:c r="C14" s="2" t="n">
        <x:v>-9.82494869860839</x:v>
      </x:c>
      <x:c r="D14" s="2" t="str">
        <x:v>[0.008176610503]</x:v>
      </x:c>
      <x:c r="E14" s="2" t="n">
        <x:v>25</x:v>
      </x:c>
      <x:c r="F14" s="2"/>
      <x:c r="G14" s="2" t="n">
        <x:v>0.019050908794359715</x:v>
      </x:c>
      <x:c r="H14" s="2" t="n">
        <x:v>2.3877609632949452</x:v>
      </x:c>
      <x:c r="I14" s="2" t="n">
        <x:v>14.232439232876722</x:v>
      </x:c>
      <x:c r="J14" s="2" t="n">
        <x:v>-0.690320790262916</x:v>
      </x:c>
      <x:c r="K14" s="2" t="n">
        <x:v>0.2590067989859538</x:v>
      </x:c>
      <x:c r="L14" s="2" t="n">
        <x:v>-10.083955497594344</x:v>
      </x:c>
      <x:c r="M14" s="2" t="n">
        <x:v>0.0926388162039345</x:v>
      </x:c>
      <x:c r="N14" s="2" t="n">
        <x:v>0.021198723367474335</x:v>
      </x:c>
      <x:c r="O14" s="2" t="str">
        <x:v>Unlevered real USD. ROIC uses end-period net PPE+NWC and normalized 25% tax, not cash-tax-loss benefit; annual payback does not interpolate intra-year cash. No franchise terminal value.</x:v>
      </x:c>
    </x:row>
    <x:row r="15" ht="44" customHeight="1">
      <x:c r="A15" s="2" t="str">
        <x:v>partner</x:v>
      </x:c>
      <x:c r="B15" s="2" t="str">
        <x:v>nutrition</x:v>
      </x:c>
      <x:c r="C15" s="2" t="n">
        <x:v>10.071104437961292</x:v>
      </x:c>
      <x:c r="D15" s="2" t="str">
        <x:v>[0.190933666382]</x:v>
      </x:c>
      <x:c r="E15" s="2" t="n">
        <x:v>6</x:v>
      </x:c>
      <x:c r="F15" s="2" t="n">
        <x:v>9</x:v>
      </x:c>
      <x:c r="G15" s="2" t="n">
        <x:v>0.1766085280851699</x:v>
      </x:c>
      <x:c r="H15" s="2" t="n">
        <x:v>3.3379053572206137</x:v>
      </x:c>
      <x:c r="I15" s="2" t="n">
        <x:v>10.38084</x:v>
      </x:c>
      <x:c r="J15" s="2" t="n">
        <x:v>0.970162765051893</x:v>
      </x:c>
      <x:c r="K15" s="2" t="n">
        <x:v>0.650708938187864</x:v>
      </x:c>
      <x:c r="L15" s="2" t="n">
        <x:v>9.420395499773429</x:v>
      </x:c>
      <x:c r="M15" s="2" t="n">
        <x:v>7.600764481928649</x:v>
      </x:c>
      <x:c r="N15" s="2" t="n">
        <x:v>0.3604270113439216</x:v>
      </x:c>
      <x:c r="O15" s="2" t="str">
        <x:v>Unlevered real USD. ROIC uses end-period net PPE+NWC and normalized 25% tax, not cash-tax-loss benefit; annual payback does not interpolate intra-year cash. No franchise terminal value.</x:v>
      </x:c>
    </x:row>
    <x:row r="16" ht="44" customHeight="1">
      <x:c r="A16" s="2" t="str">
        <x:v>plant</x:v>
      </x:c>
      <x:c r="B16" s="2" t="str">
        <x:v>managed</x:v>
      </x:c>
      <x:c r="C16" s="2" t="n">
        <x:v>-1.7999419404754313</x:v>
      </x:c>
      <x:c r="D16" s="2" t="str">
        <x:v>[0.090371889793]</x:v>
      </x:c>
      <x:c r="E16" s="2" t="n">
        <x:v>9</x:v>
      </x:c>
      <x:c r="F16" s="2"/>
      <x:c r="G16" s="2" t="n">
        <x:v>0.07197432986492461</x:v>
      </x:c>
      <x:c r="H16" s="2" t="n">
        <x:v>1.9184774763487973</x:v>
      </x:c>
      <x:c r="I16" s="2" t="n">
        <x:v>22.564383561643837</x:v>
      </x:c>
      <x:c r="J16" s="2" t="n">
        <x:v>-0.07976916079086115</x:v>
      </x:c>
      <x:c r="K16" s="2" t="n">
        <x:v>0.672379863023832</x:v>
      </x:c>
      <x:c r="L16" s="2" t="n">
        <x:v>-2.4723218034992636</x:v>
      </x:c>
      <x:c r="M16" s="2" t="n">
        <x:v>5.276493468443403</x:v>
      </x:c>
      <x:c r="N16" s="2" t="n">
        <x:v>0.21308732420512114</x:v>
      </x:c>
      <x:c r="O16" s="2" t="str">
        <x:v>Unlevered real USD. ROIC uses end-period net PPE+NWC and normalized 25% tax, not cash-tax-loss benefit; annual payback does not interpolate intra-year cash. No franchise terminal value.</x:v>
      </x:c>
    </x:row>
    <x:row r="17" ht="44" customHeight="1">
      <x:c r="A17" s="2" t="str">
        <x:v>plant</x:v>
      </x:c>
      <x:c r="B17" s="2" t="str">
        <x:v>integration</x:v>
      </x:c>
      <x:c r="C17" s="2" t="n">
        <x:v>13.879461780773948</x:v>
      </x:c>
      <x:c r="D17" s="2" t="str">
        <x:v>[0.152055716186]</x:v>
      </x:c>
      <x:c r="E17" s="2" t="n">
        <x:v>7</x:v>
      </x:c>
      <x:c r="F17" s="2" t="n">
        <x:v>10</x:v>
      </x:c>
      <x:c r="G17" s="2" t="n">
        <x:v>0.12610379281593204</x:v>
      </x:c>
      <x:c r="H17" s="2" t="n">
        <x:v>2.2104014142733877</x:v>
      </x:c>
      <x:c r="I17" s="2" t="n">
        <x:v>21.728734246575343</x:v>
      </x:c>
      <x:c r="J17" s="2" t="n">
        <x:v>0.638760713038841</x:v>
      </x:c>
      <x:c r="K17" s="2" t="n">
        <x:v>0.8427033117648247</x:v>
      </x:c>
      <x:c r="L17" s="2" t="n">
        <x:v>13.036758469009124</x:v>
      </x:c>
      <x:c r="M17" s="2" t="n">
        <x:v>12.643872320313855</x:v>
      </x:c>
      <x:c r="N17" s="2" t="n">
        <x:v>0.3203996042616289</x:v>
      </x:c>
      <x:c r="O17" s="2" t="str">
        <x:v>Unlevered real USD. ROIC uses end-period net PPE+NWC and normalized 25% tax, not cash-tax-loss benefit; annual payback does not interpolate intra-year cash. No franchise terminal value.</x:v>
      </x:c>
    </x:row>
    <x:row r="18" ht="44" customHeight="1">
      <x:c r="A18" s="2" t="str">
        <x:v>plant</x:v>
      </x:c>
      <x:c r="B18" s="2" t="str">
        <x:v>fragmented</x:v>
      </x:c>
      <x:c r="C18" s="2" t="n">
        <x:v>-17.20394764958582</x:v>
      </x:c>
      <x:c r="D18" s="2" t="str">
        <x:v>[0.005075146236]</x:v>
      </x:c>
      <x:c r="E18" s="2" t="n">
        <x:v>25</x:v>
      </x:c>
      <x:c r="F18" s="2"/>
      <x:c r="G18" s="2" t="n">
        <x:v>0.013489837678553468</x:v>
      </x:c>
      <x:c r="H18" s="2" t="n">
        <x:v>1.60001820570778</x:v>
      </x:c>
      <x:c r="I18" s="2" t="n">
        <x:v>25.97873621917809</x:v>
      </x:c>
      <x:c r="J18" s="2" t="n">
        <x:v>-0.6622318924384581</x:v>
      </x:c>
      <x:c r="K18" s="2" t="n">
        <x:v>0.4936911446260897</x:v>
      </x:c>
      <x:c r="L18" s="2" t="n">
        <x:v>-17.69763879421191</x:v>
      </x:c>
      <x:c r="M18" s="2" t="n">
        <x:v>-0.18186413992318232</x:v>
      </x:c>
      <x:c r="N18" s="2" t="n">
        <x:v>-0.015591403392874466</x:v>
      </x:c>
      <x:c r="O18" s="2" t="str">
        <x:v>Unlevered real USD. ROIC uses end-period net PPE+NWC and normalized 25% tax, not cash-tax-loss benefit; annual payback does not interpolate intra-year cash. No franchise terminal value.</x:v>
      </x:c>
    </x:row>
    <x:row r="19" ht="44" customHeight="1">
      <x:c r="A19" s="2" t="str">
        <x:v>plant</x:v>
      </x:c>
      <x:c r="B19" s="2" t="str">
        <x:v>physical</x:v>
      </x:c>
      <x:c r="C19" s="2" t="n">
        <x:v>-33.292163663292115</x:v>
      </x:c>
      <x:c r="D19" s="2" t="str">
        <x:v>[-0.132978687709]</x:v>
      </x:c>
      <x:c r="E19" s="2"/>
      <x:c r="F19" s="2"/>
      <x:c r="G19" s="2" t="n">
        <x:v>-0.06774215327848386</x:v>
      </x:c>
      <x:c r="H19" s="2" t="n">
        <x:v>1.410225651346896</x:v>
      </x:c>
      <x:c r="I19" s="2" t="n">
        <x:v>57.89763621465281</x:v>
      </x:c>
      <x:c r="J19" s="2" t="n">
        <x:v>-0.5750176663493299</x:v>
      </x:c>
      <x:c r="K19" s="2" t="n">
        <x:v>0.5658043535666495</x:v>
      </x:c>
      <x:c r="L19" s="2" t="n">
        <x:v>-33.85796801685876</x:v>
      </x:c>
      <x:c r="M19" s="2" t="n">
        <x:v>-4.432559852928076</x:v>
      </x:c>
      <x:c r="N19" s="2" t="n">
        <x:v>-4.695620982377556</x:v>
      </x:c>
      <x:c r="O19" s="2" t="str">
        <x:v>Unlevered real USD. ROIC uses end-period net PPE+NWC and normalized 25% tax, not cash-tax-loss benefit; annual payback does not interpolate intra-year cash. No franchise terminal value.</x:v>
      </x:c>
    </x:row>
    <x:row r="20" ht="44" customHeight="1">
      <x:c r="A20" s="2" t="str">
        <x:v>plant</x:v>
      </x:c>
      <x:c r="B20" s="2" t="str">
        <x:v>squeeze</x:v>
      </x:c>
      <x:c r="C20" s="2" t="n">
        <x:v>-24.952075111496065</x:v>
      </x:c>
      <x:c r="D20" s="2" t="str">
        <x:v>[-0.082797875888]</x:v>
      </x:c>
      <x:c r="E20" s="2"/>
      <x:c r="F20" s="2"/>
      <x:c r="G20" s="2" t="n">
        <x:v>-0.031974430639479315</x:v>
      </x:c>
      <x:c r="H20" s="2" t="n">
        <x:v>1.397031366691561</x:v>
      </x:c>
      <x:c r="I20" s="2" t="n">
        <x:v>38.204532602739775</x:v>
      </x:c>
      <x:c r="J20" s="2" t="n">
        <x:v>-0.6531181881206072</x:v>
      </x:c>
      <x:c r="K20" s="2" t="n">
        <x:v>0.28173377148264445</x:v>
      </x:c>
      <x:c r="L20" s="2" t="n">
        <x:v>-25.23380888297871</x:v>
      </x:c>
      <x:c r="M20" s="2" t="n">
        <x:v>-2.306100762344556</x:v>
      </x:c>
      <x:c r="N20" s="2" t="n">
        <x:v>-0.5200988865507326</x:v>
      </x:c>
      <x:c r="O20" s="2" t="str">
        <x:v>Unlevered real USD. ROIC uses end-period net PPE+NWC and normalized 25% tax, not cash-tax-loss benefit; annual payback does not interpolate intra-year cash. No franchise terminal value.</x:v>
      </x:c>
    </x:row>
    <x:row r="21" ht="44" customHeight="1">
      <x:c r="A21" s="2" t="str">
        <x:v>plant</x:v>
      </x:c>
      <x:c r="B21" s="2" t="str">
        <x:v>nutrition</x:v>
      </x:c>
      <x:c r="C21" s="2" t="n">
        <x:v>-2.8782641183332043</x:v>
      </x:c>
      <x:c r="D21" s="2" t="str">
        <x:v>[0.084776665854]</x:v>
      </x:c>
      <x:c r="E21" s="2" t="n">
        <x:v>10</x:v>
      </x:c>
      <x:c r="F21" s="2"/>
      <x:c r="G21" s="2" t="n">
        <x:v>0.07232986493926076</x:v>
      </x:c>
      <x:c r="H21" s="2" t="n">
        <x:v>1.8875238808679464</x:v>
      </x:c>
      <x:c r="I21" s="2" t="n">
        <x:v>23.1676301369863</x:v>
      </x:c>
      <x:c r="J21" s="2" t="n">
        <x:v>-0.12423644979285808</x:v>
      </x:c>
      <x:c r="K21" s="2" t="n">
        <x:v>0.7439729232248751</x:v>
      </x:c>
      <x:c r="L21" s="2" t="n">
        <x:v>-3.6222370415580794</x:v>
      </x:c>
      <x:c r="M21" s="2" t="n">
        <x:v>4.952434257898219</x:v>
      </x:c>
      <x:c r="N21" s="2" t="n">
        <x:v>0.20395701689625284</x:v>
      </x:c>
      <x:c r="O21" s="2" t="str">
        <x:v>Unlevered real USD. ROIC uses end-period net PPE+NWC and normalized 25% tax, not cash-tax-loss benefit; annual payback does not interpolate intra-year cash. No franchise terminal value.</x:v>
      </x:c>
    </x:row>
  </x:sheetData>
  <x:mergeCells>
    <x:mergeCell ref="A1:O1"/>
    <x:mergeCell ref="A2:O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</x:cols>
  <x:sheetData>
    <x:row r="1" ht="42" customHeight="1">
      <x:c r="A1" s="5" t="str">
        <x:v>Boundary Grid / v1.1.0</x:v>
      </x:c>
      <x:c r="B1" s="2"/>
      <x:c r="C1" s="2"/>
      <x:c r="D1" s="2"/>
      <x:c r="E1" s="2"/>
      <x:c r="F1" s="2"/>
    </x:row>
    <x:row r="2" ht="42" customHeight="1">
      <x:c r="A2" s="2" t="str">
        <x:v>Public evidence + chosen examples; no Olam internal investment valuation</x:v>
      </x:c>
      <x:c r="B2" s="2"/>
      <x:c r="C2" s="2"/>
      <x:c r="D2" s="2"/>
      <x:c r="E2" s="2"/>
      <x:c r="F2" s="2"/>
    </x:row>
    <x:row r="3" ht="32" customHeight="1">
      <x:c r="A3" s="4" t="str">
        <x:v>mode</x:v>
      </x:c>
      <x:c r="B3" s="4" t="str">
        <x:v>orders_factor</x:v>
      </x:c>
      <x:c r="C3" s="4" t="str">
        <x:v>contribution_USD_per_t</x:v>
      </x:c>
      <x:c r="D3" s="4" t="str">
        <x:v>NPV</x:v>
      </x:c>
      <x:c r="E3" s="4" t="str">
        <x:v>peak_funding</x:v>
      </x:c>
      <x:c r="F3" s="4" t="str">
        <x:v>status</x:v>
      </x:c>
    </x:row>
    <x:row r="4" ht="44" customHeight="1">
      <x:c r="A4" s="2" t="str">
        <x:v>trade</x:v>
      </x:c>
      <x:c r="B4" s="2" t="n">
        <x:v>0.7</x:v>
      </x:c>
      <x:c r="C4" s="2" t="n">
        <x:v>30</x:v>
      </x:c>
      <x:c r="D4" s="2" t="n">
        <x:v>10.24713998835503</x:v>
      </x:c>
      <x:c r="E4" s="2" t="n">
        <x:v>1.3275136986301366</x:v>
      </x:c>
      <x:c r="F4" s="2" t="str">
        <x:v>Chosen boundary grid; no country valuation</x:v>
      </x:c>
    </x:row>
    <x:row r="5" ht="44" customHeight="1">
      <x:c r="A5" s="2" t="str">
        <x:v>trade</x:v>
      </x:c>
      <x:c r="B5" s="2" t="n">
        <x:v>0.7</x:v>
      </x:c>
      <x:c r="C5" s="2" t="n">
        <x:v>45</x:v>
      </x:c>
      <x:c r="D5" s="2" t="n">
        <x:v>17.667124244664684</x:v>
      </x:c>
      <x:c r="E5" s="2" t="n">
        <x:v>0.9208184931506853</x:v>
      </x:c>
      <x:c r="F5" s="2" t="str">
        <x:v>Chosen boundary grid; no country valuation</x:v>
      </x:c>
    </x:row>
    <x:row r="6" ht="44" customHeight="1">
      <x:c r="A6" s="2" t="str">
        <x:v>trade</x:v>
      </x:c>
      <x:c r="B6" s="2" t="n">
        <x:v>0.7</x:v>
      </x:c>
      <x:c r="C6" s="2" t="n">
        <x:v>60</x:v>
      </x:c>
      <x:c r="D6" s="2" t="n">
        <x:v>25.087108500974345</x:v>
      </x:c>
      <x:c r="E6" s="2" t="n">
        <x:v>0.6</x:v>
      </x:c>
      <x:c r="F6" s="2" t="str">
        <x:v>Chosen boundary grid; no country valuation</x:v>
      </x:c>
    </x:row>
    <x:row r="7" ht="44" customHeight="1">
      <x:c r="A7" s="2" t="str">
        <x:v>trade</x:v>
      </x:c>
      <x:c r="B7" s="2" t="n">
        <x:v>0.7</x:v>
      </x:c>
      <x:c r="C7" s="2" t="n">
        <x:v>75</x:v>
      </x:c>
      <x:c r="D7" s="2" t="n">
        <x:v>32.50709275728401</x:v>
      </x:c>
      <x:c r="E7" s="2" t="n">
        <x:v>0.6</x:v>
      </x:c>
      <x:c r="F7" s="2" t="str">
        <x:v>Chosen boundary grid; no country valuation</x:v>
      </x:c>
    </x:row>
    <x:row r="8" ht="44" customHeight="1">
      <x:c r="A8" s="2" t="str">
        <x:v>trade</x:v>
      </x:c>
      <x:c r="B8" s="2" t="n">
        <x:v>0.7</x:v>
      </x:c>
      <x:c r="C8" s="2" t="n">
        <x:v>90</x:v>
      </x:c>
      <x:c r="D8" s="2" t="n">
        <x:v>39.92707701359367</x:v>
      </x:c>
      <x:c r="E8" s="2" t="n">
        <x:v>0.6</x:v>
      </x:c>
      <x:c r="F8" s="2" t="str">
        <x:v>Chosen boundary grid; no country valuation</x:v>
      </x:c>
    </x:row>
    <x:row r="9" ht="44" customHeight="1">
      <x:c r="A9" s="2" t="str">
        <x:v>trade</x:v>
      </x:c>
      <x:c r="B9" s="2" t="n">
        <x:v>0.85</x:v>
      </x:c>
      <x:c r="C9" s="2" t="n">
        <x:v>30</x:v>
      </x:c>
      <x:c r="D9" s="2" t="n">
        <x:v>13.07572995527182</x:v>
      </x:c>
      <x:c r="E9" s="2" t="n">
        <x:v>1.3586952054794517</x:v>
      </x:c>
      <x:c r="F9" s="2" t="str">
        <x:v>Chosen boundary grid; no country valuation</x:v>
      </x:c>
    </x:row>
    <x:row r="10" ht="44" customHeight="1">
      <x:c r="A10" s="2" t="str">
        <x:v>trade</x:v>
      </x:c>
      <x:c r="B10" s="2" t="n">
        <x:v>0.85</x:v>
      </x:c>
      <x:c r="C10" s="2" t="n">
        <x:v>45</x:v>
      </x:c>
      <x:c r="D10" s="2" t="n">
        <x:v>22.085710837933547</x:v>
      </x:c>
      <x:c r="E10" s="2" t="n">
        <x:v>0.8648510273972605</x:v>
      </x:c>
      <x:c r="F10" s="2" t="str">
        <x:v>Chosen boundary grid; no country valuation</x:v>
      </x:c>
    </x:row>
    <x:row r="11" ht="44" customHeight="1">
      <x:c r="A11" s="2" t="str">
        <x:v>trade</x:v>
      </x:c>
      <x:c r="B11" s="2" t="n">
        <x:v>0.85</x:v>
      </x:c>
      <x:c r="C11" s="2" t="n">
        <x:v>60</x:v>
      </x:c>
      <x:c r="D11" s="2" t="n">
        <x:v>31.095691720595283</x:v>
      </x:c>
      <x:c r="E11" s="2" t="n">
        <x:v>0.6</x:v>
      </x:c>
      <x:c r="F11" s="2" t="str">
        <x:v>Chosen boundary grid; no country valuation</x:v>
      </x:c>
    </x:row>
    <x:row r="12" ht="44" customHeight="1">
      <x:c r="A12" s="2" t="str">
        <x:v>trade</x:v>
      </x:c>
      <x:c r="B12" s="2" t="n">
        <x:v>0.85</x:v>
      </x:c>
      <x:c r="C12" s="2" t="n">
        <x:v>75</x:v>
      </x:c>
      <x:c r="D12" s="2" t="n">
        <x:v>40.10567260325701</x:v>
      </x:c>
      <x:c r="E12" s="2" t="n">
        <x:v>0.6</x:v>
      </x:c>
      <x:c r="F12" s="2" t="str">
        <x:v>Chosen boundary grid; no country valuation</x:v>
      </x:c>
    </x:row>
    <x:row r="13" ht="44" customHeight="1">
      <x:c r="A13" s="2" t="str">
        <x:v>trade</x:v>
      </x:c>
      <x:c r="B13" s="2" t="n">
        <x:v>0.85</x:v>
      </x:c>
      <x:c r="C13" s="2" t="n">
        <x:v>90</x:v>
      </x:c>
      <x:c r="D13" s="2" t="n">
        <x:v>49.11565348591874</x:v>
      </x:c>
      <x:c r="E13" s="2" t="n">
        <x:v>0.6</x:v>
      </x:c>
      <x:c r="F13" s="2" t="str">
        <x:v>Chosen boundary grid; no country valuation</x:v>
      </x:c>
    </x:row>
    <x:row r="14" ht="44" customHeight="1">
      <x:c r="A14" s="2" t="str">
        <x:v>trade</x:v>
      </x:c>
      <x:c r="B14" s="2" t="n">
        <x:v>1</x:v>
      </x:c>
      <x:c r="C14" s="2" t="n">
        <x:v>30</x:v>
      </x:c>
      <x:c r="D14" s="2" t="n">
        <x:v>15.904319922188611</x:v>
      </x:c>
      <x:c r="E14" s="2" t="n">
        <x:v>1.3898767123287672</x:v>
      </x:c>
      <x:c r="F14" s="2" t="str">
        <x:v>Chosen boundary grid; no country valuation</x:v>
      </x:c>
    </x:row>
    <x:row r="15" ht="44" customHeight="1">
      <x:c r="A15" s="2" t="str">
        <x:v>trade</x:v>
      </x:c>
      <x:c r="B15" s="2" t="n">
        <x:v>1</x:v>
      </x:c>
      <x:c r="C15" s="2" t="n">
        <x:v>45</x:v>
      </x:c>
      <x:c r="D15" s="2" t="n">
        <x:v>26.504297431202406</x:v>
      </x:c>
      <x:c r="E15" s="2" t="n">
        <x:v>0.8088835616438356</x:v>
      </x:c>
      <x:c r="F15" s="2" t="str">
        <x:v>Chosen boundary grid; no country valuation</x:v>
      </x:c>
    </x:row>
    <x:row r="16" ht="44" customHeight="1">
      <x:c r="A16" s="2" t="str">
        <x:v>trade</x:v>
      </x:c>
      <x:c r="B16" s="2" t="n">
        <x:v>1</x:v>
      </x:c>
      <x:c r="C16" s="2" t="n">
        <x:v>60</x:v>
      </x:c>
      <x:c r="D16" s="2" t="n">
        <x:v>37.104274940216214</x:v>
      </x:c>
      <x:c r="E16" s="2" t="n">
        <x:v>0.6</x:v>
      </x:c>
      <x:c r="F16" s="2" t="str">
        <x:v>Chosen boundary grid; no country valuation</x:v>
      </x:c>
    </x:row>
    <x:row r="17" ht="44" customHeight="1">
      <x:c r="A17" s="2" t="str">
        <x:v>trade</x:v>
      </x:c>
      <x:c r="B17" s="2" t="n">
        <x:v>1</x:v>
      </x:c>
      <x:c r="C17" s="2" t="n">
        <x:v>75</x:v>
      </x:c>
      <x:c r="D17" s="2" t="n">
        <x:v>47.70425244923001</x:v>
      </x:c>
      <x:c r="E17" s="2" t="n">
        <x:v>0.6</x:v>
      </x:c>
      <x:c r="F17" s="2" t="str">
        <x:v>Chosen boundary grid; no country valuation</x:v>
      </x:c>
    </x:row>
    <x:row r="18" ht="44" customHeight="1">
      <x:c r="A18" s="2" t="str">
        <x:v>trade</x:v>
      </x:c>
      <x:c r="B18" s="2" t="n">
        <x:v>1</x:v>
      </x:c>
      <x:c r="C18" s="2" t="n">
        <x:v>90</x:v>
      </x:c>
      <x:c r="D18" s="2" t="n">
        <x:v>58.30422995824381</x:v>
      </x:c>
      <x:c r="E18" s="2" t="n">
        <x:v>0.6</x:v>
      </x:c>
      <x:c r="F18" s="2" t="str">
        <x:v>Chosen boundary grid; no country valuation</x:v>
      </x:c>
    </x:row>
    <x:row r="19" ht="44" customHeight="1">
      <x:c r="A19" s="2" t="str">
        <x:v>trade</x:v>
      </x:c>
      <x:c r="B19" s="2" t="n">
        <x:v>1.15</x:v>
      </x:c>
      <x:c r="C19" s="2" t="n">
        <x:v>30</x:v>
      </x:c>
      <x:c r="D19" s="2" t="n">
        <x:v>18.732909889105407</x:v>
      </x:c>
      <x:c r="E19" s="2" t="n">
        <x:v>1.421058219178081</x:v>
      </x:c>
      <x:c r="F19" s="2" t="str">
        <x:v>Chosen boundary grid; no country valuation</x:v>
      </x:c>
    </x:row>
    <x:row r="20" ht="44" customHeight="1">
      <x:c r="A20" s="2" t="str">
        <x:v>trade</x:v>
      </x:c>
      <x:c r="B20" s="2" t="n">
        <x:v>1.15</x:v>
      </x:c>
      <x:c r="C20" s="2" t="n">
        <x:v>45</x:v>
      </x:c>
      <x:c r="D20" s="2" t="n">
        <x:v>30.92288402447128</x:v>
      </x:c>
      <x:c r="E20" s="2" t="n">
        <x:v>0.7529160958904116</x:v>
      </x:c>
      <x:c r="F20" s="2" t="str">
        <x:v>Chosen boundary grid; no country valuation</x:v>
      </x:c>
    </x:row>
    <x:row r="21" ht="44" customHeight="1">
      <x:c r="A21" s="2" t="str">
        <x:v>trade</x:v>
      </x:c>
      <x:c r="B21" s="2" t="n">
        <x:v>1.15</x:v>
      </x:c>
      <x:c r="C21" s="2" t="n">
        <x:v>60</x:v>
      </x:c>
      <x:c r="D21" s="2" t="n">
        <x:v>43.11285815983716</x:v>
      </x:c>
      <x:c r="E21" s="2" t="n">
        <x:v>0.6</x:v>
      </x:c>
      <x:c r="F21" s="2" t="str">
        <x:v>Chosen boundary grid; no country valuation</x:v>
      </x:c>
    </x:row>
    <x:row r="22" ht="44" customHeight="1">
      <x:c r="A22" s="2" t="str">
        <x:v>trade</x:v>
      </x:c>
      <x:c r="B22" s="2" t="n">
        <x:v>1.15</x:v>
      </x:c>
      <x:c r="C22" s="2" t="n">
        <x:v>75</x:v>
      </x:c>
      <x:c r="D22" s="2" t="n">
        <x:v>55.302832295203025</x:v>
      </x:c>
      <x:c r="E22" s="2" t="n">
        <x:v>0.6</x:v>
      </x:c>
      <x:c r="F22" s="2" t="str">
        <x:v>Chosen boundary grid; no country valuation</x:v>
      </x:c>
    </x:row>
    <x:row r="23" ht="44" customHeight="1">
      <x:c r="A23" s="2" t="str">
        <x:v>trade</x:v>
      </x:c>
      <x:c r="B23" s="2" t="n">
        <x:v>1.15</x:v>
      </x:c>
      <x:c r="C23" s="2" t="n">
        <x:v>90</x:v>
      </x:c>
      <x:c r="D23" s="2" t="n">
        <x:v>67.49280643056889</x:v>
      </x:c>
      <x:c r="E23" s="2" t="n">
        <x:v>0.6</x:v>
      </x:c>
      <x:c r="F23" s="2" t="str">
        <x:v>Chosen boundary grid; no country valuation</x:v>
      </x:c>
    </x:row>
    <x:row r="24" ht="44" customHeight="1">
      <x:c r="A24" s="2" t="str">
        <x:v>trade</x:v>
      </x:c>
      <x:c r="B24" s="2" t="n">
        <x:v>1.3</x:v>
      </x:c>
      <x:c r="C24" s="2" t="n">
        <x:v>30</x:v>
      </x:c>
      <x:c r="D24" s="2" t="n">
        <x:v>21.215470972819457</x:v>
      </x:c>
      <x:c r="E24" s="2" t="n">
        <x:v>1.4522397260273976</x:v>
      </x:c>
      <x:c r="F24" s="2" t="str">
        <x:v>Chosen boundary grid; no country valuation</x:v>
      </x:c>
    </x:row>
    <x:row r="25" ht="44" customHeight="1">
      <x:c r="A25" s="2" t="str">
        <x:v>trade</x:v>
      </x:c>
      <x:c r="B25" s="2" t="n">
        <x:v>1.3</x:v>
      </x:c>
      <x:c r="C25" s="2" t="n">
        <x:v>45</x:v>
      </x:c>
      <x:c r="D25" s="2" t="n">
        <x:v>34.80075390139294</x:v>
      </x:c>
      <x:c r="E25" s="2" t="n">
        <x:v>0.6969486301369857</x:v>
      </x:c>
      <x:c r="F25" s="2" t="str">
        <x:v>Chosen boundary grid; no country valuation</x:v>
      </x:c>
    </x:row>
    <x:row r="26" ht="44" customHeight="1">
      <x:c r="A26" s="2" t="str">
        <x:v>trade</x:v>
      </x:c>
      <x:c r="B26" s="2" t="n">
        <x:v>1.3</x:v>
      </x:c>
      <x:c r="C26" s="2" t="n">
        <x:v>60</x:v>
      </x:c>
      <x:c r="D26" s="2" t="n">
        <x:v>48.38603682996639</x:v>
      </x:c>
      <x:c r="E26" s="2" t="n">
        <x:v>0.6</x:v>
      </x:c>
      <x:c r="F26" s="2" t="str">
        <x:v>Chosen boundary grid; no country valuation</x:v>
      </x:c>
    </x:row>
    <x:row r="27" ht="44" customHeight="1">
      <x:c r="A27" s="2" t="str">
        <x:v>trade</x:v>
      </x:c>
      <x:c r="B27" s="2" t="n">
        <x:v>1.3</x:v>
      </x:c>
      <x:c r="C27" s="2" t="n">
        <x:v>75</x:v>
      </x:c>
      <x:c r="D27" s="2" t="n">
        <x:v>61.971319758539856</x:v>
      </x:c>
      <x:c r="E27" s="2" t="n">
        <x:v>0.6</x:v>
      </x:c>
      <x:c r="F27" s="2" t="str">
        <x:v>Chosen boundary grid; no country valuation</x:v>
      </x:c>
    </x:row>
    <x:row r="28" ht="44" customHeight="1">
      <x:c r="A28" s="2" t="str">
        <x:v>trade</x:v>
      </x:c>
      <x:c r="B28" s="2" t="n">
        <x:v>1.3</x:v>
      </x:c>
      <x:c r="C28" s="2" t="n">
        <x:v>90</x:v>
      </x:c>
      <x:c r="D28" s="2" t="n">
        <x:v>75.55660268711334</x:v>
      </x:c>
      <x:c r="E28" s="2" t="n">
        <x:v>0.6</x:v>
      </x:c>
      <x:c r="F28" s="2" t="str">
        <x:v>Chosen boundary grid; no country valuation</x:v>
      </x:c>
    </x:row>
    <x:row r="29" ht="44" customHeight="1">
      <x:c r="A29" s="2" t="str">
        <x:v>partner</x:v>
      </x:c>
      <x:c r="B29" s="2" t="n">
        <x:v>0.7</x:v>
      </x:c>
      <x:c r="C29" s="2" t="n">
        <x:v>30</x:v>
      </x:c>
      <x:c r="D29" s="2" t="n">
        <x:v>-6.84898875014714</x:v>
      </x:c>
      <x:c r="E29" s="2" t="n">
        <x:v>11.201785273972602</x:v>
      </x:c>
      <x:c r="F29" s="2" t="str">
        <x:v>Chosen boundary grid; no country valuation</x:v>
      </x:c>
    </x:row>
    <x:row r="30" ht="44" customHeight="1">
      <x:c r="A30" s="2" t="str">
        <x:v>partner</x:v>
      </x:c>
      <x:c r="B30" s="2" t="n">
        <x:v>0.7</x:v>
      </x:c>
      <x:c r="C30" s="2" t="n">
        <x:v>45</x:v>
      </x:c>
      <x:c r="D30" s="2" t="n">
        <x:v>0.7150146815336953</x:v>
      </x:c>
      <x:c r="E30" s="2" t="n">
        <x:v>9.7346</x:v>
      </x:c>
      <x:c r="F30" s="2" t="str">
        <x:v>Chosen boundary grid; no country valuation</x:v>
      </x:c>
    </x:row>
    <x:row r="31" ht="44" customHeight="1">
      <x:c r="A31" s="2" t="str">
        <x:v>partner</x:v>
      </x:c>
      <x:c r="B31" s="2" t="n">
        <x:v>0.7</x:v>
      </x:c>
      <x:c r="C31" s="2" t="n">
        <x:v>60</x:v>
      </x:c>
      <x:c r="D31" s="2" t="n">
        <x:v>8.183467676099472</x:v>
      </x:c>
      <x:c r="E31" s="2" t="n">
        <x:v>9.170041095890411</x:v>
      </x:c>
      <x:c r="F31" s="2" t="str">
        <x:v>Chosen boundary grid; no country valuation</x:v>
      </x:c>
    </x:row>
    <x:row r="32" ht="44" customHeight="1">
      <x:c r="A32" s="2" t="str">
        <x:v>partner</x:v>
      </x:c>
      <x:c r="B32" s="2" t="n">
        <x:v>0.7</x:v>
      </x:c>
      <x:c r="C32" s="2" t="n">
        <x:v>75</x:v>
      </x:c>
      <x:c r="D32" s="2" t="n">
        <x:v>15.64280910041732</x:v>
      </x:c>
      <x:c r="E32" s="2" t="n">
        <x:v>8.740332191780823</x:v>
      </x:c>
      <x:c r="F32" s="2" t="str">
        <x:v>Chosen boundary grid; no country valuation</x:v>
      </x:c>
    </x:row>
    <x:row r="33" ht="44" customHeight="1">
      <x:c r="A33" s="2" t="str">
        <x:v>partner</x:v>
      </x:c>
      <x:c r="B33" s="2" t="n">
        <x:v>0.7</x:v>
      </x:c>
      <x:c r="C33" s="2" t="n">
        <x:v>90</x:v>
      </x:c>
      <x:c r="D33" s="2" t="n">
        <x:v>23.102150524735162</x:v>
      </x:c>
      <x:c r="E33" s="2" t="n">
        <x:v>8.310623287671234</x:v>
      </x:c>
      <x:c r="F33" s="2" t="str">
        <x:v>Chosen boundary grid; no country valuation</x:v>
      </x:c>
    </x:row>
    <x:row r="34" ht="44" customHeight="1">
      <x:c r="A34" s="2" t="str">
        <x:v>partner</x:v>
      </x:c>
      <x:c r="B34" s="2" t="n">
        <x:v>0.85</x:v>
      </x:c>
      <x:c r="C34" s="2" t="n">
        <x:v>30</x:v>
      </x:c>
      <x:c r="D34" s="2" t="n">
        <x:v>-4.313938370446401</x:v>
      </x:c>
      <x:c r="E34" s="2" t="n">
        <x:v>11.24141095890411</x:v>
      </x:c>
      <x:c r="F34" s="2" t="str">
        <x:v>Chosen boundary grid; no country valuation</x:v>
      </x:c>
    </x:row>
    <x:row r="35" ht="44" customHeight="1">
      <x:c r="A35" s="2" t="str">
        <x:v>partner</x:v>
      </x:c>
      <x:c r="B35" s="2" t="n">
        <x:v>0.85</x:v>
      </x:c>
      <x:c r="C35" s="2" t="n">
        <x:v>45</x:v>
      </x:c>
      <x:c r="D35" s="2" t="n">
        <x:v>4.772303771793285</x:v>
      </x:c>
      <x:c r="E35" s="2" t="n">
        <x:v>9.785</x:v>
      </x:c>
      <x:c r="F35" s="2" t="str">
        <x:v>Chosen boundary grid; no country valuation</x:v>
      </x:c>
    </x:row>
    <x:row r="36" ht="44" customHeight="1">
      <x:c r="A36" s="2" t="str">
        <x:v>partner</x:v>
      </x:c>
      <x:c r="B36" s="2" t="n">
        <x:v>0.85</x:v>
      </x:c>
      <x:c r="C36" s="2" t="n">
        <x:v>60</x:v>
      </x:c>
      <x:c r="D36" s="2" t="n">
        <x:v>13.832213931074165</x:v>
      </x:c>
      <x:c r="E36" s="2" t="n">
        <x:v>9.237335616438354</x:v>
      </x:c>
      <x:c r="F36" s="2" t="str">
        <x:v>Chosen boundary grid; no country valuation</x:v>
      </x:c>
    </x:row>
    <x:row r="37" ht="44" customHeight="1">
      <x:c r="A37" s="2" t="str">
        <x:v>partner</x:v>
      </x:c>
      <x:c r="B37" s="2" t="n">
        <x:v>0.85</x:v>
      </x:c>
      <x:c r="C37" s="2" t="n">
        <x:v>75</x:v>
      </x:c>
      <x:c r="D37" s="2" t="n">
        <x:v>22.889985660602974</x:v>
      </x:c>
      <x:c r="E37" s="2" t="n">
        <x:v>8.715546232876711</x:v>
      </x:c>
      <x:c r="F37" s="2" t="str">
        <x:v>Chosen boundary grid; no country valuation</x:v>
      </x:c>
    </x:row>
    <x:row r="38" ht="44" customHeight="1">
      <x:c r="A38" s="2" t="str">
        <x:v>partner</x:v>
      </x:c>
      <x:c r="B38" s="2" t="n">
        <x:v>0.85</x:v>
      </x:c>
      <x:c r="C38" s="2" t="n">
        <x:v>90</x:v>
      </x:c>
      <x:c r="D38" s="2" t="n">
        <x:v>31.94775739013178</x:v>
      </x:c>
      <x:c r="E38" s="2" t="n">
        <x:v>8.193756849315069</x:v>
      </x:c>
      <x:c r="F38" s="2" t="str">
        <x:v>Chosen boundary grid; no country valuation</x:v>
      </x:c>
    </x:row>
    <x:row r="39" ht="44" customHeight="1">
      <x:c r="A39" s="2" t="str">
        <x:v>partner</x:v>
      </x:c>
      <x:c r="B39" s="2" t="n">
        <x:v>1</x:v>
      </x:c>
      <x:c r="C39" s="2" t="n">
        <x:v>30</x:v>
      </x:c>
      <x:c r="D39" s="2" t="n">
        <x:v>-1.92183446642766</x:v>
      </x:c>
      <x:c r="E39" s="2" t="n">
        <x:v>11.333424657534252</x:v>
      </x:c>
      <x:c r="F39" s="2" t="str">
        <x:v>Chosen boundary grid; no country valuation</x:v>
      </x:c>
    </x:row>
    <x:row r="40" ht="44" customHeight="1">
      <x:c r="A40" s="2" t="str">
        <x:v>partner</x:v>
      </x:c>
      <x:c r="B40" s="2" t="n">
        <x:v>1</x:v>
      </x:c>
      <x:c r="C40" s="2" t="n">
        <x:v>45</x:v>
      </x:c>
      <x:c r="D40" s="2" t="n">
        <x:v>8.696297032339302</x:v>
      </x:c>
      <x:c r="E40" s="2" t="n">
        <x:v>9.9185</x:v>
      </x:c>
      <x:c r="F40" s="2" t="str">
        <x:v>Chosen boundary grid; no country valuation</x:v>
      </x:c>
    </x:row>
    <x:row r="41" ht="44" customHeight="1">
      <x:c r="A41" s="2" t="str">
        <x:v>partner</x:v>
      </x:c>
      <x:c r="B41" s="2" t="n">
        <x:v>1</x:v>
      </x:c>
      <x:c r="C41" s="2" t="n">
        <x:v>60</x:v>
      </x:c>
      <x:c r="D41" s="2" t="n">
        <x:v>19.30166369263896</x:v>
      </x:c>
      <x:c r="E41" s="2" t="n">
        <x:v>9.304630136986301</x:v>
      </x:c>
      <x:c r="F41" s="2" t="str">
        <x:v>Chosen boundary grid; no country valuation</x:v>
      </x:c>
    </x:row>
    <x:row r="42" ht="44" customHeight="1">
      <x:c r="A42" s="2" t="str">
        <x:v>partner</x:v>
      </x:c>
      <x:c r="B42" s="2" t="n">
        <x:v>1</x:v>
      </x:c>
      <x:c r="C42" s="2" t="n">
        <x:v>75</x:v>
      </x:c>
      <x:c r="D42" s="2" t="n">
        <x:v>29.9070303529386</x:v>
      </x:c>
      <x:c r="E42" s="2" t="n">
        <x:v>8.690760273972604</x:v>
      </x:c>
      <x:c r="F42" s="2" t="str">
        <x:v>Chosen boundary grid; no country valuation</x:v>
      </x:c>
    </x:row>
    <x:row r="43" ht="44" customHeight="1">
      <x:c r="A43" s="2" t="str">
        <x:v>partner</x:v>
      </x:c>
      <x:c r="B43" s="2" t="n">
        <x:v>1</x:v>
      </x:c>
      <x:c r="C43" s="2" t="n">
        <x:v>90</x:v>
      </x:c>
      <x:c r="D43" s="2" t="n">
        <x:v>40.51239701323825</x:v>
      </x:c>
      <x:c r="E43" s="2" t="n">
        <x:v>8.076890410958903</x:v>
      </x:c>
      <x:c r="F43" s="2" t="str">
        <x:v>Chosen boundary grid; no country valuation</x:v>
      </x:c>
    </x:row>
    <x:row r="44" ht="44" customHeight="1">
      <x:c r="A44" s="2" t="str">
        <x:v>partner</x:v>
      </x:c>
      <x:c r="B44" s="2" t="n">
        <x:v>1.15</x:v>
      </x:c>
      <x:c r="C44" s="2" t="n">
        <x:v>30</x:v>
      </x:c>
      <x:c r="D44" s="2" t="n">
        <x:v>-0.6208417777328457</x:v>
      </x:c>
      <x:c r="E44" s="2" t="n">
        <x:v>11.545038356164387</x:v>
      </x:c>
      <x:c r="F44" s="2" t="str">
        <x:v>Chosen boundary grid; no country valuation</x:v>
      </x:c>
    </x:row>
    <x:row r="45" ht="44" customHeight="1">
      <x:c r="A45" s="2" t="str">
        <x:v>partner</x:v>
      </x:c>
      <x:c r="B45" s="2" t="n">
        <x:v>1.15</x:v>
      </x:c>
      <x:c r="C45" s="2" t="n">
        <x:v>45</x:v>
      </x:c>
      <x:c r="D45" s="2" t="n">
        <x:v>10.833957837239758</x:v>
      </x:c>
      <x:c r="E45" s="2" t="n">
        <x:v>10.077875000000002</x:v>
      </x:c>
      <x:c r="F45" s="2" t="str">
        <x:v>Chosen boundary grid; no country valuation</x:v>
      </x:c>
    </x:row>
    <x:row r="46" ht="44" customHeight="1">
      <x:c r="A46" s="2" t="str">
        <x:v>partner</x:v>
      </x:c>
      <x:c r="B46" s="2" t="n">
        <x:v>1.15</x:v>
      </x:c>
      <x:c r="C46" s="2" t="n">
        <x:v>60</x:v>
      </x:c>
      <x:c r="D46" s="2" t="n">
        <x:v>22.282745055518188</x:v>
      </x:c>
      <x:c r="E46" s="2" t="n">
        <x:v>9.371924657534247</x:v>
      </x:c>
      <x:c r="F46" s="2" t="str">
        <x:v>Chosen boundary grid; no country valuation</x:v>
      </x:c>
    </x:row>
    <x:row r="47" ht="44" customHeight="1">
      <x:c r="A47" s="2" t="str">
        <x:v>partner</x:v>
      </x:c>
      <x:c r="B47" s="2" t="n">
        <x:v>1.15</x:v>
      </x:c>
      <x:c r="C47" s="2" t="n">
        <x:v>75</x:v>
      </x:c>
      <x:c r="D47" s="2" t="n">
        <x:v>33.731532273796574</x:v>
      </x:c>
      <x:c r="E47" s="2" t="n">
        <x:v>8.665974315068492</x:v>
      </x:c>
      <x:c r="F47" s="2" t="str">
        <x:v>Chosen boundary grid; no country valuation</x:v>
      </x:c>
    </x:row>
    <x:row r="48" ht="44" customHeight="1">
      <x:c r="A48" s="2" t="str">
        <x:v>partner</x:v>
      </x:c>
      <x:c r="B48" s="2" t="n">
        <x:v>1.15</x:v>
      </x:c>
      <x:c r="C48" s="2" t="n">
        <x:v>90</x:v>
      </x:c>
      <x:c r="D48" s="2" t="n">
        <x:v>45.180319492074965</x:v>
      </x:c>
      <x:c r="E48" s="2" t="n">
        <x:v>7.960023972602739</x:v>
      </x:c>
      <x:c r="F48" s="2" t="str">
        <x:v>Chosen boundary grid; no country valuation</x:v>
      </x:c>
    </x:row>
    <x:row r="49" ht="44" customHeight="1">
      <x:c r="A49" s="2" t="str">
        <x:v>partner</x:v>
      </x:c>
      <x:c r="B49" s="2" t="n">
        <x:v>1.3</x:v>
      </x:c>
      <x:c r="C49" s="2" t="n">
        <x:v>30</x:v>
      </x:c>
      <x:c r="D49" s="2" t="n">
        <x:v>-0.30236254256990946</x:v>
      </x:c>
      <x:c r="E49" s="2" t="n">
        <x:v>11.784652054794524</x:v>
      </x:c>
      <x:c r="F49" s="2" t="str">
        <x:v>Chosen boundary grid; no country valuation</x:v>
      </x:c>
    </x:row>
    <x:row r="50" ht="44" customHeight="1">
      <x:c r="A50" s="2" t="str">
        <x:v>partner</x:v>
      </x:c>
      <x:c r="B50" s="2" t="n">
        <x:v>1.3</x:v>
      </x:c>
      <x:c r="C50" s="2" t="n">
        <x:v>45</x:v>
      </x:c>
      <x:c r="D50" s="2" t="n">
        <x:v>11.352302948997838</x:v>
      </x:c>
      <x:c r="E50" s="2" t="n">
        <x:v>10.23725</x:v>
      </x:c>
      <x:c r="F50" s="2" t="str">
        <x:v>Chosen boundary grid; no country valuation</x:v>
      </x:c>
    </x:row>
    <x:row r="51" ht="44" customHeight="1">
      <x:c r="A51" s="2" t="str">
        <x:v>partner</x:v>
      </x:c>
      <x:c r="B51" s="2" t="n">
        <x:v>1.3</x:v>
      </x:c>
      <x:c r="C51" s="2" t="n">
        <x:v>60</x:v>
      </x:c>
      <x:c r="D51" s="2" t="n">
        <x:v>23.005604804201983</x:v>
      </x:c>
      <x:c r="E51" s="2" t="n">
        <x:v>9.439219178082194</x:v>
      </x:c>
      <x:c r="F51" s="2" t="str">
        <x:v>Chosen boundary grid; no country valuation</x:v>
      </x:c>
    </x:row>
    <x:row r="52" ht="44" customHeight="1">
      <x:c r="A52" s="2" t="str">
        <x:v>partner</x:v>
      </x:c>
      <x:c r="B52" s="2" t="n">
        <x:v>1.3</x:v>
      </x:c>
      <x:c r="C52" s="2" t="n">
        <x:v>75</x:v>
      </x:c>
      <x:c r="D52" s="2" t="n">
        <x:v>34.65890665940609</x:v>
      </x:c>
      <x:c r="E52" s="2" t="n">
        <x:v>8.641188356164385</x:v>
      </x:c>
      <x:c r="F52" s="2" t="str">
        <x:v>Chosen boundary grid; no country valuation</x:v>
      </x:c>
    </x:row>
    <x:row r="53" ht="44" customHeight="1">
      <x:c r="A53" s="2" t="str">
        <x:v>partner</x:v>
      </x:c>
      <x:c r="B53" s="2" t="n">
        <x:v>1.3</x:v>
      </x:c>
      <x:c r="C53" s="2" t="n">
        <x:v>90</x:v>
      </x:c>
      <x:c r="D53" s="2" t="n">
        <x:v>46.312208514610205</x:v>
      </x:c>
      <x:c r="E53" s="2" t="n">
        <x:v>7.843157534246574</x:v>
      </x:c>
      <x:c r="F53" s="2" t="str">
        <x:v>Chosen boundary grid; no country valuation</x:v>
      </x:c>
    </x:row>
    <x:row r="54" ht="44" customHeight="1">
      <x:c r="A54" s="2" t="str">
        <x:v>plant</x:v>
      </x:c>
      <x:c r="B54" s="2" t="n">
        <x:v>0.7</x:v>
      </x:c>
      <x:c r="C54" s="2" t="n">
        <x:v>30</x:v>
      </x:c>
      <x:c r="D54" s="2" t="n">
        <x:v>-32.08909200159502</x:v>
      </x:c>
      <x:c r="E54" s="2" t="n">
        <x:v>55.51876540848684</x:v>
      </x:c>
      <x:c r="F54" s="2" t="str">
        <x:v>Chosen boundary grid; no country valuation</x:v>
      </x:c>
    </x:row>
    <x:row r="55" ht="44" customHeight="1">
      <x:c r="A55" s="2" t="str">
        <x:v>plant</x:v>
      </x:c>
      <x:c r="B55" s="2" t="n">
        <x:v>0.7</x:v>
      </x:c>
      <x:c r="C55" s="2" t="n">
        <x:v>45</x:v>
      </x:c>
      <x:c r="D55" s="2" t="n">
        <x:v>-22.139203730837043</x:v>
      </x:c>
      <x:c r="E55" s="2" t="n">
        <x:v>31.07853181991267</x:v>
      </x:c>
      <x:c r="F55" s="2" t="str">
        <x:v>Chosen boundary grid; no country valuation</x:v>
      </x:c>
    </x:row>
    <x:row r="56" ht="44" customHeight="1">
      <x:c r="A56" s="2" t="str">
        <x:v>plant</x:v>
      </x:c>
      <x:c r="B56" s="2" t="n">
        <x:v>0.7</x:v>
      </x:c>
      <x:c r="C56" s="2" t="n">
        <x:v>60</x:v>
      </x:c>
      <x:c r="D56" s="2" t="n">
        <x:v>-13.077306385462172</x:v>
      </x:c>
      <x:c r="E56" s="2" t="n">
        <x:v>22.886871232876715</x:v>
      </x:c>
      <x:c r="F56" s="2" t="str">
        <x:v>Chosen boundary grid; no country valuation</x:v>
      </x:c>
    </x:row>
    <x:row r="57" ht="44" customHeight="1">
      <x:c r="A57" s="2" t="str">
        <x:v>plant</x:v>
      </x:c>
      <x:c r="B57" s="2" t="n">
        <x:v>0.7</x:v>
      </x:c>
      <x:c r="C57" s="2" t="n">
        <x:v>75</x:v>
      </x:c>
      <x:c r="D57" s="2" t="n">
        <x:v>-5.400770839752928</x:v>
      </x:c>
      <x:c r="E57" s="2" t="n">
        <x:v>21.93972602739726</x:v>
      </x:c>
      <x:c r="F57" s="2" t="str">
        <x:v>Chosen boundary grid; no country valuation</x:v>
      </x:c>
    </x:row>
    <x:row r="58" ht="44" customHeight="1">
      <x:c r="A58" s="2" t="str">
        <x:v>plant</x:v>
      </x:c>
      <x:c r="B58" s="2" t="n">
        <x:v>0.7</x:v>
      </x:c>
      <x:c r="C58" s="2" t="n">
        <x:v>90</x:v>
      </x:c>
      <x:c r="D58" s="2" t="n">
        <x:v>2.1171564178758118</x:v>
      </x:c>
      <x:c r="E58" s="2" t="n">
        <x:v>21.364383561643834</x:v>
      </x:c>
      <x:c r="F58" s="2" t="str">
        <x:v>Chosen boundary grid; no country valuation</x:v>
      </x:c>
    </x:row>
    <x:row r="59" ht="44" customHeight="1">
      <x:c r="A59" s="2" t="str">
        <x:v>plant</x:v>
      </x:c>
      <x:c r="B59" s="2" t="n">
        <x:v>0.85</x:v>
      </x:c>
      <x:c r="C59" s="2" t="n">
        <x:v>30</x:v>
      </x:c>
      <x:c r="D59" s="2" t="n">
        <x:v>-28.710390451454288</x:v>
      </x:c>
      <x:c r="E59" s="2" t="n">
        <x:v>46.32992942459117</x:v>
      </x:c>
      <x:c r="F59" s="2" t="str">
        <x:v>Chosen boundary grid; no country valuation</x:v>
      </x:c>
    </x:row>
    <x:row r="60" ht="44" customHeight="1">
      <x:c r="A60" s="2" t="str">
        <x:v>plant</x:v>
      </x:c>
      <x:c r="B60" s="2" t="n">
        <x:v>0.85</x:v>
      </x:c>
      <x:c r="C60" s="2" t="n">
        <x:v>45</x:v>
      </x:c>
      <x:c r="D60" s="2" t="n">
        <x:v>-16.928951509314494</x:v>
      </x:c>
      <x:c r="E60" s="2" t="n">
        <x:v>24.248990410958903</x:v>
      </x:c>
      <x:c r="F60" s="2" t="str">
        <x:v>Chosen boundary grid; no country valuation</x:v>
      </x:c>
    </x:row>
    <x:row r="61" ht="44" customHeight="1">
      <x:c r="A61" s="2" t="str">
        <x:v>plant</x:v>
      </x:c>
      <x:c r="B61" s="2" t="n">
        <x:v>0.85</x:v>
      </x:c>
      <x:c r="C61" s="2" t="n">
        <x:v>60</x:v>
      </x:c>
      <x:c r="D61" s="2" t="n">
        <x:v>-7.365718702420116</x:v>
      </x:c>
      <x:c r="E61" s="2" t="n">
        <x:v>22.539726027397258</x:v>
      </x:c>
      <x:c r="F61" s="2" t="str">
        <x:v>Chosen boundary grid; no country valuation</x:v>
      </x:c>
    </x:row>
    <x:row r="62" ht="44" customHeight="1">
      <x:c r="A62" s="2" t="str">
        <x:v>plant</x:v>
      </x:c>
      <x:c r="B62" s="2" t="n">
        <x:v>0.85</x:v>
      </x:c>
      <x:c r="C62" s="2" t="n">
        <x:v>75</x:v>
      </x:c>
      <x:c r="D62" s="2" t="n">
        <x:v>1.766962049246052</x:v>
      </x:c>
      <x:c r="E62" s="2" t="n">
        <x:v>21.84109589041096</x:v>
      </x:c>
      <x:c r="F62" s="2" t="str">
        <x:v>Chosen boundary grid; no country valuation</x:v>
      </x:c>
    </x:row>
    <x:row r="63" ht="44" customHeight="1">
      <x:c r="A63" s="2" t="str">
        <x:v>plant</x:v>
      </x:c>
      <x:c r="B63" s="2" t="n">
        <x:v>0.85</x:v>
      </x:c>
      <x:c r="C63" s="2" t="n">
        <x:v>90</x:v>
      </x:c>
      <x:c r="D63" s="2" t="n">
        <x:v>10.867774545670084</x:v>
      </x:c>
      <x:c r="E63" s="2" t="n">
        <x:v>21.14246575342466</x:v>
      </x:c>
      <x:c r="F63" s="2" t="str">
        <x:v>Chosen boundary grid; no country valuation</x:v>
      </x:c>
    </x:row>
    <x:row r="64" ht="44" customHeight="1">
      <x:c r="A64" s="2" t="str">
        <x:v>plant</x:v>
      </x:c>
      <x:c r="B64" s="2" t="n">
        <x:v>1</x:v>
      </x:c>
      <x:c r="C64" s="2" t="n">
        <x:v>30</x:v>
      </x:c>
      <x:c r="D64" s="2" t="n">
        <x:v>-25.331688901313562</x:v>
      </x:c>
      <x:c r="E64" s="2" t="n">
        <x:v>37.14109344069547</x:v>
      </x:c>
      <x:c r="F64" s="2" t="str">
        <x:v>Chosen boundary grid; no country valuation</x:v>
      </x:c>
    </x:row>
    <x:row r="65" ht="44" customHeight="1">
      <x:c r="A65" s="2" t="str">
        <x:v>plant</x:v>
      </x:c>
      <x:c r="B65" s="2" t="n">
        <x:v>1</x:v>
      </x:c>
      <x:c r="C65" s="2" t="n">
        <x:v>45</x:v>
      </x:c>
      <x:c r="D65" s="2" t="n">
        <x:v>-12.598853913356324</x:v>
      </x:c>
      <x:c r="E65" s="2" t="n">
        <x:v>24.15175342465754</x:v>
      </x:c>
      <x:c r="F65" s="2" t="str">
        <x:v>Chosen boundary grid; no country valuation</x:v>
      </x:c>
    </x:row>
    <x:row r="66" ht="44" customHeight="1">
      <x:c r="A66" s="2" t="str">
        <x:v>plant</x:v>
      </x:c>
      <x:c r="B66" s="2" t="n">
        <x:v>1</x:v>
      </x:c>
      <x:c r="C66" s="2" t="n">
        <x:v>60</x:v>
      </x:c>
      <x:c r="D66" s="2" t="n">
        <x:v>-1.7999419404754313</x:v>
      </x:c>
      <x:c r="E66" s="2" t="n">
        <x:v>22.564383561643837</x:v>
      </x:c>
      <x:c r="F66" s="2" t="str">
        <x:v>Chosen boundary grid; no country valuation</x:v>
      </x:c>
    </x:row>
    <x:row r="67" ht="44" customHeight="1">
      <x:c r="A67" s="2" t="str">
        <x:v>plant</x:v>
      </x:c>
      <x:c r="B67" s="2" t="n">
        <x:v>1</x:v>
      </x:c>
      <x:c r="C67" s="2" t="n">
        <x:v>75</x:v>
      </x:c>
      <x:c r="D67" s="2" t="n">
        <x:v>8.911554442377263</x:v>
      </x:c>
      <x:c r="E67" s="2" t="n">
        <x:v>21.742465753424657</x:v>
      </x:c>
      <x:c r="F67" s="2" t="str">
        <x:v>Chosen boundary grid; no country valuation</x:v>
      </x:c>
    </x:row>
    <x:row r="68" ht="44" customHeight="1">
      <x:c r="A68" s="2" t="str">
        <x:v>plant</x:v>
      </x:c>
      <x:c r="B68" s="2" t="n">
        <x:v>1</x:v>
      </x:c>
      <x:c r="C68" s="2" t="n">
        <x:v>90</x:v>
      </x:c>
      <x:c r="D68" s="2" t="n">
        <x:v>19.60888854123295</x:v>
      </x:c>
      <x:c r="E68" s="2" t="n">
        <x:v>21.03554794520548</x:v>
      </x:c>
      <x:c r="F68" s="2" t="str">
        <x:v>Chosen boundary grid; no country valuation</x:v>
      </x:c>
    </x:row>
    <x:row r="69" ht="44" customHeight="1">
      <x:c r="A69" s="2" t="str">
        <x:v>plant</x:v>
      </x:c>
      <x:c r="B69" s="2" t="n">
        <x:v>1.15</x:v>
      </x:c>
      <x:c r="C69" s="2" t="n">
        <x:v>30</x:v>
      </x:c>
      <x:c r="D69" s="2" t="n">
        <x:v>-21.95298735117282</x:v>
      </x:c>
      <x:c r="E69" s="2" t="n">
        <x:v>30.691873881251965</x:v>
      </x:c>
      <x:c r="F69" s="2" t="str">
        <x:v>Chosen boundary grid; no country valuation</x:v>
      </x:c>
    </x:row>
    <x:row r="70" ht="44" customHeight="1">
      <x:c r="A70" s="2" t="str">
        <x:v>plant</x:v>
      </x:c>
      <x:c r="B70" s="2" t="n">
        <x:v>1.15</x:v>
      </x:c>
      <x:c r="C70" s="2" t="n">
        <x:v>45</x:v>
      </x:c>
      <x:c r="D70" s="2" t="n">
        <x:v>-8.5966015458416</x:v>
      </x:c>
      <x:c r="E70" s="2" t="n">
        <x:v>24.05451643835617</x:v>
      </x:c>
      <x:c r="F70" s="2" t="str">
        <x:v>Chosen boundary grid; no country valuation</x:v>
      </x:c>
    </x:row>
    <x:row r="71" ht="44" customHeight="1">
      <x:c r="A71" s="2" t="str">
        <x:v>plant</x:v>
      </x:c>
      <x:c r="B71" s="2" t="n">
        <x:v>1.15</x:v>
      </x:c>
      <x:c r="C71" s="2" t="n">
        <x:v>60</x:v>
      </x:c>
      <x:c r="D71" s="2" t="n">
        <x:v>3.7432828697583123</x:v>
      </x:c>
      <x:c r="E71" s="2" t="n">
        <x:v>22.589041095890412</x:v>
      </x:c>
      <x:c r="F71" s="2" t="str">
        <x:v>Chosen boundary grid; no country valuation</x:v>
      </x:c>
    </x:row>
    <x:row r="72" ht="44" customHeight="1">
      <x:c r="A72" s="2" t="str">
        <x:v>plant</x:v>
      </x:c>
      <x:c r="B72" s="2" t="n">
        <x:v>1.15</x:v>
      </x:c>
      <x:c r="C72" s="2" t="n">
        <x:v>75</x:v>
      </x:c>
      <x:c r="D72" s="2" t="n">
        <x:v>16.050516670219224</x:v>
      </x:c>
      <x:c r="E72" s="2" t="n">
        <x:v>21.711960616438354</x:v>
      </x:c>
      <x:c r="F72" s="2" t="str">
        <x:v>Chosen boundary grid; no country valuation</x:v>
      </x:c>
    </x:row>
    <x:row r="73" ht="44" customHeight="1">
      <x:c r="A73" s="2" t="str">
        <x:v>plant</x:v>
      </x:c>
      <x:c r="B73" s="2" t="n">
        <x:v>1.15</x:v>
      </x:c>
      <x:c r="C73" s="2" t="n">
        <x:v>90</x:v>
      </x:c>
      <x:c r="D73" s="2" t="n">
        <x:v>28.3455603880355</x:v>
      </x:c>
      <x:c r="E73" s="2" t="n">
        <x:v>20.9823801369863</x:v>
      </x:c>
      <x:c r="F73" s="2" t="str">
        <x:v>Chosen boundary grid; no country valuation</x:v>
      </x:c>
    </x:row>
    <x:row r="74" ht="44" customHeight="1">
      <x:c r="A74" s="2" t="str">
        <x:v>plant</x:v>
      </x:c>
      <x:c r="B74" s="2" t="n">
        <x:v>1.3</x:v>
      </x:c>
      <x:c r="C74" s="2" t="n">
        <x:v>30</x:v>
      </x:c>
      <x:c r="D74" s="2" t="n">
        <x:v>-19.262078937871816</x:v>
      </x:c>
      <x:c r="E74" s="2" t="n">
        <x:v>26.926668767123303</x:v>
      </x:c>
      <x:c r="F74" s="2" t="str">
        <x:v>Chosen boundary grid; no country valuation</x:v>
      </x:c>
    </x:row>
    <x:row r="75" ht="44" customHeight="1">
      <x:c r="A75" s="2" t="str">
        <x:v>plant</x:v>
      </x:c>
      <x:c r="B75" s="2" t="n">
        <x:v>1.3</x:v>
      </x:c>
      <x:c r="C75" s="2" t="n">
        <x:v>45</x:v>
      </x:c>
      <x:c r="D75" s="2" t="n">
        <x:v>-5.1252959724500515</x:v>
      </x:c>
      <x:c r="E75" s="2" t="n">
        <x:v>23.957279452054795</x:v>
      </x:c>
      <x:c r="F75" s="2" t="str">
        <x:v>Chosen boundary grid; no country valuation</x:v>
      </x:c>
    </x:row>
    <x:row r="76" ht="44" customHeight="1">
      <x:c r="A76" s="2" t="str">
        <x:v>plant</x:v>
      </x:c>
      <x:c r="B76" s="2" t="n">
        <x:v>1.3</x:v>
      </x:c>
      <x:c r="C76" s="2" t="n">
        <x:v>60</x:v>
      </x:c>
      <x:c r="D76" s="2" t="n">
        <x:v>8.605569990864364</x:v>
      </x:c>
      <x:c r="E76" s="2" t="n">
        <x:v>22.613698630136987</x:v>
      </x:c>
      <x:c r="F76" s="2" t="str">
        <x:v>Chosen boundary grid; no country valuation</x:v>
      </x:c>
    </x:row>
    <x:row r="77" ht="44" customHeight="1">
      <x:c r="A77" s="2" t="str">
        <x:v>plant</x:v>
      </x:c>
      <x:c r="B77" s="2" t="n">
        <x:v>1.3</x:v>
      </x:c>
      <x:c r="C77" s="2" t="n">
        <x:v>75</x:v>
      </x:c>
      <x:c r="D77" s="2" t="n">
        <x:v>22.310829267477054</x:v>
      </x:c>
      <x:c r="E77" s="2" t="n">
        <x:v>21.753955479452056</x:v>
      </x:c>
      <x:c r="F77" s="2" t="str">
        <x:v>Chosen boundary grid; no country valuation</x:v>
      </x:c>
    </x:row>
    <x:row r="78" ht="44" customHeight="1">
      <x:c r="A78" s="2" t="str">
        <x:v>plant</x:v>
      </x:c>
      <x:c r="B78" s="2" t="n">
        <x:v>1.3</x:v>
      </x:c>
      <x:c r="C78" s="2" t="n">
        <x:v>90</x:v>
      </x:c>
      <x:c r="D78" s="2" t="n">
        <x:v>36.01319598210629</x:v>
      </x:c>
      <x:c r="E78" s="2" t="n">
        <x:v>20.92921232876712</x:v>
      </x:c>
      <x:c r="F78" s="2" t="str">
        <x:v>Chosen boundary grid; no country valuation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3" hidden="0" customWidth="1"/>
    <x:col min="14" max="14" width="23" hidden="0" customWidth="1"/>
  </x:cols>
  <x:sheetData>
    <x:row r="1" ht="42" customHeight="1">
      <x:c r="A1" s="5" t="str">
        <x:v>Monthly Cash / v1.1.0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42" customHeight="1">
      <x:c r="A2" s="2" t="str">
        <x:v>Public evidence + chosen examples; no Olam internal investment valuation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32" customHeight="1">
      <x:c r="A3" s="4" t="str">
        <x:v>month</x:v>
      </x:c>
      <x:c r="B3" s="4" t="str">
        <x:v>orders_delivered_t</x:v>
      </x:c>
      <x:c r="C3" s="4" t="str">
        <x:v>production_t</x:v>
      </x:c>
      <x:c r="D3" s="4" t="str">
        <x:v>opening_stock_t</x:v>
      </x:c>
      <x:c r="E3" s="4" t="str">
        <x:v>closing_stock_t</x:v>
      </x:c>
      <x:c r="F3" s="4" t="str">
        <x:v>revenue_USDm</x:v>
      </x:c>
      <x:c r="G3" s="4" t="str">
        <x:v>collections_USDm</x:v>
      </x:c>
      <x:c r="H3" s="4" t="str">
        <x:v>procurement_USDm</x:v>
      </x:c>
      <x:c r="I3" s="4" t="str">
        <x:v>payments_USDm</x:v>
      </x:c>
      <x:c r="J3" s="4" t="str">
        <x:v>AR_USDm</x:v>
      </x:c>
      <x:c r="K3" s="4" t="str">
        <x:v>inventory_USDm</x:v>
      </x:c>
      <x:c r="L3" s="4" t="str">
        <x:v>AP_USDm</x:v>
      </x:c>
      <x:c r="M3" s="4" t="str">
        <x:v>operating_cash_USDm</x:v>
      </x:c>
      <x:c r="N3" s="4" t="str">
        <x:v>cumulative_cash_USDm</x:v>
      </x:c>
    </x:row>
    <x:row r="4" ht="44" customHeight="1">
      <x:c r="A4" s="2" t="n">
        <x:v>1</x:v>
      </x:c>
      <x:c r="B4" s="2" t="n">
        <x:v>6000</x:v>
      </x:c>
      <x:c r="C4" s="2" t="n">
        <x:v>8333.333333333334</x:v>
      </x:c>
      <x:c r="D4" s="2" t="n">
        <x:v>8000</x:v>
      </x:c>
      <x:c r="E4" s="2" t="n">
        <x:v>10333.333333333334</x:v>
      </x:c>
      <x:c r="F4" s="2" t="n">
        <x:v>2.4</x:v>
      </x:c>
      <x:c r="G4" s="2" t="n">
        <x:v>0.48</x:v>
      </x:c>
      <x:c r="H4" s="2" t="n">
        <x:v>2.8333333333333335</x:v>
      </x:c>
      <x:c r="I4" s="2" t="n">
        <x:v>0.5666666666666668</x:v>
      </x:c>
      <x:c r="J4" s="2" t="n">
        <x:v>1.92</x:v>
      </x:c>
      <x:c r="K4" s="2" t="n">
        <x:v>3.5133333333333336</x:v>
      </x:c>
      <x:c r="L4" s="2" t="n">
        <x:v>2.2666666666666666</x:v>
      </x:c>
      <x:c r="M4" s="2" t="n">
        <x:v>-0.2533333333333334</x:v>
      </x:c>
      <x:c r="N4" s="2" t="n">
        <x:v>-22.973333333333333</x:v>
      </x:c>
    </x:row>
    <x:row r="5" ht="44" customHeight="1">
      <x:c r="A5" s="2" t="n">
        <x:v>2</x:v>
      </x:c>
      <x:c r="B5" s="2" t="n">
        <x:v>6000</x:v>
      </x:c>
      <x:c r="C5" s="2" t="n">
        <x:v>8333.333333333334</x:v>
      </x:c>
      <x:c r="D5" s="2" t="n">
        <x:v>10333.333333333334</x:v>
      </x:c>
      <x:c r="E5" s="2" t="n">
        <x:v>12666.666666666668</x:v>
      </x:c>
      <x:c r="F5" s="2" t="n">
        <x:v>2.4</x:v>
      </x:c>
      <x:c r="G5" s="2" t="n">
        <x:v>2.4</x:v>
      </x:c>
      <x:c r="H5" s="2" t="n">
        <x:v>2.8333333333333335</x:v>
      </x:c>
      <x:c r="I5" s="2" t="n">
        <x:v>2.833333333333334</x:v>
      </x:c>
      <x:c r="J5" s="2" t="n">
        <x:v>1.92</x:v>
      </x:c>
      <x:c r="K5" s="2" t="n">
        <x:v>4.306666666666667</x:v>
      </x:c>
      <x:c r="L5" s="2" t="n">
        <x:v>2.266666666666666</x:v>
      </x:c>
      <x:c r="M5" s="2" t="n">
        <x:v>-0.6000000000000006</x:v>
      </x:c>
      <x:c r="N5" s="2" t="n">
        <x:v>-23.573333333333334</x:v>
      </x:c>
    </x:row>
    <x:row r="6" ht="44" customHeight="1">
      <x:c r="A6" s="2" t="n">
        <x:v>3</x:v>
      </x:c>
      <x:c r="B6" s="2" t="n">
        <x:v>7000.000000000001</x:v>
      </x:c>
      <x:c r="C6" s="2" t="n">
        <x:v>8333.333333333334</x:v>
      </x:c>
      <x:c r="D6" s="2" t="n">
        <x:v>12666.666666666668</x:v>
      </x:c>
      <x:c r="E6" s="2" t="n">
        <x:v>14000</x:v>
      </x:c>
      <x:c r="F6" s="2" t="n">
        <x:v>2.8000000000000003</x:v>
      </x:c>
      <x:c r="G6" s="2" t="n">
        <x:v>2.48</x:v>
      </x:c>
      <x:c r="H6" s="2" t="n">
        <x:v>2.8333333333333335</x:v>
      </x:c>
      <x:c r="I6" s="2" t="n">
        <x:v>2.833333333333334</x:v>
      </x:c>
      <x:c r="J6" s="2" t="n">
        <x:v>2.24</x:v>
      </x:c>
      <x:c r="K6" s="2" t="n">
        <x:v>4.76</x:v>
      </x:c>
      <x:c r="L6" s="2" t="n">
        <x:v>2.2666666666666657</x:v>
      </x:c>
      <x:c r="M6" s="2" t="n">
        <x:v>-0.5200000000000006</x:v>
      </x:c>
      <x:c r="N6" s="2" t="n">
        <x:v>-24.093333333333334</x:v>
      </x:c>
    </x:row>
    <x:row r="7" ht="44" customHeight="1">
      <x:c r="A7" s="2" t="n">
        <x:v>4</x:v>
      </x:c>
      <x:c r="B7" s="2" t="n">
        <x:v>7000.000000000001</x:v>
      </x:c>
      <x:c r="C7" s="2" t="n">
        <x:v>8333.333333333334</x:v>
      </x:c>
      <x:c r="D7" s="2" t="n">
        <x:v>14000</x:v>
      </x:c>
      <x:c r="E7" s="2" t="n">
        <x:v>15333.333333333334</x:v>
      </x:c>
      <x:c r="F7" s="2" t="n">
        <x:v>2.8000000000000003</x:v>
      </x:c>
      <x:c r="G7" s="2" t="n">
        <x:v>2.8000000000000003</x:v>
      </x:c>
      <x:c r="H7" s="2" t="n">
        <x:v>2.8333333333333335</x:v>
      </x:c>
      <x:c r="I7" s="2" t="n">
        <x:v>2.833333333333334</x:v>
      </x:c>
      <x:c r="J7" s="2" t="n">
        <x:v>2.24</x:v>
      </x:c>
      <x:c r="K7" s="2" t="n">
        <x:v>5.213333333333334</x:v>
      </x:c>
      <x:c r="L7" s="2" t="n">
        <x:v>2.2666666666666653</x:v>
      </x:c>
      <x:c r="M7" s="2" t="n">
        <x:v>-0.20000000000000032</x:v>
      </x:c>
      <x:c r="N7" s="2" t="n">
        <x:v>-24.293333333333333</x:v>
      </x:c>
    </x:row>
    <x:row r="8" ht="44" customHeight="1">
      <x:c r="A8" s="2" t="n">
        <x:v>5</x:v>
      </x:c>
      <x:c r="B8" s="2" t="n">
        <x:v>8000</x:v>
      </x:c>
      <x:c r="C8" s="2" t="n">
        <x:v>8333.333333333334</x:v>
      </x:c>
      <x:c r="D8" s="2" t="n">
        <x:v>15333.333333333334</x:v>
      </x:c>
      <x:c r="E8" s="2" t="n">
        <x:v>15666.666666666668</x:v>
      </x:c>
      <x:c r="F8" s="2" t="n">
        <x:v>3.2</x:v>
      </x:c>
      <x:c r="G8" s="2" t="n">
        <x:v>2.8800000000000003</x:v>
      </x:c>
      <x:c r="H8" s="2" t="n">
        <x:v>2.8333333333333335</x:v>
      </x:c>
      <x:c r="I8" s="2" t="n">
        <x:v>2.833333333333334</x:v>
      </x:c>
      <x:c r="J8" s="2" t="n">
        <x:v>2.56</x:v>
      </x:c>
      <x:c r="K8" s="2" t="n">
        <x:v>5.326666666666667</x:v>
      </x:c>
      <x:c r="L8" s="2" t="n">
        <x:v>2.266666666666665</x:v>
      </x:c>
      <x:c r="M8" s="2" t="n">
        <x:v>-0.12000000000000025</x:v>
      </x:c>
      <x:c r="N8" s="2" t="n">
        <x:v>-24.413333333333334</x:v>
      </x:c>
    </x:row>
    <x:row r="9" ht="44" customHeight="1">
      <x:c r="A9" s="2" t="n">
        <x:v>6</x:v>
      </x:c>
      <x:c r="B9" s="2" t="n">
        <x:v>8000</x:v>
      </x:c>
      <x:c r="C9" s="2" t="n">
        <x:v>8333.333333333334</x:v>
      </x:c>
      <x:c r="D9" s="2" t="n">
        <x:v>15666.666666666668</x:v>
      </x:c>
      <x:c r="E9" s="2" t="n">
        <x:v>16000.000000000002</x:v>
      </x:c>
      <x:c r="F9" s="2" t="n">
        <x:v>3.2</x:v>
      </x:c>
      <x:c r="G9" s="2" t="n">
        <x:v>3.2000000000000006</x:v>
      </x:c>
      <x:c r="H9" s="2" t="n">
        <x:v>2.8333333333333335</x:v>
      </x:c>
      <x:c r="I9" s="2" t="n">
        <x:v>2.833333333333334</x:v>
      </x:c>
      <x:c r="J9" s="2" t="n">
        <x:v>2.5599999999999996</x:v>
      </x:c>
      <x:c r="K9" s="2" t="n">
        <x:v>5.440000000000001</x:v>
      </x:c>
      <x:c r="L9" s="2" t="n">
        <x:v>2.2666666666666644</x:v>
      </x:c>
      <x:c r="M9" s="2" t="n">
        <x:v>0.20000000000000004</x:v>
      </x:c>
      <x:c r="N9" s="2" t="n">
        <x:v>-24.213333333333335</x:v>
      </x:c>
    </x:row>
    <x:row r="10" ht="44" customHeight="1">
      <x:c r="A10" s="2" t="n">
        <x:v>7</x:v>
      </x:c>
      <x:c r="B10" s="2" t="n">
        <x:v>9000</x:v>
      </x:c>
      <x:c r="C10" s="2" t="n">
        <x:v>8333.333333333334</x:v>
      </x:c>
      <x:c r="D10" s="2" t="n">
        <x:v>16000.000000000002</x:v>
      </x:c>
      <x:c r="E10" s="2" t="n">
        <x:v>15333.333333333336</x:v>
      </x:c>
      <x:c r="F10" s="2" t="n">
        <x:v>3.6</x:v>
      </x:c>
      <x:c r="G10" s="2" t="n">
        <x:v>3.2800000000000007</x:v>
      </x:c>
      <x:c r="H10" s="2" t="n">
        <x:v>2.8333333333333335</x:v>
      </x:c>
      <x:c r="I10" s="2" t="n">
        <x:v>2.833333333333334</x:v>
      </x:c>
      <x:c r="J10" s="2" t="n">
        <x:v>2.879999999999999</x:v>
      </x:c>
      <x:c r="K10" s="2" t="n">
        <x:v>5.213333333333334</x:v>
      </x:c>
      <x:c r="L10" s="2" t="n">
        <x:v>2.266666666666664</x:v>
      </x:c>
      <x:c r="M10" s="2" t="n">
        <x:v>0.28000000000000014</x:v>
      </x:c>
      <x:c r="N10" s="2" t="n">
        <x:v>-23.933333333333334</x:v>
      </x:c>
    </x:row>
    <x:row r="11" ht="44" customHeight="1">
      <x:c r="A11" s="2" t="n">
        <x:v>8</x:v>
      </x:c>
      <x:c r="B11" s="2" t="n">
        <x:v>9000</x:v>
      </x:c>
      <x:c r="C11" s="2" t="n">
        <x:v>8333.333333333334</x:v>
      </x:c>
      <x:c r="D11" s="2" t="n">
        <x:v>15333.333333333336</x:v>
      </x:c>
      <x:c r="E11" s="2" t="n">
        <x:v>14666.66666666667</x:v>
      </x:c>
      <x:c r="F11" s="2" t="n">
        <x:v>3.6</x:v>
      </x:c>
      <x:c r="G11" s="2" t="n">
        <x:v>3.6000000000000005</x:v>
      </x:c>
      <x:c r="H11" s="2" t="n">
        <x:v>2.8333333333333335</x:v>
      </x:c>
      <x:c r="I11" s="2" t="n">
        <x:v>2.833333333333334</x:v>
      </x:c>
      <x:c r="J11" s="2" t="n">
        <x:v>2.8799999999999986</x:v>
      </x:c>
      <x:c r="K11" s="2" t="n">
        <x:v>4.986666666666668</x:v>
      </x:c>
      <x:c r="L11" s="2" t="n">
        <x:v>2.2666666666666635</x:v>
      </x:c>
      <x:c r="M11" s="2" t="n">
        <x:v>0.6</x:v>
      </x:c>
      <x:c r="N11" s="2" t="n">
        <x:v>-23.333333333333332</x:v>
      </x:c>
    </x:row>
    <x:row r="12" ht="44" customHeight="1">
      <x:c r="A12" s="2" t="n">
        <x:v>9</x:v>
      </x:c>
      <x:c r="B12" s="2" t="n">
        <x:v>10000</x:v>
      </x:c>
      <x:c r="C12" s="2" t="n">
        <x:v>8333.333333333334</x:v>
      </x:c>
      <x:c r="D12" s="2" t="n">
        <x:v>14666.66666666667</x:v>
      </x:c>
      <x:c r="E12" s="2" t="n">
        <x:v>13000.000000000004</x:v>
      </x:c>
      <x:c r="F12" s="2" t="n">
        <x:v>4</x:v>
      </x:c>
      <x:c r="G12" s="2" t="n">
        <x:v>3.6800000000000006</x:v>
      </x:c>
      <x:c r="H12" s="2" t="n">
        <x:v>2.8333333333333335</x:v>
      </x:c>
      <x:c r="I12" s="2" t="n">
        <x:v>2.833333333333334</x:v>
      </x:c>
      <x:c r="J12" s="2" t="n">
        <x:v>3.199999999999998</x:v>
      </x:c>
      <x:c r="K12" s="2" t="n">
        <x:v>4.420000000000001</x:v>
      </x:c>
      <x:c r="L12" s="2" t="n">
        <x:v>2.266666666666663</x:v>
      </x:c>
      <x:c r="M12" s="2" t="n">
        <x:v>0.68</x:v>
      </x:c>
      <x:c r="N12" s="2" t="n">
        <x:v>-22.653333333333332</x:v>
      </x:c>
    </x:row>
    <x:row r="13" ht="44" customHeight="1">
      <x:c r="A13" s="2" t="n">
        <x:v>10</x:v>
      </x:c>
      <x:c r="B13" s="2" t="n">
        <x:v>11000</x:v>
      </x:c>
      <x:c r="C13" s="2" t="n">
        <x:v>8333.333333333334</x:v>
      </x:c>
      <x:c r="D13" s="2" t="n">
        <x:v>13000.000000000004</x:v>
      </x:c>
      <x:c r="E13" s="2" t="n">
        <x:v>10333.333333333338</x:v>
      </x:c>
      <x:c r="F13" s="2" t="n">
        <x:v>4.4</x:v>
      </x:c>
      <x:c r="G13" s="2" t="n">
        <x:v>4.08</x:v>
      </x:c>
      <x:c r="H13" s="2" t="n">
        <x:v>2.8333333333333335</x:v>
      </x:c>
      <x:c r="I13" s="2" t="n">
        <x:v>2.833333333333334</x:v>
      </x:c>
      <x:c r="J13" s="2" t="n">
        <x:v>3.5199999999999982</x:v>
      </x:c>
      <x:c r="K13" s="2" t="n">
        <x:v>3.513333333333335</x:v>
      </x:c>
      <x:c r="L13" s="2" t="n">
        <x:v>2.2666666666666626</x:v>
      </x:c>
      <x:c r="M13" s="2" t="n">
        <x:v>1.0799999999999994</x:v>
      </x:c>
      <x:c r="N13" s="2" t="n">
        <x:v>-21.573333333333334</x:v>
      </x:c>
    </x:row>
    <x:row r="14" ht="44" customHeight="1">
      <x:c r="A14" s="2" t="n">
        <x:v>11</x:v>
      </x:c>
      <x:c r="B14" s="2" t="n">
        <x:v>10000</x:v>
      </x:c>
      <x:c r="C14" s="2" t="n">
        <x:v>8333.333333333334</x:v>
      </x:c>
      <x:c r="D14" s="2" t="n">
        <x:v>10333.333333333338</x:v>
      </x:c>
      <x:c r="E14" s="2" t="n">
        <x:v>8666.666666666672</x:v>
      </x:c>
      <x:c r="F14" s="2" t="n">
        <x:v>4</x:v>
      </x:c>
      <x:c r="G14" s="2" t="n">
        <x:v>4.32</x:v>
      </x:c>
      <x:c r="H14" s="2" t="n">
        <x:v>2.8333333333333335</x:v>
      </x:c>
      <x:c r="I14" s="2" t="n">
        <x:v>2.833333333333334</x:v>
      </x:c>
      <x:c r="J14" s="2" t="n">
        <x:v>3.199999999999998</x:v>
      </x:c>
      <x:c r="K14" s="2" t="n">
        <x:v>2.9466666666666685</x:v>
      </x:c>
      <x:c r="L14" s="2" t="n">
        <x:v>2.266666666666662</x:v>
      </x:c>
      <x:c r="M14" s="2" t="n">
        <x:v>1.3199999999999996</x:v>
      </x:c>
      <x:c r="N14" s="2" t="n">
        <x:v>-20.253333333333334</x:v>
      </x:c>
    </x:row>
    <x:row r="15" ht="44" customHeight="1">
      <x:c r="A15" s="2" t="n">
        <x:v>12</x:v>
      </x:c>
      <x:c r="B15" s="2" t="n">
        <x:v>9000</x:v>
      </x:c>
      <x:c r="C15" s="2" t="n">
        <x:v>8333.333333333334</x:v>
      </x:c>
      <x:c r="D15" s="2" t="n">
        <x:v>8666.666666666672</x:v>
      </x:c>
      <x:c r="E15" s="2" t="n">
        <x:v>8000.0000000000055</x:v>
      </x:c>
      <x:c r="F15" s="2" t="n">
        <x:v>3.6</x:v>
      </x:c>
      <x:c r="G15" s="2" t="n">
        <x:v>3.9200000000000004</x:v>
      </x:c>
      <x:c r="H15" s="2" t="n">
        <x:v>2.8333333333333335</x:v>
      </x:c>
      <x:c r="I15" s="2" t="n">
        <x:v>2.833333333333334</x:v>
      </x:c>
      <x:c r="J15" s="2" t="n">
        <x:v>2.8799999999999977</x:v>
      </x:c>
      <x:c r="K15" s="2" t="n">
        <x:v>2.720000000000002</x:v>
      </x:c>
      <x:c r="L15" s="2" t="n">
        <x:v>2.2666666666666617</x:v>
      </x:c>
      <x:c r="M15" s="2" t="n">
        <x:v>0.9199999999999998</x:v>
      </x:c>
      <x:c r="N15" s="2" t="n">
        <x:v>-19.333333333333336</x:v>
      </x:c>
    </x:row>
  </x:sheetData>
  <x:mergeCells>
    <x:mergeCell ref="A1:N1"/>
    <x:mergeCell ref="A2:N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3" hidden="0" customWidth="1"/>
    <x:col min="2" max="2" width="45" hidden="0" customWidth="1"/>
    <x:col min="3" max="3" width="45" hidden="0" customWidth="1"/>
    <x:col min="4" max="4" width="45" hidden="0" customWidth="1"/>
    <x:col min="5" max="5" width="45" hidden="0" customWidth="1"/>
    <x:col min="6" max="6" width="45" hidden="0" customWidth="1"/>
    <x:col min="7" max="7" width="45" hidden="0" customWidth="1"/>
    <x:col min="8" max="8" width="45" hidden="0" customWidth="1"/>
    <x:col min="9" max="9" width="45" hidden="0" customWidth="1"/>
  </x:cols>
  <x:sheetData>
    <x:row r="1" ht="42" customHeight="1">
      <x:c r="A1" s="5" t="str">
        <x:v>Model Selection / v1.1.0</x:v>
      </x:c>
      <x:c r="B1" s="2"/>
      <x:c r="C1" s="2"/>
    </x:row>
    <x:row r="2" ht="42" customHeight="1">
      <x:c r="A2" s="2" t="str">
        <x:v>Public evidence + chosen examples; no Olam internal investment valuation</x:v>
      </x:c>
      <x:c r="B2" s="2"/>
      <x:c r="C2" s="2"/>
    </x:row>
    <x:row r="3" ht="72" customHeight="1">
      <x:c r="A3" s="4" t="str">
        <x:v>Module</x:v>
      </x:c>
      <x:c r="B3" s="4" t="str">
        <x:v>Status</x:v>
      </x:c>
      <x:c r="C3" s="4" t="str">
        <x:v>Evidence gate</x:v>
      </x:c>
    </x:row>
    <x:row r="4" ht="72" customHeight="1">
      <x:c r="A4" s="2" t="str">
        <x:v>Supply OLS</x:v>
      </x:c>
      <x:c r="B4" s="2" t="str">
        <x:v>Executed/rejected for investment</x:v>
      </x:c>
      <x:c r="C4" s="2" t="str">
        <x:v>Residual/VIF/year/region and split-sample diagnostics</x:v>
      </x:c>
    </x:row>
    <x:row r="5" ht="72" customHeight="1">
      <x:c r="A5" s="2" t="str">
        <x:v>Demand/AIDS</x:v>
      </x:c>
      <x:c r="B5" s="2" t="str">
        <x:v>Not fitted</x:v>
      </x:c>
      <x:c r="C5" s="2" t="str">
        <x:v>Household/category price and expenditure panel</x:v>
      </x:c>
    </x:row>
    <x:row r="6" ht="72" customHeight="1">
      <x:c r="A6" s="2" t="str">
        <x:v>Trade/PPML</x:v>
      </x:c>
      <x:c r="B6" s="2" t="str">
        <x:v>Not fitted</x:v>
      </x:c>
      <x:c r="C6" s="2" t="str">
        <x:v>Bilateral HS quantity, tariff/access panel</x:v>
      </x:c>
    </x:row>
    <x:row r="7" ht="72" customHeight="1">
      <x:c r="A7" s="2" t="str">
        <x:v>FX/commodity</x:v>
      </x:c>
      <x:c r="B7" s="2" t="str">
        <x:v>Not fitted</x:v>
      </x:c>
      <x:c r="C7" s="2" t="str">
        <x:v>Matched procurement/currency/hedge series</x:v>
      </x:c>
    </x:row>
    <x:row r="8" ht="72" customHeight="1">
      <x:c r="A8" s="2" t="str">
        <x:v>Crop/climate</x:v>
      </x:c>
      <x:c r="B8" s="2" t="str">
        <x:v>Not fitted</x:v>
      </x:c>
      <x:c r="C8" s="2" t="str">
        <x:v>Geocoded hazards/crops/assets/adaptation</x:v>
      </x:c>
    </x:row>
    <x:row r="9" ht="72" customHeight="1">
      <x:c r="A9" s="2" t="str">
        <x:v>Marketing</x:v>
      </x:c>
      <x:c r="B9" s="2" t="str">
        <x:v>Designed, no observed effect</x:v>
      </x:c>
      <x:c r="C9" s="2" t="str">
        <x:v>Cluster counterfactual, baseline variance/ICC and paid repeat</x:v>
      </x:c>
    </x:row>
    <x:row r="10" ht="72" customHeight="1">
      <x:c r="A10" s="2" t="str">
        <x:v>DCF/LP/EVSI</x:v>
      </x:c>
      <x:c r="B10" s="2" t="str">
        <x:v>Executed teaching cases</x:v>
      </x:c>
      <x:c r="C10" s="2" t="str">
        <x:v>Actual internal inputs needed; no empirical novelty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3" hidden="0" customWidth="1"/>
    <x:col min="2" max="2" width="45" hidden="0" customWidth="1"/>
    <x:col min="3" max="3" width="45" hidden="0" customWidth="1"/>
    <x:col min="4" max="4" width="45" hidden="0" customWidth="1"/>
    <x:col min="5" max="5" width="45" hidden="0" customWidth="1"/>
    <x:col min="6" max="6" width="45" hidden="0" customWidth="1"/>
    <x:col min="7" max="7" width="45" hidden="0" customWidth="1"/>
    <x:col min="8" max="8" width="45" hidden="0" customWidth="1"/>
    <x:col min="9" max="9" width="45" hidden="0" customWidth="1"/>
    <x:col min="10" max="10" width="23" hidden="0" customWidth="1"/>
    <x:col min="11" max="11" width="23" hidden="0" customWidth="1"/>
    <x:col min="12" max="12" width="23" hidden="0" customWidth="1"/>
    <x:col min="13" max="13" width="23" hidden="0" customWidth="1"/>
    <x:col min="14" max="14" width="23" hidden="0" customWidth="1"/>
    <x:col min="15" max="15" width="23" hidden="0" customWidth="1"/>
    <x:col min="16" max="16" width="23" hidden="0" customWidth="1"/>
    <x:col min="17" max="17" width="23" hidden="0" customWidth="1"/>
  </x:cols>
  <x:sheetData>
    <x:row r="1" ht="42" customHeight="1">
      <x:c r="A1" s="5" t="str">
        <x:v>Priority Plans / v1.1.0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42" customHeight="1">
      <x:c r="A2" s="2" t="str">
        <x:v>Public evidence + chosen examples; no Olam internal investment valuation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72" customHeight="1">
      <x:c r="A3" s="4" t="str">
        <x:v>id</x:v>
      </x:c>
      <x:c r="B3" s="4" t="str">
        <x:v>product</x:v>
      </x:c>
      <x:c r="C3" s="4" t="str">
        <x:v>customer_segment</x:v>
      </x:c>
      <x:c r="D3" s="4" t="str">
        <x:v>unmet_need</x:v>
      </x:c>
      <x:c r="E3" s="4" t="str">
        <x:v>value_proposition</x:v>
      </x:c>
      <x:c r="F3" s="4" t="str">
        <x:v>price_pack</x:v>
      </x:c>
      <x:c r="G3" s="4" t="str">
        <x:v>channel</x:v>
      </x:c>
      <x:c r="H3" s="4" t="str">
        <x:v>promotion_service</x:v>
      </x:c>
      <x:c r="I3" s="4" t="str">
        <x:v>entry_mode</x:v>
      </x:c>
      <x:c r="J3" s="4" t="str">
        <x:v>counterfactual</x:v>
      </x:c>
      <x:c r="K3" s="4" t="str">
        <x:v>competitor_response</x:v>
      </x:c>
      <x:c r="L3" s="4" t="str">
        <x:v>incremental_cash</x:v>
      </x:c>
      <x:c r="M3" s="4" t="str">
        <x:v>primary_metric</x:v>
      </x:c>
      <x:c r="N3" s="4" t="str">
        <x:v>owner</x:v>
      </x:c>
      <x:c r="O3" s="4" t="str">
        <x:v>stop_rule</x:v>
      </x:c>
      <x:c r="P3" s="4" t="str">
        <x:v>evidence_cost</x:v>
      </x:c>
      <x:c r="Q3" s="4" t="str">
        <x:v>cost_status</x:v>
      </x:c>
    </x:row>
    <x:row r="4" ht="72" customHeight="1">
      <x:c r="A4" s="2" t="str">
        <x:v>BRA-soybeans</x:v>
      </x:c>
      <x:c r="B4" s="2" t="str">
        <x:v>Soybeans</x:v>
      </x:c>
      <x:c r="C4" s="2" t="str">
        <x:v>Crushers, feed processors and import buyers</x:v>
      </x:c>
      <x:c r="D4" s="2" t="str">
        <x:v>Protein/oil yield, traceability and shipment continuity</x:v>
      </x:c>
      <x:c r="E4" s="2" t="str">
        <x:v>Qualified supplier lot with crush and quality evidence</x:v>
      </x:c>
      <x:c r="F4" s="2" t="str">
        <x:v>Delivered price per usable output; reconcile by-product value</x:v>
      </x:c>
      <x:c r="G4" s="2" t="str">
        <x:v>Approved suppliers, cooperatives and independent offtakers</x:v>
      </x:c>
      <x:c r="H4" s="2" t="str">
        <x:v>Traceability and usable-output proof; no assumed green premium</x:v>
      </x:c>
      <x:c r="I4" s="2" t="str">
        <x:v>trade</x:v>
      </x:c>
      <x:c r="J4" s="2" t="str">
        <x:v>Continue existing service/eligible trade without the incremental intervention, in the same scenario</x:v>
      </x:c>
      <x:c r="K4" s="2" t="str">
        <x:v>Measure delivered rival price, specification, credit and service; allow matched-price/credit response. No shares or rival costs available.</x:v>
      </x:c>
      <x:c r="L4" s="2" t="str">
        <x:v>Net paid orders × delivered unit contribution − service/promotion − cannibalisation − cash funding; cap deliveries at verified supply</x:v>
      </x:c>
      <x:c r="M4" s="2" t="str">
        <x:v>Incremental paid contribution net of service/cannibalisation; measured usable output and repeat after promotion</x:v>
      </x:c>
      <x:c r="N4" s="2" t="str">
        <x:v>Country BRA category lead; Finance owns contribution; Treasury cash; Legal eligibility</x:v>
      </x:c>
      <x:c r="O4" s="2" t="str">
        <x:v>Stop for negative approved contribution bound, unfunded monthly liquidity, failed rights/access/quality or no paid repeat; numeric limits require Finance approval</x:v>
      </x:c>
      <x:c r="P4" s="2"/>
      <x:c r="Q4" s="2" t="str">
        <x:v>Obtain vendor/fieldwork quote and opportunity-cost estimate before commissioning; not zero</x:v>
      </x:c>
    </x:row>
    <x:row r="5" ht="72" customHeight="1">
      <x:c r="A5" s="2" t="str">
        <x:v>BRA-maize</x:v>
      </x:c>
      <x:c r="B5" s="2" t="str">
        <x:v>Maize</x:v>
      </x:c>
      <x:c r="C5" s="2" t="str">
        <x:v>Feed mills and industrial grain buyers</x:v>
      </x:c>
      <x:c r="D5" s="2" t="str">
        <x:v>Quality, usable dry matter and dependable delivery</x:v>
      </x:c>
      <x:c r="E5" s="2" t="str">
        <x:v>Specification-based origination and shipment contract</x:v>
      </x:c>
      <x:c r="F5" s="2" t="str">
        <x:v>Delivered USD per usable dry-matter tonne; adjust quality losses</x:v>
      </x:c>
      <x:c r="G5" s="2" t="str">
        <x:v>Qualified cooperatives, elevators and bankable B2B buyers</x:v>
      </x:c>
      <x:c r="H5" s="2" t="str">
        <x:v>Technical specification and independent inspection, not consumer advertising</x:v>
      </x:c>
      <x:c r="I5" s="2" t="str">
        <x:v>trade</x:v>
      </x:c>
      <x:c r="J5" s="2" t="str">
        <x:v>Continue existing service/eligible trade without the incremental intervention, in the same scenario</x:v>
      </x:c>
      <x:c r="K5" s="2" t="str">
        <x:v>Measure delivered rival price, specification, credit and service; allow matched-price/credit response. No shares or rival costs available.</x:v>
      </x:c>
      <x:c r="L5" s="2" t="str">
        <x:v>Net paid orders × delivered unit contribution − service/promotion − cannibalisation − cash funding; cap deliveries at verified supply</x:v>
      </x:c>
      <x:c r="M5" s="2" t="str">
        <x:v>Incremental paid contribution net of service/cannibalisation; measured usable output and repeat after promotion</x:v>
      </x:c>
      <x:c r="N5" s="2" t="str">
        <x:v>Country BRA category lead; Finance owns contribution; Treasury cash; Legal eligibility</x:v>
      </x:c>
      <x:c r="O5" s="2" t="str">
        <x:v>Stop for negative approved contribution bound, unfunded monthly liquidity, failed rights/access/quality or no paid repeat; numeric limits require Finance approval</x:v>
      </x:c>
      <x:c r="P5" s="2"/>
      <x:c r="Q5" s="2" t="str">
        <x:v>Obtain vendor/fieldwork quote and opportunity-cost estimate before commissioning; not zero</x:v>
      </x:c>
    </x:row>
    <x:row r="6" ht="72" customHeight="1">
      <x:c r="A6" s="2" t="str">
        <x:v>BRA-wheat</x:v>
      </x:c>
      <x:c r="B6" s="2" t="str">
        <x:v>Wheat</x:v>
      </x:c>
      <x:c r="C6" s="2" t="str">
        <x:v>Commercial millers and eligible food-security offtakers</x:v>
      </x:c>
      <x:c r="D6" s="2" t="str">
        <x:v>Specification, continuity and funded landed spread</x:v>
      </x:c>
      <x:c r="E6" s="2" t="str">
        <x:v>Commercial offtake with origin and vessel alternatives</x:v>
      </x:c>
      <x:c r="F6" s="2" t="str">
        <x:v>Quality-adjusted delivered price, credit, collateral and freight</x:v>
      </x:c>
      <x:c r="G6" s="2" t="str">
        <x:v>Approved origins, importers and competitively contracted buyers</x:v>
      </x:c>
      <x:c r="H6" s="2" t="str">
        <x:v>Service agreement and performance clauses; ownership is not an order</x:v>
      </x:c>
      <x:c r="I6" s="2" t="str">
        <x:v>trade</x:v>
      </x:c>
      <x:c r="J6" s="2" t="str">
        <x:v>Continue existing service/eligible trade without the incremental intervention, in the same scenario</x:v>
      </x:c>
      <x:c r="K6" s="2" t="str">
        <x:v>Measure delivered rival price, specification, credit and service; allow matched-price/credit response. No shares or rival costs available.</x:v>
      </x:c>
      <x:c r="L6" s="2" t="str">
        <x:v>Net paid orders × delivered unit contribution − service/promotion − cannibalisation − cash funding; cap deliveries at verified supply</x:v>
      </x:c>
      <x:c r="M6" s="2" t="str">
        <x:v>Incremental paid contribution net of service/cannibalisation; measured usable output and repeat after promotion</x:v>
      </x:c>
      <x:c r="N6" s="2" t="str">
        <x:v>Country BRA category lead; Finance owns contribution; Treasury cash; Legal eligibility</x:v>
      </x:c>
      <x:c r="O6" s="2" t="str">
        <x:v>Stop for negative approved contribution bound, unfunded monthly liquidity, failed rights/access/quality or no paid repeat; numeric limits require Finance approval</x:v>
      </x:c>
      <x:c r="P6" s="2"/>
      <x:c r="Q6" s="2" t="str">
        <x:v>Obtain vendor/fieldwork quote and opportunity-cost estimate before commissioning; not zero</x:v>
      </x:c>
    </x:row>
    <x:row r="7" ht="72" customHeight="1">
      <x:c r="A7" s="2" t="str">
        <x:v>CMR-wheat_flour</x:v>
      </x:c>
      <x:c r="B7" s="2" t="str">
        <x:v>Wheat flour</x:v>
      </x:c>
      <x:c r="C7" s="2" t="str">
        <x:v>Bakers and wholesale flour customers</x:v>
      </x:c>
      <x:c r="D7" s="2" t="str">
        <x:v>Saleable loaves per delivered flour bag</x:v>
      </x:c>
      <x:c r="E7" s="2" t="str">
        <x:v>Technical baking service with measured output and returns</x:v>
      </x:c>
      <x:c r="F7" s="2" t="str">
        <x:v>Contract per bag linked to measured usable output, freight and credit</x:v>
      </x:c>
      <x:c r="G7" s="2" t="str">
        <x:v>Baker clusters and distributor service routes</x:v>
      </x:c>
      <x:c r="H7" s="2" t="str">
        <x:v>Bake trials, operator instruction and paid repeat after support</x:v>
      </x:c>
      <x:c r="I7" s="2" t="str">
        <x:v>partner</x:v>
      </x:c>
      <x:c r="J7" s="2" t="str">
        <x:v>Continue existing service/eligible trade without the incremental intervention, in the same scenario</x:v>
      </x:c>
      <x:c r="K7" s="2" t="str">
        <x:v>Measure delivered rival price, specification, credit and service; allow matched-price/credit response. No shares or rival costs available.</x:v>
      </x:c>
      <x:c r="L7" s="2" t="str">
        <x:v>Net paid orders × delivered unit contribution − service/promotion − cannibalisation − cash funding; cap deliveries at verified supply</x:v>
      </x:c>
      <x:c r="M7" s="2" t="str">
        <x:v>Incremental paid contribution net of service/cannibalisation; measured usable output and repeat after promotion</x:v>
      </x:c>
      <x:c r="N7" s="2" t="str">
        <x:v>Country CMR category lead; Finance owns contribution; Treasury cash; Legal eligibility</x:v>
      </x:c>
      <x:c r="O7" s="2" t="str">
        <x:v>Stop for negative approved contribution bound, unfunded monthly liquidity, failed rights/access/quality or no paid repeat; numeric limits require Finance approval</x:v>
      </x:c>
      <x:c r="P7" s="2"/>
      <x:c r="Q7" s="2" t="str">
        <x:v>Obtain vendor/fieldwork quote and opportunity-cost estimate before commissioning; not zero</x:v>
      </x:c>
    </x:row>
    <x:row r="8" ht="72" customHeight="1">
      <x:c r="A8" s="2" t="str">
        <x:v>CMR-rice</x:v>
      </x:c>
      <x:c r="B8" s="2" t="str">
        <x:v>Rice</x:v>
      </x:c>
      <x:c r="C8" s="2" t="str">
        <x:v>Households, food-service, importers and distributors</x:v>
      </x:c>
      <x:c r="D8" s="2" t="str">
        <x:v>Consistent cooking yield, cash access and availability</x:v>
      </x:c>
      <x:c r="E8" s="2" t="str">
        <x:v>Grade-specific contracted lot and cooked-output comparison</x:v>
      </x:c>
      <x:c r="F8" s="2" t="str">
        <x:v>Delivered price per saleable tonne and per prepared meal</x:v>
      </x:c>
      <x:c r="G8" s="2" t="str">
        <x:v>Licensed importers, wholesalers and eligible retail routes</x:v>
      </x:c>
      <x:c r="H8" s="2" t="str">
        <x:v>Blind grade/quality test, shipment reliability and paid reorder</x:v>
      </x:c>
      <x:c r="I8" s="2" t="str">
        <x:v>partner</x:v>
      </x:c>
      <x:c r="J8" s="2" t="str">
        <x:v>Continue existing service/eligible trade without the incremental intervention, in the same scenario</x:v>
      </x:c>
      <x:c r="K8" s="2" t="str">
        <x:v>Measure delivered rival price, specification, credit and service; allow matched-price/credit response. No shares or rival costs available.</x:v>
      </x:c>
      <x:c r="L8" s="2" t="str">
        <x:v>Net paid orders × delivered unit contribution − service/promotion − cannibalisation − cash funding; cap deliveries at verified supply</x:v>
      </x:c>
      <x:c r="M8" s="2" t="str">
        <x:v>Incremental paid contribution net of service/cannibalisation; measured usable output and repeat after promotion</x:v>
      </x:c>
      <x:c r="N8" s="2" t="str">
        <x:v>Country CMR category lead; Finance owns contribution; Treasury cash; Legal eligibility</x:v>
      </x:c>
      <x:c r="O8" s="2" t="str">
        <x:v>Stop for negative approved contribution bound, unfunded monthly liquidity, failed rights/access/quality or no paid repeat; numeric limits require Finance approval</x:v>
      </x:c>
      <x:c r="P8" s="2"/>
      <x:c r="Q8" s="2" t="str">
        <x:v>Obtain vendor/fieldwork quote and opportunity-cost estimate before commissioning; not zero</x:v>
      </x:c>
    </x:row>
    <x:row r="9" ht="72" customHeight="1">
      <x:c r="A9" s="2" t="str">
        <x:v>GHA-wheat_flour</x:v>
      </x:c>
      <x:c r="B9" s="2" t="str">
        <x:v>Wheat flour</x:v>
      </x:c>
      <x:c r="C9" s="2" t="str">
        <x:v>Bakers and wholesale flour customers</x:v>
      </x:c>
      <x:c r="D9" s="2" t="str">
        <x:v>Saleable loaves per delivered flour bag</x:v>
      </x:c>
      <x:c r="E9" s="2" t="str">
        <x:v>Technical baking service with measured output and returns</x:v>
      </x:c>
      <x:c r="F9" s="2" t="str">
        <x:v>Contract per bag linked to measured usable output, freight and credit</x:v>
      </x:c>
      <x:c r="G9" s="2" t="str">
        <x:v>Baker clusters and distributor service routes</x:v>
      </x:c>
      <x:c r="H9" s="2" t="str">
        <x:v>Bake trials, operator instruction and paid repeat after support</x:v>
      </x:c>
      <x:c r="I9" s="2" t="str">
        <x:v>partner</x:v>
      </x:c>
      <x:c r="J9" s="2" t="str">
        <x:v>Continue existing service/eligible trade without the incremental intervention, in the same scenario</x:v>
      </x:c>
      <x:c r="K9" s="2" t="str">
        <x:v>Measure delivered rival price, specification, credit and service; allow matched-price/credit response. No shares or rival costs available.</x:v>
      </x:c>
      <x:c r="L9" s="2" t="str">
        <x:v>Net paid orders × delivered unit contribution − service/promotion − cannibalisation − cash funding; cap deliveries at verified supply</x:v>
      </x:c>
      <x:c r="M9" s="2" t="str">
        <x:v>Incremental paid contribution net of service/cannibalisation; measured usable output and repeat after promotion</x:v>
      </x:c>
      <x:c r="N9" s="2" t="str">
        <x:v>Country GHA category lead; Finance owns contribution; Treasury cash; Legal eligibility</x:v>
      </x:c>
      <x:c r="O9" s="2" t="str">
        <x:v>Stop for negative approved contribution bound, unfunded monthly liquidity, failed rights/access/quality or no paid repeat; numeric limits require Finance approval</x:v>
      </x:c>
      <x:c r="P9" s="2"/>
      <x:c r="Q9" s="2" t="str">
        <x:v>Obtain vendor/fieldwork quote and opportunity-cost estimate before commissioning; not zero</x:v>
      </x:c>
    </x:row>
    <x:row r="10" ht="72" customHeight="1">
      <x:c r="A10" s="2" t="str">
        <x:v>GHA-pasta</x:v>
      </x:c>
      <x:c r="B10" s="2" t="str">
        <x:v>Pasta</x:v>
      </x:c>
      <x:c r="C10" s="2" t="str">
        <x:v>Households, caterers and food distributors</x:v>
      </x:c>
      <x:c r="D10" s="2" t="str">
        <x:v>Affordable meal, cooking reliability and distribution</x:v>
      </x:c>
      <x:c r="E10" s="2" t="str">
        <x:v>Taste/cooking-time trial against locally used substitutes</x:v>
      </x:c>
      <x:c r="F10" s="2" t="str">
        <x:v>Price per prepared serving plus fuel/time; chosen pack must be tested</x:v>
      </x:c>
      <x:c r="G10" s="2" t="str">
        <x:v>Wholesale/retail clusters and food-service customer panels</x:v>
      </x:c>
      <x:c r="H10" s="2" t="str">
        <x:v>Local preparation demonstrations with a no-promotion repeat period</x:v>
      </x:c>
      <x:c r="I10" s="2" t="str">
        <x:v>partner</x:v>
      </x:c>
      <x:c r="J10" s="2" t="str">
        <x:v>Continue existing service/eligible trade without the incremental intervention, in the same scenario</x:v>
      </x:c>
      <x:c r="K10" s="2" t="str">
        <x:v>Measure delivered rival price, specification, credit and service; allow matched-price/credit response. No shares or rival costs available.</x:v>
      </x:c>
      <x:c r="L10" s="2" t="str">
        <x:v>Net paid orders × delivered unit contribution − service/promotion − cannibalisation − cash funding; cap deliveries at verified supply</x:v>
      </x:c>
      <x:c r="M10" s="2" t="str">
        <x:v>Incremental paid contribution net of service/cannibalisation; measured usable output and repeat after promotion</x:v>
      </x:c>
      <x:c r="N10" s="2" t="str">
        <x:v>Country GHA category lead; Finance owns contribution; Treasury cash; Legal eligibility</x:v>
      </x:c>
      <x:c r="O10" s="2" t="str">
        <x:v>Stop for negative approved contribution bound, unfunded monthly liquidity, failed rights/access/quality or no paid repeat; numeric limits require Finance approval</x:v>
      </x:c>
      <x:c r="P10" s="2"/>
      <x:c r="Q10" s="2" t="str">
        <x:v>Obtain vendor/fieldwork quote and opportunity-cost estimate before commissioning; not zero</x:v>
      </x:c>
    </x:row>
    <x:row r="11" ht="72" customHeight="1">
      <x:c r="A11" s="2" t="str">
        <x:v>IND-rice</x:v>
      </x:c>
      <x:c r="B11" s="2" t="str">
        <x:v>Rice</x:v>
      </x:c>
      <x:c r="C11" s="2" t="str">
        <x:v>Households, food-service, importers and distributors</x:v>
      </x:c>
      <x:c r="D11" s="2" t="str">
        <x:v>Consistent cooking yield, cash access and availability</x:v>
      </x:c>
      <x:c r="E11" s="2" t="str">
        <x:v>Grade-specific contracted lot and cooked-output comparison</x:v>
      </x:c>
      <x:c r="F11" s="2" t="str">
        <x:v>Delivered price per saleable tonne and per prepared meal</x:v>
      </x:c>
      <x:c r="G11" s="2" t="str">
        <x:v>Licensed importers, wholesalers and eligible retail routes</x:v>
      </x:c>
      <x:c r="H11" s="2" t="str">
        <x:v>Blind grade/quality test, shipment reliability and paid reorder</x:v>
      </x:c>
      <x:c r="I11" s="2" t="str">
        <x:v>trade</x:v>
      </x:c>
      <x:c r="J11" s="2" t="str">
        <x:v>Continue existing service/eligible trade without the incremental intervention, in the same scenario</x:v>
      </x:c>
      <x:c r="K11" s="2" t="str">
        <x:v>Measure delivered rival price, specification, credit and service; allow matched-price/credit response. No shares or rival costs available.</x:v>
      </x:c>
      <x:c r="L11" s="2" t="str">
        <x:v>Net paid orders × delivered unit contribution − service/promotion − cannibalisation − cash funding; cap deliveries at verified supply</x:v>
      </x:c>
      <x:c r="M11" s="2" t="str">
        <x:v>Incremental paid contribution net of service/cannibalisation; measured usable output and repeat after promotion</x:v>
      </x:c>
      <x:c r="N11" s="2" t="str">
        <x:v>Country IND category lead; Finance owns contribution; Treasury cash; Legal eligibility</x:v>
      </x:c>
      <x:c r="O11" s="2" t="str">
        <x:v>Stop for negative approved contribution bound, unfunded monthly liquidity, failed rights/access/quality or no paid repeat; numeric limits require Finance approval</x:v>
      </x:c>
      <x:c r="P11" s="2"/>
      <x:c r="Q11" s="2" t="str">
        <x:v>Obtain vendor/fieldwork quote and opportunity-cost estimate before commissioning; not zero</x:v>
      </x:c>
    </x:row>
    <x:row r="12" ht="72" customHeight="1">
      <x:c r="A12" s="2" t="str">
        <x:v>MOZ-rice</x:v>
      </x:c>
      <x:c r="B12" s="2" t="str">
        <x:v>Rice</x:v>
      </x:c>
      <x:c r="C12" s="2" t="str">
        <x:v>Households, food-service, importers and distributors</x:v>
      </x:c>
      <x:c r="D12" s="2" t="str">
        <x:v>Consistent cooking yield, cash access and availability</x:v>
      </x:c>
      <x:c r="E12" s="2" t="str">
        <x:v>Grade-specific contracted lot and cooked-output comparison</x:v>
      </x:c>
      <x:c r="F12" s="2" t="str">
        <x:v>Delivered price per saleable tonne and per prepared meal</x:v>
      </x:c>
      <x:c r="G12" s="2" t="str">
        <x:v>Licensed importers, wholesalers and eligible retail routes</x:v>
      </x:c>
      <x:c r="H12" s="2" t="str">
        <x:v>Blind grade/quality test, shipment reliability and paid reorder</x:v>
      </x:c>
      <x:c r="I12" s="2" t="str">
        <x:v>partner</x:v>
      </x:c>
      <x:c r="J12" s="2" t="str">
        <x:v>Continue existing service/eligible trade without the incremental intervention, in the same scenario</x:v>
      </x:c>
      <x:c r="K12" s="2" t="str">
        <x:v>Measure delivered rival price, specification, credit and service; allow matched-price/credit response. No shares or rival costs available.</x:v>
      </x:c>
      <x:c r="L12" s="2" t="str">
        <x:v>Net paid orders × delivered unit contribution − service/promotion − cannibalisation − cash funding; cap deliveries at verified supply</x:v>
      </x:c>
      <x:c r="M12" s="2" t="str">
        <x:v>Incremental paid contribution net of service/cannibalisation; measured usable output and repeat after promotion</x:v>
      </x:c>
      <x:c r="N12" s="2" t="str">
        <x:v>Country MOZ category lead; Finance owns contribution; Treasury cash; Legal eligibility</x:v>
      </x:c>
      <x:c r="O12" s="2" t="str">
        <x:v>Stop for negative approved contribution bound, unfunded monthly liquidity, failed rights/access/quality or no paid repeat; numeric limits require Finance approval</x:v>
      </x:c>
      <x:c r="P12" s="2"/>
      <x:c r="Q12" s="2" t="str">
        <x:v>Obtain vendor/fieldwork quote and opportunity-cost estimate before commissioning; not zero</x:v>
      </x:c>
    </x:row>
    <x:row r="13" ht="72" customHeight="1">
      <x:c r="A13" s="2" t="str">
        <x:v>MOZ-edible_oil</x:v>
      </x:c>
      <x:c r="B13" s="2" t="str">
        <x:v>Edible oil</x:v>
      </x:c>
      <x:c r="C13" s="2" t="str">
        <x:v>Households, food-service and oil distributors</x:v>
      </x:c>
      <x:c r="D13" s="2" t="str">
        <x:v>Cost per cooking use, trusted quality and availability</x:v>
      </x:c>
      <x:c r="E13" s="2" t="str">
        <x:v>Affordable verified pack and reliable replenishment</x:v>
      </x:c>
      <x:c r="F13" s="2" t="str">
        <x:v>Net price per litre and per measured cooking use; safety/specification gate</x:v>
      </x:c>
      <x:c r="G13" s="2" t="str">
        <x:v>Qualified distributors, independent retail and food-service cohorts</x:v>
      </x:c>
      <x:c r="H13" s="2" t="str">
        <x:v>Replenishment and verified quality; no unproven health claim</x:v>
      </x:c>
      <x:c r="I13" s="2" t="str">
        <x:v>partner</x:v>
      </x:c>
      <x:c r="J13" s="2" t="str">
        <x:v>Continue existing service/eligible trade without the incremental intervention, in the same scenario</x:v>
      </x:c>
      <x:c r="K13" s="2" t="str">
        <x:v>Measure delivered rival price, specification, credit and service; allow matched-price/credit response. No shares or rival costs available.</x:v>
      </x:c>
      <x:c r="L13" s="2" t="str">
        <x:v>Net paid orders × delivered unit contribution − service/promotion − cannibalisation − cash funding; cap deliveries at verified supply</x:v>
      </x:c>
      <x:c r="M13" s="2" t="str">
        <x:v>Incremental paid contribution net of service/cannibalisation; measured usable output and repeat after promotion</x:v>
      </x:c>
      <x:c r="N13" s="2" t="str">
        <x:v>Country MOZ category lead; Finance owns contribution; Treasury cash; Legal eligibility</x:v>
      </x:c>
      <x:c r="O13" s="2" t="str">
        <x:v>Stop for negative approved contribution bound, unfunded monthly liquidity, failed rights/access/quality or no paid repeat; numeric limits require Finance approval</x:v>
      </x:c>
      <x:c r="P13" s="2"/>
      <x:c r="Q13" s="2" t="str">
        <x:v>Obtain vendor/fieldwork quote and opportunity-cost estimate before commissioning; not zero</x:v>
      </x:c>
    </x:row>
    <x:row r="14" ht="72" customHeight="1">
      <x:c r="A14" s="2" t="str">
        <x:v>NGA-semolina</x:v>
      </x:c>
      <x:c r="B14" s="2" t="str">
        <x:v>Semolina</x:v>
      </x:c>
      <x:c r="C14" s="2" t="str">
        <x:v>Households; wholesale and retail distributors</x:v>
      </x:c>
      <x:c r="D14" s="2" t="str">
        <x:v>Cost per cooked serving and paid repeat</x:v>
      </x:c>
      <x:c r="E14" s="2" t="str">
        <x:v>Cash ticket and meal yield; pilot separate from oils</x:v>
      </x:c>
      <x:c r="F14" s="2" t="str">
        <x:v>Pack weight × net shelf price; compare total cooked-meal cost</x:v>
      </x:c>
      <x:c r="G14" s="2" t="str">
        <x:v>Distributors and matched retail routes; avoid stock loading</x:v>
      </x:c>
      <x:c r="H14" s="2" t="str">
        <x:v>Supplier-funded trial only with incremental paid repeat and contribution</x:v>
      </x:c>
      <x:c r="I14" s="2" t="str">
        <x:v>partner</x:v>
      </x:c>
      <x:c r="J14" s="2" t="str">
        <x:v>Continue existing service/eligible trade without the incremental intervention, in the same scenario</x:v>
      </x:c>
      <x:c r="K14" s="2" t="str">
        <x:v>Measure delivered rival price, specification, credit and service; allow matched-price/credit response. No shares or rival costs available.</x:v>
      </x:c>
      <x:c r="L14" s="2" t="str">
        <x:v>Net paid orders × delivered unit contribution − service/promotion − cannibalisation − cash funding; cap deliveries at verified supply</x:v>
      </x:c>
      <x:c r="M14" s="2" t="str">
        <x:v>Incremental paid contribution net of service/cannibalisation; measured usable output and repeat after promotion</x:v>
      </x:c>
      <x:c r="N14" s="2" t="str">
        <x:v>Country NGA category lead; Finance owns contribution; Treasury cash; Legal eligibility</x:v>
      </x:c>
      <x:c r="O14" s="2" t="str">
        <x:v>Stop for negative approved contribution bound, unfunded monthly liquidity, failed rights/access/quality or no paid repeat; numeric limits require Finance approval</x:v>
      </x:c>
      <x:c r="P14" s="2"/>
      <x:c r="Q14" s="2" t="str">
        <x:v>Obtain vendor/fieldwork quote and opportunity-cost estimate before commissioning; not zero</x:v>
      </x:c>
    </x:row>
    <x:row r="15" ht="72" customHeight="1">
      <x:c r="A15" s="2" t="str">
        <x:v>NGA-edible_oil</x:v>
      </x:c>
      <x:c r="B15" s="2" t="str">
        <x:v>Edible oil</x:v>
      </x:c>
      <x:c r="C15" s="2" t="str">
        <x:v>Households, food-service and oil distributors</x:v>
      </x:c>
      <x:c r="D15" s="2" t="str">
        <x:v>Cost per cooking use, trusted quality and availability</x:v>
      </x:c>
      <x:c r="E15" s="2" t="str">
        <x:v>Affordable verified pack and reliable replenishment</x:v>
      </x:c>
      <x:c r="F15" s="2" t="str">
        <x:v>Net price per litre and per measured cooking use; safety/specification gate</x:v>
      </x:c>
      <x:c r="G15" s="2" t="str">
        <x:v>Qualified distributors, independent retail and food-service cohorts</x:v>
      </x:c>
      <x:c r="H15" s="2" t="str">
        <x:v>Replenishment and verified quality; no unproven health claim</x:v>
      </x:c>
      <x:c r="I15" s="2" t="str">
        <x:v>partner</x:v>
      </x:c>
      <x:c r="J15" s="2" t="str">
        <x:v>Continue existing service/eligible trade without the incremental intervention, in the same scenario</x:v>
      </x:c>
      <x:c r="K15" s="2" t="str">
        <x:v>Measure delivered rival price, specification, credit and service; allow matched-price/credit response. No shares or rival costs available.</x:v>
      </x:c>
      <x:c r="L15" s="2" t="str">
        <x:v>Net paid orders × delivered unit contribution − service/promotion − cannibalisation − cash funding; cap deliveries at verified supply</x:v>
      </x:c>
      <x:c r="M15" s="2" t="str">
        <x:v>Incremental paid contribution net of service/cannibalisation; measured usable output and repeat after promotion</x:v>
      </x:c>
      <x:c r="N15" s="2" t="str">
        <x:v>Country NGA category lead; Finance owns contribution; Treasury cash; Legal eligibility</x:v>
      </x:c>
      <x:c r="O15" s="2" t="str">
        <x:v>Stop for negative approved contribution bound, unfunded monthly liquidity, failed rights/access/quality or no paid repeat; numeric limits require Finance approval</x:v>
      </x:c>
      <x:c r="P15" s="2"/>
      <x:c r="Q15" s="2" t="str">
        <x:v>Obtain vendor/fieldwork quote and opportunity-cost estimate before commissioning; not zero</x:v>
      </x:c>
    </x:row>
    <x:row r="16" ht="72" customHeight="1">
      <x:c r="A16" s="2" t="str">
        <x:v>SAU-wheat</x:v>
      </x:c>
      <x:c r="B16" s="2" t="str">
        <x:v>Wheat</x:v>
      </x:c>
      <x:c r="C16" s="2" t="str">
        <x:v>Commercial millers and eligible food-security offtakers</x:v>
      </x:c>
      <x:c r="D16" s="2" t="str">
        <x:v>Specification, continuity and funded landed spread</x:v>
      </x:c>
      <x:c r="E16" s="2" t="str">
        <x:v>Commercial offtake with origin and vessel alternatives</x:v>
      </x:c>
      <x:c r="F16" s="2" t="str">
        <x:v>Quality-adjusted delivered price, credit, collateral and freight</x:v>
      </x:c>
      <x:c r="G16" s="2" t="str">
        <x:v>Approved origins, importers and competitively contracted buyers</x:v>
      </x:c>
      <x:c r="H16" s="2" t="str">
        <x:v>Service agreement and performance clauses; ownership is not an order</x:v>
      </x:c>
      <x:c r="I16" s="2" t="str">
        <x:v>trade</x:v>
      </x:c>
      <x:c r="J16" s="2" t="str">
        <x:v>Continue existing service/eligible trade without the incremental intervention, in the same scenario</x:v>
      </x:c>
      <x:c r="K16" s="2" t="str">
        <x:v>Measure delivered rival price, specification, credit and service; allow matched-price/credit response. No shares or rival costs available.</x:v>
      </x:c>
      <x:c r="L16" s="2" t="str">
        <x:v>Net paid orders × delivered unit contribution − service/promotion − cannibalisation − cash funding; cap deliveries at verified supply</x:v>
      </x:c>
      <x:c r="M16" s="2" t="str">
        <x:v>Incremental paid contribution net of service/cannibalisation; measured usable output and repeat after promotion</x:v>
      </x:c>
      <x:c r="N16" s="2" t="str">
        <x:v>Country SAU category lead; Finance owns contribution; Treasury cash; Legal eligibility</x:v>
      </x:c>
      <x:c r="O16" s="2" t="str">
        <x:v>Stop for negative approved contribution bound, unfunded monthly liquidity, failed rights/access/quality or no paid repeat; numeric limits require Finance approval</x:v>
      </x:c>
      <x:c r="P16" s="2"/>
      <x:c r="Q16" s="2" t="str">
        <x:v>Obtain vendor/fieldwork quote and opportunity-cost estimate before commissioning; not zero</x:v>
      </x:c>
    </x:row>
    <x:row r="17" ht="72" customHeight="1">
      <x:c r="A17" s="2" t="str">
        <x:v>SEN-wheat_flour</x:v>
      </x:c>
      <x:c r="B17" s="2" t="str">
        <x:v>Wheat flour</x:v>
      </x:c>
      <x:c r="C17" s="2" t="str">
        <x:v>Bakers and wholesale flour customers</x:v>
      </x:c>
      <x:c r="D17" s="2" t="str">
        <x:v>Saleable loaves per delivered flour bag</x:v>
      </x:c>
      <x:c r="E17" s="2" t="str">
        <x:v>Technical baking service with measured output and returns</x:v>
      </x:c>
      <x:c r="F17" s="2" t="str">
        <x:v>Contract per bag linked to measured usable output, freight and credit</x:v>
      </x:c>
      <x:c r="G17" s="2" t="str">
        <x:v>Baker clusters and distributor service routes</x:v>
      </x:c>
      <x:c r="H17" s="2" t="str">
        <x:v>Bake trials, operator instruction and paid repeat after support</x:v>
      </x:c>
      <x:c r="I17" s="2" t="str">
        <x:v>partner</x:v>
      </x:c>
      <x:c r="J17" s="2" t="str">
        <x:v>Continue existing service/eligible trade without the incremental intervention, in the same scenario</x:v>
      </x:c>
      <x:c r="K17" s="2" t="str">
        <x:v>Measure delivered rival price, specification, credit and service; allow matched-price/credit response. No shares or rival costs available.</x:v>
      </x:c>
      <x:c r="L17" s="2" t="str">
        <x:v>Net paid orders × delivered unit contribution − service/promotion − cannibalisation − cash funding; cap deliveries at verified supply</x:v>
      </x:c>
      <x:c r="M17" s="2" t="str">
        <x:v>Incremental paid contribution net of service/cannibalisation; measured usable output and repeat after promotion</x:v>
      </x:c>
      <x:c r="N17" s="2" t="str">
        <x:v>Country SEN category lead; Finance owns contribution; Treasury cash; Legal eligibility</x:v>
      </x:c>
      <x:c r="O17" s="2" t="str">
        <x:v>Stop for negative approved contribution bound, unfunded monthly liquidity, failed rights/access/quality or no paid repeat; numeric limits require Finance approval</x:v>
      </x:c>
      <x:c r="P17" s="2"/>
      <x:c r="Q17" s="2" t="str">
        <x:v>Obtain vendor/fieldwork quote and opportunity-cost estimate before commissioning; not zero</x:v>
      </x:c>
    </x:row>
    <x:row r="18" ht="72" customHeight="1">
      <x:c r="A18" s="2" t="str">
        <x:v>SEN-feed</x:v>
      </x:c>
      <x:c r="B18" s="2" t="str">
        <x:v>Animal feed</x:v>
      </x:c>
      <x:c r="C18" s="2" t="str">
        <x:v>Livestock and poultry producers</x:v>
      </x:c>
      <x:c r="D18" s="2" t="str">
        <x:v>Measured animal output per total feed and health cost</x:v>
      </x:c>
      <x:c r="E18" s="2" t="str">
        <x:v>Nutrition/service trial with species-specific performance</x:v>
      </x:c>
      <x:c r="F18" s="2" t="str">
        <x:v>Delivered feed cost per kg liveweight or saleable output</x:v>
      </x:c>
      <x:c r="G18" s="2" t="str">
        <x:v>Qualified farms, integrators and feed dealers</x:v>
      </x:c>
      <x:c r="H18" s="2" t="str">
        <x:v>Technical feed service; monitor mortality and animal welfare</x:v>
      </x:c>
      <x:c r="I18" s="2" t="str">
        <x:v>partner</x:v>
      </x:c>
      <x:c r="J18" s="2" t="str">
        <x:v>Continue existing service/eligible trade without the incremental intervention, in the same scenario</x:v>
      </x:c>
      <x:c r="K18" s="2" t="str">
        <x:v>Measure delivered rival price, specification, credit and service; allow matched-price/credit response. No shares or rival costs available.</x:v>
      </x:c>
      <x:c r="L18" s="2" t="str">
        <x:v>Net paid orders × delivered unit contribution − service/promotion − cannibalisation − cash funding; cap deliveries at verified supply</x:v>
      </x:c>
      <x:c r="M18" s="2" t="str">
        <x:v>Incremental paid contribution net of service/cannibalisation; measured usable output and repeat after promotion</x:v>
      </x:c>
      <x:c r="N18" s="2" t="str">
        <x:v>Country SEN category lead; Finance owns contribution; Treasury cash; Legal eligibility</x:v>
      </x:c>
      <x:c r="O18" s="2" t="str">
        <x:v>Stop for negative approved contribution bound, unfunded monthly liquidity, failed rights/access/quality or no paid repeat; numeric limits require Finance approval</x:v>
      </x:c>
      <x:c r="P18" s="2"/>
      <x:c r="Q18" s="2" t="str">
        <x:v>Obtain vendor/fieldwork quote and opportunity-cost estimate before commissioning; not zero</x:v>
      </x:c>
    </x:row>
    <x:row r="19" ht="72" customHeight="1">
      <x:c r="A19" s="2" t="str">
        <x:v>ZAF-maize</x:v>
      </x:c>
      <x:c r="B19" s="2" t="str">
        <x:v>Maize</x:v>
      </x:c>
      <x:c r="C19" s="2" t="str">
        <x:v>Feed mills and industrial grain buyers</x:v>
      </x:c>
      <x:c r="D19" s="2" t="str">
        <x:v>Quality, usable dry matter and dependable delivery</x:v>
      </x:c>
      <x:c r="E19" s="2" t="str">
        <x:v>Specification-based origination and shipment contract</x:v>
      </x:c>
      <x:c r="F19" s="2" t="str">
        <x:v>Delivered USD per usable dry-matter tonne; adjust quality losses</x:v>
      </x:c>
      <x:c r="G19" s="2" t="str">
        <x:v>Qualified cooperatives, elevators and bankable B2B buyers</x:v>
      </x:c>
      <x:c r="H19" s="2" t="str">
        <x:v>Technical specification and independent inspection, not consumer advertising</x:v>
      </x:c>
      <x:c r="I19" s="2" t="str">
        <x:v>trade</x:v>
      </x:c>
      <x:c r="J19" s="2" t="str">
        <x:v>Continue existing service/eligible trade without the incremental intervention, in the same scenario</x:v>
      </x:c>
      <x:c r="K19" s="2" t="str">
        <x:v>Measure delivered rival price, specification, credit and service; allow matched-price/credit response. No shares or rival costs available.</x:v>
      </x:c>
      <x:c r="L19" s="2" t="str">
        <x:v>Net paid orders × delivered unit contribution − service/promotion − cannibalisation − cash funding; cap deliveries at verified supply</x:v>
      </x:c>
      <x:c r="M19" s="2" t="str">
        <x:v>Incremental paid contribution net of service/cannibalisation; measured usable output and repeat after promotion</x:v>
      </x:c>
      <x:c r="N19" s="2" t="str">
        <x:v>Country ZAF category lead; Finance owns contribution; Treasury cash; Legal eligibility</x:v>
      </x:c>
      <x:c r="O19" s="2" t="str">
        <x:v>Stop for negative approved contribution bound, unfunded monthly liquidity, failed rights/access/quality or no paid repeat; numeric limits require Finance approval</x:v>
      </x:c>
      <x:c r="P19" s="2"/>
      <x:c r="Q19" s="2" t="str">
        <x:v>Obtain vendor/fieldwork quote and opportunity-cost estimate before commissioning; not zero</x:v>
      </x:c>
    </x:row>
    <x:row r="20" ht="72" customHeight="1">
      <x:c r="A20" s="2" t="str">
        <x:v>ZAF-edible_oil</x:v>
      </x:c>
      <x:c r="B20" s="2" t="str">
        <x:v>Edible oil</x:v>
      </x:c>
      <x:c r="C20" s="2" t="str">
        <x:v>Households, food-service and oil distributors</x:v>
      </x:c>
      <x:c r="D20" s="2" t="str">
        <x:v>Cost per cooking use, trusted quality and availability</x:v>
      </x:c>
      <x:c r="E20" s="2" t="str">
        <x:v>Affordable verified pack and reliable replenishment</x:v>
      </x:c>
      <x:c r="F20" s="2" t="str">
        <x:v>Net price per litre and per measured cooking use; safety/specification gate</x:v>
      </x:c>
      <x:c r="G20" s="2" t="str">
        <x:v>Qualified distributors, independent retail and food-service cohorts</x:v>
      </x:c>
      <x:c r="H20" s="2" t="str">
        <x:v>Replenishment and verified quality; no unproven health claim</x:v>
      </x:c>
      <x:c r="I20" s="2" t="str">
        <x:v>trade</x:v>
      </x:c>
      <x:c r="J20" s="2" t="str">
        <x:v>Continue existing service/eligible trade without the incremental intervention, in the same scenario</x:v>
      </x:c>
      <x:c r="K20" s="2" t="str">
        <x:v>Measure delivered rival price, specification, credit and service; allow matched-price/credit response. No shares or rival costs available.</x:v>
      </x:c>
      <x:c r="L20" s="2" t="str">
        <x:v>Net paid orders × delivered unit contribution − service/promotion − cannibalisation − cash funding; cap deliveries at verified supply</x:v>
      </x:c>
      <x:c r="M20" s="2" t="str">
        <x:v>Incremental paid contribution net of service/cannibalisation; measured usable output and repeat after promotion</x:v>
      </x:c>
      <x:c r="N20" s="2" t="str">
        <x:v>Country ZAF category lead; Finance owns contribution; Treasury cash; Legal eligibility</x:v>
      </x:c>
      <x:c r="O20" s="2" t="str">
        <x:v>Stop for negative approved contribution bound, unfunded monthly liquidity, failed rights/access/quality or no paid repeat; numeric limits require Finance approval</x:v>
      </x:c>
      <x:c r="P20" s="2"/>
      <x:c r="Q20" s="2" t="str">
        <x:v>Obtain vendor/fieldwork quote and opportunity-cost estimate before commissioning; not zero</x:v>
      </x:c>
    </x:row>
    <x:row r="21" ht="72" customHeight="1">
      <x:c r="A21" s="2" t="str">
        <x:v>VNM-rice</x:v>
      </x:c>
      <x:c r="B21" s="2" t="str">
        <x:v>Rice</x:v>
      </x:c>
      <x:c r="C21" s="2" t="str">
        <x:v>Households, food-service, importers and distributors</x:v>
      </x:c>
      <x:c r="D21" s="2" t="str">
        <x:v>Consistent cooking yield, cash access and availability</x:v>
      </x:c>
      <x:c r="E21" s="2" t="str">
        <x:v>Grade-specific contracted lot and cooked-output comparison</x:v>
      </x:c>
      <x:c r="F21" s="2" t="str">
        <x:v>Delivered price per saleable tonne and per prepared meal</x:v>
      </x:c>
      <x:c r="G21" s="2" t="str">
        <x:v>Licensed importers, wholesalers and eligible retail routes</x:v>
      </x:c>
      <x:c r="H21" s="2" t="str">
        <x:v>Blind grade/quality test, shipment reliability and paid reorder</x:v>
      </x:c>
      <x:c r="I21" s="2" t="str">
        <x:v>trade</x:v>
      </x:c>
      <x:c r="J21" s="2" t="str">
        <x:v>Continue existing service/eligible trade without the incremental intervention, in the same scenario</x:v>
      </x:c>
      <x:c r="K21" s="2" t="str">
        <x:v>Measure delivered rival price, specification, credit and service; allow matched-price/credit response. No shares or rival costs available.</x:v>
      </x:c>
      <x:c r="L21" s="2" t="str">
        <x:v>Net paid orders × delivered unit contribution − service/promotion − cannibalisation − cash funding; cap deliveries at verified supply</x:v>
      </x:c>
      <x:c r="M21" s="2" t="str">
        <x:v>Incremental paid contribution net of service/cannibalisation; measured usable output and repeat after promotion</x:v>
      </x:c>
      <x:c r="N21" s="2" t="str">
        <x:v>Country VNM category lead; Finance owns contribution; Treasury cash; Legal eligibility</x:v>
      </x:c>
      <x:c r="O21" s="2" t="str">
        <x:v>Stop for negative approved contribution bound, unfunded monthly liquidity, failed rights/access/quality or no paid repeat; numeric limits require Finance approval</x:v>
      </x:c>
      <x:c r="P21" s="2"/>
      <x:c r="Q21" s="2" t="str">
        <x:v>Obtain vendor/fieldwork quote and opportunity-cost estimate before commissioning; not zero</x:v>
      </x:c>
    </x:row>
  </x:sheetData>
  <x:mergeCells>
    <x:mergeCell ref="A1:Q1"/>
    <x:mergeCell ref="A2:Q2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</x:cols>
  <x:sheetData>
    <x:row r="1" ht="42" customHeight="1">
      <x:c r="A1" s="5" t="str">
        <x:v>Network / v1.1.0</x:v>
      </x:c>
      <x:c r="B1" s="2"/>
      <x:c r="C1" s="2"/>
      <x:c r="D1" s="2"/>
    </x:row>
    <x:row r="2" ht="42" customHeight="1">
      <x:c r="A2" s="2" t="str">
        <x:v>Public evidence + chosen examples; no Olam internal investment valuation</x:v>
      </x:c>
      <x:c r="B2" s="2"/>
      <x:c r="C2" s="2"/>
      <x:c r="D2" s="2"/>
    </x:row>
    <x:row r="3" ht="32" customHeight="1">
      <x:c r="A3" s="4" t="str">
        <x:v>Route</x:v>
      </x:c>
      <x:c r="B3" s="4" t="str">
        <x:v>Delivered t</x:v>
      </x:c>
      <x:c r="C3" s="4" t="str">
        <x:v>Chosen margin USD/t</x:v>
      </x:c>
      <x:c r="D3" s="4" t="str">
        <x:v>Status</x:v>
      </x:c>
    </x:row>
    <x:row r="4" ht="44" customHeight="1">
      <x:c r="A4" s="2" t="str">
        <x:v>A → Buyer1</x:v>
      </x:c>
      <x:c r="B4" s="2" t="n">
        <x:v>60</x:v>
      </x:c>
      <x:c r="C4" s="2" t="n">
        <x:v>30</x:v>
      </x:c>
      <x:c r="D4" s="2" t="str">
        <x:v>Chosen teaching case</x:v>
      </x:c>
    </x:row>
    <x:row r="5" ht="44" customHeight="1">
      <x:c r="A5" s="2" t="str">
        <x:v>A → Buyer2</x:v>
      </x:c>
      <x:c r="B5" s="2" t="n">
        <x:v>30</x:v>
      </x:c>
      <x:c r="C5" s="2" t="n">
        <x:v>25</x:v>
      </x:c>
      <x:c r="D5" s="2" t="str">
        <x:v>Chosen teaching case</x:v>
      </x:c>
    </x:row>
    <x:row r="6" ht="44" customHeight="1">
      <x:c r="A6" s="2" t="str">
        <x:v>A → Buyer3</x:v>
      </x:c>
      <x:c r="B6" s="2" t="n">
        <x:v>0</x:v>
      </x:c>
      <x:c r="C6" s="2" t="n">
        <x:v>10</x:v>
      </x:c>
      <x:c r="D6" s="2" t="str">
        <x:v>Blocked route</x:v>
      </x:c>
    </x:row>
    <x:row r="7" ht="44" customHeight="1">
      <x:c r="A7" s="2" t="str">
        <x:v>B → Buyer1</x:v>
      </x:c>
      <x:c r="B7" s="2" t="n">
        <x:v>10</x:v>
      </x:c>
      <x:c r="C7" s="2" t="n">
        <x:v>20</x:v>
      </x:c>
      <x:c r="D7" s="2" t="str">
        <x:v>Chosen teaching case</x:v>
      </x:c>
    </x:row>
    <x:row r="8" ht="44" customHeight="1">
      <x:c r="A8" s="2" t="str">
        <x:v>B → Buyer2</x:v>
      </x:c>
      <x:c r="B8" s="2" t="n">
        <x:v>50</x:v>
      </x:c>
      <x:c r="C8" s="2" t="n">
        <x:v>35</x:v>
      </x:c>
      <x:c r="D8" s="2" t="str">
        <x:v>Chosen teaching case</x:v>
      </x:c>
    </x:row>
    <x:row r="9" ht="44" customHeight="1">
      <x:c r="A9" s="2" t="str">
        <x:v>B → Buyer3</x:v>
      </x:c>
      <x:c r="B9" s="2" t="n">
        <x:v>30</x:v>
      </x:c>
      <x:c r="C9" s="2" t="n">
        <x:v>15</x:v>
      </x:c>
      <x:c r="D9" s="2" t="str">
        <x:v>Chosen teaching case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3" hidden="0" customWidth="1"/>
    <x:col min="2" max="2" width="45" hidden="0" customWidth="1"/>
    <x:col min="3" max="3" width="45" hidden="0" customWidth="1"/>
    <x:col min="4" max="4" width="45" hidden="0" customWidth="1"/>
    <x:col min="5" max="5" width="45" hidden="0" customWidth="1"/>
    <x:col min="6" max="6" width="45" hidden="0" customWidth="1"/>
    <x:col min="7" max="7" width="45" hidden="0" customWidth="1"/>
    <x:col min="8" max="8" width="45" hidden="0" customWidth="1"/>
    <x:col min="9" max="9" width="45" hidden="0" customWidth="1"/>
  </x:cols>
  <x:sheetData>
    <x:row r="1" ht="42" customHeight="1">
      <x:c r="A1" s="5" t="str">
        <x:v>Ablations / v1.1.0</x:v>
      </x:c>
      <x:c r="B1" s="2"/>
      <x:c r="C1" s="2"/>
      <x:c r="D1" s="2"/>
    </x:row>
    <x:row r="2" ht="42" customHeight="1">
      <x:c r="A2" s="2" t="str">
        <x:v>Public evidence + chosen examples; no Olam internal investment valuation</x:v>
      </x:c>
      <x:c r="B2" s="2"/>
      <x:c r="C2" s="2"/>
      <x:c r="D2" s="2"/>
    </x:row>
    <x:row r="3" ht="72" customHeight="1">
      <x:c r="A3" s="4" t="str">
        <x:v>module_removed</x:v>
      </x:c>
      <x:c r="B3" s="4" t="str">
        <x:v>baseline_NPV</x:v>
      </x:c>
      <x:c r="C3" s="4" t="str">
        <x:v>ablated_NPV</x:v>
      </x:c>
      <x:c r="D3" s="4" t="str">
        <x:v>consequence</x:v>
      </x:c>
    </x:row>
    <x:row r="4" ht="72" customHeight="1">
      <x:c r="A4" s="2" t="str">
        <x:v>Working capital and its closeout</x:v>
      </x:c>
      <x:c r="B4" s="2" t="n">
        <x:v>-1.7999419404754313</x:v>
      </x:c>
      <x:c r="C4" s="2" t="n">
        <x:v>3.6116686606497206</x:v>
      </x:c>
      <x:c r="D4" s="2" t="str">
        <x:v>Omitting cash investment overstates project value</x:v>
      </x:c>
    </x:row>
    <x:row r="5" ht="72" customHeight="1">
      <x:c r="A5" s="2" t="str">
        <x:v>Physical capacity cap</x:v>
      </x:c>
      <x:c r="B5" s="2" t="n">
        <x:v>-1.7999419404754313</x:v>
      </x:c>
      <x:c r="C5" s="2" t="n">
        <x:v>-1.7999419404754313</x:v>
      </x:c>
      <x:c r="D5" s="2" t="str">
        <x:v>Headroom is immaterial in this managed case; adverse constraints remain relevant</x:v>
      </x:c>
    </x:row>
    <x:row r="6" ht="72" customHeight="1">
      <x:c r="A6" s="2" t="str">
        <x:v>Learning decision update</x:v>
      </x:c>
      <x:c r="B6" s="2" t="n">
        <x:v>0.7000000000000002</x:v>
      </x:c>
      <x:c r="C6" s="2" t="n">
        <x:v>-1.5</x:v>
      </x:c>
      <x:c r="D6" s="2" t="str">
        <x:v>Paying for a study without changing a decision has only cost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</x:cols>
  <x:sheetData>
    <x:row r="1" ht="42" customHeight="1">
      <x:c r="A1" s="5" t="str">
        <x:v>Driver Coverage / v1.1.0</x:v>
      </x:c>
      <x:c r="B1" s="2"/>
      <x:c r="C1" s="2"/>
      <x:c r="D1" s="2"/>
      <x:c r="E1" s="2"/>
      <x:c r="F1" s="2"/>
    </x:row>
    <x:row r="2" ht="42" customHeight="1">
      <x:c r="A2" s="2" t="str">
        <x:v>Public evidence + chosen examples; no Olam internal investment valuation</x:v>
      </x:c>
      <x:c r="B2" s="2"/>
      <x:c r="C2" s="2"/>
      <x:c r="D2" s="2"/>
      <x:c r="E2" s="2"/>
      <x:c r="F2" s="2"/>
    </x:row>
    <x:row r="3" ht="32" customHeight="1">
      <x:c r="A3" s="4" t="str">
        <x:v>Country</x:v>
      </x:c>
      <x:c r="B3" s="4" t="str">
        <x:v>Variable</x:v>
      </x:c>
      <x:c r="C3" s="4" t="str">
        <x:v>Latest value</x:v>
      </x:c>
      <x:c r="D3" s="4" t="str">
        <x:v>Latest year</x:v>
      </x:c>
      <x:c r="E3" s="4" t="str">
        <x:v>Source</x:v>
      </x:c>
      <x:c r="F3" s="4" t="str">
        <x:v>Definition</x:v>
      </x:c>
    </x:row>
    <x:row r="4" ht="44" customHeight="1">
      <x:c r="A4" s="2" t="str">
        <x:v>AFG</x:v>
      </x:c>
      <x:c r="B4" s="2" t="str">
        <x:v>population</x:v>
      </x:c>
      <x:c r="C4" s="2" t="n">
        <x:v>43844111</x:v>
      </x:c>
      <x:c r="D4" s="2" t="n">
        <x:v>2025</x:v>
      </x:c>
      <x:c r="E4" s="2" t="str">
        <x:v>WB_population</x:v>
      </x:c>
      <x:c r="F4" s="2" t="str">
        <x:v>Population, total</x:v>
      </x:c>
    </x:row>
    <x:row r="5" ht="44" customHeight="1">
      <x:c r="A5" s="2" t="str">
        <x:v>AFG</x:v>
      </x:c>
      <x:c r="B5" s="2" t="str">
        <x:v>income_ppp</x:v>
      </x:c>
      <x:c r="C5" s="2" t="n">
        <x:v>1964.45228895456</x:v>
      </x:c>
      <x:c r="D5" s="2" t="n">
        <x:v>2024</x:v>
      </x:c>
      <x:c r="E5" s="2" t="str">
        <x:v>WB_income_ppp</x:v>
      </x:c>
      <x:c r="F5" s="2" t="str">
        <x:v>GDP per capita, PPP (constant 2021 international $)</x:v>
      </x:c>
    </x:row>
    <x:row r="6" ht="44" customHeight="1">
      <x:c r="A6" s="2" t="str">
        <x:v>AFG</x:v>
      </x:c>
      <x:c r="B6" s="2" t="str">
        <x:v>urban</x:v>
      </x:c>
      <x:c r="C6" s="2" t="n">
        <x:v>25.9401644699898</x:v>
      </x:c>
      <x:c r="D6" s="2" t="n">
        <x:v>2025</x:v>
      </x:c>
      <x:c r="E6" s="2" t="str">
        <x:v>WB_urban</x:v>
      </x:c>
      <x:c r="F6" s="2" t="str">
        <x:v>Urban population (% of total population)</x:v>
      </x:c>
    </x:row>
    <x:row r="7" ht="44" customHeight="1">
      <x:c r="A7" s="2" t="str">
        <x:v>AFG</x:v>
      </x:c>
      <x:c r="B7" s="2" t="str">
        <x:v>inflation</x:v>
      </x:c>
      <x:c r="C7" s="2" t="n">
        <x:v>-6.60118564073726</x:v>
      </x:c>
      <x:c r="D7" s="2" t="n">
        <x:v>2024</x:v>
      </x:c>
      <x:c r="E7" s="2" t="str">
        <x:v>WB_inflation</x:v>
      </x:c>
      <x:c r="F7" s="2" t="str">
        <x:v>Inflation, consumer prices (annual %)</x:v>
      </x:c>
    </x:row>
    <x:row r="8" ht="44" customHeight="1">
      <x:c r="A8" s="2" t="str">
        <x:v>AFG</x:v>
      </x:c>
      <x:c r="B8" s="2" t="str">
        <x:v>food_index</x:v>
      </x:c>
      <x:c r="C8" s="2" t="n">
        <x:v>111.43</x:v>
      </x:c>
      <x:c r="D8" s="2" t="n">
        <x:v>2022</x:v>
      </x:c>
      <x:c r="E8" s="2" t="str">
        <x:v>WB_food_index</x:v>
      </x:c>
      <x:c r="F8" s="2" t="str">
        <x:v>Food production index (2014-2016 = 100)</x:v>
      </x:c>
    </x:row>
    <x:row r="9" ht="44" customHeight="1">
      <x:c r="A9" s="2" t="str">
        <x:v>AFG</x:v>
      </x:c>
      <x:c r="B9" s="2" t="str">
        <x:v>food_import_share</x:v>
      </x:c>
      <x:c r="C9" s="2" t="n">
        <x:v>26.9158389109364</x:v>
      </x:c>
      <x:c r="D9" s="2" t="n">
        <x:v>2019</x:v>
      </x:c>
      <x:c r="E9" s="2" t="str">
        <x:v>WB_food_import_share</x:v>
      </x:c>
      <x:c r="F9" s="2" t="str">
        <x:v>Food imports (% of merchandise imports)</x:v>
      </x:c>
    </x:row>
    <x:row r="10" ht="44" customHeight="1">
      <x:c r="A10" s="2" t="str">
        <x:v>AFG</x:v>
      </x:c>
      <x:c r="B10" s="2" t="str">
        <x:v>food_export_share</x:v>
      </x:c>
      <x:c r="C10" s="2" t="n">
        <x:v>63.8521064680169</x:v>
      </x:c>
      <x:c r="D10" s="2" t="n">
        <x:v>2019</x:v>
      </x:c>
      <x:c r="E10" s="2" t="str">
        <x:v>WB_food_export_share</x:v>
      </x:c>
      <x:c r="F10" s="2" t="str">
        <x:v>Food exports (% of merchandise exports)</x:v>
      </x:c>
    </x:row>
    <x:row r="11" ht="44" customHeight="1">
      <x:c r="A11" s="2" t="str">
        <x:v>AFG</x:v>
      </x:c>
      <x:c r="B11" s="2" t="str">
        <x:v>imports_usd</x:v>
      </x:c>
      <x:c r="C11" s="2" t="n">
        <x:v>3606000000</x:v>
      </x:c>
      <x:c r="D11" s="2" t="n">
        <x:v>2025</x:v>
      </x:c>
      <x:c r="E11" s="2" t="str">
        <x:v>WB_imports_usd</x:v>
      </x:c>
      <x:c r="F11" s="2" t="str">
        <x:v>Merchandise imports (current US$)</x:v>
      </x:c>
    </x:row>
    <x:row r="12" ht="44" customHeight="1">
      <x:c r="A12" s="2" t="str">
        <x:v>AFG</x:v>
      </x:c>
      <x:c r="B12" s="2" t="str">
        <x:v>exports_usd</x:v>
      </x:c>
      <x:c r="C12" s="2" t="n">
        <x:v>926000000</x:v>
      </x:c>
      <x:c r="D12" s="2" t="n">
        <x:v>2025</x:v>
      </x:c>
      <x:c r="E12" s="2" t="str">
        <x:v>WB_exports_usd</x:v>
      </x:c>
      <x:c r="F12" s="2" t="str">
        <x:v>Merchandise exports (current US$)</x:v>
      </x:c>
    </x:row>
    <x:row r="13" ht="44" customHeight="1">
      <x:c r="A13" s="2" t="str">
        <x:v>AFG</x:v>
      </x:c>
      <x:c r="B13" s="2" t="str">
        <x:v>cereal_yield</x:v>
      </x:c>
      <x:c r="C13" s="2" t="n">
        <x:v>2358.6</x:v>
      </x:c>
      <x:c r="D13" s="2" t="n">
        <x:v>2024</x:v>
      </x:c>
      <x:c r="E13" s="2" t="str">
        <x:v>WB_cereal_yield</x:v>
      </x:c>
      <x:c r="F13" s="2" t="str">
        <x:v>Cereal yield (kg per hectare)</x:v>
      </x:c>
    </x:row>
    <x:row r="14" ht="44" customHeight="1">
      <x:c r="A14" s="2" t="str">
        <x:v>AFG</x:v>
      </x:c>
      <x:c r="B14" s="2" t="str">
        <x:v>water_stress</x:v>
      </x:c>
      <x:c r="C14" s="2" t="n">
        <x:v>54.75701944</x:v>
      </x:c>
      <x:c r="D14" s="2" t="n">
        <x:v>2022</x:v>
      </x:c>
      <x:c r="E14" s="2" t="str">
        <x:v>WB_water_stress</x:v>
      </x:c>
      <x:c r="F14" s="2" t="str">
        <x:v>Level of water stress: freshwater withdrawal as a proportion of available freshwater resources</x:v>
      </x:c>
    </x:row>
    <x:row r="15" ht="44" customHeight="1">
      <x:c r="A15" s="2" t="str">
        <x:v>AFG</x:v>
      </x:c>
      <x:c r="B15" s="2" t="str">
        <x:v>fertility</x:v>
      </x:c>
      <x:c r="C15" s="2" t="n">
        <x:v>4.761</x:v>
      </x:c>
      <x:c r="D15" s="2" t="n">
        <x:v>2024</x:v>
      </x:c>
      <x:c r="E15" s="2" t="str">
        <x:v>WB_fertility</x:v>
      </x:c>
      <x:c r="F15" s="2" t="str">
        <x:v>Fertility rate, total (births per woman)</x:v>
      </x:c>
    </x:row>
    <x:row r="16" ht="44" customHeight="1">
      <x:c r="A16" s="2" t="str">
        <x:v>AFG</x:v>
      </x:c>
      <x:c r="B16" s="2" t="str">
        <x:v>life_expectancy</x:v>
      </x:c>
      <x:c r="C16" s="2" t="n">
        <x:v>66.289</x:v>
      </x:c>
      <x:c r="D16" s="2" t="n">
        <x:v>2024</x:v>
      </x:c>
      <x:c r="E16" s="2" t="str">
        <x:v>WB_life_expectancy</x:v>
      </x:c>
      <x:c r="F16" s="2" t="str">
        <x:v>Life expectancy at birth, total (years)</x:v>
      </x:c>
    </x:row>
    <x:row r="17" ht="44" customHeight="1">
      <x:c r="A17" s="2" t="str">
        <x:v>AFG</x:v>
      </x:c>
      <x:c r="B17" s="2" t="str">
        <x:v>age_under15</x:v>
      </x:c>
      <x:c r="C17" s="2" t="n">
        <x:v>42.5609240593232</x:v>
      </x:c>
      <x:c r="D17" s="2" t="n">
        <x:v>2025</x:v>
      </x:c>
      <x:c r="E17" s="2" t="str">
        <x:v>WB_age_under15</x:v>
      </x:c>
      <x:c r="F17" s="2" t="str">
        <x:v>Population ages 0-14 (% of total population)</x:v>
      </x:c>
    </x:row>
    <x:row r="18" ht="44" customHeight="1">
      <x:c r="A18" s="2" t="str">
        <x:v>AFG</x:v>
      </x:c>
      <x:c r="B18" s="2" t="str">
        <x:v>age_over65</x:v>
      </x:c>
      <x:c r="C18" s="2" t="n">
        <x:v>2.42557886023075</x:v>
      </x:c>
      <x:c r="D18" s="2" t="n">
        <x:v>2025</x:v>
      </x:c>
      <x:c r="E18" s="2" t="str">
        <x:v>WB_age_over65</x:v>
      </x:c>
      <x:c r="F18" s="2" t="str">
        <x:v>Population ages 65 and above (% of total population)</x:v>
      </x:c>
    </x:row>
    <x:row r="19" ht="44" customHeight="1">
      <x:c r="A19" s="2" t="str">
        <x:v>AFG</x:v>
      </x:c>
      <x:c r="B19" s="2" t="str">
        <x:v>dependency_ratio</x:v>
      </x:c>
      <x:c r="C19" s="2" t="n">
        <x:v>81.7735722442193</x:v>
      </x:c>
      <x:c r="D19" s="2" t="n">
        <x:v>2025</x:v>
      </x:c>
      <x:c r="E19" s="2" t="str">
        <x:v>WB_dependency_ratio</x:v>
      </x:c>
      <x:c r="F19" s="2" t="str">
        <x:v>Age dependency ratio (% of working-age population)</x:v>
      </x:c>
    </x:row>
    <x:row r="20" ht="44" customHeight="1">
      <x:c r="A20" s="2" t="str">
        <x:v>AFG</x:v>
      </x:c>
      <x:c r="B20" s="2" t="str">
        <x:v>net_migration</x:v>
      </x:c>
      <x:c r="C20" s="2" t="n">
        <x:v>-74404</x:v>
      </x:c>
      <x:c r="D20" s="2" t="n">
        <x:v>2025</x:v>
      </x:c>
      <x:c r="E20" s="2" t="str">
        <x:v>WB_net_migration</x:v>
      </x:c>
      <x:c r="F20" s="2" t="str">
        <x:v>Net migration</x:v>
      </x:c>
    </x:row>
    <x:row r="21" ht="44" customHeight="1">
      <x:c r="A21" s="2" t="str">
        <x:v>AFG</x:v>
      </x:c>
      <x:c r="B21" s="2" t="str">
        <x:v>real_gdp</x:v>
      </x:c>
      <x:c r="C21" s="2" t="n">
        <x:v>15966227156.538</x:v>
      </x:c>
      <x:c r="D21" s="2" t="n">
        <x:v>2024</x:v>
      </x:c>
      <x:c r="E21" s="2" t="str">
        <x:v>WB_real_gdp</x:v>
      </x:c>
      <x:c r="F21" s="2" t="str">
        <x:v>GDP (constant 2015 US$)</x:v>
      </x:c>
    </x:row>
    <x:row r="22" ht="44" customHeight="1">
      <x:c r="A22" s="2" t="str">
        <x:v>AFG</x:v>
      </x:c>
      <x:c r="B22" s="2" t="str">
        <x:v>gdp_growth</x:v>
      </x:c>
      <x:c r="C22" s="2" t="n">
        <x:v>1.87319280045979</x:v>
      </x:c>
      <x:c r="D22" s="2" t="n">
        <x:v>2024</x:v>
      </x:c>
      <x:c r="E22" s="2" t="str">
        <x:v>WB_gdp_growth</x:v>
      </x:c>
      <x:c r="F22" s="2" t="str">
        <x:v>GDP growth (annual %)</x:v>
      </x:c>
    </x:row>
    <x:row r="23" ht="44" customHeight="1">
      <x:c r="A23" s="2" t="str">
        <x:v>AFG</x:v>
      </x:c>
      <x:c r="B23" s="2" t="str">
        <x:v>real_income</x:v>
      </x:c>
      <x:c r="C23" s="2" t="n">
        <x:v>374.37669620849</x:v>
      </x:c>
      <x:c r="D23" s="2" t="n">
        <x:v>2024</x:v>
      </x:c>
      <x:c r="E23" s="2" t="str">
        <x:v>WB_real_income</x:v>
      </x:c>
      <x:c r="F23" s="2" t="str">
        <x:v>GDP per capita (constant 2015 US$)</x:v>
      </x:c>
    </x:row>
    <x:row r="24" ht="44" customHeight="1">
      <x:c r="A24" s="2" t="str">
        <x:v>AFG</x:v>
      </x:c>
      <x:c r="B24" s="2" t="str">
        <x:v>agriculture_gdp</x:v>
      </x:c>
      <x:c r="C24" s="2" t="n">
        <x:v>34.2931004992905</x:v>
      </x:c>
      <x:c r="D24" s="2" t="n">
        <x:v>2024</x:v>
      </x:c>
      <x:c r="E24" s="2" t="str">
        <x:v>WB_agriculture_gdp</x:v>
      </x:c>
      <x:c r="F24" s="2" t="str">
        <x:v>Agriculture, forestry, and fishing, value added (% of GDP)</x:v>
      </x:c>
    </x:row>
    <x:row r="25" ht="44" customHeight="1">
      <x:c r="A25" s="2" t="str">
        <x:v>AFG</x:v>
      </x:c>
      <x:c r="B25" s="2" t="str">
        <x:v>poverty</x:v>
      </x:c>
      <x:c r="C25" s="2"/>
      <x:c r="D25" s="2"/>
      <x:c r="E25" s="2" t="str">
        <x:v>Missing</x:v>
      </x:c>
      <x:c r="F25" s="2" t="str">
        <x:v>Poverty headcount ratio at $3.00 a day (2021 PPP) (% of population)</x:v>
      </x:c>
    </x:row>
    <x:row r="26" ht="44" customHeight="1">
      <x:c r="A26" s="2" t="str">
        <x:v>AFG</x:v>
      </x:c>
      <x:c r="B26" s="2" t="str">
        <x:v>gini</x:v>
      </x:c>
      <x:c r="C26" s="2"/>
      <x:c r="D26" s="2"/>
      <x:c r="E26" s="2" t="str">
        <x:v>Missing</x:v>
      </x:c>
      <x:c r="F26" s="2" t="str">
        <x:v>Gini index</x:v>
      </x:c>
    </x:row>
    <x:row r="27" ht="44" customHeight="1">
      <x:c r="A27" s="2" t="str">
        <x:v>AFG</x:v>
      </x:c>
      <x:c r="B27" s="2" t="str">
        <x:v>unemployment</x:v>
      </x:c>
      <x:c r="C27" s="2" t="n">
        <x:v>13.351</x:v>
      </x:c>
      <x:c r="D27" s="2" t="n">
        <x:v>2025</x:v>
      </x:c>
      <x:c r="E27" s="2" t="str">
        <x:v>WB_unemployment</x:v>
      </x:c>
      <x:c r="F27" s="2" t="str">
        <x:v>Unemployment, total (% of total labor force) (modeled ILO estimate)</x:v>
      </x:c>
    </x:row>
    <x:row r="28" ht="44" customHeight="1">
      <x:c r="A28" s="2" t="str">
        <x:v>AFG</x:v>
      </x:c>
      <x:c r="B28" s="2" t="str">
        <x:v>private_credit</x:v>
      </x:c>
      <x:c r="C28" s="2" t="n">
        <x:v>3.09659808966059</x:v>
      </x:c>
      <x:c r="D28" s="2" t="n">
        <x:v>2020</x:v>
      </x:c>
      <x:c r="E28" s="2" t="str">
        <x:v>WB_private_credit</x:v>
      </x:c>
      <x:c r="F28" s="2" t="str">
        <x:v>Domestic credit to private sector (% of GDP)</x:v>
      </x:c>
    </x:row>
    <x:row r="29" ht="44" customHeight="1">
      <x:c r="A29" s="2" t="str">
        <x:v>AFG</x:v>
      </x:c>
      <x:c r="B29" s="2" t="str">
        <x:v>lending_rate</x:v>
      </x:c>
      <x:c r="C29" s="2" t="n">
        <x:v>14.8366666666667</x:v>
      </x:c>
      <x:c r="D29" s="2" t="n">
        <x:v>2017</x:v>
      </x:c>
      <x:c r="E29" s="2" t="str">
        <x:v>WB_lending_rate</x:v>
      </x:c>
      <x:c r="F29" s="2" t="str">
        <x:v>Lending interest rate (%)</x:v>
      </x:c>
    </x:row>
    <x:row r="30" ht="44" customHeight="1">
      <x:c r="A30" s="2" t="str">
        <x:v>AFG</x:v>
      </x:c>
      <x:c r="B30" s="2" t="str">
        <x:v>real_interest</x:v>
      </x:c>
      <x:c r="C30" s="2" t="n">
        <x:v>12.1411782956513</x:v>
      </x:c>
      <x:c r="D30" s="2" t="n">
        <x:v>2017</x:v>
      </x:c>
      <x:c r="E30" s="2" t="str">
        <x:v>WB_real_interest</x:v>
      </x:c>
      <x:c r="F30" s="2" t="str">
        <x:v>Real interest rate (%)</x:v>
      </x:c>
    </x:row>
    <x:row r="31" ht="44" customHeight="1">
      <x:c r="A31" s="2" t="str">
        <x:v>AFG</x:v>
      </x:c>
      <x:c r="B31" s="2" t="str">
        <x:v>government_debt</x:v>
      </x:c>
      <x:c r="C31" s="2"/>
      <x:c r="D31" s="2"/>
      <x:c r="E31" s="2" t="str">
        <x:v>Missing</x:v>
      </x:c>
      <x:c r="F31" s="2" t="str">
        <x:v>Central government debt, total (% of GDP)</x:v>
      </x:c>
    </x:row>
    <x:row r="32" ht="44" customHeight="1">
      <x:c r="A32" s="2" t="str">
        <x:v>AFG</x:v>
      </x:c>
      <x:c r="B32" s="2" t="str">
        <x:v>electricity_access</x:v>
      </x:c>
      <x:c r="C32" s="2" t="n">
        <x:v>87.8</x:v>
      </x:c>
      <x:c r="D32" s="2" t="n">
        <x:v>2024</x:v>
      </x:c>
      <x:c r="E32" s="2" t="str">
        <x:v>WB_electricity_access</x:v>
      </x:c>
      <x:c r="F32" s="2" t="str">
        <x:v>Access to electricity (% of population)</x:v>
      </x:c>
    </x:row>
    <x:row r="33" ht="44" customHeight="1">
      <x:c r="A33" s="2" t="str">
        <x:v>AFG</x:v>
      </x:c>
      <x:c r="B33" s="2" t="str">
        <x:v>irrigated_land</x:v>
      </x:c>
      <x:c r="C33" s="2" t="n">
        <x:v>5.97911638157204</x:v>
      </x:c>
      <x:c r="D33" s="2" t="n">
        <x:v>2023</x:v>
      </x:c>
      <x:c r="E33" s="2" t="str">
        <x:v>WB_irrigated_land</x:v>
      </x:c>
      <x:c r="F33" s="2" t="str">
        <x:v>Agricultural irrigated land (% of total agricultural land)</x:v>
      </x:c>
    </x:row>
    <x:row r="34" ht="44" customHeight="1">
      <x:c r="A34" s="2" t="str">
        <x:v>AFG</x:v>
      </x:c>
      <x:c r="B34" s="2" t="str">
        <x:v>cereal_area</x:v>
      </x:c>
      <x:c r="C34" s="2" t="n">
        <x:v>2635327</x:v>
      </x:c>
      <x:c r="D34" s="2" t="n">
        <x:v>2024</x:v>
      </x:c>
      <x:c r="E34" s="2" t="str">
        <x:v>WB_cereal_area</x:v>
      </x:c>
      <x:c r="F34" s="2" t="str">
        <x:v>Land under cereal production (hectares)</x:v>
      </x:c>
    </x:row>
    <x:row r="35" ht="44" customHeight="1">
      <x:c r="A35" s="2" t="str">
        <x:v>AFG</x:v>
      </x:c>
      <x:c r="B35" s="2" t="str">
        <x:v>undernourishment</x:v>
      </x:c>
      <x:c r="C35" s="2" t="n">
        <x:v>28.1</x:v>
      </x:c>
      <x:c r="D35" s="2" t="n">
        <x:v>2023</x:v>
      </x:c>
      <x:c r="E35" s="2" t="str">
        <x:v>WB_undernourishment</x:v>
      </x:c>
      <x:c r="F35" s="2" t="str">
        <x:v>Prevalence of undernourishment (% of population)</x:v>
      </x:c>
    </x:row>
    <x:row r="36" ht="44" customHeight="1">
      <x:c r="A36" s="2" t="str">
        <x:v>AFG</x:v>
      </x:c>
      <x:c r="B36" s="2" t="str">
        <x:v>agriculture_employment</x:v>
      </x:c>
      <x:c r="C36" s="2" t="n">
        <x:v>51.6289897399565</x:v>
      </x:c>
      <x:c r="D36" s="2" t="n">
        <x:v>2025</x:v>
      </x:c>
      <x:c r="E36" s="2" t="str">
        <x:v>WB_agriculture_employment</x:v>
      </x:c>
      <x:c r="F36" s="2" t="str">
        <x:v>Employment in agriculture (% of total employment) (modeled ILO estimate)</x:v>
      </x:c>
    </x:row>
    <x:row r="37" ht="44" customHeight="1">
      <x:c r="A37" s="2" t="str">
        <x:v>AFG</x:v>
      </x:c>
      <x:c r="B37" s="2" t="str">
        <x:v>water_withdrawal</x:v>
      </x:c>
      <x:c r="C37" s="2" t="n">
        <x:v>43.0159066808059</x:v>
      </x:c>
      <x:c r="D37" s="2" t="n">
        <x:v>2022</x:v>
      </x:c>
      <x:c r="E37" s="2" t="str">
        <x:v>WB_water_withdrawal</x:v>
      </x:c>
      <x:c r="F37" s="2" t="str">
        <x:v>Annual freshwater withdrawals, total (% of internal resources)</x:v>
      </x:c>
    </x:row>
    <x:row r="38" ht="44" customHeight="1">
      <x:c r="A38" s="2" t="str">
        <x:v>ALB</x:v>
      </x:c>
      <x:c r="B38" s="2" t="str">
        <x:v>population</x:v>
      </x:c>
      <x:c r="C38" s="2" t="n">
        <x:v>2349580</x:v>
      </x:c>
      <x:c r="D38" s="2" t="n">
        <x:v>2025</x:v>
      </x:c>
      <x:c r="E38" s="2" t="str">
        <x:v>WB_population</x:v>
      </x:c>
      <x:c r="F38" s="2" t="str">
        <x:v>Population, total</x:v>
      </x:c>
    </x:row>
    <x:row r="39" ht="44" customHeight="1">
      <x:c r="A39" s="2" t="str">
        <x:v>ALB</x:v>
      </x:c>
      <x:c r="B39" s="2" t="str">
        <x:v>income_ppp</x:v>
      </x:c>
      <x:c r="C39" s="2" t="n">
        <x:v>22724.2938194949</x:v>
      </x:c>
      <x:c r="D39" s="2" t="n">
        <x:v>2025</x:v>
      </x:c>
      <x:c r="E39" s="2" t="str">
        <x:v>WB_income_ppp</x:v>
      </x:c>
      <x:c r="F39" s="2" t="str">
        <x:v>GDP per capita, PPP (constant 2021 international $)</x:v>
      </x:c>
    </x:row>
    <x:row r="40" ht="44" customHeight="1">
      <x:c r="A40" s="2" t="str">
        <x:v>ALB</x:v>
      </x:c>
      <x:c r="B40" s="2" t="str">
        <x:v>urban</x:v>
      </x:c>
      <x:c r="C40" s="2" t="n">
        <x:v>58.871474331067</x:v>
      </x:c>
      <x:c r="D40" s="2" t="n">
        <x:v>2025</x:v>
      </x:c>
      <x:c r="E40" s="2" t="str">
        <x:v>WB_urban</x:v>
      </x:c>
      <x:c r="F40" s="2" t="str">
        <x:v>Urban population (% of total population)</x:v>
      </x:c>
    </x:row>
    <x:row r="41" ht="44" customHeight="1">
      <x:c r="A41" s="2" t="str">
        <x:v>ALB</x:v>
      </x:c>
      <x:c r="B41" s="2" t="str">
        <x:v>inflation</x:v>
      </x:c>
      <x:c r="C41" s="2" t="n">
        <x:v>2.14618551167388</x:v>
      </x:c>
      <x:c r="D41" s="2" t="n">
        <x:v>2025</x:v>
      </x:c>
      <x:c r="E41" s="2" t="str">
        <x:v>WB_inflation</x:v>
      </x:c>
      <x:c r="F41" s="2" t="str">
        <x:v>Inflation, consumer prices (annual %)</x:v>
      </x:c>
    </x:row>
    <x:row r="42" ht="44" customHeight="1">
      <x:c r="A42" s="2" t="str">
        <x:v>ALB</x:v>
      </x:c>
      <x:c r="B42" s="2" t="str">
        <x:v>food_index</x:v>
      </x:c>
      <x:c r="C42" s="2" t="n">
        <x:v>105.4</x:v>
      </x:c>
      <x:c r="D42" s="2" t="n">
        <x:v>2022</x:v>
      </x:c>
      <x:c r="E42" s="2" t="str">
        <x:v>WB_food_index</x:v>
      </x:c>
      <x:c r="F42" s="2" t="str">
        <x:v>Food production index (2014-2016 = 100)</x:v>
      </x:c>
    </x:row>
    <x:row r="43" ht="44" customHeight="1">
      <x:c r="A43" s="2" t="str">
        <x:v>ALB</x:v>
      </x:c>
      <x:c r="B43" s="2" t="str">
        <x:v>food_import_share</x:v>
      </x:c>
      <x:c r="C43" s="2" t="n">
        <x:v>16.602918660023</x:v>
      </x:c>
      <x:c r="D43" s="2" t="n">
        <x:v>2024</x:v>
      </x:c>
      <x:c r="E43" s="2" t="str">
        <x:v>WB_food_import_share</x:v>
      </x:c>
      <x:c r="F43" s="2" t="str">
        <x:v>Food imports (% of merchandise imports)</x:v>
      </x:c>
    </x:row>
    <x:row r="44" ht="44" customHeight="1">
      <x:c r="A44" s="2" t="str">
        <x:v>ALB</x:v>
      </x:c>
      <x:c r="B44" s="2" t="str">
        <x:v>food_export_share</x:v>
      </x:c>
      <x:c r="C44" s="2" t="n">
        <x:v>13.3530673679586</x:v>
      </x:c>
      <x:c r="D44" s="2" t="n">
        <x:v>2024</x:v>
      </x:c>
      <x:c r="E44" s="2" t="str">
        <x:v>WB_food_export_share</x:v>
      </x:c>
      <x:c r="F44" s="2" t="str">
        <x:v>Food exports (% of merchandise exports)</x:v>
      </x:c>
    </x:row>
    <x:row r="45" ht="44" customHeight="1">
      <x:c r="A45" s="2" t="str">
        <x:v>ALB</x:v>
      </x:c>
      <x:c r="B45" s="2" t="str">
        <x:v>imports_usd</x:v>
      </x:c>
      <x:c r="C45" s="2" t="n">
        <x:v>10280000000</x:v>
      </x:c>
      <x:c r="D45" s="2" t="n">
        <x:v>2025</x:v>
      </x:c>
      <x:c r="E45" s="2" t="str">
        <x:v>WB_imports_usd</x:v>
      </x:c>
      <x:c r="F45" s="2" t="str">
        <x:v>Merchandise imports (current US$)</x:v>
      </x:c>
    </x:row>
    <x:row r="46" ht="44" customHeight="1">
      <x:c r="A46" s="2" t="str">
        <x:v>ALB</x:v>
      </x:c>
      <x:c r="B46" s="2" t="str">
        <x:v>exports_usd</x:v>
      </x:c>
      <x:c r="C46" s="2" t="n">
        <x:v>4347000000</x:v>
      </x:c>
      <x:c r="D46" s="2" t="n">
        <x:v>2025</x:v>
      </x:c>
      <x:c r="E46" s="2" t="str">
        <x:v>WB_exports_usd</x:v>
      </x:c>
      <x:c r="F46" s="2" t="str">
        <x:v>Merchandise exports (current US$)</x:v>
      </x:c>
    </x:row>
    <x:row r="47" ht="44" customHeight="1">
      <x:c r="A47" s="2" t="str">
        <x:v>ALB</x:v>
      </x:c>
      <x:c r="B47" s="2" t="str">
        <x:v>cereal_yield</x:v>
      </x:c>
      <x:c r="C47" s="2" t="n">
        <x:v>5169.9</x:v>
      </x:c>
      <x:c r="D47" s="2" t="n">
        <x:v>2023</x:v>
      </x:c>
      <x:c r="E47" s="2" t="str">
        <x:v>WB_cereal_yield</x:v>
      </x:c>
      <x:c r="F47" s="2" t="str">
        <x:v>Cereal yield (kg per hectare)</x:v>
      </x:c>
    </x:row>
    <x:row r="48" ht="44" customHeight="1">
      <x:c r="A48" s="2" t="str">
        <x:v>ALB</x:v>
      </x:c>
      <x:c r="B48" s="2" t="str">
        <x:v>water_stress</x:v>
      </x:c>
      <x:c r="C48" s="2" t="n">
        <x:v>4.789663462</x:v>
      </x:c>
      <x:c r="D48" s="2" t="n">
        <x:v>2022</x:v>
      </x:c>
      <x:c r="E48" s="2" t="str">
        <x:v>WB_water_stress</x:v>
      </x:c>
      <x:c r="F48" s="2" t="str">
        <x:v>Level of water stress: freshwater withdrawal as a proportion of available freshwater resources</x:v>
      </x:c>
    </x:row>
    <x:row r="49" ht="44" customHeight="1">
      <x:c r="A49" s="2" t="str">
        <x:v>ALB</x:v>
      </x:c>
      <x:c r="B49" s="2" t="str">
        <x:v>fertility</x:v>
      </x:c>
      <x:c r="C49" s="2" t="n">
        <x:v>1.341</x:v>
      </x:c>
      <x:c r="D49" s="2" t="n">
        <x:v>2024</x:v>
      </x:c>
      <x:c r="E49" s="2" t="str">
        <x:v>WB_fertility</x:v>
      </x:c>
      <x:c r="F49" s="2" t="str">
        <x:v>Fertility rate, total (births per woman)</x:v>
      </x:c>
    </x:row>
    <x:row r="50" ht="44" customHeight="1">
      <x:c r="A50" s="2" t="str">
        <x:v>ALB</x:v>
      </x:c>
      <x:c r="B50" s="2" t="str">
        <x:v>life_expectancy</x:v>
      </x:c>
      <x:c r="C50" s="2" t="n">
        <x:v>79.776</x:v>
      </x:c>
      <x:c r="D50" s="2" t="n">
        <x:v>2024</x:v>
      </x:c>
      <x:c r="E50" s="2" t="str">
        <x:v>WB_life_expectancy</x:v>
      </x:c>
      <x:c r="F50" s="2" t="str">
        <x:v>Life expectancy at birth, total (years)</x:v>
      </x:c>
    </x:row>
    <x:row r="51" ht="44" customHeight="1">
      <x:c r="A51" s="2" t="str">
        <x:v>ALB</x:v>
      </x:c>
      <x:c r="B51" s="2" t="str">
        <x:v>age_under15</x:v>
      </x:c>
      <x:c r="C51" s="2" t="n">
        <x:v>16.6061971688693</x:v>
      </x:c>
      <x:c r="D51" s="2" t="n">
        <x:v>2025</x:v>
      </x:c>
      <x:c r="E51" s="2" t="str">
        <x:v>WB_age_under15</x:v>
      </x:c>
      <x:c r="F51" s="2" t="str">
        <x:v>Population ages 0-14 (% of total population)</x:v>
      </x:c>
    </x:row>
    <x:row r="52" ht="44" customHeight="1">
      <x:c r="A52" s="2" t="str">
        <x:v>ALB</x:v>
      </x:c>
      <x:c r="B52" s="2" t="str">
        <x:v>age_over65</x:v>
      </x:c>
      <x:c r="C52" s="2" t="n">
        <x:v>17.6221063807332</x:v>
      </x:c>
      <x:c r="D52" s="2" t="n">
        <x:v>2025</x:v>
      </x:c>
      <x:c r="E52" s="2" t="str">
        <x:v>WB_age_over65</x:v>
      </x:c>
      <x:c r="F52" s="2" t="str">
        <x:v>Population ages 65 and above (% of total population)</x:v>
      </x:c>
    </x:row>
    <x:row r="53" ht="44" customHeight="1">
      <x:c r="A53" s="2" t="str">
        <x:v>ALB</x:v>
      </x:c>
      <x:c r="B53" s="2" t="str">
        <x:v>dependency_ratio</x:v>
      </x:c>
      <x:c r="C53" s="2" t="n">
        <x:v>52.0410467729505</x:v>
      </x:c>
      <x:c r="D53" s="2" t="n">
        <x:v>2025</x:v>
      </x:c>
      <x:c r="E53" s="2" t="str">
        <x:v>WB_dependency_ratio</x:v>
      </x:c>
      <x:c r="F53" s="2" t="str">
        <x:v>Age dependency ratio (% of working-age population)</x:v>
      </x:c>
    </x:row>
    <x:row r="54" ht="44" customHeight="1">
      <x:c r="A54" s="2" t="str">
        <x:v>ALB</x:v>
      </x:c>
      <x:c r="B54" s="2" t="str">
        <x:v>net_migration</x:v>
      </x:c>
      <x:c r="C54" s="2" t="n">
        <x:v>-24230</x:v>
      </x:c>
      <x:c r="D54" s="2" t="n">
        <x:v>2025</x:v>
      </x:c>
      <x:c r="E54" s="2" t="str">
        <x:v>WB_net_migration</x:v>
      </x:c>
      <x:c r="F54" s="2" t="str">
        <x:v>Net migration</x:v>
      </x:c>
    </x:row>
    <x:row r="55" ht="44" customHeight="1">
      <x:c r="A55" s="2" t="str">
        <x:v>ALB</x:v>
      </x:c>
      <x:c r="B55" s="2" t="str">
        <x:v>real_gdp</x:v>
      </x:c>
      <x:c r="C55" s="2" t="n">
        <x:v>16158243058.8297</x:v>
      </x:c>
      <x:c r="D55" s="2" t="n">
        <x:v>2025</x:v>
      </x:c>
      <x:c r="E55" s="2" t="str">
        <x:v>WB_real_gdp</x:v>
      </x:c>
      <x:c r="F55" s="2" t="str">
        <x:v>GDP (constant 2015 US$)</x:v>
      </x:c>
    </x:row>
    <x:row r="56" ht="44" customHeight="1">
      <x:c r="A56" s="2" t="str">
        <x:v>ALB</x:v>
      </x:c>
      <x:c r="B56" s="2" t="str">
        <x:v>gdp_growth</x:v>
      </x:c>
      <x:c r="C56" s="2" t="n">
        <x:v>3.78893836241024</x:v>
      </x:c>
      <x:c r="D56" s="2" t="n">
        <x:v>2025</x:v>
      </x:c>
      <x:c r="E56" s="2" t="str">
        <x:v>WB_gdp_growth</x:v>
      </x:c>
      <x:c r="F56" s="2" t="str">
        <x:v>GDP growth (annual %)</x:v>
      </x:c>
    </x:row>
    <x:row r="57" ht="44" customHeight="1">
      <x:c r="A57" s="2" t="str">
        <x:v>ALB</x:v>
      </x:c>
      <x:c r="B57" s="2" t="str">
        <x:v>real_income</x:v>
      </x:c>
      <x:c r="C57" s="2" t="n">
        <x:v>6877.07720478965</x:v>
      </x:c>
      <x:c r="D57" s="2" t="n">
        <x:v>2025</x:v>
      </x:c>
      <x:c r="E57" s="2" t="str">
        <x:v>WB_real_income</x:v>
      </x:c>
      <x:c r="F57" s="2" t="str">
        <x:v>GDP per capita (constant 2015 US$)</x:v>
      </x:c>
    </x:row>
    <x:row r="58" ht="44" customHeight="1">
      <x:c r="A58" s="2" t="str">
        <x:v>ALB</x:v>
      </x:c>
      <x:c r="B58" s="2" t="str">
        <x:v>agriculture_gdp</x:v>
      </x:c>
      <x:c r="C58" s="2" t="n">
        <x:v>14.7972607481894</x:v>
      </x:c>
      <x:c r="D58" s="2" t="n">
        <x:v>2025</x:v>
      </x:c>
      <x:c r="E58" s="2" t="str">
        <x:v>WB_agriculture_gdp</x:v>
      </x:c>
      <x:c r="F58" s="2" t="str">
        <x:v>Agriculture, forestry, and fishing, value added (% of GDP)</x:v>
      </x:c>
    </x:row>
    <x:row r="59" ht="44" customHeight="1">
      <x:c r="A59" s="2" t="str">
        <x:v>ALB</x:v>
      </x:c>
      <x:c r="B59" s="2" t="str">
        <x:v>poverty</x:v>
      </x:c>
      <x:c r="C59" s="2" t="n">
        <x:v>0.3</x:v>
      </x:c>
      <x:c r="D59" s="2" t="n">
        <x:v>2020</x:v>
      </x:c>
      <x:c r="E59" s="2" t="str">
        <x:v>WB_poverty</x:v>
      </x:c>
      <x:c r="F59" s="2" t="str">
        <x:v>Poverty headcount ratio at $3.00 a day (2021 PPP) (% of population)</x:v>
      </x:c>
    </x:row>
    <x:row r="60" ht="44" customHeight="1">
      <x:c r="A60" s="2" t="str">
        <x:v>ALB</x:v>
      </x:c>
      <x:c r="B60" s="2" t="str">
        <x:v>gini</x:v>
      </x:c>
      <x:c r="C60" s="2" t="n">
        <x:v>29.4</x:v>
      </x:c>
      <x:c r="D60" s="2" t="n">
        <x:v>2020</x:v>
      </x:c>
      <x:c r="E60" s="2" t="str">
        <x:v>WB_gini</x:v>
      </x:c>
      <x:c r="F60" s="2" t="str">
        <x:v>Gini index</x:v>
      </x:c>
    </x:row>
    <x:row r="61" ht="44" customHeight="1">
      <x:c r="A61" s="2" t="str">
        <x:v>ALB</x:v>
      </x:c>
      <x:c r="B61" s="2" t="str">
        <x:v>unemployment</x:v>
      </x:c>
      <x:c r="C61" s="2" t="n">
        <x:v>10.926</x:v>
      </x:c>
      <x:c r="D61" s="2" t="n">
        <x:v>2025</x:v>
      </x:c>
      <x:c r="E61" s="2" t="str">
        <x:v>WB_unemployment</x:v>
      </x:c>
      <x:c r="F61" s="2" t="str">
        <x:v>Unemployment, total (% of total labor force) (modeled ILO estimate)</x:v>
      </x:c>
    </x:row>
    <x:row r="62" ht="44" customHeight="1">
      <x:c r="A62" s="2" t="str">
        <x:v>ALB</x:v>
      </x:c>
      <x:c r="B62" s="2" t="str">
        <x:v>private_credit</x:v>
      </x:c>
      <x:c r="C62" s="2" t="n">
        <x:v>34.126089863133</x:v>
      </x:c>
      <x:c r="D62" s="2" t="n">
        <x:v>2024</x:v>
      </x:c>
      <x:c r="E62" s="2" t="str">
        <x:v>WB_private_credit</x:v>
      </x:c>
      <x:c r="F62" s="2" t="str">
        <x:v>Domestic credit to private sector (% of GDP)</x:v>
      </x:c>
    </x:row>
    <x:row r="63" ht="44" customHeight="1">
      <x:c r="A63" s="2" t="str">
        <x:v>ALB</x:v>
      </x:c>
      <x:c r="B63" s="2" t="str">
        <x:v>lending_rate</x:v>
      </x:c>
      <x:c r="C63" s="2" t="n">
        <x:v>6.44333333333334</x:v>
      </x:c>
      <x:c r="D63" s="2" t="n">
        <x:v>2024</x:v>
      </x:c>
      <x:c r="E63" s="2" t="str">
        <x:v>WB_lending_rate</x:v>
      </x:c>
      <x:c r="F63" s="2" t="str">
        <x:v>Lending interest rate (%)</x:v>
      </x:c>
    </x:row>
    <x:row r="64" ht="44" customHeight="1">
      <x:c r="A64" s="2" t="str">
        <x:v>ALB</x:v>
      </x:c>
      <x:c r="B64" s="2" t="str">
        <x:v>real_interest</x:v>
      </x:c>
      <x:c r="C64" s="2" t="n">
        <x:v>3.99611657840101</x:v>
      </x:c>
      <x:c r="D64" s="2" t="n">
        <x:v>2024</x:v>
      </x:c>
      <x:c r="E64" s="2" t="str">
        <x:v>WB_real_interest</x:v>
      </x:c>
      <x:c r="F64" s="2" t="str">
        <x:v>Real interest rate (%)</x:v>
      </x:c>
    </x:row>
    <x:row r="65" ht="44" customHeight="1">
      <x:c r="A65" s="2" t="str">
        <x:v>ALB</x:v>
      </x:c>
      <x:c r="B65" s="2" t="str">
        <x:v>government_debt</x:v>
      </x:c>
      <x:c r="C65" s="2" t="n">
        <x:v>49.9643490499689</x:v>
      </x:c>
      <x:c r="D65" s="2" t="n">
        <x:v>2024</x:v>
      </x:c>
      <x:c r="E65" s="2" t="str">
        <x:v>WB_government_debt</x:v>
      </x:c>
      <x:c r="F65" s="2" t="str">
        <x:v>Central government debt, total (% of GDP)</x:v>
      </x:c>
    </x:row>
    <x:row r="66" ht="44" customHeight="1">
      <x:c r="A66" s="2" t="str">
        <x:v>ALB</x:v>
      </x:c>
      <x:c r="B66" s="2" t="str">
        <x:v>electricity_access</x:v>
      </x:c>
      <x:c r="C66" s="2" t="n">
        <x:v>100</x:v>
      </x:c>
      <x:c r="D66" s="2" t="n">
        <x:v>2024</x:v>
      </x:c>
      <x:c r="E66" s="2" t="str">
        <x:v>WB_electricity_access</x:v>
      </x:c>
      <x:c r="F66" s="2" t="str">
        <x:v>Access to electricity (% of population)</x:v>
      </x:c>
    </x:row>
    <x:row r="67" ht="44" customHeight="1">
      <x:c r="A67" s="2" t="str">
        <x:v>ALB</x:v>
      </x:c>
      <x:c r="B67" s="2" t="str">
        <x:v>irrigated_land</x:v>
      </x:c>
      <x:c r="C67" s="2" t="n">
        <x:v>18.1600612674708</x:v>
      </x:c>
      <x:c r="D67" s="2" t="n">
        <x:v>2023</x:v>
      </x:c>
      <x:c r="E67" s="2" t="str">
        <x:v>WB_irrigated_land</x:v>
      </x:c>
      <x:c r="F67" s="2" t="str">
        <x:v>Agricultural irrigated land (% of total agricultural land)</x:v>
      </x:c>
    </x:row>
    <x:row r="68" ht="44" customHeight="1">
      <x:c r="A68" s="2" t="str">
        <x:v>ALB</x:v>
      </x:c>
      <x:c r="B68" s="2" t="str">
        <x:v>cereal_area</x:v>
      </x:c>
      <x:c r="C68" s="2" t="n">
        <x:v>135654</x:v>
      </x:c>
      <x:c r="D68" s="2" t="n">
        <x:v>2023</x:v>
      </x:c>
      <x:c r="E68" s="2" t="str">
        <x:v>WB_cereal_area</x:v>
      </x:c>
      <x:c r="F68" s="2" t="str">
        <x:v>Land under cereal production (hectares)</x:v>
      </x:c>
    </x:row>
    <x:row r="69" ht="44" customHeight="1">
      <x:c r="A69" s="2" t="str">
        <x:v>ALB</x:v>
      </x:c>
      <x:c r="B69" s="2" t="str">
        <x:v>undernourishment</x:v>
      </x:c>
      <x:c r="C69" s="2" t="n">
        <x:v>5.4</x:v>
      </x:c>
      <x:c r="D69" s="2" t="n">
        <x:v>2023</x:v>
      </x:c>
      <x:c r="E69" s="2" t="str">
        <x:v>WB_undernourishment</x:v>
      </x:c>
      <x:c r="F69" s="2" t="str">
        <x:v>Prevalence of undernourishment (% of population)</x:v>
      </x:c>
    </x:row>
    <x:row r="70" ht="44" customHeight="1">
      <x:c r="A70" s="2" t="str">
        <x:v>ALB</x:v>
      </x:c>
      <x:c r="B70" s="2" t="str">
        <x:v>agriculture_employment</x:v>
      </x:c>
      <x:c r="C70" s="2" t="n">
        <x:v>30.7722832445964</x:v>
      </x:c>
      <x:c r="D70" s="2" t="n">
        <x:v>2025</x:v>
      </x:c>
      <x:c r="E70" s="2" t="str">
        <x:v>WB_agriculture_employment</x:v>
      </x:c>
      <x:c r="F70" s="2" t="str">
        <x:v>Employment in agriculture (% of total employment) (modeled ILO estimate)</x:v>
      </x:c>
    </x:row>
    <x:row r="71" ht="44" customHeight="1">
      <x:c r="A71" s="2" t="str">
        <x:v>ALB</x:v>
      </x:c>
      <x:c r="B71" s="2" t="str">
        <x:v>water_withdrawal</x:v>
      </x:c>
      <x:c r="C71" s="2" t="n">
        <x:v>2.96282527881041</x:v>
      </x:c>
      <x:c r="D71" s="2" t="n">
        <x:v>2022</x:v>
      </x:c>
      <x:c r="E71" s="2" t="str">
        <x:v>WB_water_withdrawal</x:v>
      </x:c>
      <x:c r="F71" s="2" t="str">
        <x:v>Annual freshwater withdrawals, total (% of internal resources)</x:v>
      </x:c>
    </x:row>
    <x:row r="72" ht="44" customHeight="1">
      <x:c r="A72" s="2" t="str">
        <x:v>DZA</x:v>
      </x:c>
      <x:c r="B72" s="2" t="str">
        <x:v>population</x:v>
      </x:c>
      <x:c r="C72" s="2" t="n">
        <x:v>47435312</x:v>
      </x:c>
      <x:c r="D72" s="2" t="n">
        <x:v>2025</x:v>
      </x:c>
      <x:c r="E72" s="2" t="str">
        <x:v>WB_population</x:v>
      </x:c>
      <x:c r="F72" s="2" t="str">
        <x:v>Population, total</x:v>
      </x:c>
    </x:row>
    <x:row r="73" ht="44" customHeight="1">
      <x:c r="A73" s="2" t="str">
        <x:v>DZA</x:v>
      </x:c>
      <x:c r="B73" s="2" t="str">
        <x:v>income_ppp</x:v>
      </x:c>
      <x:c r="C73" s="2" t="n">
        <x:v>15882.7138836328</x:v>
      </x:c>
      <x:c r="D73" s="2" t="n">
        <x:v>2025</x:v>
      </x:c>
      <x:c r="E73" s="2" t="str">
        <x:v>WB_income_ppp</x:v>
      </x:c>
      <x:c r="F73" s="2" t="str">
        <x:v>GDP per capita, PPP (constant 2021 international $)</x:v>
      </x:c>
    </x:row>
    <x:row r="74" ht="44" customHeight="1">
      <x:c r="A74" s="2" t="str">
        <x:v>DZA</x:v>
      </x:c>
      <x:c r="B74" s="2" t="str">
        <x:v>urban</x:v>
      </x:c>
      <x:c r="C74" s="2" t="n">
        <x:v>75.8187358069877</x:v>
      </x:c>
      <x:c r="D74" s="2" t="n">
        <x:v>2025</x:v>
      </x:c>
      <x:c r="E74" s="2" t="str">
        <x:v>WB_urban</x:v>
      </x:c>
      <x:c r="F74" s="2" t="str">
        <x:v>Urban population (% of total population)</x:v>
      </x:c>
    </x:row>
    <x:row r="75" ht="44" customHeight="1">
      <x:c r="A75" s="2" t="str">
        <x:v>DZA</x:v>
      </x:c>
      <x:c r="B75" s="2" t="str">
        <x:v>inflation</x:v>
      </x:c>
      <x:c r="C75" s="2" t="n">
        <x:v>1.41835151429016</x:v>
      </x:c>
      <x:c r="D75" s="2" t="n">
        <x:v>2025</x:v>
      </x:c>
      <x:c r="E75" s="2" t="str">
        <x:v>WB_inflation</x:v>
      </x:c>
      <x:c r="F75" s="2" t="str">
        <x:v>Inflation, consumer prices (annual %)</x:v>
      </x:c>
    </x:row>
    <x:row r="76" ht="44" customHeight="1">
      <x:c r="A76" s="2" t="str">
        <x:v>DZA</x:v>
      </x:c>
      <x:c r="B76" s="2" t="str">
        <x:v>food_index</x:v>
      </x:c>
      <x:c r="C76" s="2" t="n">
        <x:v>111.22</x:v>
      </x:c>
      <x:c r="D76" s="2" t="n">
        <x:v>2022</x:v>
      </x:c>
      <x:c r="E76" s="2" t="str">
        <x:v>WB_food_index</x:v>
      </x:c>
      <x:c r="F76" s="2" t="str">
        <x:v>Food production index (2014-2016 = 100)</x:v>
      </x:c>
    </x:row>
    <x:row r="77" ht="44" customHeight="1">
      <x:c r="A77" s="2" t="str">
        <x:v>DZA</x:v>
      </x:c>
      <x:c r="B77" s="2" t="str">
        <x:v>food_import_share</x:v>
      </x:c>
      <x:c r="C77" s="2" t="n">
        <x:v>20.2300414574917</x:v>
      </x:c>
      <x:c r="D77" s="2" t="n">
        <x:v>2017</x:v>
      </x:c>
      <x:c r="E77" s="2" t="str">
        <x:v>WB_food_import_share</x:v>
      </x:c>
      <x:c r="F77" s="2" t="str">
        <x:v>Food imports (% of merchandise imports)</x:v>
      </x:c>
    </x:row>
    <x:row r="78" ht="44" customHeight="1">
      <x:c r="A78" s="2" t="str">
        <x:v>DZA</x:v>
      </x:c>
      <x:c r="B78" s="2" t="str">
        <x:v>food_export_share</x:v>
      </x:c>
      <x:c r="C78" s="2" t="n">
        <x:v>1.00117836508315</x:v>
      </x:c>
      <x:c r="D78" s="2" t="n">
        <x:v>2017</x:v>
      </x:c>
      <x:c r="E78" s="2" t="str">
        <x:v>WB_food_export_share</x:v>
      </x:c>
      <x:c r="F78" s="2" t="str">
        <x:v>Food exports (% of merchandise exports)</x:v>
      </x:c>
    </x:row>
    <x:row r="79" ht="44" customHeight="1">
      <x:c r="A79" s="2" t="str">
        <x:v>DZA</x:v>
      </x:c>
      <x:c r="B79" s="2" t="str">
        <x:v>imports_usd</x:v>
      </x:c>
      <x:c r="C79" s="2" t="n">
        <x:v>50100000000</x:v>
      </x:c>
      <x:c r="D79" s="2" t="n">
        <x:v>2025</x:v>
      </x:c>
      <x:c r="E79" s="2" t="str">
        <x:v>WB_imports_usd</x:v>
      </x:c>
      <x:c r="F79" s="2" t="str">
        <x:v>Merchandise imports (current US$)</x:v>
      </x:c>
    </x:row>
    <x:row r="80" ht="44" customHeight="1">
      <x:c r="A80" s="2" t="str">
        <x:v>DZA</x:v>
      </x:c>
      <x:c r="B80" s="2" t="str">
        <x:v>exports_usd</x:v>
      </x:c>
      <x:c r="C80" s="2" t="n">
        <x:v>45400000000</x:v>
      </x:c>
      <x:c r="D80" s="2" t="n">
        <x:v>2025</x:v>
      </x:c>
      <x:c r="E80" s="2" t="str">
        <x:v>WB_exports_usd</x:v>
      </x:c>
      <x:c r="F80" s="2" t="str">
        <x:v>Merchandise exports (current US$)</x:v>
      </x:c>
    </x:row>
    <x:row r="81" ht="44" customHeight="1">
      <x:c r="A81" s="2" t="str">
        <x:v>DZA</x:v>
      </x:c>
      <x:c r="B81" s="2" t="str">
        <x:v>cereal_yield</x:v>
      </x:c>
      <x:c r="C81" s="2" t="n">
        <x:v>1536.6</x:v>
      </x:c>
      <x:c r="D81" s="2" t="n">
        <x:v>2024</x:v>
      </x:c>
      <x:c r="E81" s="2" t="str">
        <x:v>WB_cereal_yield</x:v>
      </x:c>
      <x:c r="F81" s="2" t="str">
        <x:v>Cereal yield (kg per hectare)</x:v>
      </x:c>
    </x:row>
    <x:row r="82" ht="44" customHeight="1">
      <x:c r="A82" s="2" t="str">
        <x:v>DZA</x:v>
      </x:c>
      <x:c r="B82" s="2" t="str">
        <x:v>water_stress</x:v>
      </x:c>
      <x:c r="C82" s="2" t="n">
        <x:v>144.8149712</x:v>
      </x:c>
      <x:c r="D82" s="2" t="n">
        <x:v>2022</x:v>
      </x:c>
      <x:c r="E82" s="2" t="str">
        <x:v>WB_water_stress</x:v>
      </x:c>
      <x:c r="F82" s="2" t="str">
        <x:v>Level of water stress: freshwater withdrawal as a proportion of available freshwater resources</x:v>
      </x:c>
    </x:row>
    <x:row r="83" ht="44" customHeight="1">
      <x:c r="A83" s="2" t="str">
        <x:v>DZA</x:v>
      </x:c>
      <x:c r="B83" s="2" t="str">
        <x:v>fertility</x:v>
      </x:c>
      <x:c r="C83" s="2" t="n">
        <x:v>2.723</x:v>
      </x:c>
      <x:c r="D83" s="2" t="n">
        <x:v>2024</x:v>
      </x:c>
      <x:c r="E83" s="2" t="str">
        <x:v>WB_fertility</x:v>
      </x:c>
      <x:c r="F83" s="2" t="str">
        <x:v>Fertility rate, total (births per woman)</x:v>
      </x:c>
    </x:row>
    <x:row r="84" ht="44" customHeight="1">
      <x:c r="A84" s="2" t="str">
        <x:v>DZA</x:v>
      </x:c>
      <x:c r="B84" s="2" t="str">
        <x:v>life_expectancy</x:v>
      </x:c>
      <x:c r="C84" s="2" t="n">
        <x:v>76.475</x:v>
      </x:c>
      <x:c r="D84" s="2" t="n">
        <x:v>2024</x:v>
      </x:c>
      <x:c r="E84" s="2" t="str">
        <x:v>WB_life_expectancy</x:v>
      </x:c>
      <x:c r="F84" s="2" t="str">
        <x:v>Life expectancy at birth, total (years)</x:v>
      </x:c>
    </x:row>
    <x:row r="85" ht="44" customHeight="1">
      <x:c r="A85" s="2" t="str">
        <x:v>DZA</x:v>
      </x:c>
      <x:c r="B85" s="2" t="str">
        <x:v>age_under15</x:v>
      </x:c>
      <x:c r="C85" s="2" t="n">
        <x:v>29.9254996986791</x:v>
      </x:c>
      <x:c r="D85" s="2" t="n">
        <x:v>2025</x:v>
      </x:c>
      <x:c r="E85" s="2" t="str">
        <x:v>WB_age_under15</x:v>
      </x:c>
      <x:c r="F85" s="2" t="str">
        <x:v>Population ages 0-14 (% of total population)</x:v>
      </x:c>
    </x:row>
    <x:row r="86" ht="44" customHeight="1">
      <x:c r="A86" s="2" t="str">
        <x:v>DZA</x:v>
      </x:c>
      <x:c r="B86" s="2" t="str">
        <x:v>age_over65</x:v>
      </x:c>
      <x:c r="C86" s="2" t="n">
        <x:v>6.80593085174533</x:v>
      </x:c>
      <x:c r="D86" s="2" t="n">
        <x:v>2025</x:v>
      </x:c>
      <x:c r="E86" s="2" t="str">
        <x:v>WB_age_over65</x:v>
      </x:c>
      <x:c r="F86" s="2" t="str">
        <x:v>Population ages 65 and above (% of total population)</x:v>
      </x:c>
    </x:row>
    <x:row r="87" ht="44" customHeight="1">
      <x:c r="A87" s="2" t="str">
        <x:v>DZA</x:v>
      </x:c>
      <x:c r="B87" s="2" t="str">
        <x:v>dependency_ratio</x:v>
      </x:c>
      <x:c r="C87" s="2" t="n">
        <x:v>58.0563649914135</x:v>
      </x:c>
      <x:c r="D87" s="2" t="n">
        <x:v>2025</x:v>
      </x:c>
      <x:c r="E87" s="2" t="str">
        <x:v>WB_dependency_ratio</x:v>
      </x:c>
      <x:c r="F87" s="2" t="str">
        <x:v>Age dependency ratio (% of working-age population)</x:v>
      </x:c>
    </x:row>
    <x:row r="88" ht="44" customHeight="1">
      <x:c r="A88" s="2" t="str">
        <x:v>DZA</x:v>
      </x:c>
      <x:c r="B88" s="2" t="str">
        <x:v>net_migration</x:v>
      </x:c>
      <x:c r="C88" s="2" t="n">
        <x:v>-27531</x:v>
      </x:c>
      <x:c r="D88" s="2" t="n">
        <x:v>2025</x:v>
      </x:c>
      <x:c r="E88" s="2" t="str">
        <x:v>WB_net_migration</x:v>
      </x:c>
      <x:c r="F88" s="2" t="str">
        <x:v>Net migration</x:v>
      </x:c>
    </x:row>
    <x:row r="89" ht="44" customHeight="1">
      <x:c r="A89" s="2" t="str">
        <x:v>DZA</x:v>
      </x:c>
      <x:c r="B89" s="2" t="str">
        <x:v>real_gdp</x:v>
      </x:c>
      <x:c r="C89" s="2" t="n">
        <x:v>231616947638.689</x:v>
      </x:c>
      <x:c r="D89" s="2" t="n">
        <x:v>2025</x:v>
      </x:c>
      <x:c r="E89" s="2" t="str">
        <x:v>WB_real_gdp</x:v>
      </x:c>
      <x:c r="F89" s="2" t="str">
        <x:v>GDP (constant 2015 US$)</x:v>
      </x:c>
    </x:row>
    <x:row r="90" ht="44" customHeight="1">
      <x:c r="A90" s="2" t="str">
        <x:v>DZA</x:v>
      </x:c>
      <x:c r="B90" s="2" t="str">
        <x:v>gdp_growth</x:v>
      </x:c>
      <x:c r="C90" s="2" t="n">
        <x:v>3.815543719231</x:v>
      </x:c>
      <x:c r="D90" s="2" t="n">
        <x:v>2025</x:v>
      </x:c>
      <x:c r="E90" s="2" t="str">
        <x:v>WB_gdp_growth</x:v>
      </x:c>
      <x:c r="F90" s="2" t="str">
        <x:v>GDP growth (annual %)</x:v>
      </x:c>
    </x:row>
    <x:row r="91" ht="44" customHeight="1">
      <x:c r="A91" s="2" t="str">
        <x:v>DZA</x:v>
      </x:c>
      <x:c r="B91" s="2" t="str">
        <x:v>real_income</x:v>
      </x:c>
      <x:c r="C91" s="2" t="n">
        <x:v>4882.79591454336</x:v>
      </x:c>
      <x:c r="D91" s="2" t="n">
        <x:v>2025</x:v>
      </x:c>
      <x:c r="E91" s="2" t="str">
        <x:v>WB_real_income</x:v>
      </x:c>
      <x:c r="F91" s="2" t="str">
        <x:v>GDP per capita (constant 2015 US$)</x:v>
      </x:c>
    </x:row>
    <x:row r="92" ht="44" customHeight="1">
      <x:c r="A92" s="2" t="str">
        <x:v>DZA</x:v>
      </x:c>
      <x:c r="B92" s="2" t="str">
        <x:v>agriculture_gdp</x:v>
      </x:c>
      <x:c r="C92" s="2" t="n">
        <x:v>14.5120041000651</x:v>
      </x:c>
      <x:c r="D92" s="2" t="n">
        <x:v>2025</x:v>
      </x:c>
      <x:c r="E92" s="2" t="str">
        <x:v>WB_agriculture_gdp</x:v>
      </x:c>
      <x:c r="F92" s="2" t="str">
        <x:v>Agriculture, forestry, and fishing, value added (% of GDP)</x:v>
      </x:c>
    </x:row>
    <x:row r="93" ht="44" customHeight="1">
      <x:c r="A93" s="2" t="str">
        <x:v>DZA</x:v>
      </x:c>
      <x:c r="B93" s="2" t="str">
        <x:v>poverty</x:v>
      </x:c>
      <x:c r="C93" s="2" t="n">
        <x:v>0</x:v>
      </x:c>
      <x:c r="D93" s="2" t="n">
        <x:v>2011</x:v>
      </x:c>
      <x:c r="E93" s="2" t="str">
        <x:v>WB_poverty</x:v>
      </x:c>
      <x:c r="F93" s="2" t="str">
        <x:v>Poverty headcount ratio at $3.00 a day (2021 PPP) (% of population)</x:v>
      </x:c>
    </x:row>
    <x:row r="94" ht="44" customHeight="1">
      <x:c r="A94" s="2" t="str">
        <x:v>DZA</x:v>
      </x:c>
      <x:c r="B94" s="2" t="str">
        <x:v>gini</x:v>
      </x:c>
      <x:c r="C94" s="2" t="n">
        <x:v>27.6</x:v>
      </x:c>
      <x:c r="D94" s="2" t="n">
        <x:v>2011</x:v>
      </x:c>
      <x:c r="E94" s="2" t="str">
        <x:v>WB_gini</x:v>
      </x:c>
      <x:c r="F94" s="2" t="str">
        <x:v>Gini index</x:v>
      </x:c>
    </x:row>
    <x:row r="95" ht="44" customHeight="1">
      <x:c r="A95" s="2" t="str">
        <x:v>DZA</x:v>
      </x:c>
      <x:c r="B95" s="2" t="str">
        <x:v>unemployment</x:v>
      </x:c>
      <x:c r="C95" s="2" t="n">
        <x:v>11.633</x:v>
      </x:c>
      <x:c r="D95" s="2" t="n">
        <x:v>2025</x:v>
      </x:c>
      <x:c r="E95" s="2" t="str">
        <x:v>WB_unemployment</x:v>
      </x:c>
      <x:c r="F95" s="2" t="str">
        <x:v>Unemployment, total (% of total labor force) (modeled ILO estimate)</x:v>
      </x:c>
    </x:row>
    <x:row r="96" ht="44" customHeight="1">
      <x:c r="A96" s="2" t="str">
        <x:v>DZA</x:v>
      </x:c>
      <x:c r="B96" s="2" t="str">
        <x:v>private_credit</x:v>
      </x:c>
      <x:c r="C96" s="2" t="n">
        <x:v>19.5912759166229</x:v>
      </x:c>
      <x:c r="D96" s="2" t="n">
        <x:v>2025</x:v>
      </x:c>
      <x:c r="E96" s="2" t="str">
        <x:v>WB_private_credit</x:v>
      </x:c>
      <x:c r="F96" s="2" t="str">
        <x:v>Domestic credit to private sector (% of GDP)</x:v>
      </x:c>
    </x:row>
    <x:row r="97" ht="44" customHeight="1">
      <x:c r="A97" s="2" t="str">
        <x:v>DZA</x:v>
      </x:c>
      <x:c r="B97" s="2" t="str">
        <x:v>lending_rate</x:v>
      </x:c>
      <x:c r="C97" s="2" t="n">
        <x:v>8</x:v>
      </x:c>
      <x:c r="D97" s="2" t="n">
        <x:v>2025</x:v>
      </x:c>
      <x:c r="E97" s="2" t="str">
        <x:v>WB_lending_rate</x:v>
      </x:c>
      <x:c r="F97" s="2" t="str">
        <x:v>Lending interest rate (%)</x:v>
      </x:c>
    </x:row>
    <x:row r="98" ht="44" customHeight="1">
      <x:c r="A98" s="2" t="str">
        <x:v>DZA</x:v>
      </x:c>
      <x:c r="B98" s="2" t="str">
        <x:v>real_interest</x:v>
      </x:c>
      <x:c r="C98" s="2" t="n">
        <x:v>7.15961807290898</x:v>
      </x:c>
      <x:c r="D98" s="2" t="n">
        <x:v>2025</x:v>
      </x:c>
      <x:c r="E98" s="2" t="str">
        <x:v>WB_real_interest</x:v>
      </x:c>
      <x:c r="F98" s="2" t="str">
        <x:v>Real interest rate (%)</x:v>
      </x:c>
    </x:row>
    <x:row r="99" ht="44" customHeight="1">
      <x:c r="A99" s="2" t="str">
        <x:v>DZA</x:v>
      </x:c>
      <x:c r="B99" s="2" t="str">
        <x:v>government_debt</x:v>
      </x:c>
      <x:c r="C99" s="2"/>
      <x:c r="D99" s="2"/>
      <x:c r="E99" s="2" t="str">
        <x:v>Missing</x:v>
      </x:c>
      <x:c r="F99" s="2" t="str">
        <x:v>Central government debt, total (% of GDP)</x:v>
      </x:c>
    </x:row>
    <x:row r="100" ht="44" customHeight="1">
      <x:c r="A100" s="2" t="str">
        <x:v>DZA</x:v>
      </x:c>
      <x:c r="B100" s="2" t="str">
        <x:v>electricity_access</x:v>
      </x:c>
      <x:c r="C100" s="2" t="n">
        <x:v>100</x:v>
      </x:c>
      <x:c r="D100" s="2" t="n">
        <x:v>2024</x:v>
      </x:c>
      <x:c r="E100" s="2" t="str">
        <x:v>WB_electricity_access</x:v>
      </x:c>
      <x:c r="F100" s="2" t="str">
        <x:v>Access to electricity (% of population)</x:v>
      </x:c>
    </x:row>
    <x:row r="101" ht="44" customHeight="1">
      <x:c r="A101" s="2" t="str">
        <x:v>DZA</x:v>
      </x:c>
      <x:c r="B101" s="2" t="str">
        <x:v>irrigated_land</x:v>
      </x:c>
      <x:c r="C101" s="2" t="n">
        <x:v>3.34495110852938</x:v>
      </x:c>
      <x:c r="D101" s="2" t="n">
        <x:v>2019</x:v>
      </x:c>
      <x:c r="E101" s="2" t="str">
        <x:v>WB_irrigated_land</x:v>
      </x:c>
      <x:c r="F101" s="2" t="str">
        <x:v>Agricultural irrigated land (% of total agricultural land)</x:v>
      </x:c>
    </x:row>
    <x:row r="102" ht="44" customHeight="1">
      <x:c r="A102" s="2" t="str">
        <x:v>DZA</x:v>
      </x:c>
      <x:c r="B102" s="2" t="str">
        <x:v>cereal_area</x:v>
      </x:c>
      <x:c r="C102" s="2" t="n">
        <x:v>2680109</x:v>
      </x:c>
      <x:c r="D102" s="2" t="n">
        <x:v>2024</x:v>
      </x:c>
      <x:c r="E102" s="2" t="str">
        <x:v>WB_cereal_area</x:v>
      </x:c>
      <x:c r="F102" s="2" t="str">
        <x:v>Land under cereal production (hectares)</x:v>
      </x:c>
    </x:row>
    <x:row r="103" ht="44" customHeight="1">
      <x:c r="A103" s="2" t="str">
        <x:v>DZA</x:v>
      </x:c>
      <x:c r="B103" s="2" t="str">
        <x:v>undernourishment</x:v>
      </x:c>
      <x:c r="C103" s="2" t="n">
        <x:v>2.5</x:v>
      </x:c>
      <x:c r="D103" s="2" t="n">
        <x:v>2023</x:v>
      </x:c>
      <x:c r="E103" s="2" t="str">
        <x:v>WB_undernourishment</x:v>
      </x:c>
      <x:c r="F103" s="2" t="str">
        <x:v>Prevalence of undernourishment (% of population)</x:v>
      </x:c>
    </x:row>
    <x:row r="104" ht="44" customHeight="1">
      <x:c r="A104" s="2" t="str">
        <x:v>DZA</x:v>
      </x:c>
      <x:c r="B104" s="2" t="str">
        <x:v>agriculture_employment</x:v>
      </x:c>
      <x:c r="C104" s="2" t="n">
        <x:v>9.48460293195362</x:v>
      </x:c>
      <x:c r="D104" s="2" t="n">
        <x:v>2025</x:v>
      </x:c>
      <x:c r="E104" s="2" t="str">
        <x:v>WB_agriculture_employment</x:v>
      </x:c>
      <x:c r="F104" s="2" t="str">
        <x:v>Employment in agriculture (% of total employment) (modeled ILO estimate)</x:v>
      </x:c>
    </x:row>
    <x:row r="105" ht="44" customHeight="1">
      <x:c r="A105" s="2" t="str">
        <x:v>DZA</x:v>
      </x:c>
      <x:c r="B105" s="2" t="str">
        <x:v>water_withdrawal</x:v>
      </x:c>
      <x:c r="C105" s="2" t="n">
        <x:v>91.5088468035921</x:v>
      </x:c>
      <x:c r="D105" s="2" t="n">
        <x:v>2022</x:v>
      </x:c>
      <x:c r="E105" s="2" t="str">
        <x:v>WB_water_withdrawal</x:v>
      </x:c>
      <x:c r="F105" s="2" t="str">
        <x:v>Annual freshwater withdrawals, total (% of internal resources)</x:v>
      </x:c>
    </x:row>
    <x:row r="106" ht="44" customHeight="1">
      <x:c r="A106" s="2" t="str">
        <x:v>AND</x:v>
      </x:c>
      <x:c r="B106" s="2" t="str">
        <x:v>population</x:v>
      </x:c>
      <x:c r="C106" s="2" t="n">
        <x:v>82904</x:v>
      </x:c>
      <x:c r="D106" s="2" t="n">
        <x:v>2025</x:v>
      </x:c>
      <x:c r="E106" s="2" t="str">
        <x:v>WB_population</x:v>
      </x:c>
      <x:c r="F106" s="2" t="str">
        <x:v>Population, total</x:v>
      </x:c>
    </x:row>
    <x:row r="107" ht="44" customHeight="1">
      <x:c r="A107" s="2" t="str">
        <x:v>AND</x:v>
      </x:c>
      <x:c r="B107" s="2" t="str">
        <x:v>income_ppp</x:v>
      </x:c>
      <x:c r="C107" s="2" t="n">
        <x:v>67993.0524178882</x:v>
      </x:c>
      <x:c r="D107" s="2" t="n">
        <x:v>2025</x:v>
      </x:c>
      <x:c r="E107" s="2" t="str">
        <x:v>WB_income_ppp</x:v>
      </x:c>
      <x:c r="F107" s="2" t="str">
        <x:v>GDP per capita, PPP (constant 2021 international $)</x:v>
      </x:c>
    </x:row>
    <x:row r="108" ht="44" customHeight="1">
      <x:c r="A108" s="2" t="str">
        <x:v>AND</x:v>
      </x:c>
      <x:c r="B108" s="2" t="str">
        <x:v>urban</x:v>
      </x:c>
      <x:c r="C108" s="2" t="n">
        <x:v>88.9492672283129</x:v>
      </x:c>
      <x:c r="D108" s="2" t="n">
        <x:v>2025</x:v>
      </x:c>
      <x:c r="E108" s="2" t="str">
        <x:v>WB_urban</x:v>
      </x:c>
      <x:c r="F108" s="2" t="str">
        <x:v>Urban population (% of total population)</x:v>
      </x:c>
    </x:row>
    <x:row r="109" ht="44" customHeight="1">
      <x:c r="A109" s="2" t="str">
        <x:v>AND</x:v>
      </x:c>
      <x:c r="B109" s="2" t="str">
        <x:v>inflation</x:v>
      </x:c>
      <x:c r="C109" s="2"/>
      <x:c r="D109" s="2"/>
      <x:c r="E109" s="2" t="str">
        <x:v>Missing</x:v>
      </x:c>
      <x:c r="F109" s="2" t="str">
        <x:v>Inflation, consumer prices (annual %)</x:v>
      </x:c>
    </x:row>
    <x:row r="110" ht="44" customHeight="1">
      <x:c r="A110" s="2" t="str">
        <x:v>AND</x:v>
      </x:c>
      <x:c r="B110" s="2" t="str">
        <x:v>food_index</x:v>
      </x:c>
      <x:c r="C110" s="2"/>
      <x:c r="D110" s="2"/>
      <x:c r="E110" s="2" t="str">
        <x:v>Missing</x:v>
      </x:c>
      <x:c r="F110" s="2" t="str">
        <x:v>Food production index (2014-2016 = 100)</x:v>
      </x:c>
    </x:row>
    <x:row r="111" ht="44" customHeight="1">
      <x:c r="A111" s="2" t="str">
        <x:v>AND</x:v>
      </x:c>
      <x:c r="B111" s="2" t="str">
        <x:v>food_import_share</x:v>
      </x:c>
      <x:c r="C111" s="2" t="n">
        <x:v>21.39859180226</x:v>
      </x:c>
      <x:c r="D111" s="2" t="n">
        <x:v>2023</x:v>
      </x:c>
      <x:c r="E111" s="2" t="str">
        <x:v>WB_food_import_share</x:v>
      </x:c>
      <x:c r="F111" s="2" t="str">
        <x:v>Food imports (% of merchandise imports)</x:v>
      </x:c>
    </x:row>
    <x:row r="112" ht="44" customHeight="1">
      <x:c r="A112" s="2" t="str">
        <x:v>AND</x:v>
      </x:c>
      <x:c r="B112" s="2" t="str">
        <x:v>food_export_share</x:v>
      </x:c>
      <x:c r="C112" s="2" t="n">
        <x:v>1.0898638304214</x:v>
      </x:c>
      <x:c r="D112" s="2" t="n">
        <x:v>2023</x:v>
      </x:c>
      <x:c r="E112" s="2" t="str">
        <x:v>WB_food_export_share</x:v>
      </x:c>
      <x:c r="F112" s="2" t="str">
        <x:v>Food exports (% of merchandise exports)</x:v>
      </x:c>
    </x:row>
    <x:row r="113" ht="44" customHeight="1">
      <x:c r="A113" s="2" t="str">
        <x:v>AND</x:v>
      </x:c>
      <x:c r="B113" s="2" t="str">
        <x:v>imports_usd</x:v>
      </x:c>
      <x:c r="C113" s="2" t="n">
        <x:v>2183000000</x:v>
      </x:c>
      <x:c r="D113" s="2" t="n">
        <x:v>2025</x:v>
      </x:c>
      <x:c r="E113" s="2" t="str">
        <x:v>WB_imports_usd</x:v>
      </x:c>
      <x:c r="F113" s="2" t="str">
        <x:v>Merchandise imports (current US$)</x:v>
      </x:c>
    </x:row>
    <x:row r="114" ht="44" customHeight="1">
      <x:c r="A114" s="2" t="str">
        <x:v>AND</x:v>
      </x:c>
      <x:c r="B114" s="2" t="str">
        <x:v>exports_usd</x:v>
      </x:c>
      <x:c r="C114" s="2" t="n">
        <x:v>277000000</x:v>
      </x:c>
      <x:c r="D114" s="2" t="n">
        <x:v>2025</x:v>
      </x:c>
      <x:c r="E114" s="2" t="str">
        <x:v>WB_exports_usd</x:v>
      </x:c>
      <x:c r="F114" s="2" t="str">
        <x:v>Merchandise exports (current US$)</x:v>
      </x:c>
    </x:row>
    <x:row r="115" ht="44" customHeight="1">
      <x:c r="A115" s="2" t="str">
        <x:v>AND</x:v>
      </x:c>
      <x:c r="B115" s="2" t="str">
        <x:v>cereal_yield</x:v>
      </x:c>
      <x:c r="C115" s="2"/>
      <x:c r="D115" s="2"/>
      <x:c r="E115" s="2" t="str">
        <x:v>Missing</x:v>
      </x:c>
      <x:c r="F115" s="2" t="str">
        <x:v>Cereal yield (kg per hectare)</x:v>
      </x:c>
    </x:row>
    <x:row r="116" ht="44" customHeight="1">
      <x:c r="A116" s="2" t="str">
        <x:v>AND</x:v>
      </x:c>
      <x:c r="B116" s="2" t="str">
        <x:v>water_stress</x:v>
      </x:c>
      <x:c r="C116" s="2"/>
      <x:c r="D116" s="2"/>
      <x:c r="E116" s="2" t="str">
        <x:v>Missing</x:v>
      </x:c>
      <x:c r="F116" s="2" t="str">
        <x:v>Level of water stress: freshwater withdrawal as a proportion of available freshwater resources</x:v>
      </x:c>
    </x:row>
    <x:row r="117" ht="44" customHeight="1">
      <x:c r="A117" s="2" t="str">
        <x:v>AND</x:v>
      </x:c>
      <x:c r="B117" s="2" t="str">
        <x:v>fertility</x:v>
      </x:c>
      <x:c r="C117" s="2" t="n">
        <x:v>1.087</x:v>
      </x:c>
      <x:c r="D117" s="2" t="n">
        <x:v>2024</x:v>
      </x:c>
      <x:c r="E117" s="2" t="str">
        <x:v>WB_fertility</x:v>
      </x:c>
      <x:c r="F117" s="2" t="str">
        <x:v>Fertility rate, total (births per woman)</x:v>
      </x:c>
    </x:row>
    <x:row r="118" ht="44" customHeight="1">
      <x:c r="A118" s="2" t="str">
        <x:v>AND</x:v>
      </x:c>
      <x:c r="B118" s="2" t="str">
        <x:v>life_expectancy</x:v>
      </x:c>
      <x:c r="C118" s="2" t="n">
        <x:v>84.188</x:v>
      </x:c>
      <x:c r="D118" s="2" t="n">
        <x:v>2024</x:v>
      </x:c>
      <x:c r="E118" s="2" t="str">
        <x:v>WB_life_expectancy</x:v>
      </x:c>
      <x:c r="F118" s="2" t="str">
        <x:v>Life expectancy at birth, total (years)</x:v>
      </x:c>
    </x:row>
    <x:row r="119" ht="44" customHeight="1">
      <x:c r="A119" s="2" t="str">
        <x:v>AND</x:v>
      </x:c>
      <x:c r="B119" s="2" t="str">
        <x:v>age_under15</x:v>
      </x:c>
      <x:c r="C119" s="2" t="n">
        <x:v>11.6181871912864</x:v>
      </x:c>
      <x:c r="D119" s="2" t="n">
        <x:v>2025</x:v>
      </x:c>
      <x:c r="E119" s="2" t="str">
        <x:v>WB_age_under15</x:v>
      </x:c>
      <x:c r="F119" s="2" t="str">
        <x:v>Population ages 0-14 (% of total population)</x:v>
      </x:c>
    </x:row>
    <x:row r="120" ht="44" customHeight="1">
      <x:c r="A120" s="2" t="str">
        <x:v>AND</x:v>
      </x:c>
      <x:c r="B120" s="2" t="str">
        <x:v>age_over65</x:v>
      </x:c>
      <x:c r="C120" s="2" t="n">
        <x:v>16.5624302661496</x:v>
      </x:c>
      <x:c r="D120" s="2" t="n">
        <x:v>2025</x:v>
      </x:c>
      <x:c r="E120" s="2" t="str">
        <x:v>WB_age_over65</x:v>
      </x:c>
      <x:c r="F120" s="2" t="str">
        <x:v>Population ages 65 and above (% of total population)</x:v>
      </x:c>
    </x:row>
    <x:row r="121" ht="44" customHeight="1">
      <x:c r="A121" s="2" t="str">
        <x:v>AND</x:v>
      </x:c>
      <x:c r="B121" s="2" t="str">
        <x:v>dependency_ratio</x:v>
      </x:c>
      <x:c r="C121" s="2" t="n">
        <x:v>39.238507918913</x:v>
      </x:c>
      <x:c r="D121" s="2" t="n">
        <x:v>2025</x:v>
      </x:c>
      <x:c r="E121" s="2" t="str">
        <x:v>WB_dependency_ratio</x:v>
      </x:c>
      <x:c r="F121" s="2" t="str">
        <x:v>Age dependency ratio (% of working-age population)</x:v>
      </x:c>
    </x:row>
    <x:row r="122" ht="44" customHeight="1">
      <x:c r="A122" s="2" t="str">
        <x:v>AND</x:v>
      </x:c>
      <x:c r="B122" s="2" t="str">
        <x:v>net_migration</x:v>
      </x:c>
      <x:c r="C122" s="2" t="n">
        <x:v>843</x:v>
      </x:c>
      <x:c r="D122" s="2" t="n">
        <x:v>2025</x:v>
      </x:c>
      <x:c r="E122" s="2" t="str">
        <x:v>WB_net_migration</x:v>
      </x:c>
      <x:c r="F122" s="2" t="str">
        <x:v>Net migration</x:v>
      </x:c>
    </x:row>
    <x:row r="123" ht="44" customHeight="1">
      <x:c r="A123" s="2" t="str">
        <x:v>AND</x:v>
      </x:c>
      <x:c r="B123" s="2" t="str">
        <x:v>real_gdp</x:v>
      </x:c>
      <x:c r="C123" s="2" t="n">
        <x:v>3508466410.96936</x:v>
      </x:c>
      <x:c r="D123" s="2" t="n">
        <x:v>2025</x:v>
      </x:c>
      <x:c r="E123" s="2" t="str">
        <x:v>WB_real_gdp</x:v>
      </x:c>
      <x:c r="F123" s="2" t="str">
        <x:v>GDP (constant 2015 US$)</x:v>
      </x:c>
    </x:row>
    <x:row r="124" ht="44" customHeight="1">
      <x:c r="A124" s="2" t="str">
        <x:v>AND</x:v>
      </x:c>
      <x:c r="B124" s="2" t="str">
        <x:v>gdp_growth</x:v>
      </x:c>
      <x:c r="C124" s="2" t="n">
        <x:v>3.86803450687808</x:v>
      </x:c>
      <x:c r="D124" s="2" t="n">
        <x:v>2025</x:v>
      </x:c>
      <x:c r="E124" s="2" t="str">
        <x:v>WB_gdp_growth</x:v>
      </x:c>
      <x:c r="F124" s="2" t="str">
        <x:v>GDP growth (annual %)</x:v>
      </x:c>
    </x:row>
    <x:row r="125" ht="44" customHeight="1">
      <x:c r="A125" s="2" t="str">
        <x:v>AND</x:v>
      </x:c>
      <x:c r="B125" s="2" t="str">
        <x:v>real_income</x:v>
      </x:c>
      <x:c r="C125" s="2" t="n">
        <x:v>42319.6276533021</x:v>
      </x:c>
      <x:c r="D125" s="2" t="n">
        <x:v>2025</x:v>
      </x:c>
      <x:c r="E125" s="2" t="str">
        <x:v>WB_real_income</x:v>
      </x:c>
      <x:c r="F125" s="2" t="str">
        <x:v>GDP per capita (constant 2015 US$)</x:v>
      </x:c>
    </x:row>
    <x:row r="126" ht="44" customHeight="1">
      <x:c r="A126" s="2" t="str">
        <x:v>AND</x:v>
      </x:c>
      <x:c r="B126" s="2" t="str">
        <x:v>agriculture_gdp</x:v>
      </x:c>
      <x:c r="C126" s="2" t="n">
        <x:v>0.484029292810106</x:v>
      </x:c>
      <x:c r="D126" s="2" t="n">
        <x:v>2025</x:v>
      </x:c>
      <x:c r="E126" s="2" t="str">
        <x:v>WB_agriculture_gdp</x:v>
      </x:c>
      <x:c r="F126" s="2" t="str">
        <x:v>Agriculture, forestry, and fishing, value added (% of GDP)</x:v>
      </x:c>
    </x:row>
    <x:row r="127" ht="44" customHeight="1">
      <x:c r="A127" s="2" t="str">
        <x:v>AND</x:v>
      </x:c>
      <x:c r="B127" s="2" t="str">
        <x:v>poverty</x:v>
      </x:c>
      <x:c r="C127" s="2"/>
      <x:c r="D127" s="2"/>
      <x:c r="E127" s="2" t="str">
        <x:v>Missing</x:v>
      </x:c>
      <x:c r="F127" s="2" t="str">
        <x:v>Poverty headcount ratio at $3.00 a day (2021 PPP) (% of population)</x:v>
      </x:c>
    </x:row>
    <x:row r="128" ht="44" customHeight="1">
      <x:c r="A128" s="2" t="str">
        <x:v>AND</x:v>
      </x:c>
      <x:c r="B128" s="2" t="str">
        <x:v>gini</x:v>
      </x:c>
      <x:c r="C128" s="2"/>
      <x:c r="D128" s="2"/>
      <x:c r="E128" s="2" t="str">
        <x:v>Missing</x:v>
      </x:c>
      <x:c r="F128" s="2" t="str">
        <x:v>Gini index</x:v>
      </x:c>
    </x:row>
    <x:row r="129" ht="44" customHeight="1">
      <x:c r="A129" s="2" t="str">
        <x:v>AND</x:v>
      </x:c>
      <x:c r="B129" s="2" t="str">
        <x:v>unemployment</x:v>
      </x:c>
      <x:c r="C129" s="2"/>
      <x:c r="D129" s="2"/>
      <x:c r="E129" s="2" t="str">
        <x:v>Missing</x:v>
      </x:c>
      <x:c r="F129" s="2" t="str">
        <x:v>Unemployment, total (% of total labor force) (modeled ILO estimate)</x:v>
      </x:c>
    </x:row>
    <x:row r="130" ht="44" customHeight="1">
      <x:c r="A130" s="2" t="str">
        <x:v>AND</x:v>
      </x:c>
      <x:c r="B130" s="2" t="str">
        <x:v>private_credit</x:v>
      </x:c>
      <x:c r="C130" s="2"/>
      <x:c r="D130" s="2"/>
      <x:c r="E130" s="2" t="str">
        <x:v>Missing</x:v>
      </x:c>
      <x:c r="F130" s="2" t="str">
        <x:v>Domestic credit to private sector (% of GDP)</x:v>
      </x:c>
    </x:row>
    <x:row r="131" ht="44" customHeight="1">
      <x:c r="A131" s="2" t="str">
        <x:v>AND</x:v>
      </x:c>
      <x:c r="B131" s="2" t="str">
        <x:v>lending_rate</x:v>
      </x:c>
      <x:c r="C131" s="2"/>
      <x:c r="D131" s="2"/>
      <x:c r="E131" s="2" t="str">
        <x:v>Missing</x:v>
      </x:c>
      <x:c r="F131" s="2" t="str">
        <x:v>Lending interest rate (%)</x:v>
      </x:c>
    </x:row>
    <x:row r="132" ht="44" customHeight="1">
      <x:c r="A132" s="2" t="str">
        <x:v>AND</x:v>
      </x:c>
      <x:c r="B132" s="2" t="str">
        <x:v>real_interest</x:v>
      </x:c>
      <x:c r="C132" s="2"/>
      <x:c r="D132" s="2"/>
      <x:c r="E132" s="2" t="str">
        <x:v>Missing</x:v>
      </x:c>
      <x:c r="F132" s="2" t="str">
        <x:v>Real interest rate (%)</x:v>
      </x:c>
    </x:row>
    <x:row r="133" ht="44" customHeight="1">
      <x:c r="A133" s="2" t="str">
        <x:v>AND</x:v>
      </x:c>
      <x:c r="B133" s="2" t="str">
        <x:v>government_debt</x:v>
      </x:c>
      <x:c r="C133" s="2" t="n">
        <x:v>39.9838927206378</x:v>
      </x:c>
      <x:c r="D133" s="2" t="n">
        <x:v>2024</x:v>
      </x:c>
      <x:c r="E133" s="2" t="str">
        <x:v>WB_government_debt</x:v>
      </x:c>
      <x:c r="F133" s="2" t="str">
        <x:v>Central government debt, total (% of GDP)</x:v>
      </x:c>
    </x:row>
    <x:row r="134" ht="44" customHeight="1">
      <x:c r="A134" s="2" t="str">
        <x:v>AND</x:v>
      </x:c>
      <x:c r="B134" s="2" t="str">
        <x:v>electricity_access</x:v>
      </x:c>
      <x:c r="C134" s="2" t="n">
        <x:v>100</x:v>
      </x:c>
      <x:c r="D134" s="2" t="n">
        <x:v>2024</x:v>
      </x:c>
      <x:c r="E134" s="2" t="str">
        <x:v>WB_electricity_access</x:v>
      </x:c>
      <x:c r="F134" s="2" t="str">
        <x:v>Access to electricity (% of population)</x:v>
      </x:c>
    </x:row>
    <x:row r="135" ht="44" customHeight="1">
      <x:c r="A135" s="2" t="str">
        <x:v>AND</x:v>
      </x:c>
      <x:c r="B135" s="2" t="str">
        <x:v>irrigated_land</x:v>
      </x:c>
      <x:c r="C135" s="2"/>
      <x:c r="D135" s="2"/>
      <x:c r="E135" s="2" t="str">
        <x:v>Missing</x:v>
      </x:c>
      <x:c r="F135" s="2" t="str">
        <x:v>Agricultural irrigated land (% of total agricultural land)</x:v>
      </x:c>
    </x:row>
    <x:row r="136" ht="44" customHeight="1">
      <x:c r="A136" s="2" t="str">
        <x:v>AND</x:v>
      </x:c>
      <x:c r="B136" s="2" t="str">
        <x:v>cereal_area</x:v>
      </x:c>
      <x:c r="C136" s="2"/>
      <x:c r="D136" s="2"/>
      <x:c r="E136" s="2" t="str">
        <x:v>Missing</x:v>
      </x:c>
      <x:c r="F136" s="2" t="str">
        <x:v>Land under cereal production (hectares)</x:v>
      </x:c>
    </x:row>
    <x:row r="137" ht="44" customHeight="1">
      <x:c r="A137" s="2" t="str">
        <x:v>AND</x:v>
      </x:c>
      <x:c r="B137" s="2" t="str">
        <x:v>undernourishment</x:v>
      </x:c>
      <x:c r="C137" s="2"/>
      <x:c r="D137" s="2"/>
      <x:c r="E137" s="2" t="str">
        <x:v>Missing</x:v>
      </x:c>
      <x:c r="F137" s="2" t="str">
        <x:v>Prevalence of undernourishment (% of population)</x:v>
      </x:c>
    </x:row>
    <x:row r="138" ht="44" customHeight="1">
      <x:c r="A138" s="2" t="str">
        <x:v>AND</x:v>
      </x:c>
      <x:c r="B138" s="2" t="str">
        <x:v>agriculture_employment</x:v>
      </x:c>
      <x:c r="C138" s="2"/>
      <x:c r="D138" s="2"/>
      <x:c r="E138" s="2" t="str">
        <x:v>Missing</x:v>
      </x:c>
      <x:c r="F138" s="2" t="str">
        <x:v>Employment in agriculture (% of total employment) (modeled ILO estimate)</x:v>
      </x:c>
    </x:row>
    <x:row r="139" ht="44" customHeight="1">
      <x:c r="A139" s="2" t="str">
        <x:v>AND</x:v>
      </x:c>
      <x:c r="B139" s="2" t="str">
        <x:v>water_withdrawal</x:v>
      </x:c>
      <x:c r="C139" s="2"/>
      <x:c r="D139" s="2"/>
      <x:c r="E139" s="2" t="str">
        <x:v>Missing</x:v>
      </x:c>
      <x:c r="F139" s="2" t="str">
        <x:v>Annual freshwater withdrawals, total (% of internal resources)</x:v>
      </x:c>
    </x:row>
    <x:row r="140" ht="44" customHeight="1">
      <x:c r="A140" s="2" t="str">
        <x:v>AGO</x:v>
      </x:c>
      <x:c r="B140" s="2" t="str">
        <x:v>population</x:v>
      </x:c>
      <x:c r="C140" s="2" t="n">
        <x:v>39040039</x:v>
      </x:c>
      <x:c r="D140" s="2" t="n">
        <x:v>2025</x:v>
      </x:c>
      <x:c r="E140" s="2" t="str">
        <x:v>WB_population</x:v>
      </x:c>
      <x:c r="F140" s="2" t="str">
        <x:v>Population, total</x:v>
      </x:c>
    </x:row>
    <x:row r="141" ht="44" customHeight="1">
      <x:c r="A141" s="2" t="str">
        <x:v>AGO</x:v>
      </x:c>
      <x:c r="B141" s="2" t="str">
        <x:v>income_ppp</x:v>
      </x:c>
      <x:c r="C141" s="2" t="n">
        <x:v>8760.19081963151</x:v>
      </x:c>
      <x:c r="D141" s="2" t="n">
        <x:v>2025</x:v>
      </x:c>
      <x:c r="E141" s="2" t="str">
        <x:v>WB_income_ppp</x:v>
      </x:c>
      <x:c r="F141" s="2" t="str">
        <x:v>GDP per capita, PPP (constant 2021 international $)</x:v>
      </x:c>
    </x:row>
    <x:row r="142" ht="44" customHeight="1">
      <x:c r="A142" s="2" t="str">
        <x:v>AGO</x:v>
      </x:c>
      <x:c r="B142" s="2" t="str">
        <x:v>urban</x:v>
      </x:c>
      <x:c r="C142" s="2" t="n">
        <x:v>71.4615915176085</x:v>
      </x:c>
      <x:c r="D142" s="2" t="n">
        <x:v>2025</x:v>
      </x:c>
      <x:c r="E142" s="2" t="str">
        <x:v>WB_urban</x:v>
      </x:c>
      <x:c r="F142" s="2" t="str">
        <x:v>Urban population (% of total population)</x:v>
      </x:c>
    </x:row>
    <x:row r="143" ht="44" customHeight="1">
      <x:c r="A143" s="2" t="str">
        <x:v>AGO</x:v>
      </x:c>
      <x:c r="B143" s="2" t="str">
        <x:v>inflation</x:v>
      </x:c>
      <x:c r="C143" s="2" t="n">
        <x:v>20.1620197572331</x:v>
      </x:c>
      <x:c r="D143" s="2" t="n">
        <x:v>2025</x:v>
      </x:c>
      <x:c r="E143" s="2" t="str">
        <x:v>WB_inflation</x:v>
      </x:c>
      <x:c r="F143" s="2" t="str">
        <x:v>Inflation, consumer prices (annual %)</x:v>
      </x:c>
    </x:row>
    <x:row r="144" ht="44" customHeight="1">
      <x:c r="A144" s="2" t="str">
        <x:v>AGO</x:v>
      </x:c>
      <x:c r="B144" s="2" t="str">
        <x:v>food_index</x:v>
      </x:c>
      <x:c r="C144" s="2" t="n">
        <x:v>124.09</x:v>
      </x:c>
      <x:c r="D144" s="2" t="n">
        <x:v>2022</x:v>
      </x:c>
      <x:c r="E144" s="2" t="str">
        <x:v>WB_food_index</x:v>
      </x:c>
      <x:c r="F144" s="2" t="str">
        <x:v>Food production index (2014-2016 = 100)</x:v>
      </x:c>
    </x:row>
    <x:row r="145" ht="44" customHeight="1">
      <x:c r="A145" s="2" t="str">
        <x:v>AGO</x:v>
      </x:c>
      <x:c r="B145" s="2" t="str">
        <x:v>food_import_share</x:v>
      </x:c>
      <x:c r="C145" s="2" t="n">
        <x:v>15.7475332353735</x:v>
      </x:c>
      <x:c r="D145" s="2" t="n">
        <x:v>2024</x:v>
      </x:c>
      <x:c r="E145" s="2" t="str">
        <x:v>WB_food_import_share</x:v>
      </x:c>
      <x:c r="F145" s="2" t="str">
        <x:v>Food imports (% of merchandise imports)</x:v>
      </x:c>
    </x:row>
    <x:row r="146" ht="44" customHeight="1">
      <x:c r="A146" s="2" t="str">
        <x:v>AGO</x:v>
      </x:c>
      <x:c r="B146" s="2" t="str">
        <x:v>food_export_share</x:v>
      </x:c>
      <x:c r="C146" s="2" t="n">
        <x:v>0.40734408900839</x:v>
      </x:c>
      <x:c r="D146" s="2" t="n">
        <x:v>2024</x:v>
      </x:c>
      <x:c r="E146" s="2" t="str">
        <x:v>WB_food_export_share</x:v>
      </x:c>
      <x:c r="F146" s="2" t="str">
        <x:v>Food exports (% of merchandise exports)</x:v>
      </x:c>
    </x:row>
    <x:row r="147" ht="44" customHeight="1">
      <x:c r="A147" s="2" t="str">
        <x:v>AGO</x:v>
      </x:c>
      <x:c r="B147" s="2" t="str">
        <x:v>imports_usd</x:v>
      </x:c>
      <x:c r="C147" s="2" t="n">
        <x:v>14965000000</x:v>
      </x:c>
      <x:c r="D147" s="2" t="n">
        <x:v>2025</x:v>
      </x:c>
      <x:c r="E147" s="2" t="str">
        <x:v>WB_imports_usd</x:v>
      </x:c>
      <x:c r="F147" s="2" t="str">
        <x:v>Merchandise imports (current US$)</x:v>
      </x:c>
    </x:row>
    <x:row r="148" ht="44" customHeight="1">
      <x:c r="A148" s="2" t="str">
        <x:v>AGO</x:v>
      </x:c>
      <x:c r="B148" s="2" t="str">
        <x:v>exports_usd</x:v>
      </x:c>
      <x:c r="C148" s="2" t="n">
        <x:v>32492000000</x:v>
      </x:c>
      <x:c r="D148" s="2" t="n">
        <x:v>2025</x:v>
      </x:c>
      <x:c r="E148" s="2" t="str">
        <x:v>WB_exports_usd</x:v>
      </x:c>
      <x:c r="F148" s="2" t="str">
        <x:v>Merchandise exports (current US$)</x:v>
      </x:c>
    </x:row>
    <x:row r="149" ht="44" customHeight="1">
      <x:c r="A149" s="2" t="str">
        <x:v>AGO</x:v>
      </x:c>
      <x:c r="B149" s="2" t="str">
        <x:v>cereal_yield</x:v>
      </x:c>
      <x:c r="C149" s="2" t="n">
        <x:v>1061.8</x:v>
      </x:c>
      <x:c r="D149" s="2" t="n">
        <x:v>2023</x:v>
      </x:c>
      <x:c r="E149" s="2" t="str">
        <x:v>WB_cereal_yield</x:v>
      </x:c>
      <x:c r="F149" s="2" t="str">
        <x:v>Cereal yield (kg per hectare)</x:v>
      </x:c>
    </x:row>
    <x:row r="150" ht="44" customHeight="1">
      <x:c r="A150" s="2" t="str">
        <x:v>AGO</x:v>
      </x:c>
      <x:c r="B150" s="2" t="str">
        <x:v>water_stress</x:v>
      </x:c>
      <x:c r="C150" s="2" t="n">
        <x:v>1.871883289</x:v>
      </x:c>
      <x:c r="D150" s="2" t="n">
        <x:v>2022</x:v>
      </x:c>
      <x:c r="E150" s="2" t="str">
        <x:v>WB_water_stress</x:v>
      </x:c>
      <x:c r="F150" s="2" t="str">
        <x:v>Level of water stress: freshwater withdrawal as a proportion of available freshwater resources</x:v>
      </x:c>
    </x:row>
    <x:row r="151" ht="44" customHeight="1">
      <x:c r="A151" s="2" t="str">
        <x:v>AGO</x:v>
      </x:c>
      <x:c r="B151" s="2" t="str">
        <x:v>fertility</x:v>
      </x:c>
      <x:c r="C151" s="2" t="n">
        <x:v>5.048</x:v>
      </x:c>
      <x:c r="D151" s="2" t="n">
        <x:v>2024</x:v>
      </x:c>
      <x:c r="E151" s="2" t="str">
        <x:v>WB_fertility</x:v>
      </x:c>
      <x:c r="F151" s="2" t="str">
        <x:v>Fertility rate, total (births per woman)</x:v>
      </x:c>
    </x:row>
    <x:row r="152" ht="44" customHeight="1">
      <x:c r="A152" s="2" t="str">
        <x:v>AGO</x:v>
      </x:c>
      <x:c r="B152" s="2" t="str">
        <x:v>life_expectancy</x:v>
      </x:c>
      <x:c r="C152" s="2" t="n">
        <x:v>64.805</x:v>
      </x:c>
      <x:c r="D152" s="2" t="n">
        <x:v>2024</x:v>
      </x:c>
      <x:c r="E152" s="2" t="str">
        <x:v>WB_life_expectancy</x:v>
      </x:c>
      <x:c r="F152" s="2" t="str">
        <x:v>Life expectancy at birth, total (years)</x:v>
      </x:c>
    </x:row>
    <x:row r="153" ht="44" customHeight="1">
      <x:c r="A153" s="2" t="str">
        <x:v>AGO</x:v>
      </x:c>
      <x:c r="B153" s="2" t="str">
        <x:v>age_under15</x:v>
      </x:c>
      <x:c r="C153" s="2" t="n">
        <x:v>44.0984836631245</x:v>
      </x:c>
      <x:c r="D153" s="2" t="n">
        <x:v>2025</x:v>
      </x:c>
      <x:c r="E153" s="2" t="str">
        <x:v>WB_age_under15</x:v>
      </x:c>
      <x:c r="F153" s="2" t="str">
        <x:v>Population ages 0-14 (% of total population)</x:v>
      </x:c>
    </x:row>
    <x:row r="154" ht="44" customHeight="1">
      <x:c r="A154" s="2" t="str">
        <x:v>AGO</x:v>
      </x:c>
      <x:c r="B154" s="2" t="str">
        <x:v>age_over65</x:v>
      </x:c>
      <x:c r="C154" s="2" t="n">
        <x:v>2.89492414306917</x:v>
      </x:c>
      <x:c r="D154" s="2" t="n">
        <x:v>2025</x:v>
      </x:c>
      <x:c r="E154" s="2" t="str">
        <x:v>WB_age_over65</x:v>
      </x:c>
      <x:c r="F154" s="2" t="str">
        <x:v>Population ages 65 and above (% of total population)</x:v>
      </x:c>
    </x:row>
    <x:row r="155" ht="44" customHeight="1">
      <x:c r="A155" s="2" t="str">
        <x:v>AGO</x:v>
      </x:c>
      <x:c r="B155" s="2" t="str">
        <x:v>dependency_ratio</x:v>
      </x:c>
      <x:c r="C155" s="2" t="n">
        <x:v>88.6557825017491</x:v>
      </x:c>
      <x:c r="D155" s="2" t="n">
        <x:v>2025</x:v>
      </x:c>
      <x:c r="E155" s="2" t="str">
        <x:v>WB_dependency_ratio</x:v>
      </x:c>
      <x:c r="F155" s="2" t="str">
        <x:v>Age dependency ratio (% of working-age population)</x:v>
      </x:c>
    </x:row>
    <x:row r="156" ht="44" customHeight="1">
      <x:c r="A156" s="2" t="str">
        <x:v>AGO</x:v>
      </x:c>
      <x:c r="B156" s="2" t="str">
        <x:v>net_migration</x:v>
      </x:c>
      <x:c r="C156" s="2" t="n">
        <x:v>-3524</x:v>
      </x:c>
      <x:c r="D156" s="2" t="n">
        <x:v>2025</x:v>
      </x:c>
      <x:c r="E156" s="2" t="str">
        <x:v>WB_net_migration</x:v>
      </x:c>
      <x:c r="F156" s="2" t="str">
        <x:v>Net migration</x:v>
      </x:c>
    </x:row>
    <x:row r="157" ht="44" customHeight="1">
      <x:c r="A157" s="2" t="str">
        <x:v>AGO</x:v>
      </x:c>
      <x:c r="B157" s="2" t="str">
        <x:v>real_gdp</x:v>
      </x:c>
      <x:c r="C157" s="2" t="n">
        <x:v>109349503922.107</x:v>
      </x:c>
      <x:c r="D157" s="2" t="n">
        <x:v>2025</x:v>
      </x:c>
      <x:c r="E157" s="2" t="str">
        <x:v>WB_real_gdp</x:v>
      </x:c>
      <x:c r="F157" s="2" t="str">
        <x:v>GDP (constant 2015 US$)</x:v>
      </x:c>
    </x:row>
    <x:row r="158" ht="44" customHeight="1">
      <x:c r="A158" s="2" t="str">
        <x:v>AGO</x:v>
      </x:c>
      <x:c r="B158" s="2" t="str">
        <x:v>gdp_growth</x:v>
      </x:c>
      <x:c r="C158" s="2" t="n">
        <x:v>3.13353542450008</x:v>
      </x:c>
      <x:c r="D158" s="2" t="n">
        <x:v>2025</x:v>
      </x:c>
      <x:c r="E158" s="2" t="str">
        <x:v>WB_gdp_growth</x:v>
      </x:c>
      <x:c r="F158" s="2" t="str">
        <x:v>GDP growth (annual %)</x:v>
      </x:c>
    </x:row>
    <x:row r="159" ht="44" customHeight="1">
      <x:c r="A159" s="2" t="str">
        <x:v>AGO</x:v>
      </x:c>
      <x:c r="B159" s="2" t="str">
        <x:v>real_income</x:v>
      </x:c>
      <x:c r="C159" s="2" t="n">
        <x:v>2800.95785565447</x:v>
      </x:c>
      <x:c r="D159" s="2" t="n">
        <x:v>2025</x:v>
      </x:c>
      <x:c r="E159" s="2" t="str">
        <x:v>WB_real_income</x:v>
      </x:c>
      <x:c r="F159" s="2" t="str">
        <x:v>GDP per capita (constant 2015 US$)</x:v>
      </x:c>
    </x:row>
    <x:row r="160" ht="44" customHeight="1">
      <x:c r="A160" s="2" t="str">
        <x:v>AGO</x:v>
      </x:c>
      <x:c r="B160" s="2" t="str">
        <x:v>agriculture_gdp</x:v>
      </x:c>
      <x:c r="C160" s="2" t="n">
        <x:v>25.2409853888143</x:v>
      </x:c>
      <x:c r="D160" s="2" t="n">
        <x:v>2025</x:v>
      </x:c>
      <x:c r="E160" s="2" t="str">
        <x:v>WB_agriculture_gdp</x:v>
      </x:c>
      <x:c r="F160" s="2" t="str">
        <x:v>Agriculture, forestry, and fishing, value added (% of GDP)</x:v>
      </x:c>
    </x:row>
    <x:row r="161" ht="44" customHeight="1">
      <x:c r="A161" s="2" t="str">
        <x:v>AGO</x:v>
      </x:c>
      <x:c r="B161" s="2" t="str">
        <x:v>poverty</x:v>
      </x:c>
      <x:c r="C161" s="2" t="n">
        <x:v>39.3</x:v>
      </x:c>
      <x:c r="D161" s="2" t="n">
        <x:v>2018</x:v>
      </x:c>
      <x:c r="E161" s="2" t="str">
        <x:v>WB_poverty</x:v>
      </x:c>
      <x:c r="F161" s="2" t="str">
        <x:v>Poverty headcount ratio at $3.00 a day (2021 PPP) (% of population)</x:v>
      </x:c>
    </x:row>
    <x:row r="162" ht="44" customHeight="1">
      <x:c r="A162" s="2" t="str">
        <x:v>AGO</x:v>
      </x:c>
      <x:c r="B162" s="2" t="str">
        <x:v>gini</x:v>
      </x:c>
      <x:c r="C162" s="2" t="n">
        <x:v>51.3</x:v>
      </x:c>
      <x:c r="D162" s="2" t="n">
        <x:v>2018</x:v>
      </x:c>
      <x:c r="E162" s="2" t="str">
        <x:v>WB_gini</x:v>
      </x:c>
      <x:c r="F162" s="2" t="str">
        <x:v>Gini index</x:v>
      </x:c>
    </x:row>
    <x:row r="163" ht="44" customHeight="1">
      <x:c r="A163" s="2" t="str">
        <x:v>AGO</x:v>
      </x:c>
      <x:c r="B163" s="2" t="str">
        <x:v>unemployment</x:v>
      </x:c>
      <x:c r="C163" s="2" t="n">
        <x:v>14.108</x:v>
      </x:c>
      <x:c r="D163" s="2" t="n">
        <x:v>2025</x:v>
      </x:c>
      <x:c r="E163" s="2" t="str">
        <x:v>WB_unemployment</x:v>
      </x:c>
      <x:c r="F163" s="2" t="str">
        <x:v>Unemployment, total (% of total labor force) (modeled ILO estimate)</x:v>
      </x:c>
    </x:row>
    <x:row r="164" ht="44" customHeight="1">
      <x:c r="A164" s="2" t="str">
        <x:v>AGO</x:v>
      </x:c>
      <x:c r="B164" s="2" t="str">
        <x:v>private_credit</x:v>
      </x:c>
      <x:c r="C164" s="2" t="n">
        <x:v>6.5808829663827</x:v>
      </x:c>
      <x:c r="D164" s="2" t="n">
        <x:v>2025</x:v>
      </x:c>
      <x:c r="E164" s="2" t="str">
        <x:v>WB_private_credit</x:v>
      </x:c>
      <x:c r="F164" s="2" t="str">
        <x:v>Domestic credit to private sector (% of GDP)</x:v>
      </x:c>
    </x:row>
    <x:row r="165" ht="44" customHeight="1">
      <x:c r="A165" s="2" t="str">
        <x:v>AGO</x:v>
      </x:c>
      <x:c r="B165" s="2" t="str">
        <x:v>lending_rate</x:v>
      </x:c>
      <x:c r="C165" s="2" t="n">
        <x:v>19.3721026206229</x:v>
      </x:c>
      <x:c r="D165" s="2" t="n">
        <x:v>2025</x:v>
      </x:c>
      <x:c r="E165" s="2" t="str">
        <x:v>WB_lending_rate</x:v>
      </x:c>
      <x:c r="F165" s="2" t="str">
        <x:v>Lending interest rate (%)</x:v>
      </x:c>
    </x:row>
    <x:row r="166" ht="44" customHeight="1">
      <x:c r="A166" s="2" t="str">
        <x:v>AGO</x:v>
      </x:c>
      <x:c r="B166" s="2" t="str">
        <x:v>real_interest</x:v>
      </x:c>
      <x:c r="C166" s="2" t="n">
        <x:v>-0.931745423821945</x:v>
      </x:c>
      <x:c r="D166" s="2" t="n">
        <x:v>2025</x:v>
      </x:c>
      <x:c r="E166" s="2" t="str">
        <x:v>WB_real_interest</x:v>
      </x:c>
      <x:c r="F166" s="2" t="str">
        <x:v>Real interest rate (%)</x:v>
      </x:c>
    </x:row>
    <x:row r="167" ht="44" customHeight="1">
      <x:c r="A167" s="2" t="str">
        <x:v>AGO</x:v>
      </x:c>
      <x:c r="B167" s="2" t="str">
        <x:v>government_debt</x:v>
      </x:c>
      <x:c r="C167" s="2"/>
      <x:c r="D167" s="2"/>
      <x:c r="E167" s="2" t="str">
        <x:v>Missing</x:v>
      </x:c>
      <x:c r="F167" s="2" t="str">
        <x:v>Central government debt, total (% of GDP)</x:v>
      </x:c>
    </x:row>
    <x:row r="168" ht="44" customHeight="1">
      <x:c r="A168" s="2" t="str">
        <x:v>AGO</x:v>
      </x:c>
      <x:c r="B168" s="2" t="str">
        <x:v>electricity_access</x:v>
      </x:c>
      <x:c r="C168" s="2" t="n">
        <x:v>55.5</x:v>
      </x:c>
      <x:c r="D168" s="2" t="n">
        <x:v>2024</x:v>
      </x:c>
      <x:c r="E168" s="2" t="str">
        <x:v>WB_electricity_access</x:v>
      </x:c>
      <x:c r="F168" s="2" t="str">
        <x:v>Access to electricity (% of population)</x:v>
      </x:c>
    </x:row>
    <x:row r="169" ht="44" customHeight="1">
      <x:c r="A169" s="2" t="str">
        <x:v>AGO</x:v>
      </x:c>
      <x:c r="B169" s="2" t="str">
        <x:v>irrigated_land</x:v>
      </x:c>
      <x:c r="C169" s="2"/>
      <x:c r="D169" s="2"/>
      <x:c r="E169" s="2" t="str">
        <x:v>Missing</x:v>
      </x:c>
      <x:c r="F169" s="2" t="str">
        <x:v>Agricultural irrigated land (% of total agricultural land)</x:v>
      </x:c>
    </x:row>
    <x:row r="170" ht="44" customHeight="1">
      <x:c r="A170" s="2" t="str">
        <x:v>AGO</x:v>
      </x:c>
      <x:c r="B170" s="2" t="str">
        <x:v>cereal_area</x:v>
      </x:c>
      <x:c r="C170" s="2" t="n">
        <x:v>3141276</x:v>
      </x:c>
      <x:c r="D170" s="2" t="n">
        <x:v>2023</x:v>
      </x:c>
      <x:c r="E170" s="2" t="str">
        <x:v>WB_cereal_area</x:v>
      </x:c>
      <x:c r="F170" s="2" t="str">
        <x:v>Land under cereal production (hectares)</x:v>
      </x:c>
    </x:row>
    <x:row r="171" ht="44" customHeight="1">
      <x:c r="A171" s="2" t="str">
        <x:v>AGO</x:v>
      </x:c>
      <x:c r="B171" s="2" t="str">
        <x:v>undernourishment</x:v>
      </x:c>
      <x:c r="C171" s="2" t="n">
        <x:v>22.5</x:v>
      </x:c>
      <x:c r="D171" s="2" t="n">
        <x:v>2023</x:v>
      </x:c>
      <x:c r="E171" s="2" t="str">
        <x:v>WB_undernourishment</x:v>
      </x:c>
      <x:c r="F171" s="2" t="str">
        <x:v>Prevalence of undernourishment (% of population)</x:v>
      </x:c>
    </x:row>
    <x:row r="172" ht="44" customHeight="1">
      <x:c r="A172" s="2" t="str">
        <x:v>AGO</x:v>
      </x:c>
      <x:c r="B172" s="2" t="str">
        <x:v>agriculture_employment</x:v>
      </x:c>
      <x:c r="C172" s="2" t="n">
        <x:v>51.94938948899</x:v>
      </x:c>
      <x:c r="D172" s="2" t="n">
        <x:v>2025</x:v>
      </x:c>
      <x:c r="E172" s="2" t="str">
        <x:v>WB_agriculture_employment</x:v>
      </x:c>
      <x:c r="F172" s="2" t="str">
        <x:v>Employment in agriculture (% of total employment) (modeled ILO estimate)</x:v>
      </x:c>
    </x:row>
    <x:row r="173" ht="44" customHeight="1">
      <x:c r="A173" s="2" t="str">
        <x:v>AGO</x:v>
      </x:c>
      <x:c r="B173" s="2" t="str">
        <x:v>water_withdrawal</x:v>
      </x:c>
      <x:c r="C173" s="2" t="n">
        <x:v>0.476824324324324</x:v>
      </x:c>
      <x:c r="D173" s="2" t="n">
        <x:v>2022</x:v>
      </x:c>
      <x:c r="E173" s="2" t="str">
        <x:v>WB_water_withdrawal</x:v>
      </x:c>
      <x:c r="F173" s="2" t="str">
        <x:v>Annual freshwater withdrawals, total (% of internal resources)</x:v>
      </x:c>
    </x:row>
    <x:row r="174" ht="44" customHeight="1">
      <x:c r="A174" s="2" t="str">
        <x:v>ATG</x:v>
      </x:c>
      <x:c r="B174" s="2" t="str">
        <x:v>population</x:v>
      </x:c>
      <x:c r="C174" s="2" t="n">
        <x:v>94209</x:v>
      </x:c>
      <x:c r="D174" s="2" t="n">
        <x:v>2025</x:v>
      </x:c>
      <x:c r="E174" s="2" t="str">
        <x:v>WB_population</x:v>
      </x:c>
      <x:c r="F174" s="2" t="str">
        <x:v>Population, total</x:v>
      </x:c>
    </x:row>
    <x:row r="175" ht="44" customHeight="1">
      <x:c r="A175" s="2" t="str">
        <x:v>ATG</x:v>
      </x:c>
      <x:c r="B175" s="2" t="str">
        <x:v>income_ppp</x:v>
      </x:c>
      <x:c r="C175" s="2" t="n">
        <x:v>30620.3075553859</x:v>
      </x:c>
      <x:c r="D175" s="2" t="n">
        <x:v>2025</x:v>
      </x:c>
      <x:c r="E175" s="2" t="str">
        <x:v>WB_income_ppp</x:v>
      </x:c>
      <x:c r="F175" s="2" t="str">
        <x:v>GDP per capita, PPP (constant 2021 international $)</x:v>
      </x:c>
    </x:row>
    <x:row r="176" ht="44" customHeight="1">
      <x:c r="A176" s="2" t="str">
        <x:v>ATG</x:v>
      </x:c>
      <x:c r="B176" s="2" t="str">
        <x:v>urban</x:v>
      </x:c>
      <x:c r="C176" s="2" t="n">
        <x:v>24.3334834700661</x:v>
      </x:c>
      <x:c r="D176" s="2" t="n">
        <x:v>2025</x:v>
      </x:c>
      <x:c r="E176" s="2" t="str">
        <x:v>WB_urban</x:v>
      </x:c>
      <x:c r="F176" s="2" t="str">
        <x:v>Urban population (% of total population)</x:v>
      </x:c>
    </x:row>
    <x:row r="177" ht="44" customHeight="1">
      <x:c r="A177" s="2" t="str">
        <x:v>ATG</x:v>
      </x:c>
      <x:c r="B177" s="2" t="str">
        <x:v>inflation</x:v>
      </x:c>
      <x:c r="C177" s="2" t="n">
        <x:v>1.36873527521954</x:v>
      </x:c>
      <x:c r="D177" s="2" t="n">
        <x:v>2025</x:v>
      </x:c>
      <x:c r="E177" s="2" t="str">
        <x:v>WB_inflation</x:v>
      </x:c>
      <x:c r="F177" s="2" t="str">
        <x:v>Inflation, consumer prices (annual %)</x:v>
      </x:c>
    </x:row>
    <x:row r="178" ht="44" customHeight="1">
      <x:c r="A178" s="2" t="str">
        <x:v>ATG</x:v>
      </x:c>
      <x:c r="B178" s="2" t="str">
        <x:v>food_index</x:v>
      </x:c>
      <x:c r="C178" s="2" t="n">
        <x:v>89.95</x:v>
      </x:c>
      <x:c r="D178" s="2" t="n">
        <x:v>2022</x:v>
      </x:c>
      <x:c r="E178" s="2" t="str">
        <x:v>WB_food_index</x:v>
      </x:c>
      <x:c r="F178" s="2" t="str">
        <x:v>Food production index (2014-2016 = 100)</x:v>
      </x:c>
    </x:row>
    <x:row r="179" ht="44" customHeight="1">
      <x:c r="A179" s="2" t="str">
        <x:v>ATG</x:v>
      </x:c>
      <x:c r="B179" s="2" t="str">
        <x:v>food_import_share</x:v>
      </x:c>
      <x:c r="C179" s="2" t="n">
        <x:v>27.6703894826797</x:v>
      </x:c>
      <x:c r="D179" s="2" t="n">
        <x:v>2024</x:v>
      </x:c>
      <x:c r="E179" s="2" t="str">
        <x:v>WB_food_import_share</x:v>
      </x:c>
      <x:c r="F179" s="2" t="str">
        <x:v>Food imports (% of merchandise imports)</x:v>
      </x:c>
    </x:row>
    <x:row r="180" ht="44" customHeight="1">
      <x:c r="A180" s="2" t="str">
        <x:v>ATG</x:v>
      </x:c>
      <x:c r="B180" s="2" t="str">
        <x:v>food_export_share</x:v>
      </x:c>
      <x:c r="C180" s="2" t="n">
        <x:v>84.703364742359</x:v>
      </x:c>
      <x:c r="D180" s="2" t="n">
        <x:v>2024</x:v>
      </x:c>
      <x:c r="E180" s="2" t="str">
        <x:v>WB_food_export_share</x:v>
      </x:c>
      <x:c r="F180" s="2" t="str">
        <x:v>Food exports (% of merchandise exports)</x:v>
      </x:c>
    </x:row>
    <x:row r="181" ht="44" customHeight="1">
      <x:c r="A181" s="2" t="str">
        <x:v>ATG</x:v>
      </x:c>
      <x:c r="B181" s="2" t="str">
        <x:v>imports_usd</x:v>
      </x:c>
      <x:c r="C181" s="2" t="n">
        <x:v>938000000</x:v>
      </x:c>
      <x:c r="D181" s="2" t="n">
        <x:v>2025</x:v>
      </x:c>
      <x:c r="E181" s="2" t="str">
        <x:v>WB_imports_usd</x:v>
      </x:c>
      <x:c r="F181" s="2" t="str">
        <x:v>Merchandise imports (current US$)</x:v>
      </x:c>
    </x:row>
    <x:row r="182" ht="44" customHeight="1">
      <x:c r="A182" s="2" t="str">
        <x:v>ATG</x:v>
      </x:c>
      <x:c r="B182" s="2" t="str">
        <x:v>exports_usd</x:v>
      </x:c>
      <x:c r="C182" s="2" t="n">
        <x:v>32000000</x:v>
      </x:c>
      <x:c r="D182" s="2" t="n">
        <x:v>2025</x:v>
      </x:c>
      <x:c r="E182" s="2" t="str">
        <x:v>WB_exports_usd</x:v>
      </x:c>
      <x:c r="F182" s="2" t="str">
        <x:v>Merchandise exports (current US$)</x:v>
      </x:c>
    </x:row>
    <x:row r="183" ht="44" customHeight="1">
      <x:c r="A183" s="2" t="str">
        <x:v>ATG</x:v>
      </x:c>
      <x:c r="B183" s="2" t="str">
        <x:v>cereal_yield</x:v>
      </x:c>
      <x:c r="C183" s="2" t="n">
        <x:v>1963.3</x:v>
      </x:c>
      <x:c r="D183" s="2" t="n">
        <x:v>2024</x:v>
      </x:c>
      <x:c r="E183" s="2" t="str">
        <x:v>WB_cereal_yield</x:v>
      </x:c>
      <x:c r="F183" s="2" t="str">
        <x:v>Cereal yield (kg per hectare)</x:v>
      </x:c>
    </x:row>
    <x:row r="184" ht="44" customHeight="1">
      <x:c r="A184" s="2" t="str">
        <x:v>ATG</x:v>
      </x:c>
      <x:c r="B184" s="2" t="str">
        <x:v>water_stress</x:v>
      </x:c>
      <x:c r="C184" s="2" t="n">
        <x:v>8.461538462</x:v>
      </x:c>
      <x:c r="D184" s="2" t="n">
        <x:v>2022</x:v>
      </x:c>
      <x:c r="E184" s="2" t="str">
        <x:v>WB_water_stress</x:v>
      </x:c>
      <x:c r="F184" s="2" t="str">
        <x:v>Level of water stress: freshwater withdrawal as a proportion of available freshwater resources</x:v>
      </x:c>
    </x:row>
    <x:row r="185" ht="44" customHeight="1">
      <x:c r="A185" s="2" t="str">
        <x:v>ATG</x:v>
      </x:c>
      <x:c r="B185" s="2" t="str">
        <x:v>fertility</x:v>
      </x:c>
      <x:c r="C185" s="2" t="n">
        <x:v>1.582</x:v>
      </x:c>
      <x:c r="D185" s="2" t="n">
        <x:v>2024</x:v>
      </x:c>
      <x:c r="E185" s="2" t="str">
        <x:v>WB_fertility</x:v>
      </x:c>
      <x:c r="F185" s="2" t="str">
        <x:v>Fertility rate, total (births per woman)</x:v>
      </x:c>
    </x:row>
    <x:row r="186" ht="44" customHeight="1">
      <x:c r="A186" s="2" t="str">
        <x:v>ATG</x:v>
      </x:c>
      <x:c r="B186" s="2" t="str">
        <x:v>life_expectancy</x:v>
      </x:c>
      <x:c r="C186" s="2" t="n">
        <x:v>77.766</x:v>
      </x:c>
      <x:c r="D186" s="2" t="n">
        <x:v>2024</x:v>
      </x:c>
      <x:c r="E186" s="2" t="str">
        <x:v>WB_life_expectancy</x:v>
      </x:c>
      <x:c r="F186" s="2" t="str">
        <x:v>Life expectancy at birth, total (years)</x:v>
      </x:c>
    </x:row>
    <x:row r="187" ht="44" customHeight="1">
      <x:c r="A187" s="2" t="str">
        <x:v>ATG</x:v>
      </x:c>
      <x:c r="B187" s="2" t="str">
        <x:v>age_under15</x:v>
      </x:c>
      <x:c r="C187" s="2" t="n">
        <x:v>17.4692304834489</x:v>
      </x:c>
      <x:c r="D187" s="2" t="n">
        <x:v>2025</x:v>
      </x:c>
      <x:c r="E187" s="2" t="str">
        <x:v>WB_age_under15</x:v>
      </x:c>
      <x:c r="F187" s="2" t="str">
        <x:v>Population ages 0-14 (% of total population)</x:v>
      </x:c>
    </x:row>
    <x:row r="188" ht="44" customHeight="1">
      <x:c r="A188" s="2" t="str">
        <x:v>ATG</x:v>
      </x:c>
      <x:c r="B188" s="2" t="str">
        <x:v>age_over65</x:v>
      </x:c>
      <x:c r="C188" s="2" t="n">
        <x:v>12.3369971923977</x:v>
      </x:c>
      <x:c r="D188" s="2" t="n">
        <x:v>2025</x:v>
      </x:c>
      <x:c r="E188" s="2" t="str">
        <x:v>WB_age_over65</x:v>
      </x:c>
      <x:c r="F188" s="2" t="str">
        <x:v>Population ages 65 and above (% of total population)</x:v>
      </x:c>
    </x:row>
    <x:row r="189" ht="44" customHeight="1">
      <x:c r="A189" s="2" t="str">
        <x:v>ATG</x:v>
      </x:c>
      <x:c r="B189" s="2" t="str">
        <x:v>dependency_ratio</x:v>
      </x:c>
      <x:c r="C189" s="2" t="n">
        <x:v>42.4639719336448</x:v>
      </x:c>
      <x:c r="D189" s="2" t="n">
        <x:v>2025</x:v>
      </x:c>
      <x:c r="E189" s="2" t="str">
        <x:v>WB_dependency_ratio</x:v>
      </x:c>
      <x:c r="F189" s="2" t="str">
        <x:v>Age dependency ratio (% of working-age population)</x:v>
      </x:c>
    </x:row>
    <x:row r="190" ht="44" customHeight="1">
      <x:c r="A190" s="2" t="str">
        <x:v>ATG</x:v>
      </x:c>
      <x:c r="B190" s="2" t="str">
        <x:v>net_migration</x:v>
      </x:c>
      <x:c r="C190" s="2" t="n">
        <x:v>12</x:v>
      </x:c>
      <x:c r="D190" s="2" t="n">
        <x:v>2025</x:v>
      </x:c>
      <x:c r="E190" s="2" t="str">
        <x:v>WB_net_migration</x:v>
      </x:c>
      <x:c r="F190" s="2" t="str">
        <x:v>Net migration</x:v>
      </x:c>
    </x:row>
    <x:row r="191" ht="44" customHeight="1">
      <x:c r="A191" s="2" t="str">
        <x:v>ATG</x:v>
      </x:c>
      <x:c r="B191" s="2" t="str">
        <x:v>real_gdp</x:v>
      </x:c>
      <x:c r="C191" s="2" t="n">
        <x:v>1802246648.67464</x:v>
      </x:c>
      <x:c r="D191" s="2" t="n">
        <x:v>2025</x:v>
      </x:c>
      <x:c r="E191" s="2" t="str">
        <x:v>WB_real_gdp</x:v>
      </x:c>
      <x:c r="F191" s="2" t="str">
        <x:v>GDP (constant 2015 US$)</x:v>
      </x:c>
    </x:row>
    <x:row r="192" ht="44" customHeight="1">
      <x:c r="A192" s="2" t="str">
        <x:v>ATG</x:v>
      </x:c>
      <x:c r="B192" s="2" t="str">
        <x:v>gdp_growth</x:v>
      </x:c>
      <x:c r="C192" s="2" t="n">
        <x:v>4.99803998431987</x:v>
      </x:c>
      <x:c r="D192" s="2" t="n">
        <x:v>2025</x:v>
      </x:c>
      <x:c r="E192" s="2" t="str">
        <x:v>WB_gdp_growth</x:v>
      </x:c>
      <x:c r="F192" s="2" t="str">
        <x:v>GDP growth (annual %)</x:v>
      </x:c>
    </x:row>
    <x:row r="193" ht="44" customHeight="1">
      <x:c r="A193" s="2" t="str">
        <x:v>ATG</x:v>
      </x:c>
      <x:c r="B193" s="2" t="str">
        <x:v>real_income</x:v>
      </x:c>
      <x:c r="C193" s="2" t="n">
        <x:v>19130.3022925054</x:v>
      </x:c>
      <x:c r="D193" s="2" t="n">
        <x:v>2025</x:v>
      </x:c>
      <x:c r="E193" s="2" t="str">
        <x:v>WB_real_income</x:v>
      </x:c>
      <x:c r="F193" s="2" t="str">
        <x:v>GDP per capita (constant 2015 US$)</x:v>
      </x:c>
    </x:row>
    <x:row r="194" ht="44" customHeight="1">
      <x:c r="A194" s="2" t="str">
        <x:v>ATG</x:v>
      </x:c>
      <x:c r="B194" s="2" t="str">
        <x:v>agriculture_gdp</x:v>
      </x:c>
      <x:c r="C194" s="2" t="n">
        <x:v>1.4857923090448</x:v>
      </x:c>
      <x:c r="D194" s="2" t="n">
        <x:v>2025</x:v>
      </x:c>
      <x:c r="E194" s="2" t="str">
        <x:v>WB_agriculture_gdp</x:v>
      </x:c>
      <x:c r="F194" s="2" t="str">
        <x:v>Agriculture, forestry, and fishing, value added (% of GDP)</x:v>
      </x:c>
    </x:row>
    <x:row r="195" ht="44" customHeight="1">
      <x:c r="A195" s="2" t="str">
        <x:v>ATG</x:v>
      </x:c>
      <x:c r="B195" s="2" t="str">
        <x:v>poverty</x:v>
      </x:c>
      <x:c r="C195" s="2"/>
      <x:c r="D195" s="2"/>
      <x:c r="E195" s="2" t="str">
        <x:v>Missing</x:v>
      </x:c>
      <x:c r="F195" s="2" t="str">
        <x:v>Poverty headcount ratio at $3.00 a day (2021 PPP) (% of population)</x:v>
      </x:c>
    </x:row>
    <x:row r="196" ht="44" customHeight="1">
      <x:c r="A196" s="2" t="str">
        <x:v>ATG</x:v>
      </x:c>
      <x:c r="B196" s="2" t="str">
        <x:v>gini</x:v>
      </x:c>
      <x:c r="C196" s="2"/>
      <x:c r="D196" s="2"/>
      <x:c r="E196" s="2" t="str">
        <x:v>Missing</x:v>
      </x:c>
      <x:c r="F196" s="2" t="str">
        <x:v>Gini index</x:v>
      </x:c>
    </x:row>
    <x:row r="197" ht="44" customHeight="1">
      <x:c r="A197" s="2" t="str">
        <x:v>ATG</x:v>
      </x:c>
      <x:c r="B197" s="2" t="str">
        <x:v>unemployment</x:v>
      </x:c>
      <x:c r="C197" s="2"/>
      <x:c r="D197" s="2"/>
      <x:c r="E197" s="2" t="str">
        <x:v>Missing</x:v>
      </x:c>
      <x:c r="F197" s="2" t="str">
        <x:v>Unemployment, total (% of total labor force) (modeled ILO estimate)</x:v>
      </x:c>
    </x:row>
    <x:row r="198" ht="44" customHeight="1">
      <x:c r="A198" s="2" t="str">
        <x:v>ATG</x:v>
      </x:c>
      <x:c r="B198" s="2" t="str">
        <x:v>private_credit</x:v>
      </x:c>
      <x:c r="C198" s="2" t="n">
        <x:v>37.4183804230231</x:v>
      </x:c>
      <x:c r="D198" s="2" t="n">
        <x:v>2025</x:v>
      </x:c>
      <x:c r="E198" s="2" t="str">
        <x:v>WB_private_credit</x:v>
      </x:c>
      <x:c r="F198" s="2" t="str">
        <x:v>Domestic credit to private sector (% of GDP)</x:v>
      </x:c>
    </x:row>
    <x:row r="199" ht="44" customHeight="1">
      <x:c r="A199" s="2" t="str">
        <x:v>ATG</x:v>
      </x:c>
      <x:c r="B199" s="2" t="str">
        <x:v>lending_rate</x:v>
      </x:c>
      <x:c r="C199" s="2" t="n">
        <x:v>6.3894605</x:v>
      </x:c>
      <x:c r="D199" s="2" t="n">
        <x:v>2025</x:v>
      </x:c>
      <x:c r="E199" s="2" t="str">
        <x:v>WB_lending_rate</x:v>
      </x:c>
      <x:c r="F199" s="2" t="str">
        <x:v>Lending interest rate (%)</x:v>
      </x:c>
    </x:row>
    <x:row r="200" ht="44" customHeight="1">
      <x:c r="A200" s="2" t="str">
        <x:v>ATG</x:v>
      </x:c>
      <x:c r="B200" s="2" t="str">
        <x:v>real_interest</x:v>
      </x:c>
      <x:c r="C200" s="2" t="n">
        <x:v>3.30662379828195</x:v>
      </x:c>
      <x:c r="D200" s="2" t="n">
        <x:v>2025</x:v>
      </x:c>
      <x:c r="E200" s="2" t="str">
        <x:v>WB_real_interest</x:v>
      </x:c>
      <x:c r="F200" s="2" t="str">
        <x:v>Real interest rate (%)</x:v>
      </x:c>
    </x:row>
    <x:row r="201" ht="44" customHeight="1">
      <x:c r="A201" s="2" t="str">
        <x:v>ATG</x:v>
      </x:c>
      <x:c r="B201" s="2" t="str">
        <x:v>government_debt</x:v>
      </x:c>
      <x:c r="C201" s="2"/>
      <x:c r="D201" s="2"/>
      <x:c r="E201" s="2" t="str">
        <x:v>Missing</x:v>
      </x:c>
      <x:c r="F201" s="2" t="str">
        <x:v>Central government debt, total (% of GDP)</x:v>
      </x:c>
    </x:row>
    <x:row r="202" ht="44" customHeight="1">
      <x:c r="A202" s="2" t="str">
        <x:v>ATG</x:v>
      </x:c>
      <x:c r="B202" s="2" t="str">
        <x:v>electricity_access</x:v>
      </x:c>
      <x:c r="C202" s="2" t="n">
        <x:v>100</x:v>
      </x:c>
      <x:c r="D202" s="2" t="n">
        <x:v>2024</x:v>
      </x:c>
      <x:c r="E202" s="2" t="str">
        <x:v>WB_electricity_access</x:v>
      </x:c>
      <x:c r="F202" s="2" t="str">
        <x:v>Access to electricity (% of population)</x:v>
      </x:c>
    </x:row>
    <x:row r="203" ht="44" customHeight="1">
      <x:c r="A203" s="2" t="str">
        <x:v>ATG</x:v>
      </x:c>
      <x:c r="B203" s="2" t="str">
        <x:v>irrigated_land</x:v>
      </x:c>
      <x:c r="C203" s="2"/>
      <x:c r="D203" s="2"/>
      <x:c r="E203" s="2" t="str">
        <x:v>Missing</x:v>
      </x:c>
      <x:c r="F203" s="2" t="str">
        <x:v>Agricultural irrigated land (% of total agricultural land)</x:v>
      </x:c>
    </x:row>
    <x:row r="204" ht="44" customHeight="1">
      <x:c r="A204" s="2" t="str">
        <x:v>ATG</x:v>
      </x:c>
      <x:c r="B204" s="2" t="str">
        <x:v>cereal_area</x:v>
      </x:c>
      <x:c r="C204" s="2" t="n">
        <x:v>26</x:v>
      </x:c>
      <x:c r="D204" s="2" t="n">
        <x:v>2024</x:v>
      </x:c>
      <x:c r="E204" s="2" t="str">
        <x:v>WB_cereal_area</x:v>
      </x:c>
      <x:c r="F204" s="2" t="str">
        <x:v>Land under cereal production (hectares)</x:v>
      </x:c>
    </x:row>
    <x:row r="205" ht="44" customHeight="1">
      <x:c r="A205" s="2" t="str">
        <x:v>ATG</x:v>
      </x:c>
      <x:c r="B205" s="2" t="str">
        <x:v>undernourishment</x:v>
      </x:c>
      <x:c r="C205" s="2"/>
      <x:c r="D205" s="2"/>
      <x:c r="E205" s="2" t="str">
        <x:v>Missing</x:v>
      </x:c>
      <x:c r="F205" s="2" t="str">
        <x:v>Prevalence of undernourishment (% of population)</x:v>
      </x:c>
    </x:row>
    <x:row r="206" ht="44" customHeight="1">
      <x:c r="A206" s="2" t="str">
        <x:v>ATG</x:v>
      </x:c>
      <x:c r="B206" s="2" t="str">
        <x:v>agriculture_employment</x:v>
      </x:c>
      <x:c r="C206" s="2"/>
      <x:c r="D206" s="2"/>
      <x:c r="E206" s="2" t="str">
        <x:v>Missing</x:v>
      </x:c>
      <x:c r="F206" s="2" t="str">
        <x:v>Employment in agriculture (% of total employment) (modeled ILO estimate)</x:v>
      </x:c>
    </x:row>
    <x:row r="207" ht="44" customHeight="1">
      <x:c r="A207" s="2" t="str">
        <x:v>ATG</x:v>
      </x:c>
      <x:c r="B207" s="2" t="str">
        <x:v>water_withdrawal</x:v>
      </x:c>
      <x:c r="C207" s="2" t="n">
        <x:v>8.46153846153846</x:v>
      </x:c>
      <x:c r="D207" s="2" t="n">
        <x:v>2022</x:v>
      </x:c>
      <x:c r="E207" s="2" t="str">
        <x:v>WB_water_withdrawal</x:v>
      </x:c>
      <x:c r="F207" s="2" t="str">
        <x:v>Annual freshwater withdrawals, total (% of internal resources)</x:v>
      </x:c>
    </x:row>
    <x:row r="208" ht="44" customHeight="1">
      <x:c r="A208" s="2" t="str">
        <x:v>ARG</x:v>
      </x:c>
      <x:c r="B208" s="2" t="str">
        <x:v>population</x:v>
      </x:c>
      <x:c r="C208" s="2" t="n">
        <x:v>45851378</x:v>
      </x:c>
      <x:c r="D208" s="2" t="n">
        <x:v>2025</x:v>
      </x:c>
      <x:c r="E208" s="2" t="str">
        <x:v>WB_population</x:v>
      </x:c>
      <x:c r="F208" s="2" t="str">
        <x:v>Population, total</x:v>
      </x:c>
    </x:row>
    <x:row r="209" ht="44" customHeight="1">
      <x:c r="A209" s="2" t="str">
        <x:v>ARG</x:v>
      </x:c>
      <x:c r="B209" s="2" t="str">
        <x:v>income_ppp</x:v>
      </x:c>
      <x:c r="C209" s="2" t="n">
        <x:v>27846.5984597239</x:v>
      </x:c>
      <x:c r="D209" s="2" t="n">
        <x:v>2025</x:v>
      </x:c>
      <x:c r="E209" s="2" t="str">
        <x:v>WB_income_ppp</x:v>
      </x:c>
      <x:c r="F209" s="2" t="str">
        <x:v>GDP per capita, PPP (constant 2021 international $)</x:v>
      </x:c>
    </x:row>
    <x:row r="210" ht="44" customHeight="1">
      <x:c r="A210" s="2" t="str">
        <x:v>ARG</x:v>
      </x:c>
      <x:c r="B210" s="2" t="str">
        <x:v>urban</x:v>
      </x:c>
      <x:c r="C210" s="2" t="n">
        <x:v>92.3519221615173</x:v>
      </x:c>
      <x:c r="D210" s="2" t="n">
        <x:v>2025</x:v>
      </x:c>
      <x:c r="E210" s="2" t="str">
        <x:v>WB_urban</x:v>
      </x:c>
      <x:c r="F210" s="2" t="str">
        <x:v>Urban population (% of total population)</x:v>
      </x:c>
    </x:row>
    <x:row r="211" ht="44" customHeight="1">
      <x:c r="A211" s="2" t="str">
        <x:v>ARG</x:v>
      </x:c>
      <x:c r="B211" s="2" t="str">
        <x:v>inflation</x:v>
      </x:c>
      <x:c r="C211" s="2" t="n">
        <x:v>219.883929014578</x:v>
      </x:c>
      <x:c r="D211" s="2" t="n">
        <x:v>2024</x:v>
      </x:c>
      <x:c r="E211" s="2" t="str">
        <x:v>WB_inflation</x:v>
      </x:c>
      <x:c r="F211" s="2" t="str">
        <x:v>Inflation, consumer prices (annual %)</x:v>
      </x:c>
    </x:row>
    <x:row r="212" ht="44" customHeight="1">
      <x:c r="A212" s="2" t="str">
        <x:v>ARG</x:v>
      </x:c>
      <x:c r="B212" s="2" t="str">
        <x:v>food_index</x:v>
      </x:c>
      <x:c r="C212" s="2" t="n">
        <x:v>109.39</x:v>
      </x:c>
      <x:c r="D212" s="2" t="n">
        <x:v>2022</x:v>
      </x:c>
      <x:c r="E212" s="2" t="str">
        <x:v>WB_food_index</x:v>
      </x:c>
      <x:c r="F212" s="2" t="str">
        <x:v>Food production index (2014-2016 = 100)</x:v>
      </x:c>
    </x:row>
    <x:row r="213" ht="44" customHeight="1">
      <x:c r="A213" s="2" t="str">
        <x:v>ARG</x:v>
      </x:c>
      <x:c r="B213" s="2" t="str">
        <x:v>food_import_share</x:v>
      </x:c>
      <x:c r="C213" s="2" t="n">
        <x:v>9.08353316619338</x:v>
      </x:c>
      <x:c r="D213" s="2" t="n">
        <x:v>2024</x:v>
      </x:c>
      <x:c r="E213" s="2" t="str">
        <x:v>WB_food_import_share</x:v>
      </x:c>
      <x:c r="F213" s="2" t="str">
        <x:v>Food imports (% of merchandise imports)</x:v>
      </x:c>
    </x:row>
    <x:row r="214" ht="44" customHeight="1">
      <x:c r="A214" s="2" t="str">
        <x:v>ARG</x:v>
      </x:c>
      <x:c r="B214" s="2" t="str">
        <x:v>food_export_share</x:v>
      </x:c>
      <x:c r="C214" s="2" t="n">
        <x:v>48.9980530346973</x:v>
      </x:c>
      <x:c r="D214" s="2" t="n">
        <x:v>2024</x:v>
      </x:c>
      <x:c r="E214" s="2" t="str">
        <x:v>WB_food_export_share</x:v>
      </x:c>
      <x:c r="F214" s="2" t="str">
        <x:v>Food exports (% of merchandise exports)</x:v>
      </x:c>
    </x:row>
    <x:row r="215" ht="44" customHeight="1">
      <x:c r="A215" s="2" t="str">
        <x:v>ARG</x:v>
      </x:c>
      <x:c r="B215" s="2" t="str">
        <x:v>imports_usd</x:v>
      </x:c>
      <x:c r="C215" s="2" t="n">
        <x:v>75791000000</x:v>
      </x:c>
      <x:c r="D215" s="2" t="n">
        <x:v>2025</x:v>
      </x:c>
      <x:c r="E215" s="2" t="str">
        <x:v>WB_imports_usd</x:v>
      </x:c>
      <x:c r="F215" s="2" t="str">
        <x:v>Merchandise imports (current US$)</x:v>
      </x:c>
    </x:row>
    <x:row r="216" ht="44" customHeight="1">
      <x:c r="A216" s="2" t="str">
        <x:v>ARG</x:v>
      </x:c>
      <x:c r="B216" s="2" t="str">
        <x:v>exports_usd</x:v>
      </x:c>
      <x:c r="C216" s="2" t="n">
        <x:v>87111000000</x:v>
      </x:c>
      <x:c r="D216" s="2" t="n">
        <x:v>2025</x:v>
      </x:c>
      <x:c r="E216" s="2" t="str">
        <x:v>WB_exports_usd</x:v>
      </x:c>
      <x:c r="F216" s="2" t="str">
        <x:v>Merchandise exports (current US$)</x:v>
      </x:c>
    </x:row>
    <x:row r="217" ht="44" customHeight="1">
      <x:c r="A217" s="2" t="str">
        <x:v>ARG</x:v>
      </x:c>
      <x:c r="B217" s="2" t="str">
        <x:v>cereal_yield</x:v>
      </x:c>
      <x:c r="C217" s="2" t="n">
        <x:v>4854.2</x:v>
      </x:c>
      <x:c r="D217" s="2" t="n">
        <x:v>2024</x:v>
      </x:c>
      <x:c r="E217" s="2" t="str">
        <x:v>WB_cereal_yield</x:v>
      </x:c>
      <x:c r="F217" s="2" t="str">
        <x:v>Cereal yield (kg per hectare)</x:v>
      </x:c>
    </x:row>
    <x:row r="218" ht="44" customHeight="1">
      <x:c r="A218" s="2" t="str">
        <x:v>ARG</x:v>
      </x:c>
      <x:c r="B218" s="2" t="str">
        <x:v>water_stress</x:v>
      </x:c>
      <x:c r="C218" s="2" t="n">
        <x:v>10.45666408</x:v>
      </x:c>
      <x:c r="D218" s="2" t="n">
        <x:v>2022</x:v>
      </x:c>
      <x:c r="E218" s="2" t="str">
        <x:v>WB_water_stress</x:v>
      </x:c>
      <x:c r="F218" s="2" t="str">
        <x:v>Level of water stress: freshwater withdrawal as a proportion of available freshwater resources</x:v>
      </x:c>
    </x:row>
    <x:row r="219" ht="44" customHeight="1">
      <x:c r="A219" s="2" t="str">
        <x:v>ARG</x:v>
      </x:c>
      <x:c r="B219" s="2" t="str">
        <x:v>fertility</x:v>
      </x:c>
      <x:c r="C219" s="2" t="n">
        <x:v>1.504</x:v>
      </x:c>
      <x:c r="D219" s="2" t="n">
        <x:v>2024</x:v>
      </x:c>
      <x:c r="E219" s="2" t="str">
        <x:v>WB_fertility</x:v>
      </x:c>
      <x:c r="F219" s="2" t="str">
        <x:v>Fertility rate, total (births per woman)</x:v>
      </x:c>
    </x:row>
    <x:row r="220" ht="44" customHeight="1">
      <x:c r="A220" s="2" t="str">
        <x:v>ARG</x:v>
      </x:c>
      <x:c r="B220" s="2" t="str">
        <x:v>life_expectancy</x:v>
      </x:c>
      <x:c r="C220" s="2" t="n">
        <x:v>77.543</x:v>
      </x:c>
      <x:c r="D220" s="2" t="n">
        <x:v>2024</x:v>
      </x:c>
      <x:c r="E220" s="2" t="str">
        <x:v>WB_life_expectancy</x:v>
      </x:c>
      <x:c r="F220" s="2" t="str">
        <x:v>Life expectancy at birth, total (years)</x:v>
      </x:c>
    </x:row>
    <x:row r="221" ht="44" customHeight="1">
      <x:c r="A221" s="2" t="str">
        <x:v>ARG</x:v>
      </x:c>
      <x:c r="B221" s="2" t="str">
        <x:v>age_under15</x:v>
      </x:c>
      <x:c r="C221" s="2" t="n">
        <x:v>21.0157121233708</x:v>
      </x:c>
      <x:c r="D221" s="2" t="n">
        <x:v>2025</x:v>
      </x:c>
      <x:c r="E221" s="2" t="str">
        <x:v>WB_age_under15</x:v>
      </x:c>
      <x:c r="F221" s="2" t="str">
        <x:v>Population ages 0-14 (% of total population)</x:v>
      </x:c>
    </x:row>
    <x:row r="222" ht="44" customHeight="1">
      <x:c r="A222" s="2" t="str">
        <x:v>ARG</x:v>
      </x:c>
      <x:c r="B222" s="2" t="str">
        <x:v>age_over65</x:v>
      </x:c>
      <x:c r="C222" s="2" t="n">
        <x:v>12.634433938217</x:v>
      </x:c>
      <x:c r="D222" s="2" t="n">
        <x:v>2025</x:v>
      </x:c>
      <x:c r="E222" s="2" t="str">
        <x:v>WB_age_over65</x:v>
      </x:c>
      <x:c r="F222" s="2" t="str">
        <x:v>Population ages 65 and above (% of total population)</x:v>
      </x:c>
    </x:row>
    <x:row r="223" ht="44" customHeight="1">
      <x:c r="A223" s="2" t="str">
        <x:v>ARG</x:v>
      </x:c>
      <x:c r="B223" s="2" t="str">
        <x:v>dependency_ratio</x:v>
      </x:c>
      <x:c r="C223" s="2" t="n">
        <x:v>50.7162339547915</x:v>
      </x:c>
      <x:c r="D223" s="2" t="n">
        <x:v>2025</x:v>
      </x:c>
      <x:c r="E223" s="2" t="str">
        <x:v>WB_dependency_ratio</x:v>
      </x:c>
      <x:c r="F223" s="2" t="str">
        <x:v>Age dependency ratio (% of working-age population)</x:v>
      </x:c>
    </x:row>
    <x:row r="224" ht="44" customHeight="1">
      <x:c r="A224" s="2" t="str">
        <x:v>ARG</x:v>
      </x:c>
      <x:c r="B224" s="2" t="str">
        <x:v>net_migration</x:v>
      </x:c>
      <x:c r="C224" s="2" t="n">
        <x:v>2859</x:v>
      </x:c>
      <x:c r="D224" s="2" t="n">
        <x:v>2025</x:v>
      </x:c>
      <x:c r="E224" s="2" t="str">
        <x:v>WB_net_migration</x:v>
      </x:c>
      <x:c r="F224" s="2" t="str">
        <x:v>Net migration</x:v>
      </x:c>
    </x:row>
    <x:row r="225" ht="44" customHeight="1">
      <x:c r="A225" s="2" t="str">
        <x:v>ARG</x:v>
      </x:c>
      <x:c r="B225" s="2" t="str">
        <x:v>real_gdp</x:v>
      </x:c>
      <x:c r="C225" s="2" t="n">
        <x:v>609232576079.322</x:v>
      </x:c>
      <x:c r="D225" s="2" t="n">
        <x:v>2025</x:v>
      </x:c>
      <x:c r="E225" s="2" t="str">
        <x:v>WB_real_gdp</x:v>
      </x:c>
      <x:c r="F225" s="2" t="str">
        <x:v>GDP (constant 2015 US$)</x:v>
      </x:c>
    </x:row>
    <x:row r="226" ht="44" customHeight="1">
      <x:c r="A226" s="2" t="str">
        <x:v>ARG</x:v>
      </x:c>
      <x:c r="B226" s="2" t="str">
        <x:v>gdp_growth</x:v>
      </x:c>
      <x:c r="C226" s="2" t="n">
        <x:v>4.36733330217022</x:v>
      </x:c>
      <x:c r="D226" s="2" t="n">
        <x:v>2025</x:v>
      </x:c>
      <x:c r="E226" s="2" t="str">
        <x:v>WB_gdp_growth</x:v>
      </x:c>
      <x:c r="F226" s="2" t="str">
        <x:v>GDP growth (annual %)</x:v>
      </x:c>
    </x:row>
    <x:row r="227" ht="44" customHeight="1">
      <x:c r="A227" s="2" t="str">
        <x:v>ARG</x:v>
      </x:c>
      <x:c r="B227" s="2" t="str">
        <x:v>real_income</x:v>
      </x:c>
      <x:c r="C227" s="2" t="n">
        <x:v>13287.1159527489</x:v>
      </x:c>
      <x:c r="D227" s="2" t="n">
        <x:v>2025</x:v>
      </x:c>
      <x:c r="E227" s="2" t="str">
        <x:v>WB_real_income</x:v>
      </x:c>
      <x:c r="F227" s="2" t="str">
        <x:v>GDP per capita (constant 2015 US$)</x:v>
      </x:c>
    </x:row>
    <x:row r="228" ht="44" customHeight="1">
      <x:c r="A228" s="2" t="str">
        <x:v>ARG</x:v>
      </x:c>
      <x:c r="B228" s="2" t="str">
        <x:v>agriculture_gdp</x:v>
      </x:c>
      <x:c r="C228" s="2" t="n">
        <x:v>5.53265388071299</x:v>
      </x:c>
      <x:c r="D228" s="2" t="n">
        <x:v>2025</x:v>
      </x:c>
      <x:c r="E228" s="2" t="str">
        <x:v>WB_agriculture_gdp</x:v>
      </x:c>
      <x:c r="F228" s="2" t="str">
        <x:v>Agriculture, forestry, and fishing, value added (% of GDP)</x:v>
      </x:c>
    </x:row>
    <x:row r="229" ht="44" customHeight="1">
      <x:c r="A229" s="2" t="str">
        <x:v>ARG</x:v>
      </x:c>
      <x:c r="B229" s="2" t="str">
        <x:v>poverty</x:v>
      </x:c>
      <x:c r="C229" s="2" t="n">
        <x:v>1</x:v>
      </x:c>
      <x:c r="D229" s="2" t="n">
        <x:v>2024</x:v>
      </x:c>
      <x:c r="E229" s="2" t="str">
        <x:v>WB_poverty</x:v>
      </x:c>
      <x:c r="F229" s="2" t="str">
        <x:v>Poverty headcount ratio at $3.00 a day (2021 PPP) (% of population)</x:v>
      </x:c>
    </x:row>
    <x:row r="230" ht="44" customHeight="1">
      <x:c r="A230" s="2" t="str">
        <x:v>ARG</x:v>
      </x:c>
      <x:c r="B230" s="2" t="str">
        <x:v>gini</x:v>
      </x:c>
      <x:c r="C230" s="2" t="n">
        <x:v>42.4</x:v>
      </x:c>
      <x:c r="D230" s="2" t="n">
        <x:v>2024</x:v>
      </x:c>
      <x:c r="E230" s="2" t="str">
        <x:v>WB_gini</x:v>
      </x:c>
      <x:c r="F230" s="2" t="str">
        <x:v>Gini index</x:v>
      </x:c>
    </x:row>
    <x:row r="231" ht="44" customHeight="1">
      <x:c r="A231" s="2" t="str">
        <x:v>ARG</x:v>
      </x:c>
      <x:c r="B231" s="2" t="str">
        <x:v>unemployment</x:v>
      </x:c>
      <x:c r="C231" s="2" t="n">
        <x:v>7.145</x:v>
      </x:c>
      <x:c r="D231" s="2" t="n">
        <x:v>2025</x:v>
      </x:c>
      <x:c r="E231" s="2" t="str">
        <x:v>WB_unemployment</x:v>
      </x:c>
      <x:c r="F231" s="2" t="str">
        <x:v>Unemployment, total (% of total labor force) (modeled ILO estimate)</x:v>
      </x:c>
    </x:row>
    <x:row r="232" ht="44" customHeight="1">
      <x:c r="A232" s="2" t="str">
        <x:v>ARG</x:v>
      </x:c>
      <x:c r="B232" s="2" t="str">
        <x:v>private_credit</x:v>
      </x:c>
      <x:c r="C232" s="2" t="n">
        <x:v>17.59829273545</x:v>
      </x:c>
      <x:c r="D232" s="2" t="n">
        <x:v>2025</x:v>
      </x:c>
      <x:c r="E232" s="2" t="str">
        <x:v>WB_private_credit</x:v>
      </x:c>
      <x:c r="F232" s="2" t="str">
        <x:v>Domestic credit to private sector (% of GDP)</x:v>
      </x:c>
    </x:row>
    <x:row r="233" ht="44" customHeight="1">
      <x:c r="A233" s="2" t="str">
        <x:v>ARG</x:v>
      </x:c>
      <x:c r="B233" s="2" t="str">
        <x:v>lending_rate</x:v>
      </x:c>
      <x:c r="C233" s="2" t="n">
        <x:v>46.0191666666667</x:v>
      </x:c>
      <x:c r="D233" s="2" t="n">
        <x:v>2025</x:v>
      </x:c>
      <x:c r="E233" s="2" t="str">
        <x:v>WB_lending_rate</x:v>
      </x:c>
      <x:c r="F233" s="2" t="str">
        <x:v>Lending interest rate (%)</x:v>
      </x:c>
    </x:row>
    <x:row r="234" ht="44" customHeight="1">
      <x:c r="A234" s="2" t="str">
        <x:v>ARG</x:v>
      </x:c>
      <x:c r="B234" s="2" t="str">
        <x:v>real_interest</x:v>
      </x:c>
      <x:c r="C234" s="2" t="n">
        <x:v>4.98262122318852</x:v>
      </x:c>
      <x:c r="D234" s="2" t="n">
        <x:v>2025</x:v>
      </x:c>
      <x:c r="E234" s="2" t="str">
        <x:v>WB_real_interest</x:v>
      </x:c>
      <x:c r="F234" s="2" t="str">
        <x:v>Real interest rate (%)</x:v>
      </x:c>
    </x:row>
    <x:row r="235" ht="44" customHeight="1">
      <x:c r="A235" s="2" t="str">
        <x:v>ARG</x:v>
      </x:c>
      <x:c r="B235" s="2" t="str">
        <x:v>government_debt</x:v>
      </x:c>
      <x:c r="C235" s="2"/>
      <x:c r="D235" s="2"/>
      <x:c r="E235" s="2" t="str">
        <x:v>Missing</x:v>
      </x:c>
      <x:c r="F235" s="2" t="str">
        <x:v>Central government debt, total (% of GDP)</x:v>
      </x:c>
    </x:row>
    <x:row r="236" ht="44" customHeight="1">
      <x:c r="A236" s="2" t="str">
        <x:v>ARG</x:v>
      </x:c>
      <x:c r="B236" s="2" t="str">
        <x:v>electricity_access</x:v>
      </x:c>
      <x:c r="C236" s="2" t="n">
        <x:v>98.4</x:v>
      </x:c>
      <x:c r="D236" s="2" t="n">
        <x:v>2024</x:v>
      </x:c>
      <x:c r="E236" s="2" t="str">
        <x:v>WB_electricity_access</x:v>
      </x:c>
      <x:c r="F236" s="2" t="str">
        <x:v>Access to electricity (% of population)</x:v>
      </x:c>
    </x:row>
    <x:row r="237" ht="44" customHeight="1">
      <x:c r="A237" s="2" t="str">
        <x:v>ARG</x:v>
      </x:c>
      <x:c r="B237" s="2" t="str">
        <x:v>irrigated_land</x:v>
      </x:c>
      <x:c r="C237" s="2" t="n">
        <x:v>1.19986198568101</x:v>
      </x:c>
      <x:c r="D237" s="2" t="n">
        <x:v>2018</x:v>
      </x:c>
      <x:c r="E237" s="2" t="str">
        <x:v>WB_irrigated_land</x:v>
      </x:c>
      <x:c r="F237" s="2" t="str">
        <x:v>Agricultural irrigated land (% of total agricultural land)</x:v>
      </x:c>
    </x:row>
    <x:row r="238" ht="44" customHeight="1">
      <x:c r="A238" s="2" t="str">
        <x:v>ARG</x:v>
      </x:c>
      <x:c r="B238" s="2" t="str">
        <x:v>cereal_area</x:v>
      </x:c>
      <x:c r="C238" s="2" t="n">
        <x:v>17660490</x:v>
      </x:c>
      <x:c r="D238" s="2" t="n">
        <x:v>2024</x:v>
      </x:c>
      <x:c r="E238" s="2" t="str">
        <x:v>WB_cereal_area</x:v>
      </x:c>
      <x:c r="F238" s="2" t="str">
        <x:v>Land under cereal production (hectares)</x:v>
      </x:c>
    </x:row>
    <x:row r="239" ht="44" customHeight="1">
      <x:c r="A239" s="2" t="str">
        <x:v>ARG</x:v>
      </x:c>
      <x:c r="B239" s="2" t="str">
        <x:v>undernourishment</x:v>
      </x:c>
      <x:c r="C239" s="2" t="n">
        <x:v>3.4</x:v>
      </x:c>
      <x:c r="D239" s="2" t="n">
        <x:v>2023</x:v>
      </x:c>
      <x:c r="E239" s="2" t="str">
        <x:v>WB_undernourishment</x:v>
      </x:c>
      <x:c r="F239" s="2" t="str">
        <x:v>Prevalence of undernourishment (% of population)</x:v>
      </x:c>
    </x:row>
    <x:row r="240" ht="44" customHeight="1">
      <x:c r="A240" s="2" t="str">
        <x:v>ARG</x:v>
      </x:c>
      <x:c r="B240" s="2" t="str">
        <x:v>agriculture_employment</x:v>
      </x:c>
      <x:c r="C240" s="2" t="n">
        <x:v>7.0009415978768</x:v>
      </x:c>
      <x:c r="D240" s="2" t="n">
        <x:v>2025</x:v>
      </x:c>
      <x:c r="E240" s="2" t="str">
        <x:v>WB_agriculture_employment</x:v>
      </x:c>
      <x:c r="F240" s="2" t="str">
        <x:v>Employment in agriculture (% of total employment) (modeled ILO estimate)</x:v>
      </x:c>
    </x:row>
    <x:row r="241" ht="44" customHeight="1">
      <x:c r="A241" s="2" t="str">
        <x:v>ARG</x:v>
      </x:c>
      <x:c r="B241" s="2" t="str">
        <x:v>water_withdrawal</x:v>
      </x:c>
      <x:c r="C241" s="2" t="n">
        <x:v>12.9075342465753</x:v>
      </x:c>
      <x:c r="D241" s="2" t="n">
        <x:v>2022</x:v>
      </x:c>
      <x:c r="E241" s="2" t="str">
        <x:v>WB_water_withdrawal</x:v>
      </x:c>
      <x:c r="F241" s="2" t="str">
        <x:v>Annual freshwater withdrawals, total (% of internal resources)</x:v>
      </x:c>
    </x:row>
    <x:row r="242" ht="44" customHeight="1">
      <x:c r="A242" s="2" t="str">
        <x:v>ARM</x:v>
      </x:c>
      <x:c r="B242" s="2" t="str">
        <x:v>population</x:v>
      </x:c>
      <x:c r="C242" s="2" t="n">
        <x:v>3086700</x:v>
      </x:c>
      <x:c r="D242" s="2" t="n">
        <x:v>2025</x:v>
      </x:c>
      <x:c r="E242" s="2" t="str">
        <x:v>WB_population</x:v>
      </x:c>
      <x:c r="F242" s="2" t="str">
        <x:v>Population, total</x:v>
      </x:c>
    </x:row>
    <x:row r="243" ht="44" customHeight="1">
      <x:c r="A243" s="2" t="str">
        <x:v>ARM</x:v>
      </x:c>
      <x:c r="B243" s="2" t="str">
        <x:v>income_ppp</x:v>
      </x:c>
      <x:c r="C243" s="2" t="n">
        <x:v>21153.478328571</x:v>
      </x:c>
      <x:c r="D243" s="2" t="n">
        <x:v>2025</x:v>
      </x:c>
      <x:c r="E243" s="2" t="str">
        <x:v>WB_income_ppp</x:v>
      </x:c>
      <x:c r="F243" s="2" t="str">
        <x:v>GDP per capita, PPP (constant 2021 international $)</x:v>
      </x:c>
    </x:row>
    <x:row r="244" ht="44" customHeight="1">
      <x:c r="A244" s="2" t="str">
        <x:v>ARM</x:v>
      </x:c>
      <x:c r="B244" s="2" t="str">
        <x:v>urban</x:v>
      </x:c>
      <x:c r="C244" s="2" t="n">
        <x:v>65.9287015589872</x:v>
      </x:c>
      <x:c r="D244" s="2" t="n">
        <x:v>2025</x:v>
      </x:c>
      <x:c r="E244" s="2" t="str">
        <x:v>WB_urban</x:v>
      </x:c>
      <x:c r="F244" s="2" t="str">
        <x:v>Urban population (% of total population)</x:v>
      </x:c>
    </x:row>
    <x:row r="245" ht="44" customHeight="1">
      <x:c r="A245" s="2" t="str">
        <x:v>ARM</x:v>
      </x:c>
      <x:c r="B245" s="2" t="str">
        <x:v>inflation</x:v>
      </x:c>
      <x:c r="C245" s="2" t="n">
        <x:v>3.30693341072904</x:v>
      </x:c>
      <x:c r="D245" s="2" t="n">
        <x:v>2025</x:v>
      </x:c>
      <x:c r="E245" s="2" t="str">
        <x:v>WB_inflation</x:v>
      </x:c>
      <x:c r="F245" s="2" t="str">
        <x:v>Inflation, consumer prices (annual %)</x:v>
      </x:c>
    </x:row>
    <x:row r="246" ht="44" customHeight="1">
      <x:c r="A246" s="2" t="str">
        <x:v>ARM</x:v>
      </x:c>
      <x:c r="B246" s="2" t="str">
        <x:v>food_index</x:v>
      </x:c>
      <x:c r="C246" s="2" t="n">
        <x:v>83.87</x:v>
      </x:c>
      <x:c r="D246" s="2" t="n">
        <x:v>2022</x:v>
      </x:c>
      <x:c r="E246" s="2" t="str">
        <x:v>WB_food_index</x:v>
      </x:c>
      <x:c r="F246" s="2" t="str">
        <x:v>Food production index (2014-2016 = 100)</x:v>
      </x:c>
    </x:row>
    <x:row r="247" ht="44" customHeight="1">
      <x:c r="A247" s="2" t="str">
        <x:v>ARM</x:v>
      </x:c>
      <x:c r="B247" s="2" t="str">
        <x:v>food_import_share</x:v>
      </x:c>
      <x:c r="C247" s="2" t="n">
        <x:v>8.3617337694463</x:v>
      </x:c>
      <x:c r="D247" s="2" t="n">
        <x:v>2024</x:v>
      </x:c>
      <x:c r="E247" s="2" t="str">
        <x:v>WB_food_import_share</x:v>
      </x:c>
      <x:c r="F247" s="2" t="str">
        <x:v>Food imports (% of merchandise imports)</x:v>
      </x:c>
    </x:row>
    <x:row r="248" ht="44" customHeight="1">
      <x:c r="A248" s="2" t="str">
        <x:v>ARM</x:v>
      </x:c>
      <x:c r="B248" s="2" t="str">
        <x:v>food_export_share</x:v>
      </x:c>
      <x:c r="C248" s="2" t="n">
        <x:v>9.4289551511766</x:v>
      </x:c>
      <x:c r="D248" s="2" t="n">
        <x:v>2024</x:v>
      </x:c>
      <x:c r="E248" s="2" t="str">
        <x:v>WB_food_export_share</x:v>
      </x:c>
      <x:c r="F248" s="2" t="str">
        <x:v>Food exports (% of merchandise exports)</x:v>
      </x:c>
    </x:row>
    <x:row r="249" ht="44" customHeight="1">
      <x:c r="A249" s="2" t="str">
        <x:v>ARM</x:v>
      </x:c>
      <x:c r="B249" s="2" t="str">
        <x:v>imports_usd</x:v>
      </x:c>
      <x:c r="C249" s="2" t="n">
        <x:v>13035000000</x:v>
      </x:c>
      <x:c r="D249" s="2" t="n">
        <x:v>2025</x:v>
      </x:c>
      <x:c r="E249" s="2" t="str">
        <x:v>WB_imports_usd</x:v>
      </x:c>
      <x:c r="F249" s="2" t="str">
        <x:v>Merchandise imports (current US$)</x:v>
      </x:c>
    </x:row>
    <x:row r="250" ht="44" customHeight="1">
      <x:c r="A250" s="2" t="str">
        <x:v>ARM</x:v>
      </x:c>
      <x:c r="B250" s="2" t="str">
        <x:v>exports_usd</x:v>
      </x:c>
      <x:c r="C250" s="2" t="n">
        <x:v>8395000000</x:v>
      </x:c>
      <x:c r="D250" s="2" t="n">
        <x:v>2025</x:v>
      </x:c>
      <x:c r="E250" s="2" t="str">
        <x:v>WB_exports_usd</x:v>
      </x:c>
      <x:c r="F250" s="2" t="str">
        <x:v>Merchandise exports (current US$)</x:v>
      </x:c>
    </x:row>
    <x:row r="251" ht="44" customHeight="1">
      <x:c r="A251" s="2" t="str">
        <x:v>ARM</x:v>
      </x:c>
      <x:c r="B251" s="2" t="str">
        <x:v>cereal_yield</x:v>
      </x:c>
      <x:c r="C251" s="2" t="n">
        <x:v>1961.1</x:v>
      </x:c>
      <x:c r="D251" s="2" t="n">
        <x:v>2024</x:v>
      </x:c>
      <x:c r="E251" s="2" t="str">
        <x:v>WB_cereal_yield</x:v>
      </x:c>
      <x:c r="F251" s="2" t="str">
        <x:v>Cereal yield (kg per hectare)</x:v>
      </x:c>
    </x:row>
    <x:row r="252" ht="44" customHeight="1">
      <x:c r="A252" s="2" t="str">
        <x:v>ARM</x:v>
      </x:c>
      <x:c r="B252" s="2" t="str">
        <x:v>water_stress</x:v>
      </x:c>
      <x:c r="C252" s="2" t="n">
        <x:v>61.97296752</x:v>
      </x:c>
      <x:c r="D252" s="2" t="n">
        <x:v>2022</x:v>
      </x:c>
      <x:c r="E252" s="2" t="str">
        <x:v>WB_water_stress</x:v>
      </x:c>
      <x:c r="F252" s="2" t="str">
        <x:v>Level of water stress: freshwater withdrawal as a proportion of available freshwater resources</x:v>
      </x:c>
    </x:row>
    <x:row r="253" ht="44" customHeight="1">
      <x:c r="A253" s="2" t="str">
        <x:v>ARM</x:v>
      </x:c>
      <x:c r="B253" s="2" t="str">
        <x:v>fertility</x:v>
      </x:c>
      <x:c r="C253" s="2" t="n">
        <x:v>1.7</x:v>
      </x:c>
      <x:c r="D253" s="2" t="n">
        <x:v>2024</x:v>
      </x:c>
      <x:c r="E253" s="2" t="str">
        <x:v>WB_fertility</x:v>
      </x:c>
      <x:c r="F253" s="2" t="str">
        <x:v>Fertility rate, total (births per woman)</x:v>
      </x:c>
    </x:row>
    <x:row r="254" ht="44" customHeight="1">
      <x:c r="A254" s="2" t="str">
        <x:v>ARM</x:v>
      </x:c>
      <x:c r="B254" s="2" t="str">
        <x:v>life_expectancy</x:v>
      </x:c>
      <x:c r="C254" s="2" t="n">
        <x:v>78.319512195122</x:v>
      </x:c>
      <x:c r="D254" s="2" t="n">
        <x:v>2024</x:v>
      </x:c>
      <x:c r="E254" s="2" t="str">
        <x:v>WB_life_expectancy</x:v>
      </x:c>
      <x:c r="F254" s="2" t="str">
        <x:v>Life expectancy at birth, total (years)</x:v>
      </x:c>
    </x:row>
    <x:row r="255" ht="44" customHeight="1">
      <x:c r="A255" s="2" t="str">
        <x:v>ARM</x:v>
      </x:c>
      <x:c r="B255" s="2" t="str">
        <x:v>age_under15</x:v>
      </x:c>
      <x:c r="C255" s="2" t="n">
        <x:v>18.9875606484226</x:v>
      </x:c>
      <x:c r="D255" s="2" t="n">
        <x:v>2025</x:v>
      </x:c>
      <x:c r="E255" s="2" t="str">
        <x:v>WB_age_under15</x:v>
      </x:c>
      <x:c r="F255" s="2" t="str">
        <x:v>Population ages 0-14 (% of total population)</x:v>
      </x:c>
    </x:row>
    <x:row r="256" ht="44" customHeight="1">
      <x:c r="A256" s="2" t="str">
        <x:v>ARM</x:v>
      </x:c>
      <x:c r="B256" s="2" t="str">
        <x:v>age_over65</x:v>
      </x:c>
      <x:c r="C256" s="2" t="n">
        <x:v>14.4428643549941</x:v>
      </x:c>
      <x:c r="D256" s="2" t="n">
        <x:v>2025</x:v>
      </x:c>
      <x:c r="E256" s="2" t="str">
        <x:v>WB_age_over65</x:v>
      </x:c>
      <x:c r="F256" s="2" t="str">
        <x:v>Population ages 65 and above (% of total population)</x:v>
      </x:c>
    </x:row>
    <x:row r="257" ht="44" customHeight="1">
      <x:c r="A257" s="2" t="str">
        <x:v>ARM</x:v>
      </x:c>
      <x:c r="B257" s="2" t="str">
        <x:v>dependency_ratio</x:v>
      </x:c>
      <x:c r="C257" s="2" t="n">
        <x:v>50.2187800971675</x:v>
      </x:c>
      <x:c r="D257" s="2" t="n">
        <x:v>2025</x:v>
      </x:c>
      <x:c r="E257" s="2" t="str">
        <x:v>WB_dependency_ratio</x:v>
      </x:c>
      <x:c r="F257" s="2" t="str">
        <x:v>Age dependency ratio (% of working-age population)</x:v>
      </x:c>
    </x:row>
    <x:row r="258" ht="44" customHeight="1">
      <x:c r="A258" s="2" t="str">
        <x:v>ARM</x:v>
      </x:c>
      <x:c r="B258" s="2" t="str">
        <x:v>net_migration</x:v>
      </x:c>
      <x:c r="C258" s="2" t="n">
        <x:v>-29013</x:v>
      </x:c>
      <x:c r="D258" s="2" t="n">
        <x:v>2025</x:v>
      </x:c>
      <x:c r="E258" s="2" t="str">
        <x:v>WB_net_migration</x:v>
      </x:c>
      <x:c r="F258" s="2" t="str">
        <x:v>Net migration</x:v>
      </x:c>
    </x:row>
    <x:row r="259" ht="44" customHeight="1">
      <x:c r="A259" s="2" t="str">
        <x:v>ARM</x:v>
      </x:c>
      <x:c r="B259" s="2" t="str">
        <x:v>real_gdp</x:v>
      </x:c>
      <x:c r="C259" s="2" t="n">
        <x:v>17489816843.4203</x:v>
      </x:c>
      <x:c r="D259" s="2" t="n">
        <x:v>2025</x:v>
      </x:c>
      <x:c r="E259" s="2" t="str">
        <x:v>WB_real_gdp</x:v>
      </x:c>
      <x:c r="F259" s="2" t="str">
        <x:v>GDP (constant 2015 US$)</x:v>
      </x:c>
    </x:row>
    <x:row r="260" ht="44" customHeight="1">
      <x:c r="A260" s="2" t="str">
        <x:v>ARM</x:v>
      </x:c>
      <x:c r="B260" s="2" t="str">
        <x:v>gdp_growth</x:v>
      </x:c>
      <x:c r="C260" s="2" t="n">
        <x:v>7.2</x:v>
      </x:c>
      <x:c r="D260" s="2" t="n">
        <x:v>2025</x:v>
      </x:c>
      <x:c r="E260" s="2" t="str">
        <x:v>WB_gdp_growth</x:v>
      </x:c>
      <x:c r="F260" s="2" t="str">
        <x:v>GDP growth (annual %)</x:v>
      </x:c>
    </x:row>
    <x:row r="261" ht="44" customHeight="1">
      <x:c r="A261" s="2" t="str">
        <x:v>ARM</x:v>
      </x:c>
      <x:c r="B261" s="2" t="str">
        <x:v>real_income</x:v>
      </x:c>
      <x:c r="C261" s="2" t="n">
        <x:v>5666.18616756416</x:v>
      </x:c>
      <x:c r="D261" s="2" t="n">
        <x:v>2025</x:v>
      </x:c>
      <x:c r="E261" s="2" t="str">
        <x:v>WB_real_income</x:v>
      </x:c>
      <x:c r="F261" s="2" t="str">
        <x:v>GDP per capita (constant 2015 US$)</x:v>
      </x:c>
    </x:row>
    <x:row r="262" ht="44" customHeight="1">
      <x:c r="A262" s="2" t="str">
        <x:v>ARM</x:v>
      </x:c>
      <x:c r="B262" s="2" t="str">
        <x:v>agriculture_gdp</x:v>
      </x:c>
      <x:c r="C262" s="2" t="n">
        <x:v>7.93468177320685</x:v>
      </x:c>
      <x:c r="D262" s="2" t="n">
        <x:v>2025</x:v>
      </x:c>
      <x:c r="E262" s="2" t="str">
        <x:v>WB_agriculture_gdp</x:v>
      </x:c>
      <x:c r="F262" s="2" t="str">
        <x:v>Agriculture, forestry, and fishing, value added (% of GDP)</x:v>
      </x:c>
    </x:row>
    <x:row r="263" ht="44" customHeight="1">
      <x:c r="A263" s="2" t="str">
        <x:v>ARM</x:v>
      </x:c>
      <x:c r="B263" s="2" t="str">
        <x:v>poverty</x:v>
      </x:c>
      <x:c r="C263" s="2" t="n">
        <x:v>0.8</x:v>
      </x:c>
      <x:c r="D263" s="2" t="n">
        <x:v>2024</x:v>
      </x:c>
      <x:c r="E263" s="2" t="str">
        <x:v>WB_poverty</x:v>
      </x:c>
      <x:c r="F263" s="2" t="str">
        <x:v>Poverty headcount ratio at $3.00 a day (2021 PPP) (% of population)</x:v>
      </x:c>
    </x:row>
    <x:row r="264" ht="44" customHeight="1">
      <x:c r="A264" s="2" t="str">
        <x:v>ARM</x:v>
      </x:c>
      <x:c r="B264" s="2" t="str">
        <x:v>gini</x:v>
      </x:c>
      <x:c r="C264" s="2" t="n">
        <x:v>27.4</x:v>
      </x:c>
      <x:c r="D264" s="2" t="n">
        <x:v>2024</x:v>
      </x:c>
      <x:c r="E264" s="2" t="str">
        <x:v>WB_gini</x:v>
      </x:c>
      <x:c r="F264" s="2" t="str">
        <x:v>Gini index</x:v>
      </x:c>
    </x:row>
    <x:row r="265" ht="44" customHeight="1">
      <x:c r="A265" s="2" t="str">
        <x:v>ARM</x:v>
      </x:c>
      <x:c r="B265" s="2" t="str">
        <x:v>unemployment</x:v>
      </x:c>
      <x:c r="C265" s="2" t="n">
        <x:v>12.871</x:v>
      </x:c>
      <x:c r="D265" s="2" t="n">
        <x:v>2025</x:v>
      </x:c>
      <x:c r="E265" s="2" t="str">
        <x:v>WB_unemployment</x:v>
      </x:c>
      <x:c r="F265" s="2" t="str">
        <x:v>Unemployment, total (% of total labor force) (modeled ILO estimate)</x:v>
      </x:c>
    </x:row>
    <x:row r="266" ht="44" customHeight="1">
      <x:c r="A266" s="2" t="str">
        <x:v>ARM</x:v>
      </x:c>
      <x:c r="B266" s="2" t="str">
        <x:v>private_credit</x:v>
      </x:c>
      <x:c r="C266" s="2" t="n">
        <x:v>70.5396772541144</x:v>
      </x:c>
      <x:c r="D266" s="2" t="n">
        <x:v>2025</x:v>
      </x:c>
      <x:c r="E266" s="2" t="str">
        <x:v>WB_private_credit</x:v>
      </x:c>
      <x:c r="F266" s="2" t="str">
        <x:v>Domestic credit to private sector (% of GDP)</x:v>
      </x:c>
    </x:row>
    <x:row r="267" ht="44" customHeight="1">
      <x:c r="A267" s="2" t="str">
        <x:v>ARM</x:v>
      </x:c>
      <x:c r="B267" s="2" t="str">
        <x:v>lending_rate</x:v>
      </x:c>
      <x:c r="C267" s="2" t="n">
        <x:v>13.7827500626073</x:v>
      </x:c>
      <x:c r="D267" s="2" t="n">
        <x:v>2025</x:v>
      </x:c>
      <x:c r="E267" s="2" t="str">
        <x:v>WB_lending_rate</x:v>
      </x:c>
      <x:c r="F267" s="2" t="str">
        <x:v>Lending interest rate (%)</x:v>
      </x:c>
    </x:row>
    <x:row r="268" ht="44" customHeight="1">
      <x:c r="A268" s="2" t="str">
        <x:v>ARM</x:v>
      </x:c>
      <x:c r="B268" s="2" t="str">
        <x:v>real_interest</x:v>
      </x:c>
      <x:c r="C268" s="2" t="n">
        <x:v>9.86012608856963</x:v>
      </x:c>
      <x:c r="D268" s="2" t="n">
        <x:v>2025</x:v>
      </x:c>
      <x:c r="E268" s="2" t="str">
        <x:v>WB_real_interest</x:v>
      </x:c>
      <x:c r="F268" s="2" t="str">
        <x:v>Real interest rate (%)</x:v>
      </x:c>
    </x:row>
    <x:row r="269" ht="44" customHeight="1">
      <x:c r="A269" s="2" t="str">
        <x:v>ARM</x:v>
      </x:c>
      <x:c r="B269" s="2" t="str">
        <x:v>government_debt</x:v>
      </x:c>
      <x:c r="C269" s="2" t="n">
        <x:v>47.8813384886388</x:v>
      </x:c>
      <x:c r="D269" s="2" t="n">
        <x:v>2024</x:v>
      </x:c>
      <x:c r="E269" s="2" t="str">
        <x:v>WB_government_debt</x:v>
      </x:c>
      <x:c r="F269" s="2" t="str">
        <x:v>Central government debt, total (% of GDP)</x:v>
      </x:c>
    </x:row>
    <x:row r="270" ht="44" customHeight="1">
      <x:c r="A270" s="2" t="str">
        <x:v>ARM</x:v>
      </x:c>
      <x:c r="B270" s="2" t="str">
        <x:v>electricity_access</x:v>
      </x:c>
      <x:c r="C270" s="2" t="n">
        <x:v>100</x:v>
      </x:c>
      <x:c r="D270" s="2" t="n">
        <x:v>2024</x:v>
      </x:c>
      <x:c r="E270" s="2" t="str">
        <x:v>WB_electricity_access</x:v>
      </x:c>
      <x:c r="F270" s="2" t="str">
        <x:v>Access to electricity (% of population)</x:v>
      </x:c>
    </x:row>
    <x:row r="271" ht="44" customHeight="1">
      <x:c r="A271" s="2" t="str">
        <x:v>ARM</x:v>
      </x:c>
      <x:c r="B271" s="2" t="str">
        <x:v>irrigated_land</x:v>
      </x:c>
      <x:c r="C271" s="2" t="n">
        <x:v>9.45348907583369</x:v>
      </x:c>
      <x:c r="D271" s="2" t="n">
        <x:v>2023</x:v>
      </x:c>
      <x:c r="E271" s="2" t="str">
        <x:v>WB_irrigated_land</x:v>
      </x:c>
      <x:c r="F271" s="2" t="str">
        <x:v>Agricultural irrigated land (% of total agricultural land)</x:v>
      </x:c>
    </x:row>
    <x:row r="272" ht="44" customHeight="1">
      <x:c r="A272" s="2" t="str">
        <x:v>ARM</x:v>
      </x:c>
      <x:c r="B272" s="2" t="str">
        <x:v>cereal_area</x:v>
      </x:c>
      <x:c r="C272" s="2" t="n">
        <x:v>109701</x:v>
      </x:c>
      <x:c r="D272" s="2" t="n">
        <x:v>2024</x:v>
      </x:c>
      <x:c r="E272" s="2" t="str">
        <x:v>WB_cereal_area</x:v>
      </x:c>
      <x:c r="F272" s="2" t="str">
        <x:v>Land under cereal production (hectares)</x:v>
      </x:c>
    </x:row>
    <x:row r="273" ht="44" customHeight="1">
      <x:c r="A273" s="2" t="str">
        <x:v>ARM</x:v>
      </x:c>
      <x:c r="B273" s="2" t="str">
        <x:v>undernourishment</x:v>
      </x:c>
      <x:c r="C273" s="2" t="n">
        <x:v>2.5</x:v>
      </x:c>
      <x:c r="D273" s="2" t="n">
        <x:v>2023</x:v>
      </x:c>
      <x:c r="E273" s="2" t="str">
        <x:v>WB_undernourishment</x:v>
      </x:c>
      <x:c r="F273" s="2" t="str">
        <x:v>Prevalence of undernourishment (% of population)</x:v>
      </x:c>
    </x:row>
    <x:row r="274" ht="44" customHeight="1">
      <x:c r="A274" s="2" t="str">
        <x:v>ARM</x:v>
      </x:c>
      <x:c r="B274" s="2" t="str">
        <x:v>agriculture_employment</x:v>
      </x:c>
      <x:c r="C274" s="2" t="n">
        <x:v>26.9715605307322</x:v>
      </x:c>
      <x:c r="D274" s="2" t="n">
        <x:v>2025</x:v>
      </x:c>
      <x:c r="E274" s="2" t="str">
        <x:v>WB_agriculture_employment</x:v>
      </x:c>
      <x:c r="F274" s="2" t="str">
        <x:v>Employment in agriculture (% of total employment) (modeled ILO estimate)</x:v>
      </x:c>
    </x:row>
    <x:row r="275" ht="44" customHeight="1">
      <x:c r="A275" s="2" t="str">
        <x:v>ARM</x:v>
      </x:c>
      <x:c r="B275" s="2" t="str">
        <x:v>water_withdrawal</x:v>
      </x:c>
      <x:c r="C275" s="2" t="n">
        <x:v>44.787869951888</x:v>
      </x:c>
      <x:c r="D275" s="2" t="n">
        <x:v>2022</x:v>
      </x:c>
      <x:c r="E275" s="2" t="str">
        <x:v>WB_water_withdrawal</x:v>
      </x:c>
      <x:c r="F275" s="2" t="str">
        <x:v>Annual freshwater withdrawals, total (% of internal resources)</x:v>
      </x:c>
    </x:row>
    <x:row r="276" ht="44" customHeight="1">
      <x:c r="A276" s="2" t="str">
        <x:v>AUS</x:v>
      </x:c>
      <x:c r="B276" s="2" t="str">
        <x:v>population</x:v>
      </x:c>
      <x:c r="C276" s="2" t="n">
        <x:v>27614411</x:v>
      </x:c>
      <x:c r="D276" s="2" t="n">
        <x:v>2025</x:v>
      </x:c>
      <x:c r="E276" s="2" t="str">
        <x:v>WB_population</x:v>
      </x:c>
      <x:c r="F276" s="2" t="str">
        <x:v>Population, total</x:v>
      </x:c>
    </x:row>
    <x:row r="277" ht="44" customHeight="1">
      <x:c r="A277" s="2" t="str">
        <x:v>AUS</x:v>
      </x:c>
      <x:c r="B277" s="2" t="str">
        <x:v>income_ppp</x:v>
      </x:c>
      <x:c r="C277" s="2" t="n">
        <x:v>60194.0633547961</x:v>
      </x:c>
      <x:c r="D277" s="2" t="n">
        <x:v>2025</x:v>
      </x:c>
      <x:c r="E277" s="2" t="str">
        <x:v>WB_income_ppp</x:v>
      </x:c>
      <x:c r="F277" s="2" t="str">
        <x:v>GDP per capita, PPP (constant 2021 international $)</x:v>
      </x:c>
    </x:row>
    <x:row r="278" ht="44" customHeight="1">
      <x:c r="A278" s="2" t="str">
        <x:v>AUS</x:v>
      </x:c>
      <x:c r="B278" s="2" t="str">
        <x:v>urban</x:v>
      </x:c>
      <x:c r="C278" s="2" t="n">
        <x:v>87.7192672666333</x:v>
      </x:c>
      <x:c r="D278" s="2" t="n">
        <x:v>2025</x:v>
      </x:c>
      <x:c r="E278" s="2" t="str">
        <x:v>WB_urban</x:v>
      </x:c>
      <x:c r="F278" s="2" t="str">
        <x:v>Urban population (% of total population)</x:v>
      </x:c>
    </x:row>
    <x:row r="279" ht="44" customHeight="1">
      <x:c r="A279" s="2" t="str">
        <x:v>AUS</x:v>
      </x:c>
      <x:c r="B279" s="2" t="str">
        <x:v>inflation</x:v>
      </x:c>
      <x:c r="C279" s="2" t="n">
        <x:v>2.87403791660173</x:v>
      </x:c>
      <x:c r="D279" s="2" t="n">
        <x:v>2025</x:v>
      </x:c>
      <x:c r="E279" s="2" t="str">
        <x:v>WB_inflation</x:v>
      </x:c>
      <x:c r="F279" s="2" t="str">
        <x:v>Inflation, consumer prices (annual %)</x:v>
      </x:c>
    </x:row>
    <x:row r="280" ht="44" customHeight="1">
      <x:c r="A280" s="2" t="str">
        <x:v>AUS</x:v>
      </x:c>
      <x:c r="B280" s="2" t="str">
        <x:v>food_index</x:v>
      </x:c>
      <x:c r="C280" s="2" t="n">
        <x:v>112.1</x:v>
      </x:c>
      <x:c r="D280" s="2" t="n">
        <x:v>2022</x:v>
      </x:c>
      <x:c r="E280" s="2" t="str">
        <x:v>WB_food_index</x:v>
      </x:c>
      <x:c r="F280" s="2" t="str">
        <x:v>Food production index (2014-2016 = 100)</x:v>
      </x:c>
    </x:row>
    <x:row r="281" ht="44" customHeight="1">
      <x:c r="A281" s="2" t="str">
        <x:v>AUS</x:v>
      </x:c>
      <x:c r="B281" s="2" t="str">
        <x:v>food_import_share</x:v>
      </x:c>
      <x:c r="C281" s="2" t="n">
        <x:v>6.51465102916167</x:v>
      </x:c>
      <x:c r="D281" s="2" t="n">
        <x:v>2025</x:v>
      </x:c>
      <x:c r="E281" s="2" t="str">
        <x:v>WB_food_import_share</x:v>
      </x:c>
      <x:c r="F281" s="2" t="str">
        <x:v>Food imports (% of merchandise imports)</x:v>
      </x:c>
    </x:row>
    <x:row r="282" ht="44" customHeight="1">
      <x:c r="A282" s="2" t="str">
        <x:v>AUS</x:v>
      </x:c>
      <x:c r="B282" s="2" t="str">
        <x:v>food_export_share</x:v>
      </x:c>
      <x:c r="C282" s="2" t="n">
        <x:v>13.7365295666894</x:v>
      </x:c>
      <x:c r="D282" s="2" t="n">
        <x:v>2025</x:v>
      </x:c>
      <x:c r="E282" s="2" t="str">
        <x:v>WB_food_export_share</x:v>
      </x:c>
      <x:c r="F282" s="2" t="str">
        <x:v>Food exports (% of merchandise exports)</x:v>
      </x:c>
    </x:row>
    <x:row r="283" ht="44" customHeight="1">
      <x:c r="A283" s="2" t="str">
        <x:v>AUS</x:v>
      </x:c>
      <x:c r="B283" s="2" t="str">
        <x:v>imports_usd</x:v>
      </x:c>
      <x:c r="C283" s="2" t="n">
        <x:v>310631000000</x:v>
      </x:c>
      <x:c r="D283" s="2" t="n">
        <x:v>2025</x:v>
      </x:c>
      <x:c r="E283" s="2" t="str">
        <x:v>WB_imports_usd</x:v>
      </x:c>
      <x:c r="F283" s="2" t="str">
        <x:v>Merchandise imports (current US$)</x:v>
      </x:c>
    </x:row>
    <x:row r="284" ht="44" customHeight="1">
      <x:c r="A284" s="2" t="str">
        <x:v>AUS</x:v>
      </x:c>
      <x:c r="B284" s="2" t="str">
        <x:v>exports_usd</x:v>
      </x:c>
      <x:c r="C284" s="2" t="n">
        <x:v>337582000000</x:v>
      </x:c>
      <x:c r="D284" s="2" t="n">
        <x:v>2025</x:v>
      </x:c>
      <x:c r="E284" s="2" t="str">
        <x:v>WB_exports_usd</x:v>
      </x:c>
      <x:c r="F284" s="2" t="str">
        <x:v>Merchandise exports (current US$)</x:v>
      </x:c>
    </x:row>
    <x:row r="285" ht="44" customHeight="1">
      <x:c r="A285" s="2" t="str">
        <x:v>AUS</x:v>
      </x:c>
      <x:c r="B285" s="2" t="str">
        <x:v>cereal_yield</x:v>
      </x:c>
      <x:c r="C285" s="2" t="n">
        <x:v>2689.7</x:v>
      </x:c>
      <x:c r="D285" s="2" t="n">
        <x:v>2024</x:v>
      </x:c>
      <x:c r="E285" s="2" t="str">
        <x:v>WB_cereal_yield</x:v>
      </x:c>
      <x:c r="F285" s="2" t="str">
        <x:v>Cereal yield (kg per hectare)</x:v>
      </x:c>
    </x:row>
    <x:row r="286" ht="44" customHeight="1">
      <x:c r="A286" s="2" t="str">
        <x:v>AUS</x:v>
      </x:c>
      <x:c r="B286" s="2" t="str">
        <x:v>water_stress</x:v>
      </x:c>
      <x:c r="C286" s="2" t="n">
        <x:v>4.672295939</x:v>
      </x:c>
      <x:c r="D286" s="2" t="n">
        <x:v>2022</x:v>
      </x:c>
      <x:c r="E286" s="2" t="str">
        <x:v>WB_water_stress</x:v>
      </x:c>
      <x:c r="F286" s="2" t="str">
        <x:v>Level of water stress: freshwater withdrawal as a proportion of available freshwater resources</x:v>
      </x:c>
    </x:row>
    <x:row r="287" ht="44" customHeight="1">
      <x:c r="A287" s="2" t="str">
        <x:v>AUS</x:v>
      </x:c>
      <x:c r="B287" s="2" t="str">
        <x:v>fertility</x:v>
      </x:c>
      <x:c r="C287" s="2" t="n">
        <x:v>1.481</x:v>
      </x:c>
      <x:c r="D287" s="2" t="n">
        <x:v>2024</x:v>
      </x:c>
      <x:c r="E287" s="2" t="str">
        <x:v>WB_fertility</x:v>
      </x:c>
      <x:c r="F287" s="2" t="str">
        <x:v>Fertility rate, total (births per woman)</x:v>
      </x:c>
    </x:row>
    <x:row r="288" ht="44" customHeight="1">
      <x:c r="A288" s="2" t="str">
        <x:v>AUS</x:v>
      </x:c>
      <x:c r="B288" s="2" t="str">
        <x:v>life_expectancy</x:v>
      </x:c>
      <x:c r="C288" s="2" t="n">
        <x:v>83.0512195121951</x:v>
      </x:c>
      <x:c r="D288" s="2" t="n">
        <x:v>2024</x:v>
      </x:c>
      <x:c r="E288" s="2" t="str">
        <x:v>WB_life_expectancy</x:v>
      </x:c>
      <x:c r="F288" s="2" t="str">
        <x:v>Life expectancy at birth, total (years)</x:v>
      </x:c>
    </x:row>
    <x:row r="289" ht="44" customHeight="1">
      <x:c r="A289" s="2" t="str">
        <x:v>AUS</x:v>
      </x:c>
      <x:c r="B289" s="2" t="str">
        <x:v>age_under15</x:v>
      </x:c>
      <x:c r="C289" s="2" t="n">
        <x:v>17.6796059290519</x:v>
      </x:c>
      <x:c r="D289" s="2" t="n">
        <x:v>2025</x:v>
      </x:c>
      <x:c r="E289" s="2" t="str">
        <x:v>WB_age_under15</x:v>
      </x:c>
      <x:c r="F289" s="2" t="str">
        <x:v>Population ages 0-14 (% of total population)</x:v>
      </x:c>
    </x:row>
    <x:row r="290" ht="44" customHeight="1">
      <x:c r="A290" s="2" t="str">
        <x:v>AUS</x:v>
      </x:c>
      <x:c r="B290" s="2" t="str">
        <x:v>age_over65</x:v>
      </x:c>
      <x:c r="C290" s="2" t="n">
        <x:v>18.0930147394386</x:v>
      </x:c>
      <x:c r="D290" s="2" t="n">
        <x:v>2025</x:v>
      </x:c>
      <x:c r="E290" s="2" t="str">
        <x:v>WB_age_over65</x:v>
      </x:c>
      <x:c r="F290" s="2" t="str">
        <x:v>Population ages 65 and above (% of total population)</x:v>
      </x:c>
    </x:row>
    <x:row r="291" ht="44" customHeight="1">
      <x:c r="A291" s="2" t="str">
        <x:v>AUS</x:v>
      </x:c>
      <x:c r="B291" s="2" t="str">
        <x:v>dependency_ratio</x:v>
      </x:c>
      <x:c r="C291" s="2" t="n">
        <x:v>55.6968355853145</x:v>
      </x:c>
      <x:c r="D291" s="2" t="n">
        <x:v>2025</x:v>
      </x:c>
      <x:c r="E291" s="2" t="str">
        <x:v>WB_dependency_ratio</x:v>
      </x:c>
      <x:c r="F291" s="2" t="str">
        <x:v>Age dependency ratio (% of working-age population)</x:v>
      </x:c>
    </x:row>
    <x:row r="292" ht="44" customHeight="1">
      <x:c r="A292" s="2" t="str">
        <x:v>AUS</x:v>
      </x:c>
      <x:c r="B292" s="2" t="str">
        <x:v>net_migration</x:v>
      </x:c>
      <x:c r="C292" s="2" t="n">
        <x:v>137109</x:v>
      </x:c>
      <x:c r="D292" s="2" t="n">
        <x:v>2025</x:v>
      </x:c>
      <x:c r="E292" s="2" t="str">
        <x:v>WB_net_migration</x:v>
      </x:c>
      <x:c r="F292" s="2" t="str">
        <x:v>Net migration</x:v>
      </x:c>
    </x:row>
    <x:row r="293" ht="44" customHeight="1">
      <x:c r="A293" s="2" t="str">
        <x:v>AUS</x:v>
      </x:c>
      <x:c r="B293" s="2" t="str">
        <x:v>real_gdp</x:v>
      </x:c>
      <x:c r="C293" s="2" t="n">
        <x:v>1694657951604.12</x:v>
      </x:c>
      <x:c r="D293" s="2" t="n">
        <x:v>2025</x:v>
      </x:c>
      <x:c r="E293" s="2" t="str">
        <x:v>WB_real_gdp</x:v>
      </x:c>
      <x:c r="F293" s="2" t="str">
        <x:v>GDP (constant 2015 US$)</x:v>
      </x:c>
    </x:row>
    <x:row r="294" ht="44" customHeight="1">
      <x:c r="A294" s="2" t="str">
        <x:v>AUS</x:v>
      </x:c>
      <x:c r="B294" s="2" t="str">
        <x:v>gdp_growth</x:v>
      </x:c>
      <x:c r="C294" s="2" t="n">
        <x:v>1.35039785076631</x:v>
      </x:c>
      <x:c r="D294" s="2" t="n">
        <x:v>2025</x:v>
      </x:c>
      <x:c r="E294" s="2" t="str">
        <x:v>WB_gdp_growth</x:v>
      </x:c>
      <x:c r="F294" s="2" t="str">
        <x:v>GDP growth (annual %)</x:v>
      </x:c>
    </x:row>
    <x:row r="295" ht="44" customHeight="1">
      <x:c r="A295" s="2" t="str">
        <x:v>AUS</x:v>
      </x:c>
      <x:c r="B295" s="2" t="str">
        <x:v>real_income</x:v>
      </x:c>
      <x:c r="C295" s="2" t="n">
        <x:v>61368.6075579929</x:v>
      </x:c>
      <x:c r="D295" s="2" t="n">
        <x:v>2025</x:v>
      </x:c>
      <x:c r="E295" s="2" t="str">
        <x:v>WB_real_income</x:v>
      </x:c>
      <x:c r="F295" s="2" t="str">
        <x:v>GDP per capita (constant 2015 US$)</x:v>
      </x:c>
    </x:row>
    <x:row r="296" ht="44" customHeight="1">
      <x:c r="A296" s="2" t="str">
        <x:v>AUS</x:v>
      </x:c>
      <x:c r="B296" s="2" t="str">
        <x:v>agriculture_gdp</x:v>
      </x:c>
      <x:c r="C296" s="2" t="n">
        <x:v>2.26658274847898</x:v>
      </x:c>
      <x:c r="D296" s="2" t="n">
        <x:v>2025</x:v>
      </x:c>
      <x:c r="E296" s="2" t="str">
        <x:v>WB_agriculture_gdp</x:v>
      </x:c>
      <x:c r="F296" s="2" t="str">
        <x:v>Agriculture, forestry, and fishing, value added (% of GDP)</x:v>
      </x:c>
    </x:row>
    <x:row r="297" ht="44" customHeight="1">
      <x:c r="A297" s="2" t="str">
        <x:v>AUS</x:v>
      </x:c>
      <x:c r="B297" s="2" t="str">
        <x:v>poverty</x:v>
      </x:c>
      <x:c r="C297" s="2" t="n">
        <x:v>0.9</x:v>
      </x:c>
      <x:c r="D297" s="2" t="n">
        <x:v>2020</x:v>
      </x:c>
      <x:c r="E297" s="2" t="str">
        <x:v>WB_poverty</x:v>
      </x:c>
      <x:c r="F297" s="2" t="str">
        <x:v>Poverty headcount ratio at $3.00 a day (2021 PPP) (% of population)</x:v>
      </x:c>
    </x:row>
    <x:row r="298" ht="44" customHeight="1">
      <x:c r="A298" s="2" t="str">
        <x:v>AUS</x:v>
      </x:c>
      <x:c r="B298" s="2" t="str">
        <x:v>gini</x:v>
      </x:c>
      <x:c r="C298" s="2" t="n">
        <x:v>33.8</x:v>
      </x:c>
      <x:c r="D298" s="2" t="n">
        <x:v>2020</x:v>
      </x:c>
      <x:c r="E298" s="2" t="str">
        <x:v>WB_gini</x:v>
      </x:c>
      <x:c r="F298" s="2" t="str">
        <x:v>Gini index</x:v>
      </x:c>
    </x:row>
    <x:row r="299" ht="44" customHeight="1">
      <x:c r="A299" s="2" t="str">
        <x:v>AUS</x:v>
      </x:c>
      <x:c r="B299" s="2" t="str">
        <x:v>unemployment</x:v>
      </x:c>
      <x:c r="C299" s="2" t="n">
        <x:v>4.09</x:v>
      </x:c>
      <x:c r="D299" s="2" t="n">
        <x:v>2025</x:v>
      </x:c>
      <x:c r="E299" s="2" t="str">
        <x:v>WB_unemployment</x:v>
      </x:c>
      <x:c r="F299" s="2" t="str">
        <x:v>Unemployment, total (% of total labor force) (modeled ILO estimate)</x:v>
      </x:c>
    </x:row>
    <x:row r="300" ht="44" customHeight="1">
      <x:c r="A300" s="2" t="str">
        <x:v>AUS</x:v>
      </x:c>
      <x:c r="B300" s="2" t="str">
        <x:v>private_credit</x:v>
      </x:c>
      <x:c r="C300" s="2" t="n">
        <x:v>133.792637955073</x:v>
      </x:c>
      <x:c r="D300" s="2" t="n">
        <x:v>2025</x:v>
      </x:c>
      <x:c r="E300" s="2" t="str">
        <x:v>WB_private_credit</x:v>
      </x:c>
      <x:c r="F300" s="2" t="str">
        <x:v>Domestic credit to private sector (% of GDP)</x:v>
      </x:c>
    </x:row>
    <x:row r="301" ht="44" customHeight="1">
      <x:c r="A301" s="2" t="str">
        <x:v>AUS</x:v>
      </x:c>
      <x:c r="B301" s="2" t="str">
        <x:v>lending_rate</x:v>
      </x:c>
      <x:c r="C301" s="2" t="n">
        <x:v>5.101</x:v>
      </x:c>
      <x:c r="D301" s="2" t="n">
        <x:v>2019</x:v>
      </x:c>
      <x:c r="E301" s="2" t="str">
        <x:v>WB_lending_rate</x:v>
      </x:c>
      <x:c r="F301" s="2" t="str">
        <x:v>Lending interest rate (%)</x:v>
      </x:c>
    </x:row>
    <x:row r="302" ht="44" customHeight="1">
      <x:c r="A302" s="2" t="str">
        <x:v>AUS</x:v>
      </x:c>
      <x:c r="B302" s="2" t="str">
        <x:v>real_interest</x:v>
      </x:c>
      <x:c r="C302" s="2" t="n">
        <x:v>1.56982320729507</x:v>
      </x:c>
      <x:c r="D302" s="2" t="n">
        <x:v>2019</x:v>
      </x:c>
      <x:c r="E302" s="2" t="str">
        <x:v>WB_real_interest</x:v>
      </x:c>
      <x:c r="F302" s="2" t="str">
        <x:v>Real interest rate (%)</x:v>
      </x:c>
    </x:row>
    <x:row r="303" ht="44" customHeight="1">
      <x:c r="A303" s="2" t="str">
        <x:v>AUS</x:v>
      </x:c>
      <x:c r="B303" s="2" t="str">
        <x:v>government_debt</x:v>
      </x:c>
      <x:c r="C303" s="2" t="n">
        <x:v>57.8834285733848</x:v>
      </x:c>
      <x:c r="D303" s="2" t="n">
        <x:v>2022</x:v>
      </x:c>
      <x:c r="E303" s="2" t="str">
        <x:v>WB_government_debt</x:v>
      </x:c>
      <x:c r="F303" s="2" t="str">
        <x:v>Central government debt, total (% of GDP)</x:v>
      </x:c>
    </x:row>
    <x:row r="304" ht="44" customHeight="1">
      <x:c r="A304" s="2" t="str">
        <x:v>AUS</x:v>
      </x:c>
      <x:c r="B304" s="2" t="str">
        <x:v>electricity_access</x:v>
      </x:c>
      <x:c r="C304" s="2" t="n">
        <x:v>100</x:v>
      </x:c>
      <x:c r="D304" s="2" t="n">
        <x:v>2024</x:v>
      </x:c>
      <x:c r="E304" s="2" t="str">
        <x:v>WB_electricity_access</x:v>
      </x:c>
      <x:c r="F304" s="2" t="str">
        <x:v>Access to electricity (% of population)</x:v>
      </x:c>
    </x:row>
    <x:row r="305" ht="44" customHeight="1">
      <x:c r="A305" s="2" t="str">
        <x:v>AUS</x:v>
      </x:c>
      <x:c r="B305" s="2" t="str">
        <x:v>irrigated_land</x:v>
      </x:c>
      <x:c r="C305" s="2" t="n">
        <x:v>0.535453227882219</x:v>
      </x:c>
      <x:c r="D305" s="2" t="n">
        <x:v>2023</x:v>
      </x:c>
      <x:c r="E305" s="2" t="str">
        <x:v>WB_irrigated_land</x:v>
      </x:c>
      <x:c r="F305" s="2" t="str">
        <x:v>Agricultural irrigated land (% of total agricultural land)</x:v>
      </x:c>
    </x:row>
    <x:row r="306" ht="44" customHeight="1">
      <x:c r="A306" s="2" t="str">
        <x:v>AUS</x:v>
      </x:c>
      <x:c r="B306" s="2" t="str">
        <x:v>cereal_area</x:v>
      </x:c>
      <x:c r="C306" s="2" t="n">
        <x:v>19463223</x:v>
      </x:c>
      <x:c r="D306" s="2" t="n">
        <x:v>2024</x:v>
      </x:c>
      <x:c r="E306" s="2" t="str">
        <x:v>WB_cereal_area</x:v>
      </x:c>
      <x:c r="F306" s="2" t="str">
        <x:v>Land under cereal production (hectares)</x:v>
      </x:c>
    </x:row>
    <x:row r="307" ht="44" customHeight="1">
      <x:c r="A307" s="2" t="str">
        <x:v>AUS</x:v>
      </x:c>
      <x:c r="B307" s="2" t="str">
        <x:v>undernourishment</x:v>
      </x:c>
      <x:c r="C307" s="2" t="n">
        <x:v>2.5</x:v>
      </x:c>
      <x:c r="D307" s="2" t="n">
        <x:v>2023</x:v>
      </x:c>
      <x:c r="E307" s="2" t="str">
        <x:v>WB_undernourishment</x:v>
      </x:c>
      <x:c r="F307" s="2" t="str">
        <x:v>Prevalence of undernourishment (% of population)</x:v>
      </x:c>
    </x:row>
    <x:row r="308" ht="44" customHeight="1">
      <x:c r="A308" s="2" t="str">
        <x:v>AUS</x:v>
      </x:c>
      <x:c r="B308" s="2" t="str">
        <x:v>agriculture_employment</x:v>
      </x:c>
      <x:c r="C308" s="2" t="n">
        <x:v>2.17612034588263</x:v>
      </x:c>
      <x:c r="D308" s="2" t="n">
        <x:v>2025</x:v>
      </x:c>
      <x:c r="E308" s="2" t="str">
        <x:v>WB_agriculture_employment</x:v>
      </x:c>
      <x:c r="F308" s="2" t="str">
        <x:v>Employment in agriculture (% of total employment) (modeled ILO estimate)</x:v>
      </x:c>
    </x:row>
    <x:row r="309" ht="44" customHeight="1">
      <x:c r="A309" s="2" t="str">
        <x:v>AUS</x:v>
      </x:c>
      <x:c r="B309" s="2" t="str">
        <x:v>water_withdrawal</x:v>
      </x:c>
      <x:c r="C309" s="2" t="n">
        <x:v>2.36178861788618</x:v>
      </x:c>
      <x:c r="D309" s="2" t="n">
        <x:v>2022</x:v>
      </x:c>
      <x:c r="E309" s="2" t="str">
        <x:v>WB_water_withdrawal</x:v>
      </x:c>
      <x:c r="F309" s="2" t="str">
        <x:v>Annual freshwater withdrawals, total (% of internal resources)</x:v>
      </x:c>
    </x:row>
    <x:row r="310" ht="44" customHeight="1">
      <x:c r="A310" s="2" t="str">
        <x:v>AUT</x:v>
      </x:c>
      <x:c r="B310" s="2" t="str">
        <x:v>population</x:v>
      </x:c>
      <x:c r="C310" s="2" t="n">
        <x:v>9208163</x:v>
      </x:c>
      <x:c r="D310" s="2" t="n">
        <x:v>2025</x:v>
      </x:c>
      <x:c r="E310" s="2" t="str">
        <x:v>WB_population</x:v>
      </x:c>
      <x:c r="F310" s="2" t="str">
        <x:v>Population, total</x:v>
      </x:c>
    </x:row>
    <x:row r="311" ht="44" customHeight="1">
      <x:c r="A311" s="2" t="str">
        <x:v>AUT</x:v>
      </x:c>
      <x:c r="B311" s="2" t="str">
        <x:v>income_ppp</x:v>
      </x:c>
      <x:c r="C311" s="2" t="n">
        <x:v>63970.4008534859</x:v>
      </x:c>
      <x:c r="D311" s="2" t="n">
        <x:v>2025</x:v>
      </x:c>
      <x:c r="E311" s="2" t="str">
        <x:v>WB_income_ppp</x:v>
      </x:c>
      <x:c r="F311" s="2" t="str">
        <x:v>GDP per capita, PPP (constant 2021 international $)</x:v>
      </x:c>
    </x:row>
    <x:row r="312" ht="44" customHeight="1">
      <x:c r="A312" s="2" t="str">
        <x:v>AUT</x:v>
      </x:c>
      <x:c r="B312" s="2" t="str">
        <x:v>urban</x:v>
      </x:c>
      <x:c r="C312" s="2" t="n">
        <x:v>69.7152152366353</x:v>
      </x:c>
      <x:c r="D312" s="2" t="n">
        <x:v>2025</x:v>
      </x:c>
      <x:c r="E312" s="2" t="str">
        <x:v>WB_urban</x:v>
      </x:c>
      <x:c r="F312" s="2" t="str">
        <x:v>Urban population (% of total population)</x:v>
      </x:c>
    </x:row>
    <x:row r="313" ht="44" customHeight="1">
      <x:c r="A313" s="2" t="str">
        <x:v>AUT</x:v>
      </x:c>
      <x:c r="B313" s="2" t="str">
        <x:v>inflation</x:v>
      </x:c>
      <x:c r="C313" s="2" t="n">
        <x:v>3.52719439956928</x:v>
      </x:c>
      <x:c r="D313" s="2" t="n">
        <x:v>2025</x:v>
      </x:c>
      <x:c r="E313" s="2" t="str">
        <x:v>WB_inflation</x:v>
      </x:c>
      <x:c r="F313" s="2" t="str">
        <x:v>Inflation, consumer prices (annual %)</x:v>
      </x:c>
    </x:row>
    <x:row r="314" ht="44" customHeight="1">
      <x:c r="A314" s="2" t="str">
        <x:v>AUT</x:v>
      </x:c>
      <x:c r="B314" s="2" t="str">
        <x:v>food_index</x:v>
      </x:c>
      <x:c r="C314" s="2" t="n">
        <x:v>100.45</x:v>
      </x:c>
      <x:c r="D314" s="2" t="n">
        <x:v>2022</x:v>
      </x:c>
      <x:c r="E314" s="2" t="str">
        <x:v>WB_food_index</x:v>
      </x:c>
      <x:c r="F314" s="2" t="str">
        <x:v>Food production index (2014-2016 = 100)</x:v>
      </x:c>
    </x:row>
    <x:row r="315" ht="44" customHeight="1">
      <x:c r="A315" s="2" t="str">
        <x:v>AUT</x:v>
      </x:c>
      <x:c r="B315" s="2" t="str">
        <x:v>food_import_share</x:v>
      </x:c>
      <x:c r="C315" s="2" t="n">
        <x:v>9.53590562630284</x:v>
      </x:c>
      <x:c r="D315" s="2" t="n">
        <x:v>2024</x:v>
      </x:c>
      <x:c r="E315" s="2" t="str">
        <x:v>WB_food_import_share</x:v>
      </x:c>
      <x:c r="F315" s="2" t="str">
        <x:v>Food imports (% of merchandise imports)</x:v>
      </x:c>
    </x:row>
    <x:row r="316" ht="44" customHeight="1">
      <x:c r="A316" s="2" t="str">
        <x:v>AUT</x:v>
      </x:c>
      <x:c r="B316" s="2" t="str">
        <x:v>food_export_share</x:v>
      </x:c>
      <x:c r="C316" s="2" t="n">
        <x:v>8.59551676246597</x:v>
      </x:c>
      <x:c r="D316" s="2" t="n">
        <x:v>2024</x:v>
      </x:c>
      <x:c r="E316" s="2" t="str">
        <x:v>WB_food_export_share</x:v>
      </x:c>
      <x:c r="F316" s="2" t="str">
        <x:v>Food exports (% of merchandise exports)</x:v>
      </x:c>
    </x:row>
    <x:row r="317" ht="44" customHeight="1">
      <x:c r="A317" s="2" t="str">
        <x:v>AUT</x:v>
      </x:c>
      <x:c r="B317" s="2" t="str">
        <x:v>imports_usd</x:v>
      </x:c>
      <x:c r="C317" s="2" t="n">
        <x:v>228386000000</x:v>
      </x:c>
      <x:c r="D317" s="2" t="n">
        <x:v>2025</x:v>
      </x:c>
      <x:c r="E317" s="2" t="str">
        <x:v>WB_imports_usd</x:v>
      </x:c>
      <x:c r="F317" s="2" t="str">
        <x:v>Merchandise imports (current US$)</x:v>
      </x:c>
    </x:row>
    <x:row r="318" ht="44" customHeight="1">
      <x:c r="A318" s="2" t="str">
        <x:v>AUT</x:v>
      </x:c>
      <x:c r="B318" s="2" t="str">
        <x:v>exports_usd</x:v>
      </x:c>
      <x:c r="C318" s="2" t="n">
        <x:v>222029000000</x:v>
      </x:c>
      <x:c r="D318" s="2" t="n">
        <x:v>2025</x:v>
      </x:c>
      <x:c r="E318" s="2" t="str">
        <x:v>WB_exports_usd</x:v>
      </x:c>
      <x:c r="F318" s="2" t="str">
        <x:v>Merchandise exports (current US$)</x:v>
      </x:c>
    </x:row>
    <x:row r="319" ht="44" customHeight="1">
      <x:c r="A319" s="2" t="str">
        <x:v>AUT</x:v>
      </x:c>
      <x:c r="B319" s="2" t="str">
        <x:v>cereal_yield</x:v>
      </x:c>
      <x:c r="C319" s="2" t="n">
        <x:v>6721.8</x:v>
      </x:c>
      <x:c r="D319" s="2" t="n">
        <x:v>2024</x:v>
      </x:c>
      <x:c r="E319" s="2" t="str">
        <x:v>WB_cereal_yield</x:v>
      </x:c>
      <x:c r="F319" s="2" t="str">
        <x:v>Cereal yield (kg per hectare)</x:v>
      </x:c>
    </x:row>
    <x:row r="320" ht="44" customHeight="1">
      <x:c r="A320" s="2" t="str">
        <x:v>AUT</x:v>
      </x:c>
      <x:c r="B320" s="2" t="str">
        <x:v>water_stress</x:v>
      </x:c>
      <x:c r="C320" s="2" t="n">
        <x:v>8.676429953</x:v>
      </x:c>
      <x:c r="D320" s="2" t="n">
        <x:v>2022</x:v>
      </x:c>
      <x:c r="E320" s="2" t="str">
        <x:v>WB_water_stress</x:v>
      </x:c>
      <x:c r="F320" s="2" t="str">
        <x:v>Level of water stress: freshwater withdrawal as a proportion of available freshwater resources</x:v>
      </x:c>
    </x:row>
    <x:row r="321" ht="44" customHeight="1">
      <x:c r="A321" s="2" t="str">
        <x:v>AUT</x:v>
      </x:c>
      <x:c r="B321" s="2" t="str">
        <x:v>fertility</x:v>
      </x:c>
      <x:c r="C321" s="2" t="n">
        <x:v>1.31</x:v>
      </x:c>
      <x:c r="D321" s="2" t="n">
        <x:v>2024</x:v>
      </x:c>
      <x:c r="E321" s="2" t="str">
        <x:v>WB_fertility</x:v>
      </x:c>
      <x:c r="F321" s="2" t="str">
        <x:v>Fertility rate, total (births per woman)</x:v>
      </x:c>
    </x:row>
    <x:row r="322" ht="44" customHeight="1">
      <x:c r="A322" s="2" t="str">
        <x:v>AUT</x:v>
      </x:c>
      <x:c r="B322" s="2" t="str">
        <x:v>life_expectancy</x:v>
      </x:c>
      <x:c r="C322" s="2" t="n">
        <x:v>81.9951219512195</x:v>
      </x:c>
      <x:c r="D322" s="2" t="n">
        <x:v>2024</x:v>
      </x:c>
      <x:c r="E322" s="2" t="str">
        <x:v>WB_life_expectancy</x:v>
      </x:c>
      <x:c r="F322" s="2" t="str">
        <x:v>Life expectancy at birth, total (years)</x:v>
      </x:c>
    </x:row>
    <x:row r="323" ht="44" customHeight="1">
      <x:c r="A323" s="2" t="str">
        <x:v>AUT</x:v>
      </x:c>
      <x:c r="B323" s="2" t="str">
        <x:v>age_under15</x:v>
      </x:c>
      <x:c r="C323" s="2" t="n">
        <x:v>14.14725441413</x:v>
      </x:c>
      <x:c r="D323" s="2" t="n">
        <x:v>2025</x:v>
      </x:c>
      <x:c r="E323" s="2" t="str">
        <x:v>WB_age_under15</x:v>
      </x:c>
      <x:c r="F323" s="2" t="str">
        <x:v>Population ages 0-14 (% of total population)</x:v>
      </x:c>
    </x:row>
    <x:row r="324" ht="44" customHeight="1">
      <x:c r="A324" s="2" t="str">
        <x:v>AUT</x:v>
      </x:c>
      <x:c r="B324" s="2" t="str">
        <x:v>age_over65</x:v>
      </x:c>
      <x:c r="C324" s="2" t="n">
        <x:v>21.094709934873</x:v>
      </x:c>
      <x:c r="D324" s="2" t="n">
        <x:v>2025</x:v>
      </x:c>
      <x:c r="E324" s="2" t="str">
        <x:v>WB_age_over65</x:v>
      </x:c>
      <x:c r="F324" s="2" t="str">
        <x:v>Population ages 65 and above (% of total population)</x:v>
      </x:c>
    </x:row>
    <x:row r="325" ht="44" customHeight="1">
      <x:c r="A325" s="2" t="str">
        <x:v>AUT</x:v>
      </x:c>
      <x:c r="B325" s="2" t="str">
        <x:v>dependency_ratio</x:v>
      </x:c>
      <x:c r="C325" s="2" t="n">
        <x:v>54.4209859928476</x:v>
      </x:c>
      <x:c r="D325" s="2" t="n">
        <x:v>2025</x:v>
      </x:c>
      <x:c r="E325" s="2" t="str">
        <x:v>WB_dependency_ratio</x:v>
      </x:c>
      <x:c r="F325" s="2" t="str">
        <x:v>Age dependency ratio (% of working-age population)</x:v>
      </x:c>
    </x:row>
    <x:row r="326" ht="44" customHeight="1">
      <x:c r="A326" s="2" t="str">
        <x:v>AUT</x:v>
      </x:c>
      <x:c r="B326" s="2" t="str">
        <x:v>net_migration</x:v>
      </x:c>
      <x:c r="C326" s="2" t="n">
        <x:v>11254</x:v>
      </x:c>
      <x:c r="D326" s="2" t="n">
        <x:v>2025</x:v>
      </x:c>
      <x:c r="E326" s="2" t="str">
        <x:v>WB_net_migration</x:v>
      </x:c>
      <x:c r="F326" s="2" t="str">
        <x:v>Net migration</x:v>
      </x:c>
    </x:row>
    <x:row r="327" ht="44" customHeight="1">
      <x:c r="A327" s="2" t="str">
        <x:v>AUT</x:v>
      </x:c>
      <x:c r="B327" s="2" t="str">
        <x:v>real_gdp</x:v>
      </x:c>
      <x:c r="C327" s="2" t="n">
        <x:v>424406547759.14</x:v>
      </x:c>
      <x:c r="D327" s="2" t="n">
        <x:v>2025</x:v>
      </x:c>
      <x:c r="E327" s="2" t="str">
        <x:v>WB_real_gdp</x:v>
      </x:c>
      <x:c r="F327" s="2" t="str">
        <x:v>GDP (constant 2015 US$)</x:v>
      </x:c>
    </x:row>
    <x:row r="328" ht="44" customHeight="1">
      <x:c r="A328" s="2" t="str">
        <x:v>AUT</x:v>
      </x:c>
      <x:c r="B328" s="2" t="str">
        <x:v>gdp_growth</x:v>
      </x:c>
      <x:c r="C328" s="2" t="n">
        <x:v>0.615747280959056</x:v>
      </x:c>
      <x:c r="D328" s="2" t="n">
        <x:v>2025</x:v>
      </x:c>
      <x:c r="E328" s="2" t="str">
        <x:v>WB_gdp_growth</x:v>
      </x:c>
      <x:c r="F328" s="2" t="str">
        <x:v>GDP growth (annual %)</x:v>
      </x:c>
    </x:row>
    <x:row r="329" ht="44" customHeight="1">
      <x:c r="A329" s="2" t="str">
        <x:v>AUT</x:v>
      </x:c>
      <x:c r="B329" s="2" t="str">
        <x:v>real_income</x:v>
      </x:c>
      <x:c r="C329" s="2" t="n">
        <x:v>46090.2514170459</x:v>
      </x:c>
      <x:c r="D329" s="2" t="n">
        <x:v>2025</x:v>
      </x:c>
      <x:c r="E329" s="2" t="str">
        <x:v>WB_real_income</x:v>
      </x:c>
      <x:c r="F329" s="2" t="str">
        <x:v>GDP per capita (constant 2015 US$)</x:v>
      </x:c>
    </x:row>
    <x:row r="330" ht="44" customHeight="1">
      <x:c r="A330" s="2" t="str">
        <x:v>AUT</x:v>
      </x:c>
      <x:c r="B330" s="2" t="str">
        <x:v>agriculture_gdp</x:v>
      </x:c>
      <x:c r="C330" s="2" t="n">
        <x:v>1.25694809585953</x:v>
      </x:c>
      <x:c r="D330" s="2" t="n">
        <x:v>2025</x:v>
      </x:c>
      <x:c r="E330" s="2" t="str">
        <x:v>WB_agriculture_gdp</x:v>
      </x:c>
      <x:c r="F330" s="2" t="str">
        <x:v>Agriculture, forestry, and fishing, value added (% of GDP)</x:v>
      </x:c>
    </x:row>
    <x:row r="331" ht="44" customHeight="1">
      <x:c r="A331" s="2" t="str">
        <x:v>AUT</x:v>
      </x:c>
      <x:c r="B331" s="2" t="str">
        <x:v>poverty</x:v>
      </x:c>
      <x:c r="C331" s="2" t="n">
        <x:v>0.5</x:v>
      </x:c>
      <x:c r="D331" s="2" t="n">
        <x:v>2023</x:v>
      </x:c>
      <x:c r="E331" s="2" t="str">
        <x:v>WB_poverty</x:v>
      </x:c>
      <x:c r="F331" s="2" t="str">
        <x:v>Poverty headcount ratio at $3.00 a day (2021 PPP) (% of population)</x:v>
      </x:c>
    </x:row>
    <x:row r="332" ht="44" customHeight="1">
      <x:c r="A332" s="2" t="str">
        <x:v>AUT</x:v>
      </x:c>
      <x:c r="B332" s="2" t="str">
        <x:v>gini</x:v>
      </x:c>
      <x:c r="C332" s="2" t="n">
        <x:v>31.2</x:v>
      </x:c>
      <x:c r="D332" s="2" t="n">
        <x:v>2023</x:v>
      </x:c>
      <x:c r="E332" s="2" t="str">
        <x:v>WB_gini</x:v>
      </x:c>
      <x:c r="F332" s="2" t="str">
        <x:v>Gini index</x:v>
      </x:c>
    </x:row>
    <x:row r="333" ht="44" customHeight="1">
      <x:c r="A333" s="2" t="str">
        <x:v>AUT</x:v>
      </x:c>
      <x:c r="B333" s="2" t="str">
        <x:v>unemployment</x:v>
      </x:c>
      <x:c r="C333" s="2" t="n">
        <x:v>5.582</x:v>
      </x:c>
      <x:c r="D333" s="2" t="n">
        <x:v>2025</x:v>
      </x:c>
      <x:c r="E333" s="2" t="str">
        <x:v>WB_unemployment</x:v>
      </x:c>
      <x:c r="F333" s="2" t="str">
        <x:v>Unemployment, total (% of total labor force) (modeled ILO estimate)</x:v>
      </x:c>
    </x:row>
    <x:row r="334" ht="44" customHeight="1">
      <x:c r="A334" s="2" t="str">
        <x:v>AUT</x:v>
      </x:c>
      <x:c r="B334" s="2" t="str">
        <x:v>private_credit</x:v>
      </x:c>
      <x:c r="C334" s="2" t="n">
        <x:v>81.7652651021229</x:v>
      </x:c>
      <x:c r="D334" s="2" t="n">
        <x:v>2024</x:v>
      </x:c>
      <x:c r="E334" s="2" t="str">
        <x:v>WB_private_credit</x:v>
      </x:c>
      <x:c r="F334" s="2" t="str">
        <x:v>Domestic credit to private sector (% of GDP)</x:v>
      </x:c>
    </x:row>
    <x:row r="335" ht="44" customHeight="1">
      <x:c r="A335" s="2" t="str">
        <x:v>AUT</x:v>
      </x:c>
      <x:c r="B335" s="2" t="str">
        <x:v>lending_rate</x:v>
      </x:c>
      <x:c r="C335" s="2"/>
      <x:c r="D335" s="2"/>
      <x:c r="E335" s="2" t="str">
        <x:v>Missing</x:v>
      </x:c>
      <x:c r="F335" s="2" t="str">
        <x:v>Lending interest rate (%)</x:v>
      </x:c>
    </x:row>
    <x:row r="336" ht="44" customHeight="1">
      <x:c r="A336" s="2" t="str">
        <x:v>AUT</x:v>
      </x:c>
      <x:c r="B336" s="2" t="str">
        <x:v>real_interest</x:v>
      </x:c>
      <x:c r="C336" s="2"/>
      <x:c r="D336" s="2"/>
      <x:c r="E336" s="2" t="str">
        <x:v>Missing</x:v>
      </x:c>
      <x:c r="F336" s="2" t="str">
        <x:v>Real interest rate (%)</x:v>
      </x:c>
    </x:row>
    <x:row r="337" ht="44" customHeight="1">
      <x:c r="A337" s="2" t="str">
        <x:v>AUT</x:v>
      </x:c>
      <x:c r="B337" s="2" t="str">
        <x:v>government_debt</x:v>
      </x:c>
      <x:c r="C337" s="2"/>
      <x:c r="D337" s="2"/>
      <x:c r="E337" s="2" t="str">
        <x:v>Missing</x:v>
      </x:c>
      <x:c r="F337" s="2" t="str">
        <x:v>Central government debt, total (% of GDP)</x:v>
      </x:c>
    </x:row>
    <x:row r="338" ht="44" customHeight="1">
      <x:c r="A338" s="2" t="str">
        <x:v>AUT</x:v>
      </x:c>
      <x:c r="B338" s="2" t="str">
        <x:v>electricity_access</x:v>
      </x:c>
      <x:c r="C338" s="2" t="n">
        <x:v>100</x:v>
      </x:c>
      <x:c r="D338" s="2" t="n">
        <x:v>2024</x:v>
      </x:c>
      <x:c r="E338" s="2" t="str">
        <x:v>WB_electricity_access</x:v>
      </x:c>
      <x:c r="F338" s="2" t="str">
        <x:v>Access to electricity (% of population)</x:v>
      </x:c>
    </x:row>
    <x:row r="339" ht="44" customHeight="1">
      <x:c r="A339" s="2" t="str">
        <x:v>AUT</x:v>
      </x:c>
      <x:c r="B339" s="2" t="str">
        <x:v>irrigated_land</x:v>
      </x:c>
      <x:c r="C339" s="2" t="n">
        <x:v>1.43062052228884</x:v>
      </x:c>
      <x:c r="D339" s="2" t="n">
        <x:v>2016</x:v>
      </x:c>
      <x:c r="E339" s="2" t="str">
        <x:v>WB_irrigated_land</x:v>
      </x:c>
      <x:c r="F339" s="2" t="str">
        <x:v>Agricultural irrigated land (% of total agricultural land)</x:v>
      </x:c>
    </x:row>
    <x:row r="340" ht="44" customHeight="1">
      <x:c r="A340" s="2" t="str">
        <x:v>AUT</x:v>
      </x:c>
      <x:c r="B340" s="2" t="str">
        <x:v>cereal_area</x:v>
      </x:c>
      <x:c r="C340" s="2" t="n">
        <x:v>726060</x:v>
      </x:c>
      <x:c r="D340" s="2" t="n">
        <x:v>2024</x:v>
      </x:c>
      <x:c r="E340" s="2" t="str">
        <x:v>WB_cereal_area</x:v>
      </x:c>
      <x:c r="F340" s="2" t="str">
        <x:v>Land under cereal production (hectares)</x:v>
      </x:c>
    </x:row>
    <x:row r="341" ht="44" customHeight="1">
      <x:c r="A341" s="2" t="str">
        <x:v>AUT</x:v>
      </x:c>
      <x:c r="B341" s="2" t="str">
        <x:v>undernourishment</x:v>
      </x:c>
      <x:c r="C341" s="2" t="n">
        <x:v>2.5</x:v>
      </x:c>
      <x:c r="D341" s="2" t="n">
        <x:v>2023</x:v>
      </x:c>
      <x:c r="E341" s="2" t="str">
        <x:v>WB_undernourishment</x:v>
      </x:c>
      <x:c r="F341" s="2" t="str">
        <x:v>Prevalence of undernourishment (% of population)</x:v>
      </x:c>
    </x:row>
    <x:row r="342" ht="44" customHeight="1">
      <x:c r="A342" s="2" t="str">
        <x:v>AUT</x:v>
      </x:c>
      <x:c r="B342" s="2" t="str">
        <x:v>agriculture_employment</x:v>
      </x:c>
      <x:c r="C342" s="2" t="n">
        <x:v>2.76647307328961</x:v>
      </x:c>
      <x:c r="D342" s="2" t="n">
        <x:v>2025</x:v>
      </x:c>
      <x:c r="E342" s="2" t="str">
        <x:v>WB_agriculture_employment</x:v>
      </x:c>
      <x:c r="F342" s="2" t="str">
        <x:v>Employment in agriculture (% of total employment) (modeled ILO estimate)</x:v>
      </x:c>
    </x:row>
    <x:row r="343" ht="44" customHeight="1">
      <x:c r="A343" s="2" t="str">
        <x:v>AUT</x:v>
      </x:c>
      <x:c r="B343" s="2" t="str">
        <x:v>water_withdrawal</x:v>
      </x:c>
      <x:c r="C343" s="2" t="n">
        <x:v>5.70909090909091</x:v>
      </x:c>
      <x:c r="D343" s="2" t="n">
        <x:v>2022</x:v>
      </x:c>
      <x:c r="E343" s="2" t="str">
        <x:v>WB_water_withdrawal</x:v>
      </x:c>
      <x:c r="F343" s="2" t="str">
        <x:v>Annual freshwater withdrawals, total (% of internal resources)</x:v>
      </x:c>
    </x:row>
    <x:row r="344" ht="44" customHeight="1">
      <x:c r="A344" s="2" t="str">
        <x:v>AZE</x:v>
      </x:c>
      <x:c r="B344" s="2" t="str">
        <x:v>population</x:v>
      </x:c>
      <x:c r="C344" s="2" t="n">
        <x:v>10246996</x:v>
      </x:c>
      <x:c r="D344" s="2" t="n">
        <x:v>2025</x:v>
      </x:c>
      <x:c r="E344" s="2" t="str">
        <x:v>WB_population</x:v>
      </x:c>
      <x:c r="F344" s="2" t="str">
        <x:v>Population, total</x:v>
      </x:c>
    </x:row>
    <x:row r="345" ht="44" customHeight="1">
      <x:c r="A345" s="2" t="str">
        <x:v>AZE</x:v>
      </x:c>
      <x:c r="B345" s="2" t="str">
        <x:v>income_ppp</x:v>
      </x:c>
      <x:c r="C345" s="2" t="n">
        <x:v>22314.2168957333</x:v>
      </x:c>
      <x:c r="D345" s="2" t="n">
        <x:v>2025</x:v>
      </x:c>
      <x:c r="E345" s="2" t="str">
        <x:v>WB_income_ppp</x:v>
      </x:c>
      <x:c r="F345" s="2" t="str">
        <x:v>GDP per capita, PPP (constant 2021 international $)</x:v>
      </x:c>
    </x:row>
    <x:row r="346" ht="44" customHeight="1">
      <x:c r="A346" s="2" t="str">
        <x:v>AZE</x:v>
      </x:c>
      <x:c r="B346" s="2" t="str">
        <x:v>urban</x:v>
      </x:c>
      <x:c r="C346" s="2" t="n">
        <x:v>58.6371024281175</x:v>
      </x:c>
      <x:c r="D346" s="2" t="n">
        <x:v>2025</x:v>
      </x:c>
      <x:c r="E346" s="2" t="str">
        <x:v>WB_urban</x:v>
      </x:c>
      <x:c r="F346" s="2" t="str">
        <x:v>Urban population (% of total population)</x:v>
      </x:c>
    </x:row>
    <x:row r="347" ht="44" customHeight="1">
      <x:c r="A347" s="2" t="str">
        <x:v>AZE</x:v>
      </x:c>
      <x:c r="B347" s="2" t="str">
        <x:v>inflation</x:v>
      </x:c>
      <x:c r="C347" s="2" t="n">
        <x:v>5.62208788068338</x:v>
      </x:c>
      <x:c r="D347" s="2" t="n">
        <x:v>2025</x:v>
      </x:c>
      <x:c r="E347" s="2" t="str">
        <x:v>WB_inflation</x:v>
      </x:c>
      <x:c r="F347" s="2" t="str">
        <x:v>Inflation, consumer prices (annual %)</x:v>
      </x:c>
    </x:row>
    <x:row r="348" ht="44" customHeight="1">
      <x:c r="A348" s="2" t="str">
        <x:v>AZE</x:v>
      </x:c>
      <x:c r="B348" s="2" t="str">
        <x:v>food_index</x:v>
      </x:c>
      <x:c r="C348" s="2" t="n">
        <x:v>129.02</x:v>
      </x:c>
      <x:c r="D348" s="2" t="n">
        <x:v>2022</x:v>
      </x:c>
      <x:c r="E348" s="2" t="str">
        <x:v>WB_food_index</x:v>
      </x:c>
      <x:c r="F348" s="2" t="str">
        <x:v>Food production index (2014-2016 = 100)</x:v>
      </x:c>
    </x:row>
    <x:row r="349" ht="44" customHeight="1">
      <x:c r="A349" s="2" t="str">
        <x:v>AZE</x:v>
      </x:c>
      <x:c r="B349" s="2" t="str">
        <x:v>food_import_share</x:v>
      </x:c>
      <x:c r="C349" s="2" t="n">
        <x:v>12.4386895491097</x:v>
      </x:c>
      <x:c r="D349" s="2" t="n">
        <x:v>2025</x:v>
      </x:c>
      <x:c r="E349" s="2" t="str">
        <x:v>WB_food_import_share</x:v>
      </x:c>
      <x:c r="F349" s="2" t="str">
        <x:v>Food imports (% of merchandise imports)</x:v>
      </x:c>
    </x:row>
    <x:row r="350" ht="44" customHeight="1">
      <x:c r="A350" s="2" t="str">
        <x:v>AZE</x:v>
      </x:c>
      <x:c r="B350" s="2" t="str">
        <x:v>food_export_share</x:v>
      </x:c>
      <x:c r="C350" s="2" t="n">
        <x:v>5.21612450900413</x:v>
      </x:c>
      <x:c r="D350" s="2" t="n">
        <x:v>2025</x:v>
      </x:c>
      <x:c r="E350" s="2" t="str">
        <x:v>WB_food_export_share</x:v>
      </x:c>
      <x:c r="F350" s="2" t="str">
        <x:v>Food exports (% of merchandise exports)</x:v>
      </x:c>
    </x:row>
    <x:row r="351" ht="44" customHeight="1">
      <x:c r="A351" s="2" t="str">
        <x:v>AZE</x:v>
      </x:c>
      <x:c r="B351" s="2" t="str">
        <x:v>imports_usd</x:v>
      </x:c>
      <x:c r="C351" s="2" t="n">
        <x:v>24380000000</x:v>
      </x:c>
      <x:c r="D351" s="2" t="n">
        <x:v>2025</x:v>
      </x:c>
      <x:c r="E351" s="2" t="str">
        <x:v>WB_imports_usd</x:v>
      </x:c>
      <x:c r="F351" s="2" t="str">
        <x:v>Merchandise imports (current US$)</x:v>
      </x:c>
    </x:row>
    <x:row r="352" ht="44" customHeight="1">
      <x:c r="A352" s="2" t="str">
        <x:v>AZE</x:v>
      </x:c>
      <x:c r="B352" s="2" t="str">
        <x:v>exports_usd</x:v>
      </x:c>
      <x:c r="C352" s="2" t="n">
        <x:v>25043000000</x:v>
      </x:c>
      <x:c r="D352" s="2" t="n">
        <x:v>2025</x:v>
      </x:c>
      <x:c r="E352" s="2" t="str">
        <x:v>WB_exports_usd</x:v>
      </x:c>
      <x:c r="F352" s="2" t="str">
        <x:v>Merchandise exports (current US$)</x:v>
      </x:c>
    </x:row>
    <x:row r="353" ht="44" customHeight="1">
      <x:c r="A353" s="2" t="str">
        <x:v>AZE</x:v>
      </x:c>
      <x:c r="B353" s="2" t="str">
        <x:v>cereal_yield</x:v>
      </x:c>
      <x:c r="C353" s="2" t="n">
        <x:v>3427</x:v>
      </x:c>
      <x:c r="D353" s="2" t="n">
        <x:v>2024</x:v>
      </x:c>
      <x:c r="E353" s="2" t="str">
        <x:v>WB_cereal_yield</x:v>
      </x:c>
      <x:c r="F353" s="2" t="str">
        <x:v>Cereal yield (kg per hectare)</x:v>
      </x:c>
    </x:row>
    <x:row r="354" ht="44" customHeight="1">
      <x:c r="A354" s="2" t="str">
        <x:v>AZE</x:v>
      </x:c>
      <x:c r="B354" s="2" t="str">
        <x:v>water_stress</x:v>
      </x:c>
      <x:c r="C354" s="2" t="n">
        <x:v>57.52704791</x:v>
      </x:c>
      <x:c r="D354" s="2" t="n">
        <x:v>2022</x:v>
      </x:c>
      <x:c r="E354" s="2" t="str">
        <x:v>WB_water_stress</x:v>
      </x:c>
      <x:c r="F354" s="2" t="str">
        <x:v>Level of water stress: freshwater withdrawal as a proportion of available freshwater resources</x:v>
      </x:c>
    </x:row>
    <x:row r="355" ht="44" customHeight="1">
      <x:c r="A355" s="2" t="str">
        <x:v>AZE</x:v>
      </x:c>
      <x:c r="B355" s="2" t="str">
        <x:v>fertility</x:v>
      </x:c>
      <x:c r="C355" s="2" t="n">
        <x:v>1.43</x:v>
      </x:c>
      <x:c r="D355" s="2" t="n">
        <x:v>2024</x:v>
      </x:c>
      <x:c r="E355" s="2" t="str">
        <x:v>WB_fertility</x:v>
      </x:c>
      <x:c r="F355" s="2" t="str">
        <x:v>Fertility rate, total (births per woman)</x:v>
      </x:c>
    </x:row>
    <x:row r="356" ht="44" customHeight="1">
      <x:c r="A356" s="2" t="str">
        <x:v>AZE</x:v>
      </x:c>
      <x:c r="B356" s="2" t="str">
        <x:v>life_expectancy</x:v>
      </x:c>
      <x:c r="C356" s="2" t="n">
        <x:v>74.576</x:v>
      </x:c>
      <x:c r="D356" s="2" t="n">
        <x:v>2024</x:v>
      </x:c>
      <x:c r="E356" s="2" t="str">
        <x:v>WB_life_expectancy</x:v>
      </x:c>
      <x:c r="F356" s="2" t="str">
        <x:v>Life expectancy at birth, total (years)</x:v>
      </x:c>
    </x:row>
    <x:row r="357" ht="44" customHeight="1">
      <x:c r="A357" s="2" t="str">
        <x:v>AZE</x:v>
      </x:c>
      <x:c r="B357" s="2" t="str">
        <x:v>age_under15</x:v>
      </x:c>
      <x:c r="C357" s="2" t="n">
        <x:v>21.2004793746471</x:v>
      </x:c>
      <x:c r="D357" s="2" t="n">
        <x:v>2025</x:v>
      </x:c>
      <x:c r="E357" s="2" t="str">
        <x:v>WB_age_under15</x:v>
      </x:c>
      <x:c r="F357" s="2" t="str">
        <x:v>Population ages 0-14 (% of total population)</x:v>
      </x:c>
    </x:row>
    <x:row r="358" ht="44" customHeight="1">
      <x:c r="A358" s="2" t="str">
        <x:v>AZE</x:v>
      </x:c>
      <x:c r="B358" s="2" t="str">
        <x:v>age_over65</x:v>
      </x:c>
      <x:c r="C358" s="2" t="n">
        <x:v>9.16837192948103</x:v>
      </x:c>
      <x:c r="D358" s="2" t="n">
        <x:v>2025</x:v>
      </x:c>
      <x:c r="E358" s="2" t="str">
        <x:v>WB_age_over65</x:v>
      </x:c>
      <x:c r="F358" s="2" t="str">
        <x:v>Population ages 65 and above (% of total population)</x:v>
      </x:c>
    </x:row>
    <x:row r="359" ht="44" customHeight="1">
      <x:c r="A359" s="2" t="str">
        <x:v>AZE</x:v>
      </x:c>
      <x:c r="B359" s="2" t="str">
        <x:v>dependency_ratio</x:v>
      </x:c>
      <x:c r="C359" s="2" t="n">
        <x:v>43.6138885770503</x:v>
      </x:c>
      <x:c r="D359" s="2" t="n">
        <x:v>2025</x:v>
      </x:c>
      <x:c r="E359" s="2" t="str">
        <x:v>WB_dependency_ratio</x:v>
      </x:c>
      <x:c r="F359" s="2" t="str">
        <x:v>Age dependency ratio (% of working-age population)</x:v>
      </x:c>
    </x:row>
    <x:row r="360" ht="44" customHeight="1">
      <x:c r="A360" s="2" t="str">
        <x:v>AZE</x:v>
      </x:c>
      <x:c r="B360" s="2" t="str">
        <x:v>net_migration</x:v>
      </x:c>
      <x:c r="C360" s="2" t="n">
        <x:v>8731</x:v>
      </x:c>
      <x:c r="D360" s="2" t="n">
        <x:v>2025</x:v>
      </x:c>
      <x:c r="E360" s="2" t="str">
        <x:v>WB_net_migration</x:v>
      </x:c>
      <x:c r="F360" s="2" t="str">
        <x:v>Net migration</x:v>
      </x:c>
    </x:row>
    <x:row r="361" ht="44" customHeight="1">
      <x:c r="A361" s="2" t="str">
        <x:v>AZE</x:v>
      </x:c>
      <x:c r="B361" s="2" t="str">
        <x:v>real_gdp</x:v>
      </x:c>
      <x:c r="C361" s="2" t="n">
        <x:v>60821385330.4903</x:v>
      </x:c>
      <x:c r="D361" s="2" t="n">
        <x:v>2025</x:v>
      </x:c>
      <x:c r="E361" s="2" t="str">
        <x:v>WB_real_gdp</x:v>
      </x:c>
      <x:c r="F361" s="2" t="str">
        <x:v>GDP (constant 2015 US$)</x:v>
      </x:c>
    </x:row>
    <x:row r="362" ht="44" customHeight="1">
      <x:c r="A362" s="2" t="str">
        <x:v>AZE</x:v>
      </x:c>
      <x:c r="B362" s="2" t="str">
        <x:v>gdp_growth</x:v>
      </x:c>
      <x:c r="C362" s="2" t="n">
        <x:v>1.44985591122698</x:v>
      </x:c>
      <x:c r="D362" s="2" t="n">
        <x:v>2025</x:v>
      </x:c>
      <x:c r="E362" s="2" t="str">
        <x:v>WB_gdp_growth</x:v>
      </x:c>
      <x:c r="F362" s="2" t="str">
        <x:v>GDP growth (annual %)</x:v>
      </x:c>
    </x:row>
    <x:row r="363" ht="44" customHeight="1">
      <x:c r="A363" s="2" t="str">
        <x:v>AZE</x:v>
      </x:c>
      <x:c r="B363" s="2" t="str">
        <x:v>real_income</x:v>
      </x:c>
      <x:c r="C363" s="2" t="n">
        <x:v>5935.53323632509</x:v>
      </x:c>
      <x:c r="D363" s="2" t="n">
        <x:v>2025</x:v>
      </x:c>
      <x:c r="E363" s="2" t="str">
        <x:v>WB_real_income</x:v>
      </x:c>
      <x:c r="F363" s="2" t="str">
        <x:v>GDP per capita (constant 2015 US$)</x:v>
      </x:c>
    </x:row>
    <x:row r="364" ht="44" customHeight="1">
      <x:c r="A364" s="2" t="str">
        <x:v>AZE</x:v>
      </x:c>
      <x:c r="B364" s="2" t="str">
        <x:v>agriculture_gdp</x:v>
      </x:c>
      <x:c r="C364" s="2" t="n">
        <x:v>5.92521728352983</x:v>
      </x:c>
      <x:c r="D364" s="2" t="n">
        <x:v>2025</x:v>
      </x:c>
      <x:c r="E364" s="2" t="str">
        <x:v>WB_agriculture_gdp</x:v>
      </x:c>
      <x:c r="F364" s="2" t="str">
        <x:v>Agriculture, forestry, and fishing, value added (% of GDP)</x:v>
      </x:c>
    </x:row>
    <x:row r="365" ht="44" customHeight="1">
      <x:c r="A365" s="2" t="str">
        <x:v>AZE</x:v>
      </x:c>
      <x:c r="B365" s="2" t="str">
        <x:v>poverty</x:v>
      </x:c>
      <x:c r="C365" s="2" t="n">
        <x:v>0</x:v>
      </x:c>
      <x:c r="D365" s="2" t="n">
        <x:v>2005</x:v>
      </x:c>
      <x:c r="E365" s="2" t="str">
        <x:v>WB_poverty</x:v>
      </x:c>
      <x:c r="F365" s="2" t="str">
        <x:v>Poverty headcount ratio at $3.00 a day (2021 PPP) (% of population)</x:v>
      </x:c>
    </x:row>
    <x:row r="366" ht="44" customHeight="1">
      <x:c r="A366" s="2" t="str">
        <x:v>AZE</x:v>
      </x:c>
      <x:c r="B366" s="2" t="str">
        <x:v>gini</x:v>
      </x:c>
      <x:c r="C366" s="2" t="n">
        <x:v>26.6</x:v>
      </x:c>
      <x:c r="D366" s="2" t="n">
        <x:v>2005</x:v>
      </x:c>
      <x:c r="E366" s="2" t="str">
        <x:v>WB_gini</x:v>
      </x:c>
      <x:c r="F366" s="2" t="str">
        <x:v>Gini index</x:v>
      </x:c>
    </x:row>
    <x:row r="367" ht="44" customHeight="1">
      <x:c r="A367" s="2" t="str">
        <x:v>AZE</x:v>
      </x:c>
      <x:c r="B367" s="2" t="str">
        <x:v>unemployment</x:v>
      </x:c>
      <x:c r="C367" s="2" t="n">
        <x:v>5.457</x:v>
      </x:c>
      <x:c r="D367" s="2" t="n">
        <x:v>2025</x:v>
      </x:c>
      <x:c r="E367" s="2" t="str">
        <x:v>WB_unemployment</x:v>
      </x:c>
      <x:c r="F367" s="2" t="str">
        <x:v>Unemployment, total (% of total labor force) (modeled ILO estimate)</x:v>
      </x:c>
    </x:row>
    <x:row r="368" ht="44" customHeight="1">
      <x:c r="A368" s="2" t="str">
        <x:v>AZE</x:v>
      </x:c>
      <x:c r="B368" s="2" t="str">
        <x:v>private_credit</x:v>
      </x:c>
      <x:c r="C368" s="2" t="n">
        <x:v>24.8605928252359</x:v>
      </x:c>
      <x:c r="D368" s="2" t="n">
        <x:v>2025</x:v>
      </x:c>
      <x:c r="E368" s="2" t="str">
        <x:v>WB_private_credit</x:v>
      </x:c>
      <x:c r="F368" s="2" t="str">
        <x:v>Domestic credit to private sector (% of GDP)</x:v>
      </x:c>
    </x:row>
    <x:row r="369" ht="44" customHeight="1">
      <x:c r="A369" s="2" t="str">
        <x:v>AZE</x:v>
      </x:c>
      <x:c r="B369" s="2" t="str">
        <x:v>lending_rate</x:v>
      </x:c>
      <x:c r="C369" s="2" t="n">
        <x:v>15.3356973696651</x:v>
      </x:c>
      <x:c r="D369" s="2" t="n">
        <x:v>2025</x:v>
      </x:c>
      <x:c r="E369" s="2" t="str">
        <x:v>WB_lending_rate</x:v>
      </x:c>
      <x:c r="F369" s="2" t="str">
        <x:v>Lending interest rate (%)</x:v>
      </x:c>
    </x:row>
    <x:row r="370" ht="44" customHeight="1">
      <x:c r="A370" s="2" t="str">
        <x:v>AZE</x:v>
      </x:c>
      <x:c r="B370" s="2" t="str">
        <x:v>real_interest</x:v>
      </x:c>
      <x:c r="C370" s="2" t="n">
        <x:v>14.6786898601888</x:v>
      </x:c>
      <x:c r="D370" s="2" t="n">
        <x:v>2025</x:v>
      </x:c>
      <x:c r="E370" s="2" t="str">
        <x:v>WB_real_interest</x:v>
      </x:c>
      <x:c r="F370" s="2" t="str">
        <x:v>Real interest rate (%)</x:v>
      </x:c>
    </x:row>
    <x:row r="371" ht="44" customHeight="1">
      <x:c r="A371" s="2" t="str">
        <x:v>AZE</x:v>
      </x:c>
      <x:c r="B371" s="2" t="str">
        <x:v>government_debt</x:v>
      </x:c>
      <x:c r="C371" s="2" t="n">
        <x:v>6.38557579182856</x:v>
      </x:c>
      <x:c r="D371" s="2" t="n">
        <x:v>2010</x:v>
      </x:c>
      <x:c r="E371" s="2" t="str">
        <x:v>WB_government_debt</x:v>
      </x:c>
      <x:c r="F371" s="2" t="str">
        <x:v>Central government debt, total (% of GDP)</x:v>
      </x:c>
    </x:row>
    <x:row r="372" ht="44" customHeight="1">
      <x:c r="A372" s="2" t="str">
        <x:v>AZE</x:v>
      </x:c>
      <x:c r="B372" s="2" t="str">
        <x:v>electricity_access</x:v>
      </x:c>
      <x:c r="C372" s="2" t="n">
        <x:v>100</x:v>
      </x:c>
      <x:c r="D372" s="2" t="n">
        <x:v>2024</x:v>
      </x:c>
      <x:c r="E372" s="2" t="str">
        <x:v>WB_electricity_access</x:v>
      </x:c>
      <x:c r="F372" s="2" t="str">
        <x:v>Access to electricity (% of population)</x:v>
      </x:c>
    </x:row>
    <x:row r="373" ht="44" customHeight="1">
      <x:c r="A373" s="2" t="str">
        <x:v>AZE</x:v>
      </x:c>
      <x:c r="B373" s="2" t="str">
        <x:v>irrigated_land</x:v>
      </x:c>
      <x:c r="C373" s="2" t="n">
        <x:v>30.6301782575948</x:v>
      </x:c>
      <x:c r="D373" s="2" t="n">
        <x:v>2023</x:v>
      </x:c>
      <x:c r="E373" s="2" t="str">
        <x:v>WB_irrigated_land</x:v>
      </x:c>
      <x:c r="F373" s="2" t="str">
        <x:v>Agricultural irrigated land (% of total agricultural land)</x:v>
      </x:c>
    </x:row>
    <x:row r="374" ht="44" customHeight="1">
      <x:c r="A374" s="2" t="str">
        <x:v>AZE</x:v>
      </x:c>
      <x:c r="B374" s="2" t="str">
        <x:v>cereal_area</x:v>
      </x:c>
      <x:c r="C374" s="2" t="n">
        <x:v>964494</x:v>
      </x:c>
      <x:c r="D374" s="2" t="n">
        <x:v>2024</x:v>
      </x:c>
      <x:c r="E374" s="2" t="str">
        <x:v>WB_cereal_area</x:v>
      </x:c>
      <x:c r="F374" s="2" t="str">
        <x:v>Land under cereal production (hectares)</x:v>
      </x:c>
    </x:row>
    <x:row r="375" ht="44" customHeight="1">
      <x:c r="A375" s="2" t="str">
        <x:v>AZE</x:v>
      </x:c>
      <x:c r="B375" s="2" t="str">
        <x:v>undernourishment</x:v>
      </x:c>
      <x:c r="C375" s="2" t="n">
        <x:v>2.5</x:v>
      </x:c>
      <x:c r="D375" s="2" t="n">
        <x:v>2023</x:v>
      </x:c>
      <x:c r="E375" s="2" t="str">
        <x:v>WB_undernourishment</x:v>
      </x:c>
      <x:c r="F375" s="2" t="str">
        <x:v>Prevalence of undernourishment (% of population)</x:v>
      </x:c>
    </x:row>
    <x:row r="376" ht="44" customHeight="1">
      <x:c r="A376" s="2" t="str">
        <x:v>AZE</x:v>
      </x:c>
      <x:c r="B376" s="2" t="str">
        <x:v>agriculture_employment</x:v>
      </x:c>
      <x:c r="C376" s="2" t="n">
        <x:v>34.2268398727574</x:v>
      </x:c>
      <x:c r="D376" s="2" t="n">
        <x:v>2025</x:v>
      </x:c>
      <x:c r="E376" s="2" t="str">
        <x:v>WB_agriculture_employment</x:v>
      </x:c>
      <x:c r="F376" s="2" t="str">
        <x:v>Employment in agriculture (% of total employment) (modeled ILO estimate)</x:v>
      </x:c>
    </x:row>
    <x:row r="377" ht="44" customHeight="1">
      <x:c r="A377" s="2" t="str">
        <x:v>AZE</x:v>
      </x:c>
      <x:c r="B377" s="2" t="str">
        <x:v>water_withdrawal</x:v>
      </x:c>
      <x:c r="C377" s="2" t="n">
        <x:v>160.52988293284</x:v>
      </x:c>
      <x:c r="D377" s="2" t="n">
        <x:v>2022</x:v>
      </x:c>
      <x:c r="E377" s="2" t="str">
        <x:v>WB_water_withdrawal</x:v>
      </x:c>
      <x:c r="F377" s="2" t="str">
        <x:v>Annual freshwater withdrawals, total (% of internal resources)</x:v>
      </x:c>
    </x:row>
    <x:row r="378" ht="44" customHeight="1">
      <x:c r="A378" s="2" t="str">
        <x:v>BHS</x:v>
      </x:c>
      <x:c r="B378" s="2" t="str">
        <x:v>population</x:v>
      </x:c>
      <x:c r="C378" s="2" t="n">
        <x:v>403033</x:v>
      </x:c>
      <x:c r="D378" s="2" t="n">
        <x:v>2025</x:v>
      </x:c>
      <x:c r="E378" s="2" t="str">
        <x:v>WB_population</x:v>
      </x:c>
      <x:c r="F378" s="2" t="str">
        <x:v>Population, total</x:v>
      </x:c>
    </x:row>
    <x:row r="379" ht="44" customHeight="1">
      <x:c r="A379" s="2" t="str">
        <x:v>BHS</x:v>
      </x:c>
      <x:c r="B379" s="2" t="str">
        <x:v>income_ppp</x:v>
      </x:c>
      <x:c r="C379" s="2" t="n">
        <x:v>36244.0500123244</x:v>
      </x:c>
      <x:c r="D379" s="2" t="n">
        <x:v>2024</x:v>
      </x:c>
      <x:c r="E379" s="2" t="str">
        <x:v>WB_income_ppp</x:v>
      </x:c>
      <x:c r="F379" s="2" t="str">
        <x:v>GDP per capita, PPP (constant 2021 international $)</x:v>
      </x:c>
    </x:row>
    <x:row r="380" ht="44" customHeight="1">
      <x:c r="A380" s="2" t="str">
        <x:v>BHS</x:v>
      </x:c>
      <x:c r="B380" s="2" t="str">
        <x:v>urban</x:v>
      </x:c>
      <x:c r="C380" s="2" t="n">
        <x:v>81.3309172016028</x:v>
      </x:c>
      <x:c r="D380" s="2" t="n">
        <x:v>2025</x:v>
      </x:c>
      <x:c r="E380" s="2" t="str">
        <x:v>WB_urban</x:v>
      </x:c>
      <x:c r="F380" s="2" t="str">
        <x:v>Urban population (% of total population)</x:v>
      </x:c>
    </x:row>
    <x:row r="381" ht="44" customHeight="1">
      <x:c r="A381" s="2" t="str">
        <x:v>BHS</x:v>
      </x:c>
      <x:c r="B381" s="2" t="str">
        <x:v>inflation</x:v>
      </x:c>
      <x:c r="C381" s="2" t="n">
        <x:v>0.409162489083286</x:v>
      </x:c>
      <x:c r="D381" s="2" t="n">
        <x:v>2024</x:v>
      </x:c>
      <x:c r="E381" s="2" t="str">
        <x:v>WB_inflation</x:v>
      </x:c>
      <x:c r="F381" s="2" t="str">
        <x:v>Inflation, consumer prices (annual %)</x:v>
      </x:c>
    </x:row>
    <x:row r="382" ht="44" customHeight="1">
      <x:c r="A382" s="2" t="str">
        <x:v>BHS</x:v>
      </x:c>
      <x:c r="B382" s="2" t="str">
        <x:v>food_index</x:v>
      </x:c>
      <x:c r="C382" s="2" t="n">
        <x:v>99.17</x:v>
      </x:c>
      <x:c r="D382" s="2" t="n">
        <x:v>2022</x:v>
      </x:c>
      <x:c r="E382" s="2" t="str">
        <x:v>WB_food_index</x:v>
      </x:c>
      <x:c r="F382" s="2" t="str">
        <x:v>Food production index (2014-2016 = 100)</x:v>
      </x:c>
    </x:row>
    <x:row r="383" ht="44" customHeight="1">
      <x:c r="A383" s="2" t="str">
        <x:v>BHS</x:v>
      </x:c>
      <x:c r="B383" s="2" t="str">
        <x:v>food_import_share</x:v>
      </x:c>
      <x:c r="C383" s="2" t="n">
        <x:v>19.9619064911596</x:v>
      </x:c>
      <x:c r="D383" s="2" t="n">
        <x:v>2024</x:v>
      </x:c>
      <x:c r="E383" s="2" t="str">
        <x:v>WB_food_import_share</x:v>
      </x:c>
      <x:c r="F383" s="2" t="str">
        <x:v>Food imports (% of merchandise imports)</x:v>
      </x:c>
    </x:row>
    <x:row r="384" ht="44" customHeight="1">
      <x:c r="A384" s="2" t="str">
        <x:v>BHS</x:v>
      </x:c>
      <x:c r="B384" s="2" t="str">
        <x:v>food_export_share</x:v>
      </x:c>
      <x:c r="C384" s="2" t="n">
        <x:v>52.2012777964216</x:v>
      </x:c>
      <x:c r="D384" s="2" t="n">
        <x:v>2024</x:v>
      </x:c>
      <x:c r="E384" s="2" t="str">
        <x:v>WB_food_export_share</x:v>
      </x:c>
      <x:c r="F384" s="2" t="str">
        <x:v>Food exports (% of merchandise exports)</x:v>
      </x:c>
    </x:row>
    <x:row r="385" ht="44" customHeight="1">
      <x:c r="A385" s="2" t="str">
        <x:v>BHS</x:v>
      </x:c>
      <x:c r="B385" s="2" t="str">
        <x:v>imports_usd</x:v>
      </x:c>
      <x:c r="C385" s="2" t="n">
        <x:v>5520000000</x:v>
      </x:c>
      <x:c r="D385" s="2" t="n">
        <x:v>2025</x:v>
      </x:c>
      <x:c r="E385" s="2" t="str">
        <x:v>WB_imports_usd</x:v>
      </x:c>
      <x:c r="F385" s="2" t="str">
        <x:v>Merchandise imports (current US$)</x:v>
      </x:c>
    </x:row>
    <x:row r="386" ht="44" customHeight="1">
      <x:c r="A386" s="2" t="str">
        <x:v>BHS</x:v>
      </x:c>
      <x:c r="B386" s="2" t="str">
        <x:v>exports_usd</x:v>
      </x:c>
      <x:c r="C386" s="2" t="n">
        <x:v>711000000</x:v>
      </x:c>
      <x:c r="D386" s="2" t="n">
        <x:v>2025</x:v>
      </x:c>
      <x:c r="E386" s="2" t="str">
        <x:v>WB_exports_usd</x:v>
      </x:c>
      <x:c r="F386" s="2" t="str">
        <x:v>Merchandise exports (current US$)</x:v>
      </x:c>
    </x:row>
    <x:row r="387" ht="44" customHeight="1">
      <x:c r="A387" s="2" t="str">
        <x:v>BHS</x:v>
      </x:c>
      <x:c r="B387" s="2" t="str">
        <x:v>cereal_yield</x:v>
      </x:c>
      <x:c r="C387" s="2" t="n">
        <x:v>7737</x:v>
      </x:c>
      <x:c r="D387" s="2" t="n">
        <x:v>2024</x:v>
      </x:c>
      <x:c r="E387" s="2" t="str">
        <x:v>WB_cereal_yield</x:v>
      </x:c>
      <x:c r="F387" s="2" t="str">
        <x:v>Cereal yield (kg per hectare)</x:v>
      </x:c>
    </x:row>
    <x:row r="388" ht="44" customHeight="1">
      <x:c r="A388" s="2" t="str">
        <x:v>BHS</x:v>
      </x:c>
      <x:c r="B388" s="2" t="str">
        <x:v>water_stress</x:v>
      </x:c>
      <x:c r="C388" s="2"/>
      <x:c r="D388" s="2"/>
      <x:c r="E388" s="2" t="str">
        <x:v>Missing</x:v>
      </x:c>
      <x:c r="F388" s="2" t="str">
        <x:v>Level of water stress: freshwater withdrawal as a proportion of available freshwater resources</x:v>
      </x:c>
    </x:row>
    <x:row r="389" ht="44" customHeight="1">
      <x:c r="A389" s="2" t="str">
        <x:v>BHS</x:v>
      </x:c>
      <x:c r="B389" s="2" t="str">
        <x:v>fertility</x:v>
      </x:c>
      <x:c r="C389" s="2" t="n">
        <x:v>1.374</x:v>
      </x:c>
      <x:c r="D389" s="2" t="n">
        <x:v>2024</x:v>
      </x:c>
      <x:c r="E389" s="2" t="str">
        <x:v>WB_fertility</x:v>
      </x:c>
      <x:c r="F389" s="2" t="str">
        <x:v>Fertility rate, total (births per woman)</x:v>
      </x:c>
    </x:row>
    <x:row r="390" ht="44" customHeight="1">
      <x:c r="A390" s="2" t="str">
        <x:v>BHS</x:v>
      </x:c>
      <x:c r="B390" s="2" t="str">
        <x:v>life_expectancy</x:v>
      </x:c>
      <x:c r="C390" s="2" t="n">
        <x:v>74.71</x:v>
      </x:c>
      <x:c r="D390" s="2" t="n">
        <x:v>2024</x:v>
      </x:c>
      <x:c r="E390" s="2" t="str">
        <x:v>WB_life_expectancy</x:v>
      </x:c>
      <x:c r="F390" s="2" t="str">
        <x:v>Life expectancy at birth, total (years)</x:v>
      </x:c>
    </x:row>
    <x:row r="391" ht="44" customHeight="1">
      <x:c r="A391" s="2" t="str">
        <x:v>BHS</x:v>
      </x:c>
      <x:c r="B391" s="2" t="str">
        <x:v>age_under15</x:v>
      </x:c>
      <x:c r="C391" s="2" t="n">
        <x:v>17.548460732075</x:v>
      </x:c>
      <x:c r="D391" s="2" t="n">
        <x:v>2025</x:v>
      </x:c>
      <x:c r="E391" s="2" t="str">
        <x:v>WB_age_under15</x:v>
      </x:c>
      <x:c r="F391" s="2" t="str">
        <x:v>Population ages 0-14 (% of total population)</x:v>
      </x:c>
    </x:row>
    <x:row r="392" ht="44" customHeight="1">
      <x:c r="A392" s="2" t="str">
        <x:v>BHS</x:v>
      </x:c>
      <x:c r="B392" s="2" t="str">
        <x:v>age_over65</x:v>
      </x:c>
      <x:c r="C392" s="2" t="n">
        <x:v>12.094434071694</x:v>
      </x:c>
      <x:c r="D392" s="2" t="n">
        <x:v>2025</x:v>
      </x:c>
      <x:c r="E392" s="2" t="str">
        <x:v>WB_age_over65</x:v>
      </x:c>
      <x:c r="F392" s="2" t="str">
        <x:v>Population ages 65 and above (% of total population)</x:v>
      </x:c>
    </x:row>
    <x:row r="393" ht="44" customHeight="1">
      <x:c r="A393" s="2" t="str">
        <x:v>BHS</x:v>
      </x:c>
      <x:c r="B393" s="2" t="str">
        <x:v>dependency_ratio</x:v>
      </x:c>
      <x:c r="C393" s="2" t="n">
        <x:v>42.1322321044428</x:v>
      </x:c>
      <x:c r="D393" s="2" t="n">
        <x:v>2025</x:v>
      </x:c>
      <x:c r="E393" s="2" t="str">
        <x:v>WB_dependency_ratio</x:v>
      </x:c>
      <x:c r="F393" s="2" t="str">
        <x:v>Age dependency ratio (% of working-age population)</x:v>
      </x:c>
    </x:row>
    <x:row r="394" ht="44" customHeight="1">
      <x:c r="A394" s="2" t="str">
        <x:v>BHS</x:v>
      </x:c>
      <x:c r="B394" s="2" t="str">
        <x:v>net_migration</x:v>
      </x:c>
      <x:c r="C394" s="2" t="n">
        <x:v>935</x:v>
      </x:c>
      <x:c r="D394" s="2" t="n">
        <x:v>2025</x:v>
      </x:c>
      <x:c r="E394" s="2" t="str">
        <x:v>WB_net_migration</x:v>
      </x:c>
      <x:c r="F394" s="2" t="str">
        <x:v>Net migration</x:v>
      </x:c>
    </x:row>
    <x:row r="395" ht="44" customHeight="1">
      <x:c r="A395" s="2" t="str">
        <x:v>BHS</x:v>
      </x:c>
      <x:c r="B395" s="2" t="str">
        <x:v>real_gdp</x:v>
      </x:c>
      <x:c r="C395" s="2" t="n">
        <x:v>13630862492.2464</x:v>
      </x:c>
      <x:c r="D395" s="2" t="n">
        <x:v>2024</x:v>
      </x:c>
      <x:c r="E395" s="2" t="str">
        <x:v>WB_real_gdp</x:v>
      </x:c>
      <x:c r="F395" s="2" t="str">
        <x:v>GDP (constant 2015 US$)</x:v>
      </x:c>
    </x:row>
    <x:row r="396" ht="44" customHeight="1">
      <x:c r="A396" s="2" t="str">
        <x:v>BHS</x:v>
      </x:c>
      <x:c r="B396" s="2" t="str">
        <x:v>gdp_growth</x:v>
      </x:c>
      <x:c r="C396" s="2" t="n">
        <x:v>3.37866553336166</x:v>
      </x:c>
      <x:c r="D396" s="2" t="n">
        <x:v>2024</x:v>
      </x:c>
      <x:c r="E396" s="2" t="str">
        <x:v>WB_gdp_growth</x:v>
      </x:c>
      <x:c r="F396" s="2" t="str">
        <x:v>GDP growth (annual %)</x:v>
      </x:c>
    </x:row>
    <x:row r="397" ht="44" customHeight="1">
      <x:c r="A397" s="2" t="str">
        <x:v>BHS</x:v>
      </x:c>
      <x:c r="B397" s="2" t="str">
        <x:v>real_income</x:v>
      </x:c>
      <x:c r="C397" s="2" t="n">
        <x:v>33968.2032187918</x:v>
      </x:c>
      <x:c r="D397" s="2" t="n">
        <x:v>2024</x:v>
      </x:c>
      <x:c r="E397" s="2" t="str">
        <x:v>WB_real_income</x:v>
      </x:c>
      <x:c r="F397" s="2" t="str">
        <x:v>GDP per capita (constant 2015 US$)</x:v>
      </x:c>
    </x:row>
    <x:row r="398" ht="44" customHeight="1">
      <x:c r="A398" s="2" t="str">
        <x:v>BHS</x:v>
      </x:c>
      <x:c r="B398" s="2" t="str">
        <x:v>agriculture_gdp</x:v>
      </x:c>
      <x:c r="C398" s="2" t="n">
        <x:v>0.514754181193472</x:v>
      </x:c>
      <x:c r="D398" s="2" t="n">
        <x:v>2024</x:v>
      </x:c>
      <x:c r="E398" s="2" t="str">
        <x:v>WB_agriculture_gdp</x:v>
      </x:c>
      <x:c r="F398" s="2" t="str">
        <x:v>Agriculture, forestry, and fishing, value added (% of GDP)</x:v>
      </x:c>
    </x:row>
    <x:row r="399" ht="44" customHeight="1">
      <x:c r="A399" s="2" t="str">
        <x:v>BHS</x:v>
      </x:c>
      <x:c r="B399" s="2" t="str">
        <x:v>poverty</x:v>
      </x:c>
      <x:c r="C399" s="2"/>
      <x:c r="D399" s="2"/>
      <x:c r="E399" s="2" t="str">
        <x:v>Missing</x:v>
      </x:c>
      <x:c r="F399" s="2" t="str">
        <x:v>Poverty headcount ratio at $3.00 a day (2021 PPP) (% of population)</x:v>
      </x:c>
    </x:row>
    <x:row r="400" ht="44" customHeight="1">
      <x:c r="A400" s="2" t="str">
        <x:v>BHS</x:v>
      </x:c>
      <x:c r="B400" s="2" t="str">
        <x:v>gini</x:v>
      </x:c>
      <x:c r="C400" s="2"/>
      <x:c r="D400" s="2"/>
      <x:c r="E400" s="2" t="str">
        <x:v>Missing</x:v>
      </x:c>
      <x:c r="F400" s="2" t="str">
        <x:v>Gini index</x:v>
      </x:c>
    </x:row>
    <x:row r="401" ht="44" customHeight="1">
      <x:c r="A401" s="2" t="str">
        <x:v>BHS</x:v>
      </x:c>
      <x:c r="B401" s="2" t="str">
        <x:v>unemployment</x:v>
      </x:c>
      <x:c r="C401" s="2" t="n">
        <x:v>9.207</x:v>
      </x:c>
      <x:c r="D401" s="2" t="n">
        <x:v>2025</x:v>
      </x:c>
      <x:c r="E401" s="2" t="str">
        <x:v>WB_unemployment</x:v>
      </x:c>
      <x:c r="F401" s="2" t="str">
        <x:v>Unemployment, total (% of total labor force) (modeled ILO estimate)</x:v>
      </x:c>
    </x:row>
    <x:row r="402" ht="44" customHeight="1">
      <x:c r="A402" s="2" t="str">
        <x:v>BHS</x:v>
      </x:c>
      <x:c r="B402" s="2" t="str">
        <x:v>private_credit</x:v>
      </x:c>
      <x:c r="C402" s="2" t="n">
        <x:v>51.9421929315119</x:v>
      </x:c>
      <x:c r="D402" s="2" t="n">
        <x:v>2016</x:v>
      </x:c>
      <x:c r="E402" s="2" t="str">
        <x:v>WB_private_credit</x:v>
      </x:c>
      <x:c r="F402" s="2" t="str">
        <x:v>Domestic credit to private sector (% of GDP)</x:v>
      </x:c>
    </x:row>
    <x:row r="403" ht="44" customHeight="1">
      <x:c r="A403" s="2" t="str">
        <x:v>BHS</x:v>
      </x:c>
      <x:c r="B403" s="2" t="str">
        <x:v>lending_rate</x:v>
      </x:c>
      <x:c r="C403" s="2" t="n">
        <x:v>4.25</x:v>
      </x:c>
      <x:c r="D403" s="2" t="n">
        <x:v>2025</x:v>
      </x:c>
      <x:c r="E403" s="2" t="str">
        <x:v>WB_lending_rate</x:v>
      </x:c>
      <x:c r="F403" s="2" t="str">
        <x:v>Lending interest rate (%)</x:v>
      </x:c>
    </x:row>
    <x:row r="404" ht="44" customHeight="1">
      <x:c r="A404" s="2" t="str">
        <x:v>BHS</x:v>
      </x:c>
      <x:c r="B404" s="2" t="str">
        <x:v>real_interest</x:v>
      </x:c>
      <x:c r="C404" s="2" t="n">
        <x:v>3.95018544385138</x:v>
      </x:c>
      <x:c r="D404" s="2" t="n">
        <x:v>2024</x:v>
      </x:c>
      <x:c r="E404" s="2" t="str">
        <x:v>WB_real_interest</x:v>
      </x:c>
      <x:c r="F404" s="2" t="str">
        <x:v>Real interest rate (%)</x:v>
      </x:c>
    </x:row>
    <x:row r="405" ht="44" customHeight="1">
      <x:c r="A405" s="2" t="str">
        <x:v>BHS</x:v>
      </x:c>
      <x:c r="B405" s="2" t="str">
        <x:v>government_debt</x:v>
      </x:c>
      <x:c r="C405" s="2" t="n">
        <x:v>71.4578214596313</x:v>
      </x:c>
      <x:c r="D405" s="2" t="n">
        <x:v>2024</x:v>
      </x:c>
      <x:c r="E405" s="2" t="str">
        <x:v>WB_government_debt</x:v>
      </x:c>
      <x:c r="F405" s="2" t="str">
        <x:v>Central government debt, total (% of GDP)</x:v>
      </x:c>
    </x:row>
    <x:row r="406" ht="44" customHeight="1">
      <x:c r="A406" s="2" t="str">
        <x:v>BHS</x:v>
      </x:c>
      <x:c r="B406" s="2" t="str">
        <x:v>electricity_access</x:v>
      </x:c>
      <x:c r="C406" s="2" t="n">
        <x:v>100</x:v>
      </x:c>
      <x:c r="D406" s="2" t="n">
        <x:v>2024</x:v>
      </x:c>
      <x:c r="E406" s="2" t="str">
        <x:v>WB_electricity_access</x:v>
      </x:c>
      <x:c r="F406" s="2" t="str">
        <x:v>Access to electricity (% of population)</x:v>
      </x:c>
    </x:row>
    <x:row r="407" ht="44" customHeight="1">
      <x:c r="A407" s="2" t="str">
        <x:v>BHS</x:v>
      </x:c>
      <x:c r="B407" s="2" t="str">
        <x:v>irrigated_land</x:v>
      </x:c>
      <x:c r="C407" s="2"/>
      <x:c r="D407" s="2"/>
      <x:c r="E407" s="2" t="str">
        <x:v>Missing</x:v>
      </x:c>
      <x:c r="F407" s="2" t="str">
        <x:v>Agricultural irrigated land (% of total agricultural land)</x:v>
      </x:c>
    </x:row>
    <x:row r="408" ht="44" customHeight="1">
      <x:c r="A408" s="2" t="str">
        <x:v>BHS</x:v>
      </x:c>
      <x:c r="B408" s="2" t="str">
        <x:v>cereal_area</x:v>
      </x:c>
      <x:c r="C408" s="2" t="n">
        <x:v>78</x:v>
      </x:c>
      <x:c r="D408" s="2" t="n">
        <x:v>2024</x:v>
      </x:c>
      <x:c r="E408" s="2" t="str">
        <x:v>WB_cereal_area</x:v>
      </x:c>
      <x:c r="F408" s="2" t="str">
        <x:v>Land under cereal production (hectares)</x:v>
      </x:c>
    </x:row>
    <x:row r="409" ht="44" customHeight="1">
      <x:c r="A409" s="2" t="str">
        <x:v>BHS</x:v>
      </x:c>
      <x:c r="B409" s="2" t="str">
        <x:v>undernourishment</x:v>
      </x:c>
      <x:c r="C409" s="2"/>
      <x:c r="D409" s="2"/>
      <x:c r="E409" s="2" t="str">
        <x:v>Missing</x:v>
      </x:c>
      <x:c r="F409" s="2" t="str">
        <x:v>Prevalence of undernourishment (% of population)</x:v>
      </x:c>
    </x:row>
    <x:row r="410" ht="44" customHeight="1">
      <x:c r="A410" s="2" t="str">
        <x:v>BHS</x:v>
      </x:c>
      <x:c r="B410" s="2" t="str">
        <x:v>agriculture_employment</x:v>
      </x:c>
      <x:c r="C410" s="2" t="n">
        <x:v>0.7749709105122</x:v>
      </x:c>
      <x:c r="D410" s="2" t="n">
        <x:v>2025</x:v>
      </x:c>
      <x:c r="E410" s="2" t="str">
        <x:v>WB_agriculture_employment</x:v>
      </x:c>
      <x:c r="F410" s="2" t="str">
        <x:v>Employment in agriculture (% of total employment) (modeled ILO estimate)</x:v>
      </x:c>
    </x:row>
    <x:row r="411" ht="44" customHeight="1">
      <x:c r="A411" s="2" t="str">
        <x:v>BHS</x:v>
      </x:c>
      <x:c r="B411" s="2" t="str">
        <x:v>water_withdrawal</x:v>
      </x:c>
      <x:c r="C411" s="2"/>
      <x:c r="D411" s="2"/>
      <x:c r="E411" s="2" t="str">
        <x:v>Missing</x:v>
      </x:c>
      <x:c r="F411" s="2" t="str">
        <x:v>Annual freshwater withdrawals, total (% of internal resources)</x:v>
      </x:c>
    </x:row>
    <x:row r="412" ht="44" customHeight="1">
      <x:c r="A412" s="2" t="str">
        <x:v>BHR</x:v>
      </x:c>
      <x:c r="B412" s="2" t="str">
        <x:v>population</x:v>
      </x:c>
      <x:c r="C412" s="2" t="n">
        <x:v>1600366</x:v>
      </x:c>
      <x:c r="D412" s="2" t="n">
        <x:v>2025</x:v>
      </x:c>
      <x:c r="E412" s="2" t="str">
        <x:v>WB_population</x:v>
      </x:c>
      <x:c r="F412" s="2" t="str">
        <x:v>Population, total</x:v>
      </x:c>
    </x:row>
    <x:row r="413" ht="44" customHeight="1">
      <x:c r="A413" s="2" t="str">
        <x:v>BHR</x:v>
      </x:c>
      <x:c r="B413" s="2" t="str">
        <x:v>income_ppp</x:v>
      </x:c>
      <x:c r="C413" s="2" t="n">
        <x:v>60669.6307795772</x:v>
      </x:c>
      <x:c r="D413" s="2" t="n">
        <x:v>2025</x:v>
      </x:c>
      <x:c r="E413" s="2" t="str">
        <x:v>WB_income_ppp</x:v>
      </x:c>
      <x:c r="F413" s="2" t="str">
        <x:v>GDP per capita, PPP (constant 2021 international $)</x:v>
      </x:c>
    </x:row>
    <x:row r="414" ht="44" customHeight="1">
      <x:c r="A414" s="2" t="str">
        <x:v>BHR</x:v>
      </x:c>
      <x:c r="B414" s="2" t="str">
        <x:v>urban</x:v>
      </x:c>
      <x:c r="C414" s="2" t="n">
        <x:v>100</x:v>
      </x:c>
      <x:c r="D414" s="2" t="n">
        <x:v>2025</x:v>
      </x:c>
      <x:c r="E414" s="2" t="str">
        <x:v>WB_urban</x:v>
      </x:c>
      <x:c r="F414" s="2" t="str">
        <x:v>Urban population (% of total population)</x:v>
      </x:c>
    </x:row>
    <x:row r="415" ht="44" customHeight="1">
      <x:c r="A415" s="2" t="str">
        <x:v>BHR</x:v>
      </x:c>
      <x:c r="B415" s="2" t="str">
        <x:v>inflation</x:v>
      </x:c>
      <x:c r="C415" s="2" t="n">
        <x:v>-0.137708855447902</x:v>
      </x:c>
      <x:c r="D415" s="2" t="n">
        <x:v>2025</x:v>
      </x:c>
      <x:c r="E415" s="2" t="str">
        <x:v>WB_inflation</x:v>
      </x:c>
      <x:c r="F415" s="2" t="str">
        <x:v>Inflation, consumer prices (annual %)</x:v>
      </x:c>
    </x:row>
    <x:row r="416" ht="44" customHeight="1">
      <x:c r="A416" s="2" t="str">
        <x:v>BHR</x:v>
      </x:c>
      <x:c r="B416" s="2" t="str">
        <x:v>food_index</x:v>
      </x:c>
      <x:c r="C416" s="2" t="n">
        <x:v>129.17</x:v>
      </x:c>
      <x:c r="D416" s="2" t="n">
        <x:v>2022</x:v>
      </x:c>
      <x:c r="E416" s="2" t="str">
        <x:v>WB_food_index</x:v>
      </x:c>
      <x:c r="F416" s="2" t="str">
        <x:v>Food production index (2014-2016 = 100)</x:v>
      </x:c>
    </x:row>
    <x:row r="417" ht="44" customHeight="1">
      <x:c r="A417" s="2" t="str">
        <x:v>BHR</x:v>
      </x:c>
      <x:c r="B417" s="2" t="str">
        <x:v>food_import_share</x:v>
      </x:c>
      <x:c r="C417" s="2" t="n">
        <x:v>15.010526742122</x:v>
      </x:c>
      <x:c r="D417" s="2" t="n">
        <x:v>2024</x:v>
      </x:c>
      <x:c r="E417" s="2" t="str">
        <x:v>WB_food_import_share</x:v>
      </x:c>
      <x:c r="F417" s="2" t="str">
        <x:v>Food imports (% of merchandise imports)</x:v>
      </x:c>
    </x:row>
    <x:row r="418" ht="44" customHeight="1">
      <x:c r="A418" s="2" t="str">
        <x:v>BHR</x:v>
      </x:c>
      <x:c r="B418" s="2" t="str">
        <x:v>food_export_share</x:v>
      </x:c>
      <x:c r="C418" s="2" t="n">
        <x:v>8.65367979981212</x:v>
      </x:c>
      <x:c r="D418" s="2" t="n">
        <x:v>2024</x:v>
      </x:c>
      <x:c r="E418" s="2" t="str">
        <x:v>WB_food_export_share</x:v>
      </x:c>
      <x:c r="F418" s="2" t="str">
        <x:v>Food exports (% of merchandise exports)</x:v>
      </x:c>
    </x:row>
    <x:row r="419" ht="44" customHeight="1">
      <x:c r="A419" s="2" t="str">
        <x:v>BHR</x:v>
      </x:c>
      <x:c r="B419" s="2" t="str">
        <x:v>imports_usd</x:v>
      </x:c>
      <x:c r="C419" s="2" t="n">
        <x:v>16451000000</x:v>
      </x:c>
      <x:c r="D419" s="2" t="n">
        <x:v>2025</x:v>
      </x:c>
      <x:c r="E419" s="2" t="str">
        <x:v>WB_imports_usd</x:v>
      </x:c>
      <x:c r="F419" s="2" t="str">
        <x:v>Merchandise imports (current US$)</x:v>
      </x:c>
    </x:row>
    <x:row r="420" ht="44" customHeight="1">
      <x:c r="A420" s="2" t="str">
        <x:v>BHR</x:v>
      </x:c>
      <x:c r="B420" s="2" t="str">
        <x:v>exports_usd</x:v>
      </x:c>
      <x:c r="C420" s="2" t="n">
        <x:v>26456000000</x:v>
      </x:c>
      <x:c r="D420" s="2" t="n">
        <x:v>2025</x:v>
      </x:c>
      <x:c r="E420" s="2" t="str">
        <x:v>WB_exports_usd</x:v>
      </x:c>
      <x:c r="F420" s="2" t="str">
        <x:v>Merchandise exports (current US$)</x:v>
      </x:c>
    </x:row>
    <x:row r="421" ht="44" customHeight="1">
      <x:c r="A421" s="2" t="str">
        <x:v>BHR</x:v>
      </x:c>
      <x:c r="B421" s="2" t="str">
        <x:v>cereal_yield</x:v>
      </x:c>
      <x:c r="C421" s="2"/>
      <x:c r="D421" s="2"/>
      <x:c r="E421" s="2" t="str">
        <x:v>Missing</x:v>
      </x:c>
      <x:c r="F421" s="2" t="str">
        <x:v>Cereal yield (kg per hectare)</x:v>
      </x:c>
    </x:row>
    <x:row r="422" ht="44" customHeight="1">
      <x:c r="A422" s="2" t="str">
        <x:v>BHR</x:v>
      </x:c>
      <x:c r="B422" s="2" t="str">
        <x:v>water_stress</x:v>
      </x:c>
      <x:c r="C422" s="2" t="n">
        <x:v>133.7068966</x:v>
      </x:c>
      <x:c r="D422" s="2" t="n">
        <x:v>2022</x:v>
      </x:c>
      <x:c r="E422" s="2" t="str">
        <x:v>WB_water_stress</x:v>
      </x:c>
      <x:c r="F422" s="2" t="str">
        <x:v>Level of water stress: freshwater withdrawal as a proportion of available freshwater resources</x:v>
      </x:c>
    </x:row>
    <x:row r="423" ht="44" customHeight="1">
      <x:c r="A423" s="2" t="str">
        <x:v>BHR</x:v>
      </x:c>
      <x:c r="B423" s="2" t="str">
        <x:v>fertility</x:v>
      </x:c>
      <x:c r="C423" s="2" t="n">
        <x:v>1.805</x:v>
      </x:c>
      <x:c r="D423" s="2" t="n">
        <x:v>2024</x:v>
      </x:c>
      <x:c r="E423" s="2" t="str">
        <x:v>WB_fertility</x:v>
      </x:c>
      <x:c r="F423" s="2" t="str">
        <x:v>Fertility rate, total (births per woman)</x:v>
      </x:c>
    </x:row>
    <x:row r="424" ht="44" customHeight="1">
      <x:c r="A424" s="2" t="str">
        <x:v>BHR</x:v>
      </x:c>
      <x:c r="B424" s="2" t="str">
        <x:v>life_expectancy</x:v>
      </x:c>
      <x:c r="C424" s="2" t="n">
        <x:v>81.423</x:v>
      </x:c>
      <x:c r="D424" s="2" t="n">
        <x:v>2024</x:v>
      </x:c>
      <x:c r="E424" s="2" t="str">
        <x:v>WB_life_expectancy</x:v>
      </x:c>
      <x:c r="F424" s="2" t="str">
        <x:v>Life expectancy at birth, total (years)</x:v>
      </x:c>
    </x:row>
    <x:row r="425" ht="44" customHeight="1">
      <x:c r="A425" s="2" t="str">
        <x:v>BHR</x:v>
      </x:c>
      <x:c r="B425" s="2" t="str">
        <x:v>age_under15</x:v>
      </x:c>
      <x:c r="C425" s="2" t="n">
        <x:v>18.4203856616879</x:v>
      </x:c>
      <x:c r="D425" s="2" t="n">
        <x:v>2025</x:v>
      </x:c>
      <x:c r="E425" s="2" t="str">
        <x:v>WB_age_under15</x:v>
      </x:c>
      <x:c r="F425" s="2" t="str">
        <x:v>Population ages 0-14 (% of total population)</x:v>
      </x:c>
    </x:row>
    <x:row r="426" ht="44" customHeight="1">
      <x:c r="A426" s="2" t="str">
        <x:v>BHR</x:v>
      </x:c>
      <x:c r="B426" s="2" t="str">
        <x:v>age_over65</x:v>
      </x:c>
      <x:c r="C426" s="2" t="n">
        <x:v>4.01595782713348</x:v>
      </x:c>
      <x:c r="D426" s="2" t="n">
        <x:v>2025</x:v>
      </x:c>
      <x:c r="E426" s="2" t="str">
        <x:v>WB_age_over65</x:v>
      </x:c>
      <x:c r="F426" s="2" t="str">
        <x:v>Population ages 65 and above (% of total population)</x:v>
      </x:c>
    </x:row>
    <x:row r="427" ht="44" customHeight="1">
      <x:c r="A427" s="2" t="str">
        <x:v>BHR</x:v>
      </x:c>
      <x:c r="B427" s="2" t="str">
        <x:v>dependency_ratio</x:v>
      </x:c>
      <x:c r="C427" s="2" t="n">
        <x:v>28.9264014720028</x:v>
      </x:c>
      <x:c r="D427" s="2" t="n">
        <x:v>2025</x:v>
      </x:c>
      <x:c r="E427" s="2" t="str">
        <x:v>WB_dependency_ratio</x:v>
      </x:c>
      <x:c r="F427" s="2" t="str">
        <x:v>Age dependency ratio (% of working-age population)</x:v>
      </x:c>
    </x:row>
    <x:row r="428" ht="44" customHeight="1">
      <x:c r="A428" s="2" t="str">
        <x:v>BHR</x:v>
      </x:c>
      <x:c r="B428" s="2" t="str">
        <x:v>net_migration</x:v>
      </x:c>
      <x:c r="C428" s="2" t="n">
        <x:v>18128</x:v>
      </x:c>
      <x:c r="D428" s="2" t="n">
        <x:v>2025</x:v>
      </x:c>
      <x:c r="E428" s="2" t="str">
        <x:v>WB_net_migration</x:v>
      </x:c>
      <x:c r="F428" s="2" t="str">
        <x:v>Net migration</x:v>
      </x:c>
    </x:row>
    <x:row r="429" ht="44" customHeight="1">
      <x:c r="A429" s="2" t="str">
        <x:v>BHR</x:v>
      </x:c>
      <x:c r="B429" s="2" t="str">
        <x:v>real_gdp</x:v>
      </x:c>
      <x:c r="C429" s="2" t="n">
        <x:v>42556396855.4905</x:v>
      </x:c>
      <x:c r="D429" s="2" t="n">
        <x:v>2025</x:v>
      </x:c>
      <x:c r="E429" s="2" t="str">
        <x:v>WB_real_gdp</x:v>
      </x:c>
      <x:c r="F429" s="2" t="str">
        <x:v>GDP (constant 2015 US$)</x:v>
      </x:c>
    </x:row>
    <x:row r="430" ht="44" customHeight="1">
      <x:c r="A430" s="2" t="str">
        <x:v>BHR</x:v>
      </x:c>
      <x:c r="B430" s="2" t="str">
        <x:v>gdp_growth</x:v>
      </x:c>
      <x:c r="C430" s="2" t="n">
        <x:v>3.48137573668635</x:v>
      </x:c>
      <x:c r="D430" s="2" t="n">
        <x:v>2025</x:v>
      </x:c>
      <x:c r="E430" s="2" t="str">
        <x:v>WB_gdp_growth</x:v>
      </x:c>
      <x:c r="F430" s="2" t="str">
        <x:v>GDP growth (annual %)</x:v>
      </x:c>
    </x:row>
    <x:row r="431" ht="44" customHeight="1">
      <x:c r="A431" s="2" t="str">
        <x:v>BHR</x:v>
      </x:c>
      <x:c r="B431" s="2" t="str">
        <x:v>real_income</x:v>
      </x:c>
      <x:c r="C431" s="2" t="n">
        <x:v>26591.6651912691</x:v>
      </x:c>
      <x:c r="D431" s="2" t="n">
        <x:v>2025</x:v>
      </x:c>
      <x:c r="E431" s="2" t="str">
        <x:v>WB_real_income</x:v>
      </x:c>
      <x:c r="F431" s="2" t="str">
        <x:v>GDP per capita (constant 2015 US$)</x:v>
      </x:c>
    </x:row>
    <x:row r="432" ht="44" customHeight="1">
      <x:c r="A432" s="2" t="str">
        <x:v>BHR</x:v>
      </x:c>
      <x:c r="B432" s="2" t="str">
        <x:v>agriculture_gdp</x:v>
      </x:c>
      <x:c r="C432" s="2" t="n">
        <x:v>0.240579157170771</x:v>
      </x:c>
      <x:c r="D432" s="2" t="n">
        <x:v>2025</x:v>
      </x:c>
      <x:c r="E432" s="2" t="str">
        <x:v>WB_agriculture_gdp</x:v>
      </x:c>
      <x:c r="F432" s="2" t="str">
        <x:v>Agriculture, forestry, and fishing, value added (% of GDP)</x:v>
      </x:c>
    </x:row>
    <x:row r="433" ht="44" customHeight="1">
      <x:c r="A433" s="2" t="str">
        <x:v>BHR</x:v>
      </x:c>
      <x:c r="B433" s="2" t="str">
        <x:v>poverty</x:v>
      </x:c>
      <x:c r="C433" s="2"/>
      <x:c r="D433" s="2"/>
      <x:c r="E433" s="2" t="str">
        <x:v>Missing</x:v>
      </x:c>
      <x:c r="F433" s="2" t="str">
        <x:v>Poverty headcount ratio at $3.00 a day (2021 PPP) (% of population)</x:v>
      </x:c>
    </x:row>
    <x:row r="434" ht="44" customHeight="1">
      <x:c r="A434" s="2" t="str">
        <x:v>BHR</x:v>
      </x:c>
      <x:c r="B434" s="2" t="str">
        <x:v>gini</x:v>
      </x:c>
      <x:c r="C434" s="2"/>
      <x:c r="D434" s="2"/>
      <x:c r="E434" s="2" t="str">
        <x:v>Missing</x:v>
      </x:c>
      <x:c r="F434" s="2" t="str">
        <x:v>Gini index</x:v>
      </x:c>
    </x:row>
    <x:row r="435" ht="44" customHeight="1">
      <x:c r="A435" s="2" t="str">
        <x:v>BHR</x:v>
      </x:c>
      <x:c r="B435" s="2" t="str">
        <x:v>unemployment</x:v>
      </x:c>
      <x:c r="C435" s="2" t="n">
        <x:v>1.102</x:v>
      </x:c>
      <x:c r="D435" s="2" t="n">
        <x:v>2025</x:v>
      </x:c>
      <x:c r="E435" s="2" t="str">
        <x:v>WB_unemployment</x:v>
      </x:c>
      <x:c r="F435" s="2" t="str">
        <x:v>Unemployment, total (% of total labor force) (modeled ILO estimate)</x:v>
      </x:c>
    </x:row>
    <x:row r="436" ht="44" customHeight="1">
      <x:c r="A436" s="2" t="str">
        <x:v>BHR</x:v>
      </x:c>
      <x:c r="B436" s="2" t="str">
        <x:v>private_credit</x:v>
      </x:c>
      <x:c r="C436" s="2" t="n">
        <x:v>70.5500803025</x:v>
      </x:c>
      <x:c r="D436" s="2" t="n">
        <x:v>2015</x:v>
      </x:c>
      <x:c r="E436" s="2" t="str">
        <x:v>WB_private_credit</x:v>
      </x:c>
      <x:c r="F436" s="2" t="str">
        <x:v>Domestic credit to private sector (% of GDP)</x:v>
      </x:c>
    </x:row>
    <x:row r="437" ht="44" customHeight="1">
      <x:c r="A437" s="2" t="str">
        <x:v>BHR</x:v>
      </x:c>
      <x:c r="B437" s="2" t="str">
        <x:v>lending_rate</x:v>
      </x:c>
      <x:c r="C437" s="2" t="n">
        <x:v>5.16083333333333</x:v>
      </x:c>
      <x:c r="D437" s="2" t="n">
        <x:v>2015</x:v>
      </x:c>
      <x:c r="E437" s="2" t="str">
        <x:v>WB_lending_rate</x:v>
      </x:c>
      <x:c r="F437" s="2" t="str">
        <x:v>Lending interest rate (%)</x:v>
      </x:c>
    </x:row>
    <x:row r="438" ht="44" customHeight="1">
      <x:c r="A438" s="2" t="str">
        <x:v>BHR</x:v>
      </x:c>
      <x:c r="B438" s="2" t="str">
        <x:v>real_interest</x:v>
      </x:c>
      <x:c r="C438" s="2" t="n">
        <x:v>15.2531776895774</x:v>
      </x:c>
      <x:c r="D438" s="2" t="n">
        <x:v>2015</x:v>
      </x:c>
      <x:c r="E438" s="2" t="str">
        <x:v>WB_real_interest</x:v>
      </x:c>
      <x:c r="F438" s="2" t="str">
        <x:v>Real interest rate (%)</x:v>
      </x:c>
    </x:row>
    <x:row r="439" ht="44" customHeight="1">
      <x:c r="A439" s="2" t="str">
        <x:v>BHR</x:v>
      </x:c>
      <x:c r="B439" s="2" t="str">
        <x:v>government_debt</x:v>
      </x:c>
      <x:c r="C439" s="2" t="n">
        <x:v>111.598089477141</x:v>
      </x:c>
      <x:c r="D439" s="2" t="n">
        <x:v>2020</x:v>
      </x:c>
      <x:c r="E439" s="2" t="str">
        <x:v>WB_government_debt</x:v>
      </x:c>
      <x:c r="F439" s="2" t="str">
        <x:v>Central government debt, total (% of GDP)</x:v>
      </x:c>
    </x:row>
    <x:row r="440" ht="44" customHeight="1">
      <x:c r="A440" s="2" t="str">
        <x:v>BHR</x:v>
      </x:c>
      <x:c r="B440" s="2" t="str">
        <x:v>electricity_access</x:v>
      </x:c>
      <x:c r="C440" s="2" t="n">
        <x:v>100</x:v>
      </x:c>
      <x:c r="D440" s="2" t="n">
        <x:v>2024</x:v>
      </x:c>
      <x:c r="E440" s="2" t="str">
        <x:v>WB_electricity_access</x:v>
      </x:c>
      <x:c r="F440" s="2" t="str">
        <x:v>Access to electricity (% of population)</x:v>
      </x:c>
    </x:row>
    <x:row r="441" ht="44" customHeight="1">
      <x:c r="A441" s="2" t="str">
        <x:v>BHR</x:v>
      </x:c>
      <x:c r="B441" s="2" t="str">
        <x:v>irrigated_land</x:v>
      </x:c>
      <x:c r="C441" s="2" t="n">
        <x:v>40.8580183861083</x:v>
      </x:c>
      <x:c r="D441" s="2" t="n">
        <x:v>2001</x:v>
      </x:c>
      <x:c r="E441" s="2" t="str">
        <x:v>WB_irrigated_land</x:v>
      </x:c>
      <x:c r="F441" s="2" t="str">
        <x:v>Agricultural irrigated land (% of total agricultural land)</x:v>
      </x:c>
    </x:row>
    <x:row r="442" ht="44" customHeight="1">
      <x:c r="A442" s="2" t="str">
        <x:v>BHR</x:v>
      </x:c>
      <x:c r="B442" s="2" t="str">
        <x:v>cereal_area</x:v>
      </x:c>
      <x:c r="C442" s="2"/>
      <x:c r="D442" s="2"/>
      <x:c r="E442" s="2" t="str">
        <x:v>Missing</x:v>
      </x:c>
      <x:c r="F442" s="2" t="str">
        <x:v>Land under cereal production (hectares)</x:v>
      </x:c>
    </x:row>
    <x:row r="443" ht="44" customHeight="1">
      <x:c r="A443" s="2" t="str">
        <x:v>BHR</x:v>
      </x:c>
      <x:c r="B443" s="2" t="str">
        <x:v>undernourishment</x:v>
      </x:c>
      <x:c r="C443" s="2"/>
      <x:c r="D443" s="2"/>
      <x:c r="E443" s="2" t="str">
        <x:v>Missing</x:v>
      </x:c>
      <x:c r="F443" s="2" t="str">
        <x:v>Prevalence of undernourishment (% of population)</x:v>
      </x:c>
    </x:row>
    <x:row r="444" ht="44" customHeight="1">
      <x:c r="A444" s="2" t="str">
        <x:v>BHR</x:v>
      </x:c>
      <x:c r="B444" s="2" t="str">
        <x:v>agriculture_employment</x:v>
      </x:c>
      <x:c r="C444" s="2" t="n">
        <x:v>0.834352490634819</x:v>
      </x:c>
      <x:c r="D444" s="2" t="n">
        <x:v>2025</x:v>
      </x:c>
      <x:c r="E444" s="2" t="str">
        <x:v>WB_agriculture_employment</x:v>
      </x:c>
      <x:c r="F444" s="2" t="str">
        <x:v>Employment in agriculture (% of total employment) (modeled ILO estimate)</x:v>
      </x:c>
    </x:row>
    <x:row r="445" ht="44" customHeight="1">
      <x:c r="A445" s="2" t="str">
        <x:v>BHR</x:v>
      </x:c>
      <x:c r="B445" s="2" t="str">
        <x:v>water_withdrawal</x:v>
      </x:c>
      <x:c r="C445" s="2" t="n">
        <x:v>3877.5</x:v>
      </x:c>
      <x:c r="D445" s="2" t="n">
        <x:v>2022</x:v>
      </x:c>
      <x:c r="E445" s="2" t="str">
        <x:v>WB_water_withdrawal</x:v>
      </x:c>
      <x:c r="F445" s="2" t="str">
        <x:v>Annual freshwater withdrawals, total (% of internal resources)</x:v>
      </x:c>
    </x:row>
    <x:row r="446" ht="44" customHeight="1">
      <x:c r="A446" s="2" t="str">
        <x:v>BGD</x:v>
      </x:c>
      <x:c r="B446" s="2" t="str">
        <x:v>population</x:v>
      </x:c>
      <x:c r="C446" s="2" t="n">
        <x:v>175686899</x:v>
      </x:c>
      <x:c r="D446" s="2" t="n">
        <x:v>2025</x:v>
      </x:c>
      <x:c r="E446" s="2" t="str">
        <x:v>WB_population</x:v>
      </x:c>
      <x:c r="F446" s="2" t="str">
        <x:v>Population, total</x:v>
      </x:c>
    </x:row>
    <x:row r="447" ht="44" customHeight="1">
      <x:c r="A447" s="2" t="str">
        <x:v>BGD</x:v>
      </x:c>
      <x:c r="B447" s="2" t="str">
        <x:v>income_ppp</x:v>
      </x:c>
      <x:c r="C447" s="2" t="n">
        <x:v>8676.7557622508</x:v>
      </x:c>
      <x:c r="D447" s="2" t="n">
        <x:v>2025</x:v>
      </x:c>
      <x:c r="E447" s="2" t="str">
        <x:v>WB_income_ppp</x:v>
      </x:c>
      <x:c r="F447" s="2" t="str">
        <x:v>GDP per capita, PPP (constant 2021 international $)</x:v>
      </x:c>
    </x:row>
    <x:row r="448" ht="44" customHeight="1">
      <x:c r="A448" s="2" t="str">
        <x:v>BGD</x:v>
      </x:c>
      <x:c r="B448" s="2" t="str">
        <x:v>urban</x:v>
      </x:c>
      <x:c r="C448" s="2" t="n">
        <x:v>33.2395847043975</x:v>
      </x:c>
      <x:c r="D448" s="2" t="n">
        <x:v>2025</x:v>
      </x:c>
      <x:c r="E448" s="2" t="str">
        <x:v>WB_urban</x:v>
      </x:c>
      <x:c r="F448" s="2" t="str">
        <x:v>Urban population (% of total population)</x:v>
      </x:c>
    </x:row>
    <x:row r="449" ht="44" customHeight="1">
      <x:c r="A449" s="2" t="str">
        <x:v>BGD</x:v>
      </x:c>
      <x:c r="B449" s="2" t="str">
        <x:v>inflation</x:v>
      </x:c>
      <x:c r="C449" s="2" t="n">
        <x:v>8.7687628116114</x:v>
      </x:c>
      <x:c r="D449" s="2" t="n">
        <x:v>2025</x:v>
      </x:c>
      <x:c r="E449" s="2" t="str">
        <x:v>WB_inflation</x:v>
      </x:c>
      <x:c r="F449" s="2" t="str">
        <x:v>Inflation, consumer prices (annual %)</x:v>
      </x:c>
    </x:row>
    <x:row r="450" ht="44" customHeight="1">
      <x:c r="A450" s="2" t="str">
        <x:v>BGD</x:v>
      </x:c>
      <x:c r="B450" s="2" t="str">
        <x:v>food_index</x:v>
      </x:c>
      <x:c r="C450" s="2" t="n">
        <x:v>125.2</x:v>
      </x:c>
      <x:c r="D450" s="2" t="n">
        <x:v>2022</x:v>
      </x:c>
      <x:c r="E450" s="2" t="str">
        <x:v>WB_food_index</x:v>
      </x:c>
      <x:c r="F450" s="2" t="str">
        <x:v>Food production index (2014-2016 = 100)</x:v>
      </x:c>
    </x:row>
    <x:row r="451" ht="44" customHeight="1">
      <x:c r="A451" s="2" t="str">
        <x:v>BGD</x:v>
      </x:c>
      <x:c r="B451" s="2" t="str">
        <x:v>food_import_share</x:v>
      </x:c>
      <x:c r="C451" s="2" t="n">
        <x:v>13.0022763018655</x:v>
      </x:c>
      <x:c r="D451" s="2" t="n">
        <x:v>2018</x:v>
      </x:c>
      <x:c r="E451" s="2" t="str">
        <x:v>WB_food_import_share</x:v>
      </x:c>
      <x:c r="F451" s="2" t="str">
        <x:v>Food imports (% of merchandise imports)</x:v>
      </x:c>
    </x:row>
    <x:row r="452" ht="44" customHeight="1">
      <x:c r="A452" s="2" t="str">
        <x:v>BGD</x:v>
      </x:c>
      <x:c r="B452" s="2" t="str">
        <x:v>food_export_share</x:v>
      </x:c>
      <x:c r="C452" s="2" t="n">
        <x:v>3.38709259966535</x:v>
      </x:c>
      <x:c r="D452" s="2" t="n">
        <x:v>2018</x:v>
      </x:c>
      <x:c r="E452" s="2" t="str">
        <x:v>WB_food_export_share</x:v>
      </x:c>
      <x:c r="F452" s="2" t="str">
        <x:v>Food exports (% of merchandise exports)</x:v>
      </x:c>
    </x:row>
    <x:row r="453" ht="44" customHeight="1">
      <x:c r="A453" s="2" t="str">
        <x:v>BGD</x:v>
      </x:c>
      <x:c r="B453" s="2" t="str">
        <x:v>imports_usd</x:v>
      </x:c>
      <x:c r="C453" s="2" t="n">
        <x:v>69373000000</x:v>
      </x:c>
      <x:c r="D453" s="2" t="n">
        <x:v>2025</x:v>
      </x:c>
      <x:c r="E453" s="2" t="str">
        <x:v>WB_imports_usd</x:v>
      </x:c>
      <x:c r="F453" s="2" t="str">
        <x:v>Merchandise imports (current US$)</x:v>
      </x:c>
    </x:row>
    <x:row r="454" ht="44" customHeight="1">
      <x:c r="A454" s="2" t="str">
        <x:v>BGD</x:v>
      </x:c>
      <x:c r="B454" s="2" t="str">
        <x:v>exports_usd</x:v>
      </x:c>
      <x:c r="C454" s="2" t="n">
        <x:v>48167000000</x:v>
      </x:c>
      <x:c r="D454" s="2" t="n">
        <x:v>2025</x:v>
      </x:c>
      <x:c r="E454" s="2" t="str">
        <x:v>WB_exports_usd</x:v>
      </x:c>
      <x:c r="F454" s="2" t="str">
        <x:v>Merchandise exports (current US$)</x:v>
      </x:c>
    </x:row>
    <x:row r="455" ht="44" customHeight="1">
      <x:c r="A455" s="2" t="str">
        <x:v>BGD</x:v>
      </x:c>
      <x:c r="B455" s="2" t="str">
        <x:v>cereal_yield</x:v>
      </x:c>
      <x:c r="C455" s="2" t="n">
        <x:v>5408</x:v>
      </x:c>
      <x:c r="D455" s="2" t="n">
        <x:v>2024</x:v>
      </x:c>
      <x:c r="E455" s="2" t="str">
        <x:v>WB_cereal_yield</x:v>
      </x:c>
      <x:c r="F455" s="2" t="str">
        <x:v>Cereal yield (kg per hectare)</x:v>
      </x:c>
    </x:row>
    <x:row r="456" ht="44" customHeight="1">
      <x:c r="A456" s="2" t="str">
        <x:v>BGD</x:v>
      </x:c>
      <x:c r="B456" s="2" t="str">
        <x:v>water_stress</x:v>
      </x:c>
      <x:c r="C456" s="2" t="n">
        <x:v>5.723339482</x:v>
      </x:c>
      <x:c r="D456" s="2" t="n">
        <x:v>2022</x:v>
      </x:c>
      <x:c r="E456" s="2" t="str">
        <x:v>WB_water_stress</x:v>
      </x:c>
      <x:c r="F456" s="2" t="str">
        <x:v>Level of water stress: freshwater withdrawal as a proportion of available freshwater resources</x:v>
      </x:c>
    </x:row>
    <x:row r="457" ht="44" customHeight="1">
      <x:c r="A457" s="2" t="str">
        <x:v>BGD</x:v>
      </x:c>
      <x:c r="B457" s="2" t="str">
        <x:v>fertility</x:v>
      </x:c>
      <x:c r="C457" s="2" t="n">
        <x:v>2.138</x:v>
      </x:c>
      <x:c r="D457" s="2" t="n">
        <x:v>2024</x:v>
      </x:c>
      <x:c r="E457" s="2" t="str">
        <x:v>WB_fertility</x:v>
      </x:c>
      <x:c r="F457" s="2" t="str">
        <x:v>Fertility rate, total (births per woman)</x:v>
      </x:c>
    </x:row>
    <x:row r="458" ht="44" customHeight="1">
      <x:c r="A458" s="2" t="str">
        <x:v>BGD</x:v>
      </x:c>
      <x:c r="B458" s="2" t="str">
        <x:v>life_expectancy</x:v>
      </x:c>
      <x:c r="C458" s="2" t="n">
        <x:v>74.93</x:v>
      </x:c>
      <x:c r="D458" s="2" t="n">
        <x:v>2024</x:v>
      </x:c>
      <x:c r="E458" s="2" t="str">
        <x:v>WB_life_expectancy</x:v>
      </x:c>
      <x:c r="F458" s="2" t="str">
        <x:v>Life expectancy at birth, total (years)</x:v>
      </x:c>
    </x:row>
    <x:row r="459" ht="44" customHeight="1">
      <x:c r="A459" s="2" t="str">
        <x:v>BGD</x:v>
      </x:c>
      <x:c r="B459" s="2" t="str">
        <x:v>age_under15</x:v>
      </x:c>
      <x:c r="C459" s="2" t="n">
        <x:v>27.645743159125</x:v>
      </x:c>
      <x:c r="D459" s="2" t="n">
        <x:v>2025</x:v>
      </x:c>
      <x:c r="E459" s="2" t="str">
        <x:v>WB_age_under15</x:v>
      </x:c>
      <x:c r="F459" s="2" t="str">
        <x:v>Population ages 0-14 (% of total population)</x:v>
      </x:c>
    </x:row>
    <x:row r="460" ht="44" customHeight="1">
      <x:c r="A460" s="2" t="str">
        <x:v>BGD</x:v>
      </x:c>
      <x:c r="B460" s="2" t="str">
        <x:v>age_over65</x:v>
      </x:c>
      <x:c r="C460" s="2" t="n">
        <x:v>6.66842350416686</x:v>
      </x:c>
      <x:c r="D460" s="2" t="n">
        <x:v>2025</x:v>
      </x:c>
      <x:c r="E460" s="2" t="str">
        <x:v>WB_age_over65</x:v>
      </x:c>
      <x:c r="F460" s="2" t="str">
        <x:v>Population ages 65 and above (% of total population)</x:v>
      </x:c>
    </x:row>
    <x:row r="461" ht="44" customHeight="1">
      <x:c r="A461" s="2" t="str">
        <x:v>BGD</x:v>
      </x:c>
      <x:c r="B461" s="2" t="str">
        <x:v>dependency_ratio</x:v>
      </x:c>
      <x:c r="C461" s="2" t="n">
        <x:v>52.2398280353678</x:v>
      </x:c>
      <x:c r="D461" s="2" t="n">
        <x:v>2025</x:v>
      </x:c>
      <x:c r="E461" s="2" t="str">
        <x:v>WB_dependency_ratio</x:v>
      </x:c>
      <x:c r="F461" s="2" t="str">
        <x:v>Age dependency ratio (% of working-age population)</x:v>
      </x:c>
    </x:row>
    <x:row r="462" ht="44" customHeight="1">
      <x:c r="A462" s="2" t="str">
        <x:v>BGD</x:v>
      </x:c>
      <x:c r="B462" s="2" t="str">
        <x:v>net_migration</x:v>
      </x:c>
      <x:c r="C462" s="2" t="n">
        <x:v>-402100</x:v>
      </x:c>
      <x:c r="D462" s="2" t="n">
        <x:v>2025</x:v>
      </x:c>
      <x:c r="E462" s="2" t="str">
        <x:v>WB_net_migration</x:v>
      </x:c>
      <x:c r="F462" s="2" t="str">
        <x:v>Net migration</x:v>
      </x:c>
    </x:row>
    <x:row r="463" ht="44" customHeight="1">
      <x:c r="A463" s="2" t="str">
        <x:v>BGD</x:v>
      </x:c>
      <x:c r="B463" s="2" t="str">
        <x:v>real_gdp</x:v>
      </x:c>
      <x:c r="C463" s="2" t="n">
        <x:v>348691572810.162</x:v>
      </x:c>
      <x:c r="D463" s="2" t="n">
        <x:v>2025</x:v>
      </x:c>
      <x:c r="E463" s="2" t="str">
        <x:v>WB_real_gdp</x:v>
      </x:c>
      <x:c r="F463" s="2" t="str">
        <x:v>GDP (constant 2015 US$)</x:v>
      </x:c>
    </x:row>
    <x:row r="464" ht="44" customHeight="1">
      <x:c r="A464" s="2" t="str">
        <x:v>BGD</x:v>
      </x:c>
      <x:c r="B464" s="2" t="str">
        <x:v>gdp_growth</x:v>
      </x:c>
      <x:c r="C464" s="2" t="n">
        <x:v>3.48990671836833</x:v>
      </x:c>
      <x:c r="D464" s="2" t="n">
        <x:v>2025</x:v>
      </x:c>
      <x:c r="E464" s="2" t="str">
        <x:v>WB_gdp_growth</x:v>
      </x:c>
      <x:c r="F464" s="2" t="str">
        <x:v>GDP growth (annual %)</x:v>
      </x:c>
    </x:row>
    <x:row r="465" ht="44" customHeight="1">
      <x:c r="A465" s="2" t="str">
        <x:v>BGD</x:v>
      </x:c>
      <x:c r="B465" s="2" t="str">
        <x:v>real_income</x:v>
      </x:c>
      <x:c r="C465" s="2" t="n">
        <x:v>1984.73292428118</x:v>
      </x:c>
      <x:c r="D465" s="2" t="n">
        <x:v>2025</x:v>
      </x:c>
      <x:c r="E465" s="2" t="str">
        <x:v>WB_real_income</x:v>
      </x:c>
      <x:c r="F465" s="2" t="str">
        <x:v>GDP per capita (constant 2015 US$)</x:v>
      </x:c>
    </x:row>
    <x:row r="466" ht="44" customHeight="1">
      <x:c r="A466" s="2" t="str">
        <x:v>BGD</x:v>
      </x:c>
      <x:c r="B466" s="2" t="str">
        <x:v>agriculture_gdp</x:v>
      </x:c>
      <x:c r="C466" s="2" t="n">
        <x:v>11.4240222467121</x:v>
      </x:c>
      <x:c r="D466" s="2" t="n">
        <x:v>2025</x:v>
      </x:c>
      <x:c r="E466" s="2" t="str">
        <x:v>WB_agriculture_gdp</x:v>
      </x:c>
      <x:c r="F466" s="2" t="str">
        <x:v>Agriculture, forestry, and fishing, value added (% of GDP)</x:v>
      </x:c>
    </x:row>
    <x:row r="467" ht="44" customHeight="1">
      <x:c r="A467" s="2" t="str">
        <x:v>BGD</x:v>
      </x:c>
      <x:c r="B467" s="2" t="str">
        <x:v>poverty</x:v>
      </x:c>
      <x:c r="C467" s="2" t="n">
        <x:v>5.9</x:v>
      </x:c>
      <x:c r="D467" s="2" t="n">
        <x:v>2022</x:v>
      </x:c>
      <x:c r="E467" s="2" t="str">
        <x:v>WB_poverty</x:v>
      </x:c>
      <x:c r="F467" s="2" t="str">
        <x:v>Poverty headcount ratio at $3.00 a day (2021 PPP) (% of population)</x:v>
      </x:c>
    </x:row>
    <x:row r="468" ht="44" customHeight="1">
      <x:c r="A468" s="2" t="str">
        <x:v>BGD</x:v>
      </x:c>
      <x:c r="B468" s="2" t="str">
        <x:v>gini</x:v>
      </x:c>
      <x:c r="C468" s="2" t="n">
        <x:v>30.9</x:v>
      </x:c>
      <x:c r="D468" s="2" t="n">
        <x:v>2022</x:v>
      </x:c>
      <x:c r="E468" s="2" t="str">
        <x:v>WB_gini</x:v>
      </x:c>
      <x:c r="F468" s="2" t="str">
        <x:v>Gini index</x:v>
      </x:c>
    </x:row>
    <x:row r="469" ht="44" customHeight="1">
      <x:c r="A469" s="2" t="str">
        <x:v>BGD</x:v>
      </x:c>
      <x:c r="B469" s="2" t="str">
        <x:v>unemployment</x:v>
      </x:c>
      <x:c r="C469" s="2" t="n">
        <x:v>3.778</x:v>
      </x:c>
      <x:c r="D469" s="2" t="n">
        <x:v>2025</x:v>
      </x:c>
      <x:c r="E469" s="2" t="str">
        <x:v>WB_unemployment</x:v>
      </x:c>
      <x:c r="F469" s="2" t="str">
        <x:v>Unemployment, total (% of total labor force) (modeled ILO estimate)</x:v>
      </x:c>
    </x:row>
    <x:row r="470" ht="44" customHeight="1">
      <x:c r="A470" s="2" t="str">
        <x:v>BGD</x:v>
      </x:c>
      <x:c r="B470" s="2" t="str">
        <x:v>private_credit</x:v>
      </x:c>
      <x:c r="C470" s="2" t="n">
        <x:v>34.504343787161</x:v>
      </x:c>
      <x:c r="D470" s="2" t="n">
        <x:v>2025</x:v>
      </x:c>
      <x:c r="E470" s="2" t="str">
        <x:v>WB_private_credit</x:v>
      </x:c>
      <x:c r="F470" s="2" t="str">
        <x:v>Domestic credit to private sector (% of GDP)</x:v>
      </x:c>
    </x:row>
    <x:row r="471" ht="44" customHeight="1">
      <x:c r="A471" s="2" t="str">
        <x:v>BGD</x:v>
      </x:c>
      <x:c r="B471" s="2" t="str">
        <x:v>lending_rate</x:v>
      </x:c>
      <x:c r="C471" s="2" t="n">
        <x:v>8.62333333333333</x:v>
      </x:c>
      <x:c r="D471" s="2" t="n">
        <x:v>2025</x:v>
      </x:c>
      <x:c r="E471" s="2" t="str">
        <x:v>WB_lending_rate</x:v>
      </x:c>
      <x:c r="F471" s="2" t="str">
        <x:v>Lending interest rate (%)</x:v>
      </x:c>
    </x:row>
    <x:row r="472" ht="44" customHeight="1">
      <x:c r="A472" s="2" t="str">
        <x:v>BGD</x:v>
      </x:c>
      <x:c r="B472" s="2" t="str">
        <x:v>real_interest</x:v>
      </x:c>
      <x:c r="C472" s="2" t="n">
        <x:v>1.97036692800078</x:v>
      </x:c>
      <x:c r="D472" s="2" t="n">
        <x:v>2025</x:v>
      </x:c>
      <x:c r="E472" s="2" t="str">
        <x:v>WB_real_interest</x:v>
      </x:c>
      <x:c r="F472" s="2" t="str">
        <x:v>Real interest rate (%)</x:v>
      </x:c>
    </x:row>
    <x:row r="473" ht="44" customHeight="1">
      <x:c r="A473" s="2" t="str">
        <x:v>BGD</x:v>
      </x:c>
      <x:c r="B473" s="2" t="str">
        <x:v>government_debt</x:v>
      </x:c>
      <x:c r="C473" s="2" t="n">
        <x:v>31.2044521104432</x:v>
      </x:c>
      <x:c r="D473" s="2" t="n">
        <x:v>2003</x:v>
      </x:c>
      <x:c r="E473" s="2" t="str">
        <x:v>WB_government_debt</x:v>
      </x:c>
      <x:c r="F473" s="2" t="str">
        <x:v>Central government debt, total (% of GDP)</x:v>
      </x:c>
    </x:row>
    <x:row r="474" ht="44" customHeight="1">
      <x:c r="A474" s="2" t="str">
        <x:v>BGD</x:v>
      </x:c>
      <x:c r="B474" s="2" t="str">
        <x:v>electricity_access</x:v>
      </x:c>
      <x:c r="C474" s="2" t="n">
        <x:v>99.5</x:v>
      </x:c>
      <x:c r="D474" s="2" t="n">
        <x:v>2024</x:v>
      </x:c>
      <x:c r="E474" s="2" t="str">
        <x:v>WB_electricity_access</x:v>
      </x:c>
      <x:c r="F474" s="2" t="str">
        <x:v>Access to electricity (% of population)</x:v>
      </x:c>
    </x:row>
    <x:row r="475" ht="44" customHeight="1">
      <x:c r="A475" s="2" t="str">
        <x:v>BGD</x:v>
      </x:c>
      <x:c r="B475" s="2" t="str">
        <x:v>irrigated_land</x:v>
      </x:c>
      <x:c r="C475" s="2" t="n">
        <x:v>89.0413873816363</x:v>
      </x:c>
      <x:c r="D475" s="2" t="n">
        <x:v>2023</x:v>
      </x:c>
      <x:c r="E475" s="2" t="str">
        <x:v>WB_irrigated_land</x:v>
      </x:c>
      <x:c r="F475" s="2" t="str">
        <x:v>Agricultural irrigated land (% of total agricultural land)</x:v>
      </x:c>
    </x:row>
    <x:row r="476" ht="44" customHeight="1">
      <x:c r="A476" s="2" t="str">
        <x:v>BGD</x:v>
      </x:c>
      <x:c r="B476" s="2" t="str">
        <x:v>cereal_area</x:v>
      </x:c>
      <x:c r="C476" s="2" t="n">
        <x:v>12268360</x:v>
      </x:c>
      <x:c r="D476" s="2" t="n">
        <x:v>2024</x:v>
      </x:c>
      <x:c r="E476" s="2" t="str">
        <x:v>WB_cereal_area</x:v>
      </x:c>
      <x:c r="F476" s="2" t="str">
        <x:v>Land under cereal production (hectares)</x:v>
      </x:c>
    </x:row>
    <x:row r="477" ht="44" customHeight="1">
      <x:c r="A477" s="2" t="str">
        <x:v>BGD</x:v>
      </x:c>
      <x:c r="B477" s="2" t="str">
        <x:v>undernourishment</x:v>
      </x:c>
      <x:c r="C477" s="2" t="n">
        <x:v>10.4</x:v>
      </x:c>
      <x:c r="D477" s="2" t="n">
        <x:v>2023</x:v>
      </x:c>
      <x:c r="E477" s="2" t="str">
        <x:v>WB_undernourishment</x:v>
      </x:c>
      <x:c r="F477" s="2" t="str">
        <x:v>Prevalence of undernourishment (% of population)</x:v>
      </x:c>
    </x:row>
    <x:row r="478" ht="44" customHeight="1">
      <x:c r="A478" s="2" t="str">
        <x:v>BGD</x:v>
      </x:c>
      <x:c r="B478" s="2" t="str">
        <x:v>agriculture_employment</x:v>
      </x:c>
      <x:c r="C478" s="2" t="n">
        <x:v>44.2601251126533</x:v>
      </x:c>
      <x:c r="D478" s="2" t="n">
        <x:v>2025</x:v>
      </x:c>
      <x:c r="E478" s="2" t="str">
        <x:v>WB_agriculture_employment</x:v>
      </x:c>
      <x:c r="F478" s="2" t="str">
        <x:v>Employment in agriculture (% of total employment) (modeled ILO estimate)</x:v>
      </x:c>
    </x:row>
    <x:row r="479" ht="44" customHeight="1">
      <x:c r="A479" s="2" t="str">
        <x:v>BGD</x:v>
      </x:c>
      <x:c r="B479" s="2" t="str">
        <x:v>water_withdrawal</x:v>
      </x:c>
      <x:c r="C479" s="2" t="n">
        <x:v>34.1619047619048</x:v>
      </x:c>
      <x:c r="D479" s="2" t="n">
        <x:v>2022</x:v>
      </x:c>
      <x:c r="E479" s="2" t="str">
        <x:v>WB_water_withdrawal</x:v>
      </x:c>
      <x:c r="F479" s="2" t="str">
        <x:v>Annual freshwater withdrawals, total (% of internal resources)</x:v>
      </x:c>
    </x:row>
    <x:row r="480" ht="44" customHeight="1">
      <x:c r="A480" s="2" t="str">
        <x:v>BRB</x:v>
      </x:c>
      <x:c r="B480" s="2" t="str">
        <x:v>population</x:v>
      </x:c>
      <x:c r="C480" s="2" t="n">
        <x:v>282623</x:v>
      </x:c>
      <x:c r="D480" s="2" t="n">
        <x:v>2025</x:v>
      </x:c>
      <x:c r="E480" s="2" t="str">
        <x:v>WB_population</x:v>
      </x:c>
      <x:c r="F480" s="2" t="str">
        <x:v>Population, total</x:v>
      </x:c>
    </x:row>
    <x:row r="481" ht="44" customHeight="1">
      <x:c r="A481" s="2" t="str">
        <x:v>BRB</x:v>
      </x:c>
      <x:c r="B481" s="2" t="str">
        <x:v>income_ppp</x:v>
      </x:c>
      <x:c r="C481" s="2" t="n">
        <x:v>22127.3604979718</x:v>
      </x:c>
      <x:c r="D481" s="2" t="n">
        <x:v>2025</x:v>
      </x:c>
      <x:c r="E481" s="2" t="str">
        <x:v>WB_income_ppp</x:v>
      </x:c>
      <x:c r="F481" s="2" t="str">
        <x:v>GDP per capita, PPP (constant 2021 international $)</x:v>
      </x:c>
    </x:row>
    <x:row r="482" ht="44" customHeight="1">
      <x:c r="A482" s="2" t="str">
        <x:v>BRB</x:v>
      </x:c>
      <x:c r="B482" s="2" t="str">
        <x:v>urban</x:v>
      </x:c>
      <x:c r="C482" s="2" t="n">
        <x:v>59.6996239887007</x:v>
      </x:c>
      <x:c r="D482" s="2" t="n">
        <x:v>2025</x:v>
      </x:c>
      <x:c r="E482" s="2" t="str">
        <x:v>WB_urban</x:v>
      </x:c>
      <x:c r="F482" s="2" t="str">
        <x:v>Urban population (% of total population)</x:v>
      </x:c>
    </x:row>
    <x:row r="483" ht="44" customHeight="1">
      <x:c r="A483" s="2" t="str">
        <x:v>BRB</x:v>
      </x:c>
      <x:c r="B483" s="2" t="str">
        <x:v>inflation</x:v>
      </x:c>
      <x:c r="C483" s="2" t="n">
        <x:v>0.846576563196289</x:v>
      </x:c>
      <x:c r="D483" s="2" t="n">
        <x:v>2025</x:v>
      </x:c>
      <x:c r="E483" s="2" t="str">
        <x:v>WB_inflation</x:v>
      </x:c>
      <x:c r="F483" s="2" t="str">
        <x:v>Inflation, consumer prices (annual %)</x:v>
      </x:c>
    </x:row>
    <x:row r="484" ht="44" customHeight="1">
      <x:c r="A484" s="2" t="str">
        <x:v>BRB</x:v>
      </x:c>
      <x:c r="B484" s="2" t="str">
        <x:v>food_index</x:v>
      </x:c>
      <x:c r="C484" s="2" t="n">
        <x:v>102.71</x:v>
      </x:c>
      <x:c r="D484" s="2" t="n">
        <x:v>2022</x:v>
      </x:c>
      <x:c r="E484" s="2" t="str">
        <x:v>WB_food_index</x:v>
      </x:c>
      <x:c r="F484" s="2" t="str">
        <x:v>Food production index (2014-2016 = 100)</x:v>
      </x:c>
    </x:row>
    <x:row r="485" ht="44" customHeight="1">
      <x:c r="A485" s="2" t="str">
        <x:v>BRB</x:v>
      </x:c>
      <x:c r="B485" s="2" t="str">
        <x:v>food_import_share</x:v>
      </x:c>
      <x:c r="C485" s="2" t="n">
        <x:v>22.6967611224283</x:v>
      </x:c>
      <x:c r="D485" s="2" t="n">
        <x:v>2024</x:v>
      </x:c>
      <x:c r="E485" s="2" t="str">
        <x:v>WB_food_import_share</x:v>
      </x:c>
      <x:c r="F485" s="2" t="str">
        <x:v>Food imports (% of merchandise imports)</x:v>
      </x:c>
    </x:row>
    <x:row r="486" ht="44" customHeight="1">
      <x:c r="A486" s="2" t="str">
        <x:v>BRB</x:v>
      </x:c>
      <x:c r="B486" s="2" t="str">
        <x:v>food_export_share</x:v>
      </x:c>
      <x:c r="C486" s="2" t="n">
        <x:v>43.4616712612517</x:v>
      </x:c>
      <x:c r="D486" s="2" t="n">
        <x:v>2024</x:v>
      </x:c>
      <x:c r="E486" s="2" t="str">
        <x:v>WB_food_export_share</x:v>
      </x:c>
      <x:c r="F486" s="2" t="str">
        <x:v>Food exports (% of merchandise exports)</x:v>
      </x:c>
    </x:row>
    <x:row r="487" ht="44" customHeight="1">
      <x:c r="A487" s="2" t="str">
        <x:v>BRB</x:v>
      </x:c>
      <x:c r="B487" s="2" t="str">
        <x:v>imports_usd</x:v>
      </x:c>
      <x:c r="C487" s="2" t="n">
        <x:v>2229000000</x:v>
      </x:c>
      <x:c r="D487" s="2" t="n">
        <x:v>2025</x:v>
      </x:c>
      <x:c r="E487" s="2" t="str">
        <x:v>WB_imports_usd</x:v>
      </x:c>
      <x:c r="F487" s="2" t="str">
        <x:v>Merchandise imports (current US$)</x:v>
      </x:c>
    </x:row>
    <x:row r="488" ht="44" customHeight="1">
      <x:c r="A488" s="2" t="str">
        <x:v>BRB</x:v>
      </x:c>
      <x:c r="B488" s="2" t="str">
        <x:v>exports_usd</x:v>
      </x:c>
      <x:c r="C488" s="2" t="n">
        <x:v>428000000</x:v>
      </x:c>
      <x:c r="D488" s="2" t="n">
        <x:v>2025</x:v>
      </x:c>
      <x:c r="E488" s="2" t="str">
        <x:v>WB_exports_usd</x:v>
      </x:c>
      <x:c r="F488" s="2" t="str">
        <x:v>Merchandise exports (current US$)</x:v>
      </x:c>
    </x:row>
    <x:row r="489" ht="44" customHeight="1">
      <x:c r="A489" s="2" t="str">
        <x:v>BRB</x:v>
      </x:c>
      <x:c r="B489" s="2" t="str">
        <x:v>cereal_yield</x:v>
      </x:c>
      <x:c r="C489" s="2" t="n">
        <x:v>2793.2</x:v>
      </x:c>
      <x:c r="D489" s="2" t="n">
        <x:v>2024</x:v>
      </x:c>
      <x:c r="E489" s="2" t="str">
        <x:v>WB_cereal_yield</x:v>
      </x:c>
      <x:c r="F489" s="2" t="str">
        <x:v>Cereal yield (kg per hectare)</x:v>
      </x:c>
    </x:row>
    <x:row r="490" ht="44" customHeight="1">
      <x:c r="A490" s="2" t="str">
        <x:v>BRB</x:v>
      </x:c>
      <x:c r="B490" s="2" t="str">
        <x:v>water_stress</x:v>
      </x:c>
      <x:c r="C490" s="2" t="n">
        <x:v>87.5</x:v>
      </x:c>
      <x:c r="D490" s="2" t="n">
        <x:v>2022</x:v>
      </x:c>
      <x:c r="E490" s="2" t="str">
        <x:v>WB_water_stress</x:v>
      </x:c>
      <x:c r="F490" s="2" t="str">
        <x:v>Level of water stress: freshwater withdrawal as a proportion of available freshwater resources</x:v>
      </x:c>
    </x:row>
    <x:row r="491" ht="44" customHeight="1">
      <x:c r="A491" s="2" t="str">
        <x:v>BRB</x:v>
      </x:c>
      <x:c r="B491" s="2" t="str">
        <x:v>fertility</x:v>
      </x:c>
      <x:c r="C491" s="2" t="n">
        <x:v>1.708</x:v>
      </x:c>
      <x:c r="D491" s="2" t="n">
        <x:v>2024</x:v>
      </x:c>
      <x:c r="E491" s="2" t="str">
        <x:v>WB_fertility</x:v>
      </x:c>
      <x:c r="F491" s="2" t="str">
        <x:v>Fertility rate, total (births per woman)</x:v>
      </x:c>
    </x:row>
    <x:row r="492" ht="44" customHeight="1">
      <x:c r="A492" s="2" t="str">
        <x:v>BRB</x:v>
      </x:c>
      <x:c r="B492" s="2" t="str">
        <x:v>life_expectancy</x:v>
      </x:c>
      <x:c r="C492" s="2" t="n">
        <x:v>76.332</x:v>
      </x:c>
      <x:c r="D492" s="2" t="n">
        <x:v>2024</x:v>
      </x:c>
      <x:c r="E492" s="2" t="str">
        <x:v>WB_life_expectancy</x:v>
      </x:c>
      <x:c r="F492" s="2" t="str">
        <x:v>Life expectancy at birth, total (years)</x:v>
      </x:c>
    </x:row>
    <x:row r="493" ht="44" customHeight="1">
      <x:c r="A493" s="2" t="str">
        <x:v>BRB</x:v>
      </x:c>
      <x:c r="B493" s="2" t="str">
        <x:v>age_under15</x:v>
      </x:c>
      <x:c r="C493" s="2" t="n">
        <x:v>17.0636907405081</x:v>
      </x:c>
      <x:c r="D493" s="2" t="n">
        <x:v>2025</x:v>
      </x:c>
      <x:c r="E493" s="2" t="str">
        <x:v>WB_age_under15</x:v>
      </x:c>
      <x:c r="F493" s="2" t="str">
        <x:v>Population ages 0-14 (% of total population)</x:v>
      </x:c>
    </x:row>
    <x:row r="494" ht="44" customHeight="1">
      <x:c r="A494" s="2" t="str">
        <x:v>BRB</x:v>
      </x:c>
      <x:c r="B494" s="2" t="str">
        <x:v>age_over65</x:v>
      </x:c>
      <x:c r="C494" s="2" t="n">
        <x:v>17.0865126219157</x:v>
      </x:c>
      <x:c r="D494" s="2" t="n">
        <x:v>2025</x:v>
      </x:c>
      <x:c r="E494" s="2" t="str">
        <x:v>WB_age_over65</x:v>
      </x:c>
      <x:c r="F494" s="2" t="str">
        <x:v>Population ages 65 and above (% of total population)</x:v>
      </x:c>
    </x:row>
    <x:row r="495" ht="44" customHeight="1">
      <x:c r="A495" s="2" t="str">
        <x:v>BRB</x:v>
      </x:c>
      <x:c r="B495" s="2" t="str">
        <x:v>dependency_ratio</x:v>
      </x:c>
      <x:c r="C495" s="2" t="n">
        <x:v>51.8604888585599</x:v>
      </x:c>
      <x:c r="D495" s="2" t="n">
        <x:v>2025</x:v>
      </x:c>
      <x:c r="E495" s="2" t="str">
        <x:v>WB_dependency_ratio</x:v>
      </x:c>
      <x:c r="F495" s="2" t="str">
        <x:v>Age dependency ratio (% of working-age population)</x:v>
      </x:c>
    </x:row>
    <x:row r="496" ht="44" customHeight="1">
      <x:c r="A496" s="2" t="str">
        <x:v>BRB</x:v>
      </x:c>
      <x:c r="B496" s="2" t="str">
        <x:v>net_migration</x:v>
      </x:c>
      <x:c r="C496" s="2" t="n">
        <x:v>-87</x:v>
      </x:c>
      <x:c r="D496" s="2" t="n">
        <x:v>2025</x:v>
      </x:c>
      <x:c r="E496" s="2" t="str">
        <x:v>WB_net_migration</x:v>
      </x:c>
      <x:c r="F496" s="2" t="str">
        <x:v>Net migration</x:v>
      </x:c>
    </x:row>
    <x:row r="497" ht="44" customHeight="1">
      <x:c r="A497" s="2" t="str">
        <x:v>BRB</x:v>
      </x:c>
      <x:c r="B497" s="2" t="str">
        <x:v>real_gdp</x:v>
      </x:c>
      <x:c r="C497" s="2" t="n">
        <x:v>6504343545.82786</x:v>
      </x:c>
      <x:c r="D497" s="2" t="n">
        <x:v>2025</x:v>
      </x:c>
      <x:c r="E497" s="2" t="str">
        <x:v>WB_real_gdp</x:v>
      </x:c>
      <x:c r="F497" s="2" t="str">
        <x:v>GDP (constant 2015 US$)</x:v>
      </x:c>
    </x:row>
    <x:row r="498" ht="44" customHeight="1">
      <x:c r="A498" s="2" t="str">
        <x:v>BRB</x:v>
      </x:c>
      <x:c r="B498" s="2" t="str">
        <x:v>gdp_growth</x:v>
      </x:c>
      <x:c r="C498" s="2" t="n">
        <x:v>2.70000021764021</x:v>
      </x:c>
      <x:c r="D498" s="2" t="n">
        <x:v>2025</x:v>
      </x:c>
      <x:c r="E498" s="2" t="str">
        <x:v>WB_gdp_growth</x:v>
      </x:c>
      <x:c r="F498" s="2" t="str">
        <x:v>GDP growth (annual %)</x:v>
      </x:c>
    </x:row>
    <x:row r="499" ht="44" customHeight="1">
      <x:c r="A499" s="2" t="str">
        <x:v>BRB</x:v>
      </x:c>
      <x:c r="B499" s="2" t="str">
        <x:v>real_income</x:v>
      </x:c>
      <x:c r="C499" s="2" t="n">
        <x:v>23014.2045970351</x:v>
      </x:c>
      <x:c r="D499" s="2" t="n">
        <x:v>2025</x:v>
      </x:c>
      <x:c r="E499" s="2" t="str">
        <x:v>WB_real_income</x:v>
      </x:c>
      <x:c r="F499" s="2" t="str">
        <x:v>GDP per capita (constant 2015 US$)</x:v>
      </x:c>
    </x:row>
    <x:row r="500" ht="44" customHeight="1">
      <x:c r="A500" s="2" t="str">
        <x:v>BRB</x:v>
      </x:c>
      <x:c r="B500" s="2" t="str">
        <x:v>agriculture_gdp</x:v>
      </x:c>
      <x:c r="C500" s="2" t="n">
        <x:v>1.55475800099254</x:v>
      </x:c>
      <x:c r="D500" s="2" t="n">
        <x:v>2024</x:v>
      </x:c>
      <x:c r="E500" s="2" t="str">
        <x:v>WB_agriculture_gdp</x:v>
      </x:c>
      <x:c r="F500" s="2" t="str">
        <x:v>Agriculture, forestry, and fishing, value added (% of GDP)</x:v>
      </x:c>
    </x:row>
    <x:row r="501" ht="44" customHeight="1">
      <x:c r="A501" s="2" t="str">
        <x:v>BRB</x:v>
      </x:c>
      <x:c r="B501" s="2" t="str">
        <x:v>poverty</x:v>
      </x:c>
      <x:c r="C501" s="2" t="n">
        <x:v>1.7</x:v>
      </x:c>
      <x:c r="D501" s="2" t="n">
        <x:v>2016</x:v>
      </x:c>
      <x:c r="E501" s="2" t="str">
        <x:v>WB_poverty</x:v>
      </x:c>
      <x:c r="F501" s="2" t="str">
        <x:v>Poverty headcount ratio at $3.00 a day (2021 PPP) (% of population)</x:v>
      </x:c>
    </x:row>
    <x:row r="502" ht="44" customHeight="1">
      <x:c r="A502" s="2" t="str">
        <x:v>BRB</x:v>
      </x:c>
      <x:c r="B502" s="2" t="str">
        <x:v>gini</x:v>
      </x:c>
      <x:c r="C502" s="2" t="n">
        <x:v>34.1</x:v>
      </x:c>
      <x:c r="D502" s="2" t="n">
        <x:v>2016</x:v>
      </x:c>
      <x:c r="E502" s="2" t="str">
        <x:v>WB_gini</x:v>
      </x:c>
      <x:c r="F502" s="2" t="str">
        <x:v>Gini index</x:v>
      </x:c>
    </x:row>
    <x:row r="503" ht="44" customHeight="1">
      <x:c r="A503" s="2" t="str">
        <x:v>BRB</x:v>
      </x:c>
      <x:c r="B503" s="2" t="str">
        <x:v>unemployment</x:v>
      </x:c>
      <x:c r="C503" s="2" t="n">
        <x:v>6.524</x:v>
      </x:c>
      <x:c r="D503" s="2" t="n">
        <x:v>2025</x:v>
      </x:c>
      <x:c r="E503" s="2" t="str">
        <x:v>WB_unemployment</x:v>
      </x:c>
      <x:c r="F503" s="2" t="str">
        <x:v>Unemployment, total (% of total labor force) (modeled ILO estimate)</x:v>
      </x:c>
    </x:row>
    <x:row r="504" ht="44" customHeight="1">
      <x:c r="A504" s="2" t="str">
        <x:v>BRB</x:v>
      </x:c>
      <x:c r="B504" s="2" t="str">
        <x:v>private_credit</x:v>
      </x:c>
      <x:c r="C504" s="2" t="n">
        <x:v>59.7307883078148</x:v>
      </x:c>
      <x:c r="D504" s="2" t="n">
        <x:v>2023</x:v>
      </x:c>
      <x:c r="E504" s="2" t="str">
        <x:v>WB_private_credit</x:v>
      </x:c>
      <x:c r="F504" s="2" t="str">
        <x:v>Domestic credit to private sector (% of GDP)</x:v>
      </x:c>
    </x:row>
    <x:row r="505" ht="44" customHeight="1">
      <x:c r="A505" s="2" t="str">
        <x:v>BRB</x:v>
      </x:c>
      <x:c r="B505" s="2" t="str">
        <x:v>lending_rate</x:v>
      </x:c>
      <x:c r="C505" s="2" t="n">
        <x:v>8.05</x:v>
      </x:c>
      <x:c r="D505" s="2" t="n">
        <x:v>2022</x:v>
      </x:c>
      <x:c r="E505" s="2" t="str">
        <x:v>WB_lending_rate</x:v>
      </x:c>
      <x:c r="F505" s="2" t="str">
        <x:v>Lending interest rate (%)</x:v>
      </x:c>
    </x:row>
    <x:row r="506" ht="44" customHeight="1">
      <x:c r="A506" s="2" t="str">
        <x:v>BRB</x:v>
      </x:c>
      <x:c r="B506" s="2" t="str">
        <x:v>real_interest</x:v>
      </x:c>
      <x:c r="C506" s="2" t="n">
        <x:v>8.21987293200883</x:v>
      </x:c>
      <x:c r="D506" s="2" t="n">
        <x:v>2022</x:v>
      </x:c>
      <x:c r="E506" s="2" t="str">
        <x:v>WB_real_interest</x:v>
      </x:c>
      <x:c r="F506" s="2" t="str">
        <x:v>Real interest rate (%)</x:v>
      </x:c>
    </x:row>
    <x:row r="507" ht="44" customHeight="1">
      <x:c r="A507" s="2" t="str">
        <x:v>BRB</x:v>
      </x:c>
      <x:c r="B507" s="2" t="str">
        <x:v>government_debt</x:v>
      </x:c>
      <x:c r="C507" s="2" t="n">
        <x:v>125.033538406814</x:v>
      </x:c>
      <x:c r="D507" s="2" t="n">
        <x:v>2016</x:v>
      </x:c>
      <x:c r="E507" s="2" t="str">
        <x:v>WB_government_debt</x:v>
      </x:c>
      <x:c r="F507" s="2" t="str">
        <x:v>Central government debt, total (% of GDP)</x:v>
      </x:c>
    </x:row>
    <x:row r="508" ht="44" customHeight="1">
      <x:c r="A508" s="2" t="str">
        <x:v>BRB</x:v>
      </x:c>
      <x:c r="B508" s="2" t="str">
        <x:v>electricity_access</x:v>
      </x:c>
      <x:c r="C508" s="2" t="n">
        <x:v>100</x:v>
      </x:c>
      <x:c r="D508" s="2" t="n">
        <x:v>2024</x:v>
      </x:c>
      <x:c r="E508" s="2" t="str">
        <x:v>WB_electricity_access</x:v>
      </x:c>
      <x:c r="F508" s="2" t="str">
        <x:v>Access to electricity (% of population)</x:v>
      </x:c>
    </x:row>
    <x:row r="509" ht="44" customHeight="1">
      <x:c r="A509" s="2" t="str">
        <x:v>BRB</x:v>
      </x:c>
      <x:c r="B509" s="2" t="str">
        <x:v>irrigated_land</x:v>
      </x:c>
      <x:c r="C509" s="2"/>
      <x:c r="D509" s="2"/>
      <x:c r="E509" s="2" t="str">
        <x:v>Missing</x:v>
      </x:c>
      <x:c r="F509" s="2" t="str">
        <x:v>Agricultural irrigated land (% of total agricultural land)</x:v>
      </x:c>
    </x:row>
    <x:row r="510" ht="44" customHeight="1">
      <x:c r="A510" s="2" t="str">
        <x:v>BRB</x:v>
      </x:c>
      <x:c r="B510" s="2" t="str">
        <x:v>cereal_area</x:v>
      </x:c>
      <x:c r="C510" s="2" t="n">
        <x:v>0</x:v>
      </x:c>
      <x:c r="D510" s="2" t="n">
        <x:v>2024</x:v>
      </x:c>
      <x:c r="E510" s="2" t="str">
        <x:v>WB_cereal_area</x:v>
      </x:c>
      <x:c r="F510" s="2" t="str">
        <x:v>Land under cereal production (hectares)</x:v>
      </x:c>
    </x:row>
    <x:row r="511" ht="44" customHeight="1">
      <x:c r="A511" s="2" t="str">
        <x:v>BRB</x:v>
      </x:c>
      <x:c r="B511" s="2" t="str">
        <x:v>undernourishment</x:v>
      </x:c>
      <x:c r="C511" s="2" t="n">
        <x:v>4.4</x:v>
      </x:c>
      <x:c r="D511" s="2" t="n">
        <x:v>2023</x:v>
      </x:c>
      <x:c r="E511" s="2" t="str">
        <x:v>WB_undernourishment</x:v>
      </x:c>
      <x:c r="F511" s="2" t="str">
        <x:v>Prevalence of undernourishment (% of population)</x:v>
      </x:c>
    </x:row>
    <x:row r="512" ht="44" customHeight="1">
      <x:c r="A512" s="2" t="str">
        <x:v>BRB</x:v>
      </x:c>
      <x:c r="B512" s="2" t="str">
        <x:v>agriculture_employment</x:v>
      </x:c>
      <x:c r="C512" s="2" t="n">
        <x:v>1.24533440580262</x:v>
      </x:c>
      <x:c r="D512" s="2" t="n">
        <x:v>2025</x:v>
      </x:c>
      <x:c r="E512" s="2" t="str">
        <x:v>WB_agriculture_employment</x:v>
      </x:c>
      <x:c r="F512" s="2" t="str">
        <x:v>Employment in agriculture (% of total employment) (modeled ILO estimate)</x:v>
      </x:c>
    </x:row>
    <x:row r="513" ht="44" customHeight="1">
      <x:c r="A513" s="2" t="str">
        <x:v>BRB</x:v>
      </x:c>
      <x:c r="B513" s="2" t="str">
        <x:v>water_withdrawal</x:v>
      </x:c>
      <x:c r="C513" s="2" t="n">
        <x:v>87.5</x:v>
      </x:c>
      <x:c r="D513" s="2" t="n">
        <x:v>2022</x:v>
      </x:c>
      <x:c r="E513" s="2" t="str">
        <x:v>WB_water_withdrawal</x:v>
      </x:c>
      <x:c r="F513" s="2" t="str">
        <x:v>Annual freshwater withdrawals, total (% of internal resources)</x:v>
      </x:c>
    </x:row>
    <x:row r="514" ht="44" customHeight="1">
      <x:c r="A514" s="2" t="str">
        <x:v>BLR</x:v>
      </x:c>
      <x:c r="B514" s="2" t="str">
        <x:v>population</x:v>
      </x:c>
      <x:c r="C514" s="2" t="n">
        <x:v>9085991</x:v>
      </x:c>
      <x:c r="D514" s="2" t="n">
        <x:v>2025</x:v>
      </x:c>
      <x:c r="E514" s="2" t="str">
        <x:v>WB_population</x:v>
      </x:c>
      <x:c r="F514" s="2" t="str">
        <x:v>Population, total</x:v>
      </x:c>
    </x:row>
    <x:row r="515" ht="44" customHeight="1">
      <x:c r="A515" s="2" t="str">
        <x:v>BLR</x:v>
      </x:c>
      <x:c r="B515" s="2" t="str">
        <x:v>income_ppp</x:v>
      </x:c>
      <x:c r="C515" s="2" t="n">
        <x:v>29666.2115719117</x:v>
      </x:c>
      <x:c r="D515" s="2" t="n">
        <x:v>2025</x:v>
      </x:c>
      <x:c r="E515" s="2" t="str">
        <x:v>WB_income_ppp</x:v>
      </x:c>
      <x:c r="F515" s="2" t="str">
        <x:v>GDP per capita, PPP (constant 2021 international $)</x:v>
      </x:c>
    </x:row>
    <x:row r="516" ht="44" customHeight="1">
      <x:c r="A516" s="2" t="str">
        <x:v>BLR</x:v>
      </x:c>
      <x:c r="B516" s="2" t="str">
        <x:v>urban</x:v>
      </x:c>
      <x:c r="C516" s="2" t="n">
        <x:v>79.4945820380127</x:v>
      </x:c>
      <x:c r="D516" s="2" t="n">
        <x:v>2025</x:v>
      </x:c>
      <x:c r="E516" s="2" t="str">
        <x:v>WB_urban</x:v>
      </x:c>
      <x:c r="F516" s="2" t="str">
        <x:v>Urban population (% of total population)</x:v>
      </x:c>
    </x:row>
    <x:row r="517" ht="44" customHeight="1">
      <x:c r="A517" s="2" t="str">
        <x:v>BLR</x:v>
      </x:c>
      <x:c r="B517" s="2" t="str">
        <x:v>inflation</x:v>
      </x:c>
      <x:c r="C517" s="2" t="n">
        <x:v>6.59877945951182</x:v>
      </x:c>
      <x:c r="D517" s="2" t="n">
        <x:v>2025</x:v>
      </x:c>
      <x:c r="E517" s="2" t="str">
        <x:v>WB_inflation</x:v>
      </x:c>
      <x:c r="F517" s="2" t="str">
        <x:v>Inflation, consumer prices (annual %)</x:v>
      </x:c>
    </x:row>
    <x:row r="518" ht="44" customHeight="1">
      <x:c r="A518" s="2" t="str">
        <x:v>BLR</x:v>
      </x:c>
      <x:c r="B518" s="2" t="str">
        <x:v>food_index</x:v>
      </x:c>
      <x:c r="C518" s="2" t="n">
        <x:v>102.53</x:v>
      </x:c>
      <x:c r="D518" s="2" t="n">
        <x:v>2022</x:v>
      </x:c>
      <x:c r="E518" s="2" t="str">
        <x:v>WB_food_index</x:v>
      </x:c>
      <x:c r="F518" s="2" t="str">
        <x:v>Food production index (2014-2016 = 100)</x:v>
      </x:c>
    </x:row>
    <x:row r="519" ht="44" customHeight="1">
      <x:c r="A519" s="2" t="str">
        <x:v>BLR</x:v>
      </x:c>
      <x:c r="B519" s="2" t="str">
        <x:v>food_import_share</x:v>
      </x:c>
      <x:c r="C519" s="2" t="n">
        <x:v>10.3398378922726</x:v>
      </x:c>
      <x:c r="D519" s="2" t="n">
        <x:v>2021</x:v>
      </x:c>
      <x:c r="E519" s="2" t="str">
        <x:v>WB_food_import_share</x:v>
      </x:c>
      <x:c r="F519" s="2" t="str">
        <x:v>Food imports (% of merchandise imports)</x:v>
      </x:c>
    </x:row>
    <x:row r="520" ht="44" customHeight="1">
      <x:c r="A520" s="2" t="str">
        <x:v>BLR</x:v>
      </x:c>
      <x:c r="B520" s="2" t="str">
        <x:v>food_export_share</x:v>
      </x:c>
      <x:c r="C520" s="2" t="n">
        <x:v>16.6249564805082</x:v>
      </x:c>
      <x:c r="D520" s="2" t="n">
        <x:v>2021</x:v>
      </x:c>
      <x:c r="E520" s="2" t="str">
        <x:v>WB_food_export_share</x:v>
      </x:c>
      <x:c r="F520" s="2" t="str">
        <x:v>Food exports (% of merchandise exports)</x:v>
      </x:c>
    </x:row>
    <x:row r="521" ht="44" customHeight="1">
      <x:c r="A521" s="2" t="str">
        <x:v>BLR</x:v>
      </x:c>
      <x:c r="B521" s="2" t="str">
        <x:v>imports_usd</x:v>
      </x:c>
      <x:c r="C521" s="2" t="n">
        <x:v>48370000000</x:v>
      </x:c>
      <x:c r="D521" s="2" t="n">
        <x:v>2025</x:v>
      </x:c>
      <x:c r="E521" s="2" t="str">
        <x:v>WB_imports_usd</x:v>
      </x:c>
      <x:c r="F521" s="2" t="str">
        <x:v>Merchandise imports (current US$)</x:v>
      </x:c>
    </x:row>
    <x:row r="522" ht="44" customHeight="1">
      <x:c r="A522" s="2" t="str">
        <x:v>BLR</x:v>
      </x:c>
      <x:c r="B522" s="2" t="str">
        <x:v>exports_usd</x:v>
      </x:c>
      <x:c r="C522" s="2" t="n">
        <x:v>41395000000</x:v>
      </x:c>
      <x:c r="D522" s="2" t="n">
        <x:v>2025</x:v>
      </x:c>
      <x:c r="E522" s="2" t="str">
        <x:v>WB_exports_usd</x:v>
      </x:c>
      <x:c r="F522" s="2" t="str">
        <x:v>Merchandise exports (current US$)</x:v>
      </x:c>
    </x:row>
    <x:row r="523" ht="44" customHeight="1">
      <x:c r="A523" s="2" t="str">
        <x:v>BLR</x:v>
      </x:c>
      <x:c r="B523" s="2" t="str">
        <x:v>cereal_yield</x:v>
      </x:c>
      <x:c r="C523" s="2" t="n">
        <x:v>3394.8</x:v>
      </x:c>
      <x:c r="D523" s="2" t="n">
        <x:v>2024</x:v>
      </x:c>
      <x:c r="E523" s="2" t="str">
        <x:v>WB_cereal_yield</x:v>
      </x:c>
      <x:c r="F523" s="2" t="str">
        <x:v>Cereal yield (kg per hectare)</x:v>
      </x:c>
    </x:row>
    <x:row r="524" ht="44" customHeight="1">
      <x:c r="A524" s="2" t="str">
        <x:v>BLR</x:v>
      </x:c>
      <x:c r="B524" s="2" t="str">
        <x:v>water_stress</x:v>
      </x:c>
      <x:c r="C524" s="2" t="n">
        <x:v>4.660514173</x:v>
      </x:c>
      <x:c r="D524" s="2" t="n">
        <x:v>2022</x:v>
      </x:c>
      <x:c r="E524" s="2" t="str">
        <x:v>WB_water_stress</x:v>
      </x:c>
      <x:c r="F524" s="2" t="str">
        <x:v>Level of water stress: freshwater withdrawal as a proportion of available freshwater resources</x:v>
      </x:c>
    </x:row>
    <x:row r="525" ht="44" customHeight="1">
      <x:c r="A525" s="2" t="str">
        <x:v>BLR</x:v>
      </x:c>
      <x:c r="B525" s="2" t="str">
        <x:v>fertility</x:v>
      </x:c>
      <x:c r="C525" s="2" t="n">
        <x:v>1.217</x:v>
      </x:c>
      <x:c r="D525" s="2" t="n">
        <x:v>2024</x:v>
      </x:c>
      <x:c r="E525" s="2" t="str">
        <x:v>WB_fertility</x:v>
      </x:c>
      <x:c r="F525" s="2" t="str">
        <x:v>Fertility rate, total (births per woman)</x:v>
      </x:c>
    </x:row>
    <x:row r="526" ht="44" customHeight="1">
      <x:c r="A526" s="2" t="str">
        <x:v>BLR</x:v>
      </x:c>
      <x:c r="B526" s="2" t="str">
        <x:v>life_expectancy</x:v>
      </x:c>
      <x:c r="C526" s="2" t="n">
        <x:v>74.3653414634147</x:v>
      </x:c>
      <x:c r="D526" s="2" t="n">
        <x:v>2024</x:v>
      </x:c>
      <x:c r="E526" s="2" t="str">
        <x:v>WB_life_expectancy</x:v>
      </x:c>
      <x:c r="F526" s="2" t="str">
        <x:v>Life expectancy at birth, total (years)</x:v>
      </x:c>
    </x:row>
    <x:row r="527" ht="44" customHeight="1">
      <x:c r="A527" s="2" t="str">
        <x:v>BLR</x:v>
      </x:c>
      <x:c r="B527" s="2" t="str">
        <x:v>age_under15</x:v>
      </x:c>
      <x:c r="C527" s="2" t="n">
        <x:v>15.8888261684807</x:v>
      </x:c>
      <x:c r="D527" s="2" t="n">
        <x:v>2025</x:v>
      </x:c>
      <x:c r="E527" s="2" t="str">
        <x:v>WB_age_under15</x:v>
      </x:c>
      <x:c r="F527" s="2" t="str">
        <x:v>Population ages 0-14 (% of total population)</x:v>
      </x:c>
    </x:row>
    <x:row r="528" ht="44" customHeight="1">
      <x:c r="A528" s="2" t="str">
        <x:v>BLR</x:v>
      </x:c>
      <x:c r="B528" s="2" t="str">
        <x:v>age_over65</x:v>
      </x:c>
      <x:c r="C528" s="2" t="n">
        <x:v>18.2845697904208</x:v>
      </x:c>
      <x:c r="D528" s="2" t="n">
        <x:v>2025</x:v>
      </x:c>
      <x:c r="E528" s="2" t="str">
        <x:v>WB_age_over65</x:v>
      </x:c>
      <x:c r="F528" s="2" t="str">
        <x:v>Population ages 65 and above (% of total population)</x:v>
      </x:c>
    </x:row>
    <x:row r="529" ht="44" customHeight="1">
      <x:c r="A529" s="2" t="str">
        <x:v>BLR</x:v>
      </x:c>
      <x:c r="B529" s="2" t="str">
        <x:v>dependency_ratio</x:v>
      </x:c>
      <x:c r="C529" s="2" t="n">
        <x:v>51.9142537893753</x:v>
      </x:c>
      <x:c r="D529" s="2" t="n">
        <x:v>2025</x:v>
      </x:c>
      <x:c r="E529" s="2" t="str">
        <x:v>WB_dependency_ratio</x:v>
      </x:c>
      <x:c r="F529" s="2" t="str">
        <x:v>Age dependency ratio (% of working-age population)</x:v>
      </x:c>
    </x:row>
    <x:row r="530" ht="44" customHeight="1">
      <x:c r="A530" s="2" t="str">
        <x:v>BLR</x:v>
      </x:c>
      <x:c r="B530" s="2" t="str">
        <x:v>net_migration</x:v>
      </x:c>
      <x:c r="C530" s="2" t="n">
        <x:v>-3020</x:v>
      </x:c>
      <x:c r="D530" s="2" t="n">
        <x:v>2025</x:v>
      </x:c>
      <x:c r="E530" s="2" t="str">
        <x:v>WB_net_migration</x:v>
      </x:c>
      <x:c r="F530" s="2" t="str">
        <x:v>Net migration</x:v>
      </x:c>
    </x:row>
    <x:row r="531" ht="44" customHeight="1">
      <x:c r="A531" s="2" t="str">
        <x:v>BLR</x:v>
      </x:c>
      <x:c r="B531" s="2" t="str">
        <x:v>real_gdp</x:v>
      </x:c>
      <x:c r="C531" s="2" t="n">
        <x:v>63041907030.8365</x:v>
      </x:c>
      <x:c r="D531" s="2" t="n">
        <x:v>2025</x:v>
      </x:c>
      <x:c r="E531" s="2" t="str">
        <x:v>WB_real_gdp</x:v>
      </x:c>
      <x:c r="F531" s="2" t="str">
        <x:v>GDP (constant 2015 US$)</x:v>
      </x:c>
    </x:row>
    <x:row r="532" ht="44" customHeight="1">
      <x:c r="A532" s="2" t="str">
        <x:v>BLR</x:v>
      </x:c>
      <x:c r="B532" s="2" t="str">
        <x:v>gdp_growth</x:v>
      </x:c>
      <x:c r="C532" s="2" t="n">
        <x:v>1.29999999999998</x:v>
      </x:c>
      <x:c r="D532" s="2" t="n">
        <x:v>2025</x:v>
      </x:c>
      <x:c r="E532" s="2" t="str">
        <x:v>WB_gdp_growth</x:v>
      </x:c>
      <x:c r="F532" s="2" t="str">
        <x:v>GDP growth (annual %)</x:v>
      </x:c>
    </x:row>
    <x:row r="533" ht="44" customHeight="1">
      <x:c r="A533" s="2" t="str">
        <x:v>BLR</x:v>
      </x:c>
      <x:c r="B533" s="2" t="str">
        <x:v>real_income</x:v>
      </x:c>
      <x:c r="C533" s="2" t="n">
        <x:v>6938.36335858537</x:v>
      </x:c>
      <x:c r="D533" s="2" t="n">
        <x:v>2025</x:v>
      </x:c>
      <x:c r="E533" s="2" t="str">
        <x:v>WB_real_income</x:v>
      </x:c>
      <x:c r="F533" s="2" t="str">
        <x:v>GDP per capita (constant 2015 US$)</x:v>
      </x:c>
    </x:row>
    <x:row r="534" ht="44" customHeight="1">
      <x:c r="A534" s="2" t="str">
        <x:v>BLR</x:v>
      </x:c>
      <x:c r="B534" s="2" t="str">
        <x:v>agriculture_gdp</x:v>
      </x:c>
      <x:c r="C534" s="2" t="n">
        <x:v>6.89927975485292</x:v>
      </x:c>
      <x:c r="D534" s="2" t="n">
        <x:v>2025</x:v>
      </x:c>
      <x:c r="E534" s="2" t="str">
        <x:v>WB_agriculture_gdp</x:v>
      </x:c>
      <x:c r="F534" s="2" t="str">
        <x:v>Agriculture, forestry, and fishing, value added (% of GDP)</x:v>
      </x:c>
    </x:row>
    <x:row r="535" ht="44" customHeight="1">
      <x:c r="A535" s="2" t="str">
        <x:v>BLR</x:v>
      </x:c>
      <x:c r="B535" s="2" t="str">
        <x:v>poverty</x:v>
      </x:c>
      <x:c r="C535" s="2" t="n">
        <x:v>0</x:v>
      </x:c>
      <x:c r="D535" s="2" t="n">
        <x:v>2020</x:v>
      </x:c>
      <x:c r="E535" s="2" t="str">
        <x:v>WB_poverty</x:v>
      </x:c>
      <x:c r="F535" s="2" t="str">
        <x:v>Poverty headcount ratio at $3.00 a day (2021 PPP) (% of population)</x:v>
      </x:c>
    </x:row>
    <x:row r="536" ht="44" customHeight="1">
      <x:c r="A536" s="2" t="str">
        <x:v>BLR</x:v>
      </x:c>
      <x:c r="B536" s="2" t="str">
        <x:v>gini</x:v>
      </x:c>
      <x:c r="C536" s="2" t="n">
        <x:v>24.4</x:v>
      </x:c>
      <x:c r="D536" s="2" t="n">
        <x:v>2020</x:v>
      </x:c>
      <x:c r="E536" s="2" t="str">
        <x:v>WB_gini</x:v>
      </x:c>
      <x:c r="F536" s="2" t="str">
        <x:v>Gini index</x:v>
      </x:c>
    </x:row>
    <x:row r="537" ht="44" customHeight="1">
      <x:c r="A537" s="2" t="str">
        <x:v>BLR</x:v>
      </x:c>
      <x:c r="B537" s="2" t="str">
        <x:v>unemployment</x:v>
      </x:c>
      <x:c r="C537" s="2" t="n">
        <x:v>3.38</x:v>
      </x:c>
      <x:c r="D537" s="2" t="n">
        <x:v>2025</x:v>
      </x:c>
      <x:c r="E537" s="2" t="str">
        <x:v>WB_unemployment</x:v>
      </x:c>
      <x:c r="F537" s="2" t="str">
        <x:v>Unemployment, total (% of total labor force) (modeled ILO estimate)</x:v>
      </x:c>
    </x:row>
    <x:row r="538" ht="44" customHeight="1">
      <x:c r="A538" s="2" t="str">
        <x:v>BLR</x:v>
      </x:c>
      <x:c r="B538" s="2" t="str">
        <x:v>private_credit</x:v>
      </x:c>
      <x:c r="C538" s="2" t="n">
        <x:v>29.1729868961267</x:v>
      </x:c>
      <x:c r="D538" s="2" t="n">
        <x:v>2021</x:v>
      </x:c>
      <x:c r="E538" s="2" t="str">
        <x:v>WB_private_credit</x:v>
      </x:c>
      <x:c r="F538" s="2" t="str">
        <x:v>Domestic credit to private sector (% of GDP)</x:v>
      </x:c>
    </x:row>
    <x:row r="539" ht="44" customHeight="1">
      <x:c r="A539" s="2" t="str">
        <x:v>BLR</x:v>
      </x:c>
      <x:c r="B539" s="2" t="str">
        <x:v>lending_rate</x:v>
      </x:c>
      <x:c r="C539" s="2" t="n">
        <x:v>10.9451669828601</x:v>
      </x:c>
      <x:c r="D539" s="2" t="n">
        <x:v>2025</x:v>
      </x:c>
      <x:c r="E539" s="2" t="str">
        <x:v>WB_lending_rate</x:v>
      </x:c>
      <x:c r="F539" s="2" t="str">
        <x:v>Lending interest rate (%)</x:v>
      </x:c>
    </x:row>
    <x:row r="540" ht="44" customHeight="1">
      <x:c r="A540" s="2" t="str">
        <x:v>BLR</x:v>
      </x:c>
      <x:c r="B540" s="2" t="str">
        <x:v>real_interest</x:v>
      </x:c>
      <x:c r="C540" s="2" t="n">
        <x:v>0.0262315298367889</x:v>
      </x:c>
      <x:c r="D540" s="2" t="n">
        <x:v>2025</x:v>
      </x:c>
      <x:c r="E540" s="2" t="str">
        <x:v>WB_real_interest</x:v>
      </x:c>
      <x:c r="F540" s="2" t="str">
        <x:v>Real interest rate (%)</x:v>
      </x:c>
    </x:row>
    <x:row r="541" ht="44" customHeight="1">
      <x:c r="A541" s="2" t="str">
        <x:v>BLR</x:v>
      </x:c>
      <x:c r="B541" s="2" t="str">
        <x:v>government_debt</x:v>
      </x:c>
      <x:c r="C541" s="2" t="n">
        <x:v>33.2442039424903</x:v>
      </x:c>
      <x:c r="D541" s="2" t="n">
        <x:v>2019</x:v>
      </x:c>
      <x:c r="E541" s="2" t="str">
        <x:v>WB_government_debt</x:v>
      </x:c>
      <x:c r="F541" s="2" t="str">
        <x:v>Central government debt, total (% of GDP)</x:v>
      </x:c>
    </x:row>
    <x:row r="542" ht="44" customHeight="1">
      <x:c r="A542" s="2" t="str">
        <x:v>BLR</x:v>
      </x:c>
      <x:c r="B542" s="2" t="str">
        <x:v>electricity_access</x:v>
      </x:c>
      <x:c r="C542" s="2" t="n">
        <x:v>100</x:v>
      </x:c>
      <x:c r="D542" s="2" t="n">
        <x:v>2024</x:v>
      </x:c>
      <x:c r="E542" s="2" t="str">
        <x:v>WB_electricity_access</x:v>
      </x:c>
      <x:c r="F542" s="2" t="str">
        <x:v>Access to electricity (% of population)</x:v>
      </x:c>
    </x:row>
    <x:row r="543" ht="44" customHeight="1">
      <x:c r="A543" s="2" t="str">
        <x:v>BLR</x:v>
      </x:c>
      <x:c r="B543" s="2" t="str">
        <x:v>irrigated_land</x:v>
      </x:c>
      <x:c r="C543" s="2" t="n">
        <x:v>0.318645755538959</x:v>
      </x:c>
      <x:c r="D543" s="2" t="n">
        <x:v>2023</x:v>
      </x:c>
      <x:c r="E543" s="2" t="str">
        <x:v>WB_irrigated_land</x:v>
      </x:c>
      <x:c r="F543" s="2" t="str">
        <x:v>Agricultural irrigated land (% of total agricultural land)</x:v>
      </x:c>
    </x:row>
    <x:row r="544" ht="44" customHeight="1">
      <x:c r="A544" s="2" t="str">
        <x:v>BLR</x:v>
      </x:c>
      <x:c r="B544" s="2" t="str">
        <x:v>cereal_area</x:v>
      </x:c>
      <x:c r="C544" s="2" t="n">
        <x:v>2277596</x:v>
      </x:c>
      <x:c r="D544" s="2" t="n">
        <x:v>2024</x:v>
      </x:c>
      <x:c r="E544" s="2" t="str">
        <x:v>WB_cereal_area</x:v>
      </x:c>
      <x:c r="F544" s="2" t="str">
        <x:v>Land under cereal production (hectares)</x:v>
      </x:c>
    </x:row>
    <x:row r="545" ht="44" customHeight="1">
      <x:c r="A545" s="2" t="str">
        <x:v>BLR</x:v>
      </x:c>
      <x:c r="B545" s="2" t="str">
        <x:v>undernourishment</x:v>
      </x:c>
      <x:c r="C545" s="2" t="n">
        <x:v>2.5</x:v>
      </x:c>
      <x:c r="D545" s="2" t="n">
        <x:v>2023</x:v>
      </x:c>
      <x:c r="E545" s="2" t="str">
        <x:v>WB_undernourishment</x:v>
      </x:c>
      <x:c r="F545" s="2" t="str">
        <x:v>Prevalence of undernourishment (% of population)</x:v>
      </x:c>
    </x:row>
    <x:row r="546" ht="44" customHeight="1">
      <x:c r="A546" s="2" t="str">
        <x:v>BLR</x:v>
      </x:c>
      <x:c r="B546" s="2" t="str">
        <x:v>agriculture_employment</x:v>
      </x:c>
      <x:c r="C546" s="2" t="n">
        <x:v>9.47837477332961</x:v>
      </x:c>
      <x:c r="D546" s="2" t="n">
        <x:v>2025</x:v>
      </x:c>
      <x:c r="E546" s="2" t="str">
        <x:v>WB_agriculture_employment</x:v>
      </x:c>
      <x:c r="F546" s="2" t="str">
        <x:v>Employment in agriculture (% of total employment) (modeled ILO estimate)</x:v>
      </x:c>
    </x:row>
    <x:row r="547" ht="44" customHeight="1">
      <x:c r="A547" s="2" t="str">
        <x:v>BLR</x:v>
      </x:c>
      <x:c r="B547" s="2" t="str">
        <x:v>water_withdrawal</x:v>
      </x:c>
      <x:c r="C547" s="2" t="n">
        <x:v>4.15882352941177</x:v>
      </x:c>
      <x:c r="D547" s="2" t="n">
        <x:v>2022</x:v>
      </x:c>
      <x:c r="E547" s="2" t="str">
        <x:v>WB_water_withdrawal</x:v>
      </x:c>
      <x:c r="F547" s="2" t="str">
        <x:v>Annual freshwater withdrawals, total (% of internal resources)</x:v>
      </x:c>
    </x:row>
    <x:row r="548" ht="44" customHeight="1">
      <x:c r="A548" s="2" t="str">
        <x:v>BEL</x:v>
      </x:c>
      <x:c r="B548" s="2" t="str">
        <x:v>population</x:v>
      </x:c>
      <x:c r="C548" s="2" t="n">
        <x:v>11941781</x:v>
      </x:c>
      <x:c r="D548" s="2" t="n">
        <x:v>2025</x:v>
      </x:c>
      <x:c r="E548" s="2" t="str">
        <x:v>WB_population</x:v>
      </x:c>
      <x:c r="F548" s="2" t="str">
        <x:v>Population, total</x:v>
      </x:c>
    </x:row>
    <x:row r="549" ht="44" customHeight="1">
      <x:c r="A549" s="2" t="str">
        <x:v>BEL</x:v>
      </x:c>
      <x:c r="B549" s="2" t="str">
        <x:v>income_ppp</x:v>
      </x:c>
      <x:c r="C549" s="2" t="n">
        <x:v>63488.4217622523</x:v>
      </x:c>
      <x:c r="D549" s="2" t="n">
        <x:v>2025</x:v>
      </x:c>
      <x:c r="E549" s="2" t="str">
        <x:v>WB_income_ppp</x:v>
      </x:c>
      <x:c r="F549" s="2" t="str">
        <x:v>GDP per capita, PPP (constant 2021 international $)</x:v>
      </x:c>
    </x:row>
    <x:row r="550" ht="44" customHeight="1">
      <x:c r="A550" s="2" t="str">
        <x:v>BEL</x:v>
      </x:c>
      <x:c r="B550" s="2" t="str">
        <x:v>urban</x:v>
      </x:c>
      <x:c r="C550" s="2" t="n">
        <x:v>87.6726083114649</x:v>
      </x:c>
      <x:c r="D550" s="2" t="n">
        <x:v>2025</x:v>
      </x:c>
      <x:c r="E550" s="2" t="str">
        <x:v>WB_urban</x:v>
      </x:c>
      <x:c r="F550" s="2" t="str">
        <x:v>Urban population (% of total population)</x:v>
      </x:c>
    </x:row>
    <x:row r="551" ht="44" customHeight="1">
      <x:c r="A551" s="2" t="str">
        <x:v>BEL</x:v>
      </x:c>
      <x:c r="B551" s="2" t="str">
        <x:v>inflation</x:v>
      </x:c>
      <x:c r="C551" s="2" t="n">
        <x:v>2.46705543774613</x:v>
      </x:c>
      <x:c r="D551" s="2" t="n">
        <x:v>2025</x:v>
      </x:c>
      <x:c r="E551" s="2" t="str">
        <x:v>WB_inflation</x:v>
      </x:c>
      <x:c r="F551" s="2" t="str">
        <x:v>Inflation, consumer prices (annual %)</x:v>
      </x:c>
    </x:row>
    <x:row r="552" ht="44" customHeight="1">
      <x:c r="A552" s="2" t="str">
        <x:v>BEL</x:v>
      </x:c>
      <x:c r="B552" s="2" t="str">
        <x:v>food_index</x:v>
      </x:c>
      <x:c r="C552" s="2" t="n">
        <x:v>100</x:v>
      </x:c>
      <x:c r="D552" s="2" t="n">
        <x:v>2022</x:v>
      </x:c>
      <x:c r="E552" s="2" t="str">
        <x:v>WB_food_index</x:v>
      </x:c>
      <x:c r="F552" s="2" t="str">
        <x:v>Food production index (2014-2016 = 100)</x:v>
      </x:c>
    </x:row>
    <x:row r="553" ht="44" customHeight="1">
      <x:c r="A553" s="2" t="str">
        <x:v>BEL</x:v>
      </x:c>
      <x:c r="B553" s="2" t="str">
        <x:v>food_import_share</x:v>
      </x:c>
      <x:c r="C553" s="2" t="n">
        <x:v>11.812910315023</x:v>
      </x:c>
      <x:c r="D553" s="2" t="n">
        <x:v>2024</x:v>
      </x:c>
      <x:c r="E553" s="2" t="str">
        <x:v>WB_food_import_share</x:v>
      </x:c>
      <x:c r="F553" s="2" t="str">
        <x:v>Food imports (% of merchandise imports)</x:v>
      </x:c>
    </x:row>
    <x:row r="554" ht="44" customHeight="1">
      <x:c r="A554" s="2" t="str">
        <x:v>BEL</x:v>
      </x:c>
      <x:c r="B554" s="2" t="str">
        <x:v>food_export_share</x:v>
      </x:c>
      <x:c r="C554" s="2" t="n">
        <x:v>13.3056656537319</x:v>
      </x:c>
      <x:c r="D554" s="2" t="n">
        <x:v>2024</x:v>
      </x:c>
      <x:c r="E554" s="2" t="str">
        <x:v>WB_food_export_share</x:v>
      </x:c>
      <x:c r="F554" s="2" t="str">
        <x:v>Food exports (% of merchandise exports)</x:v>
      </x:c>
    </x:row>
    <x:row r="555" ht="44" customHeight="1">
      <x:c r="A555" s="2" t="str">
        <x:v>BEL</x:v>
      </x:c>
      <x:c r="B555" s="2" t="str">
        <x:v>imports_usd</x:v>
      </x:c>
      <x:c r="C555" s="2" t="n">
        <x:v>537701000000</x:v>
      </x:c>
      <x:c r="D555" s="2" t="n">
        <x:v>2025</x:v>
      </x:c>
      <x:c r="E555" s="2" t="str">
        <x:v>WB_imports_usd</x:v>
      </x:c>
      <x:c r="F555" s="2" t="str">
        <x:v>Merchandise imports (current US$)</x:v>
      </x:c>
    </x:row>
    <x:row r="556" ht="44" customHeight="1">
      <x:c r="A556" s="2" t="str">
        <x:v>BEL</x:v>
      </x:c>
      <x:c r="B556" s="2" t="str">
        <x:v>exports_usd</x:v>
      </x:c>
      <x:c r="C556" s="2" t="n">
        <x:v>568105000000</x:v>
      </x:c>
      <x:c r="D556" s="2" t="n">
        <x:v>2025</x:v>
      </x:c>
      <x:c r="E556" s="2" t="str">
        <x:v>WB_exports_usd</x:v>
      </x:c>
      <x:c r="F556" s="2" t="str">
        <x:v>Merchandise exports (current US$)</x:v>
      </x:c>
    </x:row>
    <x:row r="557" ht="44" customHeight="1">
      <x:c r="A557" s="2" t="str">
        <x:v>BEL</x:v>
      </x:c>
      <x:c r="B557" s="2" t="str">
        <x:v>cereal_yield</x:v>
      </x:c>
      <x:c r="C557" s="2" t="n">
        <x:v>8485.7</x:v>
      </x:c>
      <x:c r="D557" s="2" t="n">
        <x:v>2023</x:v>
      </x:c>
      <x:c r="E557" s="2" t="str">
        <x:v>WB_cereal_yield</x:v>
      </x:c>
      <x:c r="F557" s="2" t="str">
        <x:v>Cereal yield (kg per hectare)</x:v>
      </x:c>
    </x:row>
    <x:row r="558" ht="44" customHeight="1">
      <x:c r="A558" s="2" t="str">
        <x:v>BEL</x:v>
      </x:c>
      <x:c r="B558" s="2" t="str">
        <x:v>water_stress</x:v>
      </x:c>
      <x:c r="C558" s="2" t="n">
        <x:v>52.82574225</x:v>
      </x:c>
      <x:c r="D558" s="2" t="n">
        <x:v>2022</x:v>
      </x:c>
      <x:c r="E558" s="2" t="str">
        <x:v>WB_water_stress</x:v>
      </x:c>
      <x:c r="F558" s="2" t="str">
        <x:v>Level of water stress: freshwater withdrawal as a proportion of available freshwater resources</x:v>
      </x:c>
    </x:row>
    <x:row r="559" ht="44" customHeight="1">
      <x:c r="A559" s="2" t="str">
        <x:v>BEL</x:v>
      </x:c>
      <x:c r="B559" s="2" t="str">
        <x:v>fertility</x:v>
      </x:c>
      <x:c r="C559" s="2" t="n">
        <x:v>1.44</x:v>
      </x:c>
      <x:c r="D559" s="2" t="n">
        <x:v>2024</x:v>
      </x:c>
      <x:c r="E559" s="2" t="str">
        <x:v>WB_fertility</x:v>
      </x:c>
      <x:c r="F559" s="2" t="str">
        <x:v>Fertility rate, total (births per woman)</x:v>
      </x:c>
    </x:row>
    <x:row r="560" ht="44" customHeight="1">
      <x:c r="A560" s="2" t="str">
        <x:v>BEL</x:v>
      </x:c>
      <x:c r="B560" s="2" t="str">
        <x:v>life_expectancy</x:v>
      </x:c>
      <x:c r="C560" s="2" t="n">
        <x:v>82.3</x:v>
      </x:c>
      <x:c r="D560" s="2" t="n">
        <x:v>2024</x:v>
      </x:c>
      <x:c r="E560" s="2" t="str">
        <x:v>WB_life_expectancy</x:v>
      </x:c>
      <x:c r="F560" s="2" t="str">
        <x:v>Life expectancy at birth, total (years)</x:v>
      </x:c>
    </x:row>
    <x:row r="561" ht="44" customHeight="1">
      <x:c r="A561" s="2" t="str">
        <x:v>BEL</x:v>
      </x:c>
      <x:c r="B561" s="2" t="str">
        <x:v>age_under15</x:v>
      </x:c>
      <x:c r="C561" s="2" t="n">
        <x:v>15.7038467920041</x:v>
      </x:c>
      <x:c r="D561" s="2" t="n">
        <x:v>2025</x:v>
      </x:c>
      <x:c r="E561" s="2" t="str">
        <x:v>WB_age_under15</x:v>
      </x:c>
      <x:c r="F561" s="2" t="str">
        <x:v>Population ages 0-14 (% of total population)</x:v>
      </x:c>
    </x:row>
    <x:row r="562" ht="44" customHeight="1">
      <x:c r="A562" s="2" t="str">
        <x:v>BEL</x:v>
      </x:c>
      <x:c r="B562" s="2" t="str">
        <x:v>age_over65</x:v>
      </x:c>
      <x:c r="C562" s="2" t="n">
        <x:v>20.9608828531757</x:v>
      </x:c>
      <x:c r="D562" s="2" t="n">
        <x:v>2025</x:v>
      </x:c>
      <x:c r="E562" s="2" t="str">
        <x:v>WB_age_over65</x:v>
      </x:c>
      <x:c r="F562" s="2" t="str">
        <x:v>Population ages 65 and above (% of total population)</x:v>
      </x:c>
    </x:row>
    <x:row r="563" ht="44" customHeight="1">
      <x:c r="A563" s="2" t="str">
        <x:v>BEL</x:v>
      </x:c>
      <x:c r="B563" s="2" t="str">
        <x:v>dependency_ratio</x:v>
      </x:c>
      <x:c r="C563" s="2" t="n">
        <x:v>57.8899137274854</x:v>
      </x:c>
      <x:c r="D563" s="2" t="n">
        <x:v>2025</x:v>
      </x:c>
      <x:c r="E563" s="2" t="str">
        <x:v>WB_dependency_ratio</x:v>
      </x:c>
      <x:c r="F563" s="2" t="str">
        <x:v>Age dependency ratio (% of working-age population)</x:v>
      </x:c>
    </x:row>
    <x:row r="564" ht="44" customHeight="1">
      <x:c r="A564" s="2" t="str">
        <x:v>BEL</x:v>
      </x:c>
      <x:c r="B564" s="2" t="str">
        <x:v>net_migration</x:v>
      </x:c>
      <x:c r="C564" s="2" t="n">
        <x:v>31989</x:v>
      </x:c>
      <x:c r="D564" s="2" t="n">
        <x:v>2025</x:v>
      </x:c>
      <x:c r="E564" s="2" t="str">
        <x:v>WB_net_migration</x:v>
      </x:c>
      <x:c r="F564" s="2" t="str">
        <x:v>Net migration</x:v>
      </x:c>
    </x:row>
    <x:row r="565" ht="44" customHeight="1">
      <x:c r="A565" s="2" t="str">
        <x:v>BEL</x:v>
      </x:c>
      <x:c r="B565" s="2" t="str">
        <x:v>real_gdp</x:v>
      </x:c>
      <x:c r="C565" s="2" t="n">
        <x:v>539119634585.727</x:v>
      </x:c>
      <x:c r="D565" s="2" t="n">
        <x:v>2025</x:v>
      </x:c>
      <x:c r="E565" s="2" t="str">
        <x:v>WB_real_gdp</x:v>
      </x:c>
      <x:c r="F565" s="2" t="str">
        <x:v>GDP (constant 2015 US$)</x:v>
      </x:c>
    </x:row>
    <x:row r="566" ht="44" customHeight="1">
      <x:c r="A566" s="2" t="str">
        <x:v>BEL</x:v>
      </x:c>
      <x:c r="B566" s="2" t="str">
        <x:v>gdp_growth</x:v>
      </x:c>
      <x:c r="C566" s="2" t="n">
        <x:v>0.983117967125935</x:v>
      </x:c>
      <x:c r="D566" s="2" t="n">
        <x:v>2025</x:v>
      </x:c>
      <x:c r="E566" s="2" t="str">
        <x:v>WB_gdp_growth</x:v>
      </x:c>
      <x:c r="F566" s="2" t="str">
        <x:v>GDP growth (annual %)</x:v>
      </x:c>
    </x:row>
    <x:row r="567" ht="44" customHeight="1">
      <x:c r="A567" s="2" t="str">
        <x:v>BEL</x:v>
      </x:c>
      <x:c r="B567" s="2" t="str">
        <x:v>real_income</x:v>
      </x:c>
      <x:c r="C567" s="2" t="n">
        <x:v>45145.6641673237</x:v>
      </x:c>
      <x:c r="D567" s="2" t="n">
        <x:v>2025</x:v>
      </x:c>
      <x:c r="E567" s="2" t="str">
        <x:v>WB_real_income</x:v>
      </x:c>
      <x:c r="F567" s="2" t="str">
        <x:v>GDP per capita (constant 2015 US$)</x:v>
      </x:c>
    </x:row>
    <x:row r="568" ht="44" customHeight="1">
      <x:c r="A568" s="2" t="str">
        <x:v>BEL</x:v>
      </x:c>
      <x:c r="B568" s="2" t="str">
        <x:v>agriculture_gdp</x:v>
      </x:c>
      <x:c r="C568" s="2" t="n">
        <x:v>0.730169514651754</x:v>
      </x:c>
      <x:c r="D568" s="2" t="n">
        <x:v>2025</x:v>
      </x:c>
      <x:c r="E568" s="2" t="str">
        <x:v>WB_agriculture_gdp</x:v>
      </x:c>
      <x:c r="F568" s="2" t="str">
        <x:v>Agriculture, forestry, and fishing, value added (% of GDP)</x:v>
      </x:c>
    </x:row>
    <x:row r="569" ht="44" customHeight="1">
      <x:c r="A569" s="2" t="str">
        <x:v>BEL</x:v>
      </x:c>
      <x:c r="B569" s="2" t="str">
        <x:v>poverty</x:v>
      </x:c>
      <x:c r="C569" s="2" t="n">
        <x:v>0.1</x:v>
      </x:c>
      <x:c r="D569" s="2" t="n">
        <x:v>2023</x:v>
      </x:c>
      <x:c r="E569" s="2" t="str">
        <x:v>WB_poverty</x:v>
      </x:c>
      <x:c r="F569" s="2" t="str">
        <x:v>Poverty headcount ratio at $3.00 a day (2021 PPP) (% of population)</x:v>
      </x:c>
    </x:row>
    <x:row r="570" ht="44" customHeight="1">
      <x:c r="A570" s="2" t="str">
        <x:v>BEL</x:v>
      </x:c>
      <x:c r="B570" s="2" t="str">
        <x:v>gini</x:v>
      </x:c>
      <x:c r="C570" s="2" t="n">
        <x:v>26.8</x:v>
      </x:c>
      <x:c r="D570" s="2" t="n">
        <x:v>2023</x:v>
      </x:c>
      <x:c r="E570" s="2" t="str">
        <x:v>WB_gini</x:v>
      </x:c>
      <x:c r="F570" s="2" t="str">
        <x:v>Gini index</x:v>
      </x:c>
    </x:row>
    <x:row r="571" ht="44" customHeight="1">
      <x:c r="A571" s="2" t="str">
        <x:v>BEL</x:v>
      </x:c>
      <x:c r="B571" s="2" t="str">
        <x:v>unemployment</x:v>
      </x:c>
      <x:c r="C571" s="2" t="n">
        <x:v>5.906</x:v>
      </x:c>
      <x:c r="D571" s="2" t="n">
        <x:v>2025</x:v>
      </x:c>
      <x:c r="E571" s="2" t="str">
        <x:v>WB_unemployment</x:v>
      </x:c>
      <x:c r="F571" s="2" t="str">
        <x:v>Unemployment, total (% of total labor force) (modeled ILO estimate)</x:v>
      </x:c>
    </x:row>
    <x:row r="572" ht="44" customHeight="1">
      <x:c r="A572" s="2" t="str">
        <x:v>BEL</x:v>
      </x:c>
      <x:c r="B572" s="2" t="str">
        <x:v>private_credit</x:v>
      </x:c>
      <x:c r="C572" s="2" t="n">
        <x:v>68.1376441872691</x:v>
      </x:c>
      <x:c r="D572" s="2" t="n">
        <x:v>2024</x:v>
      </x:c>
      <x:c r="E572" s="2" t="str">
        <x:v>WB_private_credit</x:v>
      </x:c>
      <x:c r="F572" s="2" t="str">
        <x:v>Domestic credit to private sector (% of GDP)</x:v>
      </x:c>
    </x:row>
    <x:row r="573" ht="44" customHeight="1">
      <x:c r="A573" s="2" t="str">
        <x:v>BEL</x:v>
      </x:c>
      <x:c r="B573" s="2" t="str">
        <x:v>lending_rate</x:v>
      </x:c>
      <x:c r="C573" s="2"/>
      <x:c r="D573" s="2"/>
      <x:c r="E573" s="2" t="str">
        <x:v>Missing</x:v>
      </x:c>
      <x:c r="F573" s="2" t="str">
        <x:v>Lending interest rate (%)</x:v>
      </x:c>
    </x:row>
    <x:row r="574" ht="44" customHeight="1">
      <x:c r="A574" s="2" t="str">
        <x:v>BEL</x:v>
      </x:c>
      <x:c r="B574" s="2" t="str">
        <x:v>real_interest</x:v>
      </x:c>
      <x:c r="C574" s="2"/>
      <x:c r="D574" s="2"/>
      <x:c r="E574" s="2" t="str">
        <x:v>Missing</x:v>
      </x:c>
      <x:c r="F574" s="2" t="str">
        <x:v>Real interest rate (%)</x:v>
      </x:c>
    </x:row>
    <x:row r="575" ht="44" customHeight="1">
      <x:c r="A575" s="2" t="str">
        <x:v>BEL</x:v>
      </x:c>
      <x:c r="B575" s="2" t="str">
        <x:v>government_debt</x:v>
      </x:c>
      <x:c r="C575" s="2"/>
      <x:c r="D575" s="2"/>
      <x:c r="E575" s="2" t="str">
        <x:v>Missing</x:v>
      </x:c>
      <x:c r="F575" s="2" t="str">
        <x:v>Central government debt, total (% of GDP)</x:v>
      </x:c>
    </x:row>
    <x:row r="576" ht="44" customHeight="1">
      <x:c r="A576" s="2" t="str">
        <x:v>BEL</x:v>
      </x:c>
      <x:c r="B576" s="2" t="str">
        <x:v>electricity_access</x:v>
      </x:c>
      <x:c r="C576" s="2" t="n">
        <x:v>100</x:v>
      </x:c>
      <x:c r="D576" s="2" t="n">
        <x:v>2024</x:v>
      </x:c>
      <x:c r="E576" s="2" t="str">
        <x:v>WB_electricity_access</x:v>
      </x:c>
      <x:c r="F576" s="2" t="str">
        <x:v>Access to electricity (% of population)</x:v>
      </x:c>
    </x:row>
    <x:row r="577" ht="44" customHeight="1">
      <x:c r="A577" s="2" t="str">
        <x:v>BEL</x:v>
      </x:c>
      <x:c r="B577" s="2" t="str">
        <x:v>irrigated_land</x:v>
      </x:c>
      <x:c r="C577" s="2" t="n">
        <x:v>0.42648709315376</x:v>
      </x:c>
      <x:c r="D577" s="2" t="n">
        <x:v>2013</x:v>
      </x:c>
      <x:c r="E577" s="2" t="str">
        <x:v>WB_irrigated_land</x:v>
      </x:c>
      <x:c r="F577" s="2" t="str">
        <x:v>Agricultural irrigated land (% of total agricultural land)</x:v>
      </x:c>
    </x:row>
    <x:row r="578" ht="44" customHeight="1">
      <x:c r="A578" s="2" t="str">
        <x:v>BEL</x:v>
      </x:c>
      <x:c r="B578" s="2" t="str">
        <x:v>cereal_area</x:v>
      </x:c>
      <x:c r="C578" s="2" t="n">
        <x:v>324650</x:v>
      </x:c>
      <x:c r="D578" s="2" t="n">
        <x:v>2023</x:v>
      </x:c>
      <x:c r="E578" s="2" t="str">
        <x:v>WB_cereal_area</x:v>
      </x:c>
      <x:c r="F578" s="2" t="str">
        <x:v>Land under cereal production (hectares)</x:v>
      </x:c>
    </x:row>
    <x:row r="579" ht="44" customHeight="1">
      <x:c r="A579" s="2" t="str">
        <x:v>BEL</x:v>
      </x:c>
      <x:c r="B579" s="2" t="str">
        <x:v>undernourishment</x:v>
      </x:c>
      <x:c r="C579" s="2" t="n">
        <x:v>2.5</x:v>
      </x:c>
      <x:c r="D579" s="2" t="n">
        <x:v>2023</x:v>
      </x:c>
      <x:c r="E579" s="2" t="str">
        <x:v>WB_undernourishment</x:v>
      </x:c>
      <x:c r="F579" s="2" t="str">
        <x:v>Prevalence of undernourishment (% of population)</x:v>
      </x:c>
    </x:row>
    <x:row r="580" ht="44" customHeight="1">
      <x:c r="A580" s="2" t="str">
        <x:v>BEL</x:v>
      </x:c>
      <x:c r="B580" s="2" t="str">
        <x:v>agriculture_employment</x:v>
      </x:c>
      <x:c r="C580" s="2" t="n">
        <x:v>0.984722440079227</x:v>
      </x:c>
      <x:c r="D580" s="2" t="n">
        <x:v>2025</x:v>
      </x:c>
      <x:c r="E580" s="2" t="str">
        <x:v>WB_agriculture_employment</x:v>
      </x:c>
      <x:c r="F580" s="2" t="str">
        <x:v>Employment in agriculture (% of total employment) (modeled ILO estimate)</x:v>
      </x:c>
    </x:row>
    <x:row r="581" ht="44" customHeight="1">
      <x:c r="A581" s="2" t="str">
        <x:v>BEL</x:v>
      </x:c>
      <x:c r="B581" s="2" t="str">
        <x:v>water_withdrawal</x:v>
      </x:c>
      <x:c r="C581" s="2" t="n">
        <x:v>35.833461825</x:v>
      </x:c>
      <x:c r="D581" s="2" t="n">
        <x:v>2022</x:v>
      </x:c>
      <x:c r="E581" s="2" t="str">
        <x:v>WB_water_withdrawal</x:v>
      </x:c>
      <x:c r="F581" s="2" t="str">
        <x:v>Annual freshwater withdrawals, total (% of internal resources)</x:v>
      </x:c>
    </x:row>
    <x:row r="582" ht="44" customHeight="1">
      <x:c r="A582" s="2" t="str">
        <x:v>BLZ</x:v>
      </x:c>
      <x:c r="B582" s="2" t="str">
        <x:v>population</x:v>
      </x:c>
      <x:c r="C582" s="2" t="n">
        <x:v>422924</x:v>
      </x:c>
      <x:c r="D582" s="2" t="n">
        <x:v>2025</x:v>
      </x:c>
      <x:c r="E582" s="2" t="str">
        <x:v>WB_population</x:v>
      </x:c>
      <x:c r="F582" s="2" t="str">
        <x:v>Population, total</x:v>
      </x:c>
    </x:row>
    <x:row r="583" ht="44" customHeight="1">
      <x:c r="A583" s="2" t="str">
        <x:v>BLZ</x:v>
      </x:c>
      <x:c r="B583" s="2" t="str">
        <x:v>income_ppp</x:v>
      </x:c>
      <x:c r="C583" s="2" t="n">
        <x:v>12788.8423713826</x:v>
      </x:c>
      <x:c r="D583" s="2" t="n">
        <x:v>2025</x:v>
      </x:c>
      <x:c r="E583" s="2" t="str">
        <x:v>WB_income_ppp</x:v>
      </x:c>
      <x:c r="F583" s="2" t="str">
        <x:v>GDP per capita, PPP (constant 2021 international $)</x:v>
      </x:c>
    </x:row>
    <x:row r="584" ht="44" customHeight="1">
      <x:c r="A584" s="2" t="str">
        <x:v>BLZ</x:v>
      </x:c>
      <x:c r="B584" s="2" t="str">
        <x:v>urban</x:v>
      </x:c>
      <x:c r="C584" s="2" t="n">
        <x:v>41.5621435428272</x:v>
      </x:c>
      <x:c r="D584" s="2" t="n">
        <x:v>2025</x:v>
      </x:c>
      <x:c r="E584" s="2" t="str">
        <x:v>WB_urban</x:v>
      </x:c>
      <x:c r="F584" s="2" t="str">
        <x:v>Urban population (% of total population)</x:v>
      </x:c>
    </x:row>
    <x:row r="585" ht="44" customHeight="1">
      <x:c r="A585" s="2" t="str">
        <x:v>BLZ</x:v>
      </x:c>
      <x:c r="B585" s="2" t="str">
        <x:v>inflation</x:v>
      </x:c>
      <x:c r="C585" s="2" t="n">
        <x:v>1.06281547952896</x:v>
      </x:c>
      <x:c r="D585" s="2" t="n">
        <x:v>2025</x:v>
      </x:c>
      <x:c r="E585" s="2" t="str">
        <x:v>WB_inflation</x:v>
      </x:c>
      <x:c r="F585" s="2" t="str">
        <x:v>Inflation, consumer prices (annual %)</x:v>
      </x:c>
    </x:row>
    <x:row r="586" ht="44" customHeight="1">
      <x:c r="A586" s="2" t="str">
        <x:v>BLZ</x:v>
      </x:c>
      <x:c r="B586" s="2" t="str">
        <x:v>food_index</x:v>
      </x:c>
      <x:c r="C586" s="2" t="n">
        <x:v>102.28</x:v>
      </x:c>
      <x:c r="D586" s="2" t="n">
        <x:v>2022</x:v>
      </x:c>
      <x:c r="E586" s="2" t="str">
        <x:v>WB_food_index</x:v>
      </x:c>
      <x:c r="F586" s="2" t="str">
        <x:v>Food production index (2014-2016 = 100)</x:v>
      </x:c>
    </x:row>
    <x:row r="587" ht="44" customHeight="1">
      <x:c r="A587" s="2" t="str">
        <x:v>BLZ</x:v>
      </x:c>
      <x:c r="B587" s="2" t="str">
        <x:v>food_import_share</x:v>
      </x:c>
      <x:c r="C587" s="2" t="n">
        <x:v>19.3491683166049</x:v>
      </x:c>
      <x:c r="D587" s="2" t="n">
        <x:v>2025</x:v>
      </x:c>
      <x:c r="E587" s="2" t="str">
        <x:v>WB_food_import_share</x:v>
      </x:c>
      <x:c r="F587" s="2" t="str">
        <x:v>Food imports (% of merchandise imports)</x:v>
      </x:c>
    </x:row>
    <x:row r="588" ht="44" customHeight="1">
      <x:c r="A588" s="2" t="str">
        <x:v>BLZ</x:v>
      </x:c>
      <x:c r="B588" s="2" t="str">
        <x:v>food_export_share</x:v>
      </x:c>
      <x:c r="C588" s="2" t="n">
        <x:v>95.3356650125898</x:v>
      </x:c>
      <x:c r="D588" s="2" t="n">
        <x:v>2025</x:v>
      </x:c>
      <x:c r="E588" s="2" t="str">
        <x:v>WB_food_export_share</x:v>
      </x:c>
      <x:c r="F588" s="2" t="str">
        <x:v>Food exports (% of merchandise exports)</x:v>
      </x:c>
    </x:row>
    <x:row r="589" ht="44" customHeight="1">
      <x:c r="A589" s="2" t="str">
        <x:v>BLZ</x:v>
      </x:c>
      <x:c r="B589" s="2" t="str">
        <x:v>imports_usd</x:v>
      </x:c>
      <x:c r="C589" s="2" t="n">
        <x:v>1431000000</x:v>
      </x:c>
      <x:c r="D589" s="2" t="n">
        <x:v>2025</x:v>
      </x:c>
      <x:c r="E589" s="2" t="str">
        <x:v>WB_imports_usd</x:v>
      </x:c>
      <x:c r="F589" s="2" t="str">
        <x:v>Merchandise imports (current US$)</x:v>
      </x:c>
    </x:row>
    <x:row r="590" ht="44" customHeight="1">
      <x:c r="A590" s="2" t="str">
        <x:v>BLZ</x:v>
      </x:c>
      <x:c r="B590" s="2" t="str">
        <x:v>exports_usd</x:v>
      </x:c>
      <x:c r="C590" s="2" t="n">
        <x:v>444000000</x:v>
      </x:c>
      <x:c r="D590" s="2" t="n">
        <x:v>2025</x:v>
      </x:c>
      <x:c r="E590" s="2" t="str">
        <x:v>WB_exports_usd</x:v>
      </x:c>
      <x:c r="F590" s="2" t="str">
        <x:v>Merchandise exports (current US$)</x:v>
      </x:c>
    </x:row>
    <x:row r="591" ht="44" customHeight="1">
      <x:c r="A591" s="2" t="str">
        <x:v>BLZ</x:v>
      </x:c>
      <x:c r="B591" s="2" t="str">
        <x:v>cereal_yield</x:v>
      </x:c>
      <x:c r="C591" s="2" t="n">
        <x:v>3857.4</x:v>
      </x:c>
      <x:c r="D591" s="2" t="n">
        <x:v>2023</x:v>
      </x:c>
      <x:c r="E591" s="2" t="str">
        <x:v>WB_cereal_yield</x:v>
      </x:c>
      <x:c r="F591" s="2" t="str">
        <x:v>Cereal yield (kg per hectare)</x:v>
      </x:c>
    </x:row>
    <x:row r="592" ht="44" customHeight="1">
      <x:c r="A592" s="2" t="str">
        <x:v>BLZ</x:v>
      </x:c>
      <x:c r="B592" s="2" t="str">
        <x:v>water_stress</x:v>
      </x:c>
      <x:c r="C592" s="2" t="n">
        <x:v>1.260294485</x:v>
      </x:c>
      <x:c r="D592" s="2" t="n">
        <x:v>2022</x:v>
      </x:c>
      <x:c r="E592" s="2" t="str">
        <x:v>WB_water_stress</x:v>
      </x:c>
      <x:c r="F592" s="2" t="str">
        <x:v>Level of water stress: freshwater withdrawal as a proportion of available freshwater resources</x:v>
      </x:c>
    </x:row>
    <x:row r="593" ht="44" customHeight="1">
      <x:c r="A593" s="2" t="str">
        <x:v>BLZ</x:v>
      </x:c>
      <x:c r="B593" s="2" t="str">
        <x:v>fertility</x:v>
      </x:c>
      <x:c r="C593" s="2" t="n">
        <x:v>2.021</x:v>
      </x:c>
      <x:c r="D593" s="2" t="n">
        <x:v>2024</x:v>
      </x:c>
      <x:c r="E593" s="2" t="str">
        <x:v>WB_fertility</x:v>
      </x:c>
      <x:c r="F593" s="2" t="str">
        <x:v>Fertility rate, total (births per woman)</x:v>
      </x:c>
    </x:row>
    <x:row r="594" ht="44" customHeight="1">
      <x:c r="A594" s="2" t="str">
        <x:v>BLZ</x:v>
      </x:c>
      <x:c r="B594" s="2" t="str">
        <x:v>life_expectancy</x:v>
      </x:c>
      <x:c r="C594" s="2" t="n">
        <x:v>73.739</x:v>
      </x:c>
      <x:c r="D594" s="2" t="n">
        <x:v>2024</x:v>
      </x:c>
      <x:c r="E594" s="2" t="str">
        <x:v>WB_life_expectancy</x:v>
      </x:c>
      <x:c r="F594" s="2" t="str">
        <x:v>Life expectancy at birth, total (years)</x:v>
      </x:c>
    </x:row>
    <x:row r="595" ht="44" customHeight="1">
      <x:c r="A595" s="2" t="str">
        <x:v>BLZ</x:v>
      </x:c>
      <x:c r="B595" s="2" t="str">
        <x:v>age_under15</x:v>
      </x:c>
      <x:c r="C595" s="2" t="n">
        <x:v>26.270086351212</x:v>
      </x:c>
      <x:c r="D595" s="2" t="n">
        <x:v>2025</x:v>
      </x:c>
      <x:c r="E595" s="2" t="str">
        <x:v>WB_age_under15</x:v>
      </x:c>
      <x:c r="F595" s="2" t="str">
        <x:v>Population ages 0-14 (% of total population)</x:v>
      </x:c>
    </x:row>
    <x:row r="596" ht="44" customHeight="1">
      <x:c r="A596" s="2" t="str">
        <x:v>BLZ</x:v>
      </x:c>
      <x:c r="B596" s="2" t="str">
        <x:v>age_over65</x:v>
      </x:c>
      <x:c r="C596" s="2" t="n">
        <x:v>5.22800786902611</x:v>
      </x:c>
      <x:c r="D596" s="2" t="n">
        <x:v>2025</x:v>
      </x:c>
      <x:c r="E596" s="2" t="str">
        <x:v>WB_age_over65</x:v>
      </x:c>
      <x:c r="F596" s="2" t="str">
        <x:v>Population ages 65 and above (% of total population)</x:v>
      </x:c>
    </x:row>
    <x:row r="597" ht="44" customHeight="1">
      <x:c r="A597" s="2" t="str">
        <x:v>BLZ</x:v>
      </x:c>
      <x:c r="B597" s="2" t="str">
        <x:v>dependency_ratio</x:v>
      </x:c>
      <x:c r="C597" s="2" t="n">
        <x:v>45.9809948534919</x:v>
      </x:c>
      <x:c r="D597" s="2" t="n">
        <x:v>2025</x:v>
      </x:c>
      <x:c r="E597" s="2" t="str">
        <x:v>WB_dependency_ratio</x:v>
      </x:c>
      <x:c r="F597" s="2" t="str">
        <x:v>Age dependency ratio (% of working-age population)</x:v>
      </x:c>
    </x:row>
    <x:row r="598" ht="44" customHeight="1">
      <x:c r="A598" s="2" t="str">
        <x:v>BLZ</x:v>
      </x:c>
      <x:c r="B598" s="2" t="str">
        <x:v>net_migration</x:v>
      </x:c>
      <x:c r="C598" s="2" t="n">
        <x:v>360</x:v>
      </x:c>
      <x:c r="D598" s="2" t="n">
        <x:v>2025</x:v>
      </x:c>
      <x:c r="E598" s="2" t="str">
        <x:v>WB_net_migration</x:v>
      </x:c>
      <x:c r="F598" s="2" t="str">
        <x:v>Net migration</x:v>
      </x:c>
    </x:row>
    <x:row r="599" ht="44" customHeight="1">
      <x:c r="A599" s="2" t="str">
        <x:v>BLZ</x:v>
      </x:c>
      <x:c r="B599" s="2" t="str">
        <x:v>real_gdp</x:v>
      </x:c>
      <x:c r="C599" s="2" t="n">
        <x:v>2695693009.71686</x:v>
      </x:c>
      <x:c r="D599" s="2" t="n">
        <x:v>2025</x:v>
      </x:c>
      <x:c r="E599" s="2" t="str">
        <x:v>WB_real_gdp</x:v>
      </x:c>
      <x:c r="F599" s="2" t="str">
        <x:v>GDP (constant 2015 US$)</x:v>
      </x:c>
    </x:row>
    <x:row r="600" ht="44" customHeight="1">
      <x:c r="A600" s="2" t="str">
        <x:v>BLZ</x:v>
      </x:c>
      <x:c r="B600" s="2" t="str">
        <x:v>gdp_growth</x:v>
      </x:c>
      <x:c r="C600" s="2" t="n">
        <x:v>2.74831731763744</x:v>
      </x:c>
      <x:c r="D600" s="2" t="n">
        <x:v>2025</x:v>
      </x:c>
      <x:c r="E600" s="2" t="str">
        <x:v>WB_gdp_growth</x:v>
      </x:c>
      <x:c r="F600" s="2" t="str">
        <x:v>GDP growth (annual %)</x:v>
      </x:c>
    </x:row>
    <x:row r="601" ht="44" customHeight="1">
      <x:c r="A601" s="2" t="str">
        <x:v>BLZ</x:v>
      </x:c>
      <x:c r="B601" s="2" t="str">
        <x:v>real_income</x:v>
      </x:c>
      <x:c r="C601" s="2" t="n">
        <x:v>6373.94191324413</x:v>
      </x:c>
      <x:c r="D601" s="2" t="n">
        <x:v>2025</x:v>
      </x:c>
      <x:c r="E601" s="2" t="str">
        <x:v>WB_real_income</x:v>
      </x:c>
      <x:c r="F601" s="2" t="str">
        <x:v>GDP per capita (constant 2015 US$)</x:v>
      </x:c>
    </x:row>
    <x:row r="602" ht="44" customHeight="1">
      <x:c r="A602" s="2" t="str">
        <x:v>BLZ</x:v>
      </x:c>
      <x:c r="B602" s="2" t="str">
        <x:v>agriculture_gdp</x:v>
      </x:c>
      <x:c r="C602" s="2" t="n">
        <x:v>7.94787809260727</x:v>
      </x:c>
      <x:c r="D602" s="2" t="n">
        <x:v>2024</x:v>
      </x:c>
      <x:c r="E602" s="2" t="str">
        <x:v>WB_agriculture_gdp</x:v>
      </x:c>
      <x:c r="F602" s="2" t="str">
        <x:v>Agriculture, forestry, and fishing, value added (% of GDP)</x:v>
      </x:c>
    </x:row>
    <x:row r="603" ht="44" customHeight="1">
      <x:c r="A603" s="2" t="str">
        <x:v>BLZ</x:v>
      </x:c>
      <x:c r="B603" s="2" t="str">
        <x:v>poverty</x:v>
      </x:c>
      <x:c r="C603" s="2" t="n">
        <x:v>1</x:v>
      </x:c>
      <x:c r="D603" s="2" t="n">
        <x:v>2018</x:v>
      </x:c>
      <x:c r="E603" s="2" t="str">
        <x:v>WB_poverty</x:v>
      </x:c>
      <x:c r="F603" s="2" t="str">
        <x:v>Poverty headcount ratio at $3.00 a day (2021 PPP) (% of population)</x:v>
      </x:c>
    </x:row>
    <x:row r="604" ht="44" customHeight="1">
      <x:c r="A604" s="2" t="str">
        <x:v>BLZ</x:v>
      </x:c>
      <x:c r="B604" s="2" t="str">
        <x:v>gini</x:v>
      </x:c>
      <x:c r="C604" s="2" t="n">
        <x:v>39.9</x:v>
      </x:c>
      <x:c r="D604" s="2" t="n">
        <x:v>2018</x:v>
      </x:c>
      <x:c r="E604" s="2" t="str">
        <x:v>WB_gini</x:v>
      </x:c>
      <x:c r="F604" s="2" t="str">
        <x:v>Gini index</x:v>
      </x:c>
    </x:row>
    <x:row r="605" ht="44" customHeight="1">
      <x:c r="A605" s="2" t="str">
        <x:v>BLZ</x:v>
      </x:c>
      <x:c r="B605" s="2" t="str">
        <x:v>unemployment</x:v>
      </x:c>
      <x:c r="C605" s="2" t="n">
        <x:v>8.856</x:v>
      </x:c>
      <x:c r="D605" s="2" t="n">
        <x:v>2025</x:v>
      </x:c>
      <x:c r="E605" s="2" t="str">
        <x:v>WB_unemployment</x:v>
      </x:c>
      <x:c r="F605" s="2" t="str">
        <x:v>Unemployment, total (% of total labor force) (modeled ILO estimate)</x:v>
      </x:c>
    </x:row>
    <x:row r="606" ht="44" customHeight="1">
      <x:c r="A606" s="2" t="str">
        <x:v>BLZ</x:v>
      </x:c>
      <x:c r="B606" s="2" t="str">
        <x:v>private_credit</x:v>
      </x:c>
      <x:c r="C606" s="2" t="n">
        <x:v>43.1059119475425</x:v>
      </x:c>
      <x:c r="D606" s="2" t="n">
        <x:v>2025</x:v>
      </x:c>
      <x:c r="E606" s="2" t="str">
        <x:v>WB_private_credit</x:v>
      </x:c>
      <x:c r="F606" s="2" t="str">
        <x:v>Domestic credit to private sector (% of GDP)</x:v>
      </x:c>
    </x:row>
    <x:row r="607" ht="44" customHeight="1">
      <x:c r="A607" s="2" t="str">
        <x:v>BLZ</x:v>
      </x:c>
      <x:c r="B607" s="2" t="str">
        <x:v>lending_rate</x:v>
      </x:c>
      <x:c r="C607" s="2" t="n">
        <x:v>8.47835329229307</x:v>
      </x:c>
      <x:c r="D607" s="2" t="n">
        <x:v>2025</x:v>
      </x:c>
      <x:c r="E607" s="2" t="str">
        <x:v>WB_lending_rate</x:v>
      </x:c>
      <x:c r="F607" s="2" t="str">
        <x:v>Lending interest rate (%)</x:v>
      </x:c>
    </x:row>
    <x:row r="608" ht="44" customHeight="1">
      <x:c r="A608" s="2" t="str">
        <x:v>BLZ</x:v>
      </x:c>
      <x:c r="B608" s="2" t="str">
        <x:v>real_interest</x:v>
      </x:c>
      <x:c r="C608" s="2" t="n">
        <x:v>7.34278785299044</x:v>
      </x:c>
      <x:c r="D608" s="2" t="n">
        <x:v>2025</x:v>
      </x:c>
      <x:c r="E608" s="2" t="str">
        <x:v>WB_real_interest</x:v>
      </x:c>
      <x:c r="F608" s="2" t="str">
        <x:v>Real interest rate (%)</x:v>
      </x:c>
    </x:row>
    <x:row r="609" ht="44" customHeight="1">
      <x:c r="A609" s="2" t="str">
        <x:v>BLZ</x:v>
      </x:c>
      <x:c r="B609" s="2" t="str">
        <x:v>government_debt</x:v>
      </x:c>
      <x:c r="C609" s="2" t="n">
        <x:v>61.0308317738748</x:v>
      </x:c>
      <x:c r="D609" s="2" t="n">
        <x:v>2014</x:v>
      </x:c>
      <x:c r="E609" s="2" t="str">
        <x:v>WB_government_debt</x:v>
      </x:c>
      <x:c r="F609" s="2" t="str">
        <x:v>Central government debt, total (% of GDP)</x:v>
      </x:c>
    </x:row>
    <x:row r="610" ht="44" customHeight="1">
      <x:c r="A610" s="2" t="str">
        <x:v>BLZ</x:v>
      </x:c>
      <x:c r="B610" s="2" t="str">
        <x:v>electricity_access</x:v>
      </x:c>
      <x:c r="C610" s="2" t="n">
        <x:v>99.6</x:v>
      </x:c>
      <x:c r="D610" s="2" t="n">
        <x:v>2024</x:v>
      </x:c>
      <x:c r="E610" s="2" t="str">
        <x:v>WB_electricity_access</x:v>
      </x:c>
      <x:c r="F610" s="2" t="str">
        <x:v>Access to electricity (% of population)</x:v>
      </x:c>
    </x:row>
    <x:row r="611" ht="44" customHeight="1">
      <x:c r="A611" s="2" t="str">
        <x:v>BLZ</x:v>
      </x:c>
      <x:c r="B611" s="2" t="str">
        <x:v>irrigated_land</x:v>
      </x:c>
      <x:c r="C611" s="2"/>
      <x:c r="D611" s="2"/>
      <x:c r="E611" s="2" t="str">
        <x:v>Missing</x:v>
      </x:c>
      <x:c r="F611" s="2" t="str">
        <x:v>Agricultural irrigated land (% of total agricultural land)</x:v>
      </x:c>
    </x:row>
    <x:row r="612" ht="44" customHeight="1">
      <x:c r="A612" s="2" t="str">
        <x:v>BLZ</x:v>
      </x:c>
      <x:c r="B612" s="2" t="str">
        <x:v>cereal_area</x:v>
      </x:c>
      <x:c r="C612" s="2" t="n">
        <x:v>41522</x:v>
      </x:c>
      <x:c r="D612" s="2" t="n">
        <x:v>2023</x:v>
      </x:c>
      <x:c r="E612" s="2" t="str">
        <x:v>WB_cereal_area</x:v>
      </x:c>
      <x:c r="F612" s="2" t="str">
        <x:v>Land under cereal production (hectares)</x:v>
      </x:c>
    </x:row>
    <x:row r="613" ht="44" customHeight="1">
      <x:c r="A613" s="2" t="str">
        <x:v>BLZ</x:v>
      </x:c>
      <x:c r="B613" s="2" t="str">
        <x:v>undernourishment</x:v>
      </x:c>
      <x:c r="C613" s="2" t="n">
        <x:v>7</x:v>
      </x:c>
      <x:c r="D613" s="2" t="n">
        <x:v>2023</x:v>
      </x:c>
      <x:c r="E613" s="2" t="str">
        <x:v>WB_undernourishment</x:v>
      </x:c>
      <x:c r="F613" s="2" t="str">
        <x:v>Prevalence of undernourishment (% of population)</x:v>
      </x:c>
    </x:row>
    <x:row r="614" ht="44" customHeight="1">
      <x:c r="A614" s="2" t="str">
        <x:v>BLZ</x:v>
      </x:c>
      <x:c r="B614" s="2" t="str">
        <x:v>agriculture_employment</x:v>
      </x:c>
      <x:c r="C614" s="2" t="n">
        <x:v>16.1329308733263</x:v>
      </x:c>
      <x:c r="D614" s="2" t="n">
        <x:v>2025</x:v>
      </x:c>
      <x:c r="E614" s="2" t="str">
        <x:v>WB_agriculture_employment</x:v>
      </x:c>
      <x:c r="F614" s="2" t="str">
        <x:v>Employment in agriculture (% of total employment) (modeled ILO estimate)</x:v>
      </x:c>
    </x:row>
    <x:row r="615" ht="44" customHeight="1">
      <x:c r="A615" s="2" t="str">
        <x:v>BLZ</x:v>
      </x:c>
      <x:c r="B615" s="2" t="str">
        <x:v>water_withdrawal</x:v>
      </x:c>
      <x:c r="C615" s="2" t="n">
        <x:v>0.661861074705111</x:v>
      </x:c>
      <x:c r="D615" s="2" t="n">
        <x:v>2022</x:v>
      </x:c>
      <x:c r="E615" s="2" t="str">
        <x:v>WB_water_withdrawal</x:v>
      </x:c>
      <x:c r="F615" s="2" t="str">
        <x:v>Annual freshwater withdrawals, total (% of internal resources)</x:v>
      </x:c>
    </x:row>
    <x:row r="616" ht="44" customHeight="1">
      <x:c r="A616" s="2" t="str">
        <x:v>BEN</x:v>
      </x:c>
      <x:c r="B616" s="2" t="str">
        <x:v>population</x:v>
      </x:c>
      <x:c r="C616" s="2" t="n">
        <x:v>14814460</x:v>
      </x:c>
      <x:c r="D616" s="2" t="n">
        <x:v>2025</x:v>
      </x:c>
      <x:c r="E616" s="2" t="str">
        <x:v>WB_population</x:v>
      </x:c>
      <x:c r="F616" s="2" t="str">
        <x:v>Population, total</x:v>
      </x:c>
    </x:row>
    <x:row r="617" ht="44" customHeight="1">
      <x:c r="A617" s="2" t="str">
        <x:v>BEN</x:v>
      </x:c>
      <x:c r="B617" s="2" t="str">
        <x:v>income_ppp</x:v>
      </x:c>
      <x:c r="C617" s="2" t="n">
        <x:v>4116.2151559488</x:v>
      </x:c>
      <x:c r="D617" s="2" t="n">
        <x:v>2025</x:v>
      </x:c>
      <x:c r="E617" s="2" t="str">
        <x:v>WB_income_ppp</x:v>
      </x:c>
      <x:c r="F617" s="2" t="str">
        <x:v>GDP per capita, PPP (constant 2021 international $)</x:v>
      </x:c>
    </x:row>
    <x:row r="618" ht="44" customHeight="1">
      <x:c r="A618" s="2" t="str">
        <x:v>BEN</x:v>
      </x:c>
      <x:c r="B618" s="2" t="str">
        <x:v>urban</x:v>
      </x:c>
      <x:c r="C618" s="2" t="n">
        <x:v>53.3620073968188</x:v>
      </x:c>
      <x:c r="D618" s="2" t="n">
        <x:v>2025</x:v>
      </x:c>
      <x:c r="E618" s="2" t="str">
        <x:v>WB_urban</x:v>
      </x:c>
      <x:c r="F618" s="2" t="str">
        <x:v>Urban population (% of total population)</x:v>
      </x:c>
    </x:row>
    <x:row r="619" ht="44" customHeight="1">
      <x:c r="A619" s="2" t="str">
        <x:v>BEN</x:v>
      </x:c>
      <x:c r="B619" s="2" t="str">
        <x:v>inflation</x:v>
      </x:c>
      <x:c r="C619" s="2" t="n">
        <x:v>1.10155247902978</x:v>
      </x:c>
      <x:c r="D619" s="2" t="n">
        <x:v>2025</x:v>
      </x:c>
      <x:c r="E619" s="2" t="str">
        <x:v>WB_inflation</x:v>
      </x:c>
      <x:c r="F619" s="2" t="str">
        <x:v>Inflation, consumer prices (annual %)</x:v>
      </x:c>
    </x:row>
    <x:row r="620" ht="44" customHeight="1">
      <x:c r="A620" s="2" t="str">
        <x:v>BEN</x:v>
      </x:c>
      <x:c r="B620" s="2" t="str">
        <x:v>food_index</x:v>
      </x:c>
      <x:c r="C620" s="2" t="n">
        <x:v>126.25</x:v>
      </x:c>
      <x:c r="D620" s="2" t="n">
        <x:v>2022</x:v>
      </x:c>
      <x:c r="E620" s="2" t="str">
        <x:v>WB_food_index</x:v>
      </x:c>
      <x:c r="F620" s="2" t="str">
        <x:v>Food production index (2014-2016 = 100)</x:v>
      </x:c>
    </x:row>
    <x:row r="621" ht="44" customHeight="1">
      <x:c r="A621" s="2" t="str">
        <x:v>BEN</x:v>
      </x:c>
      <x:c r="B621" s="2" t="str">
        <x:v>food_import_share</x:v>
      </x:c>
      <x:c r="C621" s="2" t="n">
        <x:v>33.2699587927862</x:v>
      </x:c>
      <x:c r="D621" s="2" t="n">
        <x:v>2024</x:v>
      </x:c>
      <x:c r="E621" s="2" t="str">
        <x:v>WB_food_import_share</x:v>
      </x:c>
      <x:c r="F621" s="2" t="str">
        <x:v>Food imports (% of merchandise imports)</x:v>
      </x:c>
    </x:row>
    <x:row r="622" ht="44" customHeight="1">
      <x:c r="A622" s="2" t="str">
        <x:v>BEN</x:v>
      </x:c>
      <x:c r="B622" s="2" t="str">
        <x:v>food_export_share</x:v>
      </x:c>
      <x:c r="C622" s="2" t="n">
        <x:v>39.6559523693478</x:v>
      </x:c>
      <x:c r="D622" s="2" t="n">
        <x:v>2024</x:v>
      </x:c>
      <x:c r="E622" s="2" t="str">
        <x:v>WB_food_export_share</x:v>
      </x:c>
      <x:c r="F622" s="2" t="str">
        <x:v>Food exports (% of merchandise exports)</x:v>
      </x:c>
    </x:row>
    <x:row r="623" ht="44" customHeight="1">
      <x:c r="A623" s="2" t="str">
        <x:v>BEN</x:v>
      </x:c>
      <x:c r="B623" s="2" t="str">
        <x:v>imports_usd</x:v>
      </x:c>
      <x:c r="C623" s="2" t="n">
        <x:v>4951000000</x:v>
      </x:c>
      <x:c r="D623" s="2" t="n">
        <x:v>2025</x:v>
      </x:c>
      <x:c r="E623" s="2" t="str">
        <x:v>WB_imports_usd</x:v>
      </x:c>
      <x:c r="F623" s="2" t="str">
        <x:v>Merchandise imports (current US$)</x:v>
      </x:c>
    </x:row>
    <x:row r="624" ht="44" customHeight="1">
      <x:c r="A624" s="2" t="str">
        <x:v>BEN</x:v>
      </x:c>
      <x:c r="B624" s="2" t="str">
        <x:v>exports_usd</x:v>
      </x:c>
      <x:c r="C624" s="2" t="n">
        <x:v>3988000000</x:v>
      </x:c>
      <x:c r="D624" s="2" t="n">
        <x:v>2025</x:v>
      </x:c>
      <x:c r="E624" s="2" t="str">
        <x:v>WB_exports_usd</x:v>
      </x:c>
      <x:c r="F624" s="2" t="str">
        <x:v>Merchandise exports (current US$)</x:v>
      </x:c>
    </x:row>
    <x:row r="625" ht="44" customHeight="1">
      <x:c r="A625" s="2" t="str">
        <x:v>BEN</x:v>
      </x:c>
      <x:c r="B625" s="2" t="str">
        <x:v>cereal_yield</x:v>
      </x:c>
      <x:c r="C625" s="2" t="n">
        <x:v>1356</x:v>
      </x:c>
      <x:c r="D625" s="2" t="n">
        <x:v>2024</x:v>
      </x:c>
      <x:c r="E625" s="2" t="str">
        <x:v>WB_cereal_yield</x:v>
      </x:c>
      <x:c r="F625" s="2" t="str">
        <x:v>Cereal yield (kg per hectare)</x:v>
      </x:c>
    </x:row>
    <x:row r="626" ht="44" customHeight="1">
      <x:c r="A626" s="2" t="str">
        <x:v>BEN</x:v>
      </x:c>
      <x:c r="B626" s="2" t="str">
        <x:v>water_stress</x:v>
      </x:c>
      <x:c r="C626" s="2" t="n">
        <x:v>0.975243811</x:v>
      </x:c>
      <x:c r="D626" s="2" t="n">
        <x:v>2022</x:v>
      </x:c>
      <x:c r="E626" s="2" t="str">
        <x:v>WB_water_stress</x:v>
      </x:c>
      <x:c r="F626" s="2" t="str">
        <x:v>Level of water stress: freshwater withdrawal as a proportion of available freshwater resources</x:v>
      </x:c>
    </x:row>
    <x:row r="627" ht="44" customHeight="1">
      <x:c r="A627" s="2" t="str">
        <x:v>BEN</x:v>
      </x:c>
      <x:c r="B627" s="2" t="str">
        <x:v>fertility</x:v>
      </x:c>
      <x:c r="C627" s="2" t="n">
        <x:v>4.48</x:v>
      </x:c>
      <x:c r="D627" s="2" t="n">
        <x:v>2024</x:v>
      </x:c>
      <x:c r="E627" s="2" t="str">
        <x:v>WB_fertility</x:v>
      </x:c>
      <x:c r="F627" s="2" t="str">
        <x:v>Fertility rate, total (births per woman)</x:v>
      </x:c>
    </x:row>
    <x:row r="628" ht="44" customHeight="1">
      <x:c r="A628" s="2" t="str">
        <x:v>BEN</x:v>
      </x:c>
      <x:c r="B628" s="2" t="str">
        <x:v>life_expectancy</x:v>
      </x:c>
      <x:c r="C628" s="2" t="n">
        <x:v>60.961</x:v>
      </x:c>
      <x:c r="D628" s="2" t="n">
        <x:v>2024</x:v>
      </x:c>
      <x:c r="E628" s="2" t="str">
        <x:v>WB_life_expectancy</x:v>
      </x:c>
      <x:c r="F628" s="2" t="str">
        <x:v>Life expectancy at birth, total (years)</x:v>
      </x:c>
    </x:row>
    <x:row r="629" ht="44" customHeight="1">
      <x:c r="A629" s="2" t="str">
        <x:v>BEN</x:v>
      </x:c>
      <x:c r="B629" s="2" t="str">
        <x:v>age_under15</x:v>
      </x:c>
      <x:c r="C629" s="2" t="n">
        <x:v>41.2595376834369</x:v>
      </x:c>
      <x:c r="D629" s="2" t="n">
        <x:v>2025</x:v>
      </x:c>
      <x:c r="E629" s="2" t="str">
        <x:v>WB_age_under15</x:v>
      </x:c>
      <x:c r="F629" s="2" t="str">
        <x:v>Population ages 0-14 (% of total population)</x:v>
      </x:c>
    </x:row>
    <x:row r="630" ht="44" customHeight="1">
      <x:c r="A630" s="2" t="str">
        <x:v>BEN</x:v>
      </x:c>
      <x:c r="B630" s="2" t="str">
        <x:v>age_over65</x:v>
      </x:c>
      <x:c r="C630" s="2" t="n">
        <x:v>3.15305462207379</x:v>
      </x:c>
      <x:c r="D630" s="2" t="n">
        <x:v>2025</x:v>
      </x:c>
      <x:c r="E630" s="2" t="str">
        <x:v>WB_age_over65</x:v>
      </x:c>
      <x:c r="F630" s="2" t="str">
        <x:v>Population ages 65 and above (% of total population)</x:v>
      </x:c>
    </x:row>
    <x:row r="631" ht="44" customHeight="1">
      <x:c r="A631" s="2" t="str">
        <x:v>BEN</x:v>
      </x:c>
      <x:c r="B631" s="2" t="str">
        <x:v>dependency_ratio</x:v>
      </x:c>
      <x:c r="C631" s="2" t="n">
        <x:v>79.8968642766814</x:v>
      </x:c>
      <x:c r="D631" s="2" t="n">
        <x:v>2025</x:v>
      </x:c>
      <x:c r="E631" s="2" t="str">
        <x:v>WB_dependency_ratio</x:v>
      </x:c>
      <x:c r="F631" s="2" t="str">
        <x:v>Age dependency ratio (% of working-age population)</x:v>
      </x:c>
    </x:row>
    <x:row r="632" ht="44" customHeight="1">
      <x:c r="A632" s="2" t="str">
        <x:v>BEN</x:v>
      </x:c>
      <x:c r="B632" s="2" t="str">
        <x:v>net_migration</x:v>
      </x:c>
      <x:c r="C632" s="2" t="n">
        <x:v>-7847</x:v>
      </x:c>
      <x:c r="D632" s="2" t="n">
        <x:v>2025</x:v>
      </x:c>
      <x:c r="E632" s="2" t="str">
        <x:v>WB_net_migration</x:v>
      </x:c>
      <x:c r="F632" s="2" t="str">
        <x:v>Net migration</x:v>
      </x:c>
    </x:row>
    <x:row r="633" ht="44" customHeight="1">
      <x:c r="A633" s="2" t="str">
        <x:v>BEN</x:v>
      </x:c>
      <x:c r="B633" s="2" t="str">
        <x:v>real_gdp</x:v>
      </x:c>
      <x:c r="C633" s="2" t="n">
        <x:v>20706965104.7399</x:v>
      </x:c>
      <x:c r="D633" s="2" t="n">
        <x:v>2025</x:v>
      </x:c>
      <x:c r="E633" s="2" t="str">
        <x:v>WB_real_gdp</x:v>
      </x:c>
      <x:c r="F633" s="2" t="str">
        <x:v>GDP (constant 2015 US$)</x:v>
      </x:c>
    </x:row>
    <x:row r="634" ht="44" customHeight="1">
      <x:c r="A634" s="2" t="str">
        <x:v>BEN</x:v>
      </x:c>
      <x:c r="B634" s="2" t="str">
        <x:v>gdp_growth</x:v>
      </x:c>
      <x:c r="C634" s="2" t="n">
        <x:v>8.07408453688336</x:v>
      </x:c>
      <x:c r="D634" s="2" t="n">
        <x:v>2025</x:v>
      </x:c>
      <x:c r="E634" s="2" t="str">
        <x:v>WB_gdp_growth</x:v>
      </x:c>
      <x:c r="F634" s="2" t="str">
        <x:v>GDP growth (annual %)</x:v>
      </x:c>
    </x:row>
    <x:row r="635" ht="44" customHeight="1">
      <x:c r="A635" s="2" t="str">
        <x:v>BEN</x:v>
      </x:c>
      <x:c r="B635" s="2" t="str">
        <x:v>real_income</x:v>
      </x:c>
      <x:c r="C635" s="2" t="n">
        <x:v>1397.75362076916</x:v>
      </x:c>
      <x:c r="D635" s="2" t="n">
        <x:v>2025</x:v>
      </x:c>
      <x:c r="E635" s="2" t="str">
        <x:v>WB_real_income</x:v>
      </x:c>
      <x:c r="F635" s="2" t="str">
        <x:v>GDP per capita (constant 2015 US$)</x:v>
      </x:c>
    </x:row>
    <x:row r="636" ht="44" customHeight="1">
      <x:c r="A636" s="2" t="str">
        <x:v>BEN</x:v>
      </x:c>
      <x:c r="B636" s="2" t="str">
        <x:v>agriculture_gdp</x:v>
      </x:c>
      <x:c r="C636" s="2" t="n">
        <x:v>22.9191586398898</x:v>
      </x:c>
      <x:c r="D636" s="2" t="n">
        <x:v>2025</x:v>
      </x:c>
      <x:c r="E636" s="2" t="str">
        <x:v>WB_agriculture_gdp</x:v>
      </x:c>
      <x:c r="F636" s="2" t="str">
        <x:v>Agriculture, forestry, and fishing, value added (% of GDP)</x:v>
      </x:c>
    </x:row>
    <x:row r="637" ht="44" customHeight="1">
      <x:c r="A637" s="2" t="str">
        <x:v>BEN</x:v>
      </x:c>
      <x:c r="B637" s="2" t="str">
        <x:v>poverty</x:v>
      </x:c>
      <x:c r="C637" s="2" t="n">
        <x:v>27.2</x:v>
      </x:c>
      <x:c r="D637" s="2" t="n">
        <x:v>2021</x:v>
      </x:c>
      <x:c r="E637" s="2" t="str">
        <x:v>WB_poverty</x:v>
      </x:c>
      <x:c r="F637" s="2" t="str">
        <x:v>Poverty headcount ratio at $3.00 a day (2021 PPP) (% of population)</x:v>
      </x:c>
    </x:row>
    <x:row r="638" ht="44" customHeight="1">
      <x:c r="A638" s="2" t="str">
        <x:v>BEN</x:v>
      </x:c>
      <x:c r="B638" s="2" t="str">
        <x:v>gini</x:v>
      </x:c>
      <x:c r="C638" s="2" t="n">
        <x:v>34.4</x:v>
      </x:c>
      <x:c r="D638" s="2" t="n">
        <x:v>2021</x:v>
      </x:c>
      <x:c r="E638" s="2" t="str">
        <x:v>WB_gini</x:v>
      </x:c>
      <x:c r="F638" s="2" t="str">
        <x:v>Gini index</x:v>
      </x:c>
    </x:row>
    <x:row r="639" ht="44" customHeight="1">
      <x:c r="A639" s="2" t="str">
        <x:v>BEN</x:v>
      </x:c>
      <x:c r="B639" s="2" t="str">
        <x:v>unemployment</x:v>
      </x:c>
      <x:c r="C639" s="2" t="n">
        <x:v>1.589</x:v>
      </x:c>
      <x:c r="D639" s="2" t="n">
        <x:v>2025</x:v>
      </x:c>
      <x:c r="E639" s="2" t="str">
        <x:v>WB_unemployment</x:v>
      </x:c>
      <x:c r="F639" s="2" t="str">
        <x:v>Unemployment, total (% of total labor force) (modeled ILO estimate)</x:v>
      </x:c>
    </x:row>
    <x:row r="640" ht="44" customHeight="1">
      <x:c r="A640" s="2" t="str">
        <x:v>BEN</x:v>
      </x:c>
      <x:c r="B640" s="2" t="str">
        <x:v>private_credit</x:v>
      </x:c>
      <x:c r="C640" s="2" t="n">
        <x:v>19.7665000988535</x:v>
      </x:c>
      <x:c r="D640" s="2" t="n">
        <x:v>2025</x:v>
      </x:c>
      <x:c r="E640" s="2" t="str">
        <x:v>WB_private_credit</x:v>
      </x:c>
      <x:c r="F640" s="2" t="str">
        <x:v>Domestic credit to private sector (% of GDP)</x:v>
      </x:c>
    </x:row>
    <x:row r="641" ht="44" customHeight="1">
      <x:c r="A641" s="2" t="str">
        <x:v>BEN</x:v>
      </x:c>
      <x:c r="B641" s="2" t="str">
        <x:v>lending_rate</x:v>
      </x:c>
      <x:c r="C641" s="2" t="n">
        <x:v>6.25</x:v>
      </x:c>
      <x:c r="D641" s="2" t="n">
        <x:v>2021</x:v>
      </x:c>
      <x:c r="E641" s="2" t="str">
        <x:v>WB_lending_rate</x:v>
      </x:c>
      <x:c r="F641" s="2" t="str">
        <x:v>Lending interest rate (%)</x:v>
      </x:c>
    </x:row>
    <x:row r="642" ht="44" customHeight="1">
      <x:c r="A642" s="2" t="str">
        <x:v>BEN</x:v>
      </x:c>
      <x:c r="B642" s="2" t="str">
        <x:v>real_interest</x:v>
      </x:c>
      <x:c r="C642" s="2" t="n">
        <x:v>4.55750151392328</x:v>
      </x:c>
      <x:c r="D642" s="2" t="n">
        <x:v>2021</x:v>
      </x:c>
      <x:c r="E642" s="2" t="str">
        <x:v>WB_real_interest</x:v>
      </x:c>
      <x:c r="F642" s="2" t="str">
        <x:v>Real interest rate (%)</x:v>
      </x:c>
    </x:row>
    <x:row r="643" ht="44" customHeight="1">
      <x:c r="A643" s="2" t="str">
        <x:v>BEN</x:v>
      </x:c>
      <x:c r="B643" s="2" t="str">
        <x:v>government_debt</x:v>
      </x:c>
      <x:c r="C643" s="2"/>
      <x:c r="D643" s="2"/>
      <x:c r="E643" s="2" t="str">
        <x:v>Missing</x:v>
      </x:c>
      <x:c r="F643" s="2" t="str">
        <x:v>Central government debt, total (% of GDP)</x:v>
      </x:c>
    </x:row>
    <x:row r="644" ht="44" customHeight="1">
      <x:c r="A644" s="2" t="str">
        <x:v>BEN</x:v>
      </x:c>
      <x:c r="B644" s="2" t="str">
        <x:v>electricity_access</x:v>
      </x:c>
      <x:c r="C644" s="2" t="n">
        <x:v>59</x:v>
      </x:c>
      <x:c r="D644" s="2" t="n">
        <x:v>2024</x:v>
      </x:c>
      <x:c r="E644" s="2" t="str">
        <x:v>WB_electricity_access</x:v>
      </x:c>
      <x:c r="F644" s="2" t="str">
        <x:v>Access to electricity (% of population)</x:v>
      </x:c>
    </x:row>
    <x:row r="645" ht="44" customHeight="1">
      <x:c r="A645" s="2" t="str">
        <x:v>BEN</x:v>
      </x:c>
      <x:c r="B645" s="2" t="str">
        <x:v>irrigated_land</x:v>
      </x:c>
      <x:c r="C645" s="2" t="n">
        <x:v>1.14440949269105</x:v>
      </x:c>
      <x:c r="D645" s="2" t="n">
        <x:v>2019</x:v>
      </x:c>
      <x:c r="E645" s="2" t="str">
        <x:v>WB_irrigated_land</x:v>
      </x:c>
      <x:c r="F645" s="2" t="str">
        <x:v>Agricultural irrigated land (% of total agricultural land)</x:v>
      </x:c>
    </x:row>
    <x:row r="646" ht="44" customHeight="1">
      <x:c r="A646" s="2" t="str">
        <x:v>BEN</x:v>
      </x:c>
      <x:c r="B646" s="2" t="str">
        <x:v>cereal_area</x:v>
      </x:c>
      <x:c r="C646" s="2" t="n">
        <x:v>2142777</x:v>
      </x:c>
      <x:c r="D646" s="2" t="n">
        <x:v>2024</x:v>
      </x:c>
      <x:c r="E646" s="2" t="str">
        <x:v>WB_cereal_area</x:v>
      </x:c>
      <x:c r="F646" s="2" t="str">
        <x:v>Land under cereal production (hectares)</x:v>
      </x:c>
    </x:row>
    <x:row r="647" ht="44" customHeight="1">
      <x:c r="A647" s="2" t="str">
        <x:v>BEN</x:v>
      </x:c>
      <x:c r="B647" s="2" t="str">
        <x:v>undernourishment</x:v>
      </x:c>
      <x:c r="C647" s="2" t="n">
        <x:v>14.3</x:v>
      </x:c>
      <x:c r="D647" s="2" t="n">
        <x:v>2023</x:v>
      </x:c>
      <x:c r="E647" s="2" t="str">
        <x:v>WB_undernourishment</x:v>
      </x:c>
      <x:c r="F647" s="2" t="str">
        <x:v>Prevalence of undernourishment (% of population)</x:v>
      </x:c>
    </x:row>
    <x:row r="648" ht="44" customHeight="1">
      <x:c r="A648" s="2" t="str">
        <x:v>BEN</x:v>
      </x:c>
      <x:c r="B648" s="2" t="str">
        <x:v>agriculture_employment</x:v>
      </x:c>
      <x:c r="C648" s="2" t="n">
        <x:v>40.2410451099361</x:v>
      </x:c>
      <x:c r="D648" s="2" t="n">
        <x:v>2025</x:v>
      </x:c>
      <x:c r="E648" s="2" t="str">
        <x:v>WB_agriculture_employment</x:v>
      </x:c>
      <x:c r="F648" s="2" t="str">
        <x:v>Employment in agriculture (% of total employment) (modeled ILO estimate)</x:v>
      </x:c>
    </x:row>
    <x:row r="649" ht="44" customHeight="1">
      <x:c r="A649" s="2" t="str">
        <x:v>BEN</x:v>
      </x:c>
      <x:c r="B649" s="2" t="str">
        <x:v>water_withdrawal</x:v>
      </x:c>
      <x:c r="C649" s="2" t="n">
        <x:v>1.2621359223301</x:v>
      </x:c>
      <x:c r="D649" s="2" t="n">
        <x:v>2022</x:v>
      </x:c>
      <x:c r="E649" s="2" t="str">
        <x:v>WB_water_withdrawal</x:v>
      </x:c>
      <x:c r="F649" s="2" t="str">
        <x:v>Annual freshwater withdrawals, total (% of internal resources)</x:v>
      </x:c>
    </x:row>
    <x:row r="650" ht="44" customHeight="1">
      <x:c r="A650" s="2" t="str">
        <x:v>BTN</x:v>
      </x:c>
      <x:c r="B650" s="2" t="str">
        <x:v>population</x:v>
      </x:c>
      <x:c r="C650" s="2" t="n">
        <x:v>796682</x:v>
      </x:c>
      <x:c r="D650" s="2" t="n">
        <x:v>2025</x:v>
      </x:c>
      <x:c r="E650" s="2" t="str">
        <x:v>WB_population</x:v>
      </x:c>
      <x:c r="F650" s="2" t="str">
        <x:v>Population, total</x:v>
      </x:c>
    </x:row>
    <x:row r="651" ht="44" customHeight="1">
      <x:c r="A651" s="2" t="str">
        <x:v>BTN</x:v>
      </x:c>
      <x:c r="B651" s="2" t="str">
        <x:v>income_ppp</x:v>
      </x:c>
      <x:c r="C651" s="2" t="n">
        <x:v>16743.8703854575</x:v>
      </x:c>
      <x:c r="D651" s="2" t="n">
        <x:v>2025</x:v>
      </x:c>
      <x:c r="E651" s="2" t="str">
        <x:v>WB_income_ppp</x:v>
      </x:c>
      <x:c r="F651" s="2" t="str">
        <x:v>GDP per capita, PPP (constant 2021 international $)</x:v>
      </x:c>
    </x:row>
    <x:row r="652" ht="44" customHeight="1">
      <x:c r="A652" s="2" t="str">
        <x:v>BTN</x:v>
      </x:c>
      <x:c r="B652" s="2" t="str">
        <x:v>urban</x:v>
      </x:c>
      <x:c r="C652" s="2" t="n">
        <x:v>43.4301832473753</x:v>
      </x:c>
      <x:c r="D652" s="2" t="n">
        <x:v>2025</x:v>
      </x:c>
      <x:c r="E652" s="2" t="str">
        <x:v>WB_urban</x:v>
      </x:c>
      <x:c r="F652" s="2" t="str">
        <x:v>Urban population (% of total population)</x:v>
      </x:c>
    </x:row>
    <x:row r="653" ht="44" customHeight="1">
      <x:c r="A653" s="2" t="str">
        <x:v>BTN</x:v>
      </x:c>
      <x:c r="B653" s="2" t="str">
        <x:v>inflation</x:v>
      </x:c>
      <x:c r="C653" s="2" t="n">
        <x:v>3.55513663074987</x:v>
      </x:c>
      <x:c r="D653" s="2" t="n">
        <x:v>2025</x:v>
      </x:c>
      <x:c r="E653" s="2" t="str">
        <x:v>WB_inflation</x:v>
      </x:c>
      <x:c r="F653" s="2" t="str">
        <x:v>Inflation, consumer prices (annual %)</x:v>
      </x:c>
    </x:row>
    <x:row r="654" ht="44" customHeight="1">
      <x:c r="A654" s="2" t="str">
        <x:v>BTN</x:v>
      </x:c>
      <x:c r="B654" s="2" t="str">
        <x:v>food_index</x:v>
      </x:c>
      <x:c r="C654" s="2" t="n">
        <x:v>77.75</x:v>
      </x:c>
      <x:c r="D654" s="2" t="n">
        <x:v>2022</x:v>
      </x:c>
      <x:c r="E654" s="2" t="str">
        <x:v>WB_food_index</x:v>
      </x:c>
      <x:c r="F654" s="2" t="str">
        <x:v>Food production index (2014-2016 = 100)</x:v>
      </x:c>
    </x:row>
    <x:row r="655" ht="44" customHeight="1">
      <x:c r="A655" s="2" t="str">
        <x:v>BTN</x:v>
      </x:c>
      <x:c r="B655" s="2" t="str">
        <x:v>food_import_share</x:v>
      </x:c>
      <x:c r="C655" s="2" t="n">
        <x:v>11.4494454135648</x:v>
      </x:c>
      <x:c r="D655" s="2" t="n">
        <x:v>2025</x:v>
      </x:c>
      <x:c r="E655" s="2" t="str">
        <x:v>WB_food_import_share</x:v>
      </x:c>
      <x:c r="F655" s="2" t="str">
        <x:v>Food imports (% of merchandise imports)</x:v>
      </x:c>
    </x:row>
    <x:row r="656" ht="44" customHeight="1">
      <x:c r="A656" s="2" t="str">
        <x:v>BTN</x:v>
      </x:c>
      <x:c r="B656" s="2" t="str">
        <x:v>food_export_share</x:v>
      </x:c>
      <x:c r="C656" s="2" t="n">
        <x:v>5.88686425637883</x:v>
      </x:c>
      <x:c r="D656" s="2" t="n">
        <x:v>2025</x:v>
      </x:c>
      <x:c r="E656" s="2" t="str">
        <x:v>WB_food_export_share</x:v>
      </x:c>
      <x:c r="F656" s="2" t="str">
        <x:v>Food exports (% of merchandise exports)</x:v>
      </x:c>
    </x:row>
    <x:row r="657" ht="44" customHeight="1">
      <x:c r="A657" s="2" t="str">
        <x:v>BTN</x:v>
      </x:c>
      <x:c r="B657" s="2" t="str">
        <x:v>imports_usd</x:v>
      </x:c>
      <x:c r="C657" s="2" t="n">
        <x:v>2181000000</x:v>
      </x:c>
      <x:c r="D657" s="2" t="n">
        <x:v>2025</x:v>
      </x:c>
      <x:c r="E657" s="2" t="str">
        <x:v>WB_imports_usd</x:v>
      </x:c>
      <x:c r="F657" s="2" t="str">
        <x:v>Merchandise imports (current US$)</x:v>
      </x:c>
    </x:row>
    <x:row r="658" ht="44" customHeight="1">
      <x:c r="A658" s="2" t="str">
        <x:v>BTN</x:v>
      </x:c>
      <x:c r="B658" s="2" t="str">
        <x:v>exports_usd</x:v>
      </x:c>
      <x:c r="C658" s="2" t="n">
        <x:v>800000000</x:v>
      </x:c>
      <x:c r="D658" s="2" t="n">
        <x:v>2025</x:v>
      </x:c>
      <x:c r="E658" s="2" t="str">
        <x:v>WB_exports_usd</x:v>
      </x:c>
      <x:c r="F658" s="2" t="str">
        <x:v>Merchandise exports (current US$)</x:v>
      </x:c>
    </x:row>
    <x:row r="659" ht="44" customHeight="1">
      <x:c r="A659" s="2" t="str">
        <x:v>BTN</x:v>
      </x:c>
      <x:c r="B659" s="2" t="str">
        <x:v>cereal_yield</x:v>
      </x:c>
      <x:c r="C659" s="2" t="n">
        <x:v>3552.3</x:v>
      </x:c>
      <x:c r="D659" s="2" t="n">
        <x:v>2024</x:v>
      </x:c>
      <x:c r="E659" s="2" t="str">
        <x:v>WB_cereal_yield</x:v>
      </x:c>
      <x:c r="F659" s="2" t="str">
        <x:v>Cereal yield (kg per hectare)</x:v>
      </x:c>
    </x:row>
    <x:row r="660" ht="44" customHeight="1">
      <x:c r="A660" s="2" t="str">
        <x:v>BTN</x:v>
      </x:c>
      <x:c r="B660" s="2" t="str">
        <x:v>water_stress</x:v>
      </x:c>
      <x:c r="C660" s="2" t="n">
        <x:v>1.413807531</x:v>
      </x:c>
      <x:c r="D660" s="2" t="n">
        <x:v>2022</x:v>
      </x:c>
      <x:c r="E660" s="2" t="str">
        <x:v>WB_water_stress</x:v>
      </x:c>
      <x:c r="F660" s="2" t="str">
        <x:v>Level of water stress: freshwater withdrawal as a proportion of available freshwater resources</x:v>
      </x:c>
    </x:row>
    <x:row r="661" ht="44" customHeight="1">
      <x:c r="A661" s="2" t="str">
        <x:v>BTN</x:v>
      </x:c>
      <x:c r="B661" s="2" t="str">
        <x:v>fertility</x:v>
      </x:c>
      <x:c r="C661" s="2" t="n">
        <x:v>1.449</x:v>
      </x:c>
      <x:c r="D661" s="2" t="n">
        <x:v>2024</x:v>
      </x:c>
      <x:c r="E661" s="2" t="str">
        <x:v>WB_fertility</x:v>
      </x:c>
      <x:c r="F661" s="2" t="str">
        <x:v>Fertility rate, total (births per woman)</x:v>
      </x:c>
    </x:row>
    <x:row r="662" ht="44" customHeight="1">
      <x:c r="A662" s="2" t="str">
        <x:v>BTN</x:v>
      </x:c>
      <x:c r="B662" s="2" t="str">
        <x:v>life_expectancy</x:v>
      </x:c>
      <x:c r="C662" s="2" t="n">
        <x:v>73.262</x:v>
      </x:c>
      <x:c r="D662" s="2" t="n">
        <x:v>2024</x:v>
      </x:c>
      <x:c r="E662" s="2" t="str">
        <x:v>WB_life_expectancy</x:v>
      </x:c>
      <x:c r="F662" s="2" t="str">
        <x:v>Life expectancy at birth, total (years)</x:v>
      </x:c>
    </x:row>
    <x:row r="663" ht="44" customHeight="1">
      <x:c r="A663" s="2" t="str">
        <x:v>BTN</x:v>
      </x:c>
      <x:c r="B663" s="2" t="str">
        <x:v>age_under15</x:v>
      </x:c>
      <x:c r="C663" s="2" t="n">
        <x:v>20.3610853270724</x:v>
      </x:c>
      <x:c r="D663" s="2" t="n">
        <x:v>2025</x:v>
      </x:c>
      <x:c r="E663" s="2" t="str">
        <x:v>WB_age_under15</x:v>
      </x:c>
      <x:c r="F663" s="2" t="str">
        <x:v>Population ages 0-14 (% of total population)</x:v>
      </x:c>
    </x:row>
    <x:row r="664" ht="44" customHeight="1">
      <x:c r="A664" s="2" t="str">
        <x:v>BTN</x:v>
      </x:c>
      <x:c r="B664" s="2" t="str">
        <x:v>age_over65</x:v>
      </x:c>
      <x:c r="C664" s="2" t="n">
        <x:v>6.62730338284496</x:v>
      </x:c>
      <x:c r="D664" s="2" t="n">
        <x:v>2025</x:v>
      </x:c>
      <x:c r="E664" s="2" t="str">
        <x:v>WB_age_over65</x:v>
      </x:c>
      <x:c r="F664" s="2" t="str">
        <x:v>Population ages 65 and above (% of total population)</x:v>
      </x:c>
    </x:row>
    <x:row r="665" ht="44" customHeight="1">
      <x:c r="A665" s="2" t="str">
        <x:v>BTN</x:v>
      </x:c>
      <x:c r="B665" s="2" t="str">
        <x:v>dependency_ratio</x:v>
      </x:c>
      <x:c r="C665" s="2" t="n">
        <x:v>36.964601922052</x:v>
      </x:c>
      <x:c r="D665" s="2" t="n">
        <x:v>2025</x:v>
      </x:c>
      <x:c r="E665" s="2" t="str">
        <x:v>WB_dependency_ratio</x:v>
      </x:c>
      <x:c r="F665" s="2" t="str">
        <x:v>Age dependency ratio (% of working-age population)</x:v>
      </x:c>
    </x:row>
    <x:row r="666" ht="44" customHeight="1">
      <x:c r="A666" s="2" t="str">
        <x:v>BTN</x:v>
      </x:c>
      <x:c r="B666" s="2" t="str">
        <x:v>net_migration</x:v>
      </x:c>
      <x:c r="C666" s="2" t="n">
        <x:v>455</x:v>
      </x:c>
      <x:c r="D666" s="2" t="n">
        <x:v>2025</x:v>
      </x:c>
      <x:c r="E666" s="2" t="str">
        <x:v>WB_net_migration</x:v>
      </x:c>
      <x:c r="F666" s="2" t="str">
        <x:v>Net migration</x:v>
      </x:c>
    </x:row>
    <x:row r="667" ht="44" customHeight="1">
      <x:c r="A667" s="2" t="str">
        <x:v>BTN</x:v>
      </x:c>
      <x:c r="B667" s="2" t="str">
        <x:v>real_gdp</x:v>
      </x:c>
      <x:c r="C667" s="2" t="n">
        <x:v>3177790168.58628</x:v>
      </x:c>
      <x:c r="D667" s="2" t="n">
        <x:v>2025</x:v>
      </x:c>
      <x:c r="E667" s="2" t="str">
        <x:v>WB_real_gdp</x:v>
      </x:c>
      <x:c r="F667" s="2" t="str">
        <x:v>GDP (constant 2015 US$)</x:v>
      </x:c>
    </x:row>
    <x:row r="668" ht="44" customHeight="1">
      <x:c r="A668" s="2" t="str">
        <x:v>BTN</x:v>
      </x:c>
      <x:c r="B668" s="2" t="str">
        <x:v>gdp_growth</x:v>
      </x:c>
      <x:c r="C668" s="2" t="n">
        <x:v>8.00502716233098</x:v>
      </x:c>
      <x:c r="D668" s="2" t="n">
        <x:v>2025</x:v>
      </x:c>
      <x:c r="E668" s="2" t="str">
        <x:v>WB_gdp_growth</x:v>
      </x:c>
      <x:c r="F668" s="2" t="str">
        <x:v>GDP growth (annual %)</x:v>
      </x:c>
    </x:row>
    <x:row r="669" ht="44" customHeight="1">
      <x:c r="A669" s="2" t="str">
        <x:v>BTN</x:v>
      </x:c>
      <x:c r="B669" s="2" t="str">
        <x:v>real_income</x:v>
      </x:c>
      <x:c r="C669" s="2" t="n">
        <x:v>3988.78118067972</x:v>
      </x:c>
      <x:c r="D669" s="2" t="n">
        <x:v>2025</x:v>
      </x:c>
      <x:c r="E669" s="2" t="str">
        <x:v>WB_real_income</x:v>
      </x:c>
      <x:c r="F669" s="2" t="str">
        <x:v>GDP per capita (constant 2015 US$)</x:v>
      </x:c>
    </x:row>
    <x:row r="670" ht="44" customHeight="1">
      <x:c r="A670" s="2" t="str">
        <x:v>BTN</x:v>
      </x:c>
      <x:c r="B670" s="2" t="str">
        <x:v>agriculture_gdp</x:v>
      </x:c>
      <x:c r="C670" s="2" t="n">
        <x:v>13.6806760206392</x:v>
      </x:c>
      <x:c r="D670" s="2" t="n">
        <x:v>2025</x:v>
      </x:c>
      <x:c r="E670" s="2" t="str">
        <x:v>WB_agriculture_gdp</x:v>
      </x:c>
      <x:c r="F670" s="2" t="str">
        <x:v>Agriculture, forestry, and fishing, value added (% of GDP)</x:v>
      </x:c>
    </x:row>
    <x:row r="671" ht="44" customHeight="1">
      <x:c r="A671" s="2" t="str">
        <x:v>BTN</x:v>
      </x:c>
      <x:c r="B671" s="2" t="str">
        <x:v>poverty</x:v>
      </x:c>
      <x:c r="C671" s="2" t="n">
        <x:v>0</x:v>
      </x:c>
      <x:c r="D671" s="2" t="n">
        <x:v>2022</x:v>
      </x:c>
      <x:c r="E671" s="2" t="str">
        <x:v>WB_poverty</x:v>
      </x:c>
      <x:c r="F671" s="2" t="str">
        <x:v>Poverty headcount ratio at $3.00 a day (2021 PPP) (% of population)</x:v>
      </x:c>
    </x:row>
    <x:row r="672" ht="44" customHeight="1">
      <x:c r="A672" s="2" t="str">
        <x:v>BTN</x:v>
      </x:c>
      <x:c r="B672" s="2" t="str">
        <x:v>gini</x:v>
      </x:c>
      <x:c r="C672" s="2" t="n">
        <x:v>28.5</x:v>
      </x:c>
      <x:c r="D672" s="2" t="n">
        <x:v>2022</x:v>
      </x:c>
      <x:c r="E672" s="2" t="str">
        <x:v>WB_gini</x:v>
      </x:c>
      <x:c r="F672" s="2" t="str">
        <x:v>Gini index</x:v>
      </x:c>
    </x:row>
    <x:row r="673" ht="44" customHeight="1">
      <x:c r="A673" s="2" t="str">
        <x:v>BTN</x:v>
      </x:c>
      <x:c r="B673" s="2" t="str">
        <x:v>unemployment</x:v>
      </x:c>
      <x:c r="C673" s="2" t="n">
        <x:v>3.227</x:v>
      </x:c>
      <x:c r="D673" s="2" t="n">
        <x:v>2025</x:v>
      </x:c>
      <x:c r="E673" s="2" t="str">
        <x:v>WB_unemployment</x:v>
      </x:c>
      <x:c r="F673" s="2" t="str">
        <x:v>Unemployment, total (% of total labor force) (modeled ILO estimate)</x:v>
      </x:c>
    </x:row>
    <x:row r="674" ht="44" customHeight="1">
      <x:c r="A674" s="2" t="str">
        <x:v>BTN</x:v>
      </x:c>
      <x:c r="B674" s="2" t="str">
        <x:v>private_credit</x:v>
      </x:c>
      <x:c r="C674" s="2" t="n">
        <x:v>72.2606802194578</x:v>
      </x:c>
      <x:c r="D674" s="2" t="n">
        <x:v>2025</x:v>
      </x:c>
      <x:c r="E674" s="2" t="str">
        <x:v>WB_private_credit</x:v>
      </x:c>
      <x:c r="F674" s="2" t="str">
        <x:v>Domestic credit to private sector (% of GDP)</x:v>
      </x:c>
    </x:row>
    <x:row r="675" ht="44" customHeight="1">
      <x:c r="A675" s="2" t="str">
        <x:v>BTN</x:v>
      </x:c>
      <x:c r="B675" s="2" t="str">
        <x:v>lending_rate</x:v>
      </x:c>
      <x:c r="C675" s="2" t="n">
        <x:v>11.7566666666667</x:v>
      </x:c>
      <x:c r="D675" s="2" t="n">
        <x:v>2025</x:v>
      </x:c>
      <x:c r="E675" s="2" t="str">
        <x:v>WB_lending_rate</x:v>
      </x:c>
      <x:c r="F675" s="2" t="str">
        <x:v>Lending interest rate (%)</x:v>
      </x:c>
    </x:row>
    <x:row r="676" ht="44" customHeight="1">
      <x:c r="A676" s="2" t="str">
        <x:v>BTN</x:v>
      </x:c>
      <x:c r="B676" s="2" t="str">
        <x:v>real_interest</x:v>
      </x:c>
      <x:c r="C676" s="2" t="n">
        <x:v>8.33722945330318</x:v>
      </x:c>
      <x:c r="D676" s="2" t="n">
        <x:v>2025</x:v>
      </x:c>
      <x:c r="E676" s="2" t="str">
        <x:v>WB_real_interest</x:v>
      </x:c>
      <x:c r="F676" s="2" t="str">
        <x:v>Real interest rate (%)</x:v>
      </x:c>
    </x:row>
    <x:row r="677" ht="44" customHeight="1">
      <x:c r="A677" s="2" t="str">
        <x:v>BTN</x:v>
      </x:c>
      <x:c r="B677" s="2" t="str">
        <x:v>government_debt</x:v>
      </x:c>
      <x:c r="C677" s="2" t="n">
        <x:v>111.007884099526</x:v>
      </x:c>
      <x:c r="D677" s="2" t="n">
        <x:v>2020</x:v>
      </x:c>
      <x:c r="E677" s="2" t="str">
        <x:v>WB_government_debt</x:v>
      </x:c>
      <x:c r="F677" s="2" t="str">
        <x:v>Central government debt, total (% of GDP)</x:v>
      </x:c>
    </x:row>
    <x:row r="678" ht="44" customHeight="1">
      <x:c r="A678" s="2" t="str">
        <x:v>BTN</x:v>
      </x:c>
      <x:c r="B678" s="2" t="str">
        <x:v>electricity_access</x:v>
      </x:c>
      <x:c r="C678" s="2" t="n">
        <x:v>100</x:v>
      </x:c>
      <x:c r="D678" s="2" t="n">
        <x:v>2024</x:v>
      </x:c>
      <x:c r="E678" s="2" t="str">
        <x:v>WB_electricity_access</x:v>
      </x:c>
      <x:c r="F678" s="2" t="str">
        <x:v>Access to electricity (% of population)</x:v>
      </x:c>
    </x:row>
    <x:row r="679" ht="44" customHeight="1">
      <x:c r="A679" s="2" t="str">
        <x:v>BTN</x:v>
      </x:c>
      <x:c r="B679" s="2" t="str">
        <x:v>irrigated_land</x:v>
      </x:c>
      <x:c r="C679" s="2"/>
      <x:c r="D679" s="2"/>
      <x:c r="E679" s="2" t="str">
        <x:v>Missing</x:v>
      </x:c>
      <x:c r="F679" s="2" t="str">
        <x:v>Agricultural irrigated land (% of total agricultural land)</x:v>
      </x:c>
    </x:row>
    <x:row r="680" ht="44" customHeight="1">
      <x:c r="A680" s="2" t="str">
        <x:v>BTN</x:v>
      </x:c>
      <x:c r="B680" s="2" t="str">
        <x:v>cereal_area</x:v>
      </x:c>
      <x:c r="C680" s="2" t="n">
        <x:v>20654</x:v>
      </x:c>
      <x:c r="D680" s="2" t="n">
        <x:v>2024</x:v>
      </x:c>
      <x:c r="E680" s="2" t="str">
        <x:v>WB_cereal_area</x:v>
      </x:c>
      <x:c r="F680" s="2" t="str">
        <x:v>Land under cereal production (hectares)</x:v>
      </x:c>
    </x:row>
    <x:row r="681" ht="44" customHeight="1">
      <x:c r="A681" s="2" t="str">
        <x:v>BTN</x:v>
      </x:c>
      <x:c r="B681" s="2" t="str">
        <x:v>undernourishment</x:v>
      </x:c>
      <x:c r="C681" s="2"/>
      <x:c r="D681" s="2"/>
      <x:c r="E681" s="2" t="str">
        <x:v>Missing</x:v>
      </x:c>
      <x:c r="F681" s="2" t="str">
        <x:v>Prevalence of undernourishment (% of population)</x:v>
      </x:c>
    </x:row>
    <x:row r="682" ht="44" customHeight="1">
      <x:c r="A682" s="2" t="str">
        <x:v>BTN</x:v>
      </x:c>
      <x:c r="B682" s="2" t="str">
        <x:v>agriculture_employment</x:v>
      </x:c>
      <x:c r="C682" s="2" t="n">
        <x:v>42.369985477168</x:v>
      </x:c>
      <x:c r="D682" s="2" t="n">
        <x:v>2025</x:v>
      </x:c>
      <x:c r="E682" s="2" t="str">
        <x:v>WB_agriculture_employment</x:v>
      </x:c>
      <x:c r="F682" s="2" t="str">
        <x:v>Employment in agriculture (% of total employment) (modeled ILO estimate)</x:v>
      </x:c>
    </x:row>
    <x:row r="683" ht="44" customHeight="1">
      <x:c r="A683" s="2" t="str">
        <x:v>BTN</x:v>
      </x:c>
      <x:c r="B683" s="2" t="str">
        <x:v>water_withdrawal</x:v>
      </x:c>
      <x:c r="C683" s="2" t="n">
        <x:v>0.433205128205128</x:v>
      </x:c>
      <x:c r="D683" s="2" t="n">
        <x:v>2022</x:v>
      </x:c>
      <x:c r="E683" s="2" t="str">
        <x:v>WB_water_withdrawal</x:v>
      </x:c>
      <x:c r="F683" s="2" t="str">
        <x:v>Annual freshwater withdrawals, total (% of internal resources)</x:v>
      </x:c>
    </x:row>
    <x:row r="684" ht="44" customHeight="1">
      <x:c r="A684" s="2" t="str">
        <x:v>BOL</x:v>
      </x:c>
      <x:c r="B684" s="2" t="str">
        <x:v>population</x:v>
      </x:c>
      <x:c r="C684" s="2" t="n">
        <x:v>12581843</x:v>
      </x:c>
      <x:c r="D684" s="2" t="n">
        <x:v>2025</x:v>
      </x:c>
      <x:c r="E684" s="2" t="str">
        <x:v>WB_population</x:v>
      </x:c>
      <x:c r="F684" s="2" t="str">
        <x:v>Population, total</x:v>
      </x:c>
    </x:row>
    <x:row r="685" ht="44" customHeight="1">
      <x:c r="A685" s="2" t="str">
        <x:v>BOL</x:v>
      </x:c>
      <x:c r="B685" s="2" t="str">
        <x:v>income_ppp</x:v>
      </x:c>
      <x:c r="C685" s="2" t="n">
        <x:v>11000.5345220728</x:v>
      </x:c>
      <x:c r="D685" s="2" t="n">
        <x:v>2025</x:v>
      </x:c>
      <x:c r="E685" s="2" t="str">
        <x:v>WB_income_ppp</x:v>
      </x:c>
      <x:c r="F685" s="2" t="str">
        <x:v>GDP per capita, PPP (constant 2021 international $)</x:v>
      </x:c>
    </x:row>
    <x:row r="686" ht="44" customHeight="1">
      <x:c r="A686" s="2" t="str">
        <x:v>BOL</x:v>
      </x:c>
      <x:c r="B686" s="2" t="str">
        <x:v>urban</x:v>
      </x:c>
      <x:c r="C686" s="2" t="n">
        <x:v>71.5631037265869</x:v>
      </x:c>
      <x:c r="D686" s="2" t="n">
        <x:v>2025</x:v>
      </x:c>
      <x:c r="E686" s="2" t="str">
        <x:v>WB_urban</x:v>
      </x:c>
      <x:c r="F686" s="2" t="str">
        <x:v>Urban population (% of total population)</x:v>
      </x:c>
    </x:row>
    <x:row r="687" ht="44" customHeight="1">
      <x:c r="A687" s="2" t="str">
        <x:v>BOL</x:v>
      </x:c>
      <x:c r="B687" s="2" t="str">
        <x:v>inflation</x:v>
      </x:c>
      <x:c r="C687" s="2" t="n">
        <x:v>19.517120804733</x:v>
      </x:c>
      <x:c r="D687" s="2" t="n">
        <x:v>2025</x:v>
      </x:c>
      <x:c r="E687" s="2" t="str">
        <x:v>WB_inflation</x:v>
      </x:c>
      <x:c r="F687" s="2" t="str">
        <x:v>Inflation, consumer prices (annual %)</x:v>
      </x:c>
    </x:row>
    <x:row r="688" ht="44" customHeight="1">
      <x:c r="A688" s="2" t="str">
        <x:v>BOL</x:v>
      </x:c>
      <x:c r="B688" s="2" t="str">
        <x:v>food_index</x:v>
      </x:c>
      <x:c r="C688" s="2" t="n">
        <x:v>115.45</x:v>
      </x:c>
      <x:c r="D688" s="2" t="n">
        <x:v>2022</x:v>
      </x:c>
      <x:c r="E688" s="2" t="str">
        <x:v>WB_food_index</x:v>
      </x:c>
      <x:c r="F688" s="2" t="str">
        <x:v>Food production index (2014-2016 = 100)</x:v>
      </x:c>
    </x:row>
    <x:row r="689" ht="44" customHeight="1">
      <x:c r="A689" s="2" t="str">
        <x:v>BOL</x:v>
      </x:c>
      <x:c r="B689" s="2" t="str">
        <x:v>food_import_share</x:v>
      </x:c>
      <x:c r="C689" s="2" t="n">
        <x:v>7.51338501112364</x:v>
      </x:c>
      <x:c r="D689" s="2" t="n">
        <x:v>2024</x:v>
      </x:c>
      <x:c r="E689" s="2" t="str">
        <x:v>WB_food_import_share</x:v>
      </x:c>
      <x:c r="F689" s="2" t="str">
        <x:v>Food imports (% of merchandise imports)</x:v>
      </x:c>
    </x:row>
    <x:row r="690" ht="44" customHeight="1">
      <x:c r="A690" s="2" t="str">
        <x:v>BOL</x:v>
      </x:c>
      <x:c r="B690" s="2" t="str">
        <x:v>food_export_share</x:v>
      </x:c>
      <x:c r="C690" s="2" t="n">
        <x:v>22.2065115205865</x:v>
      </x:c>
      <x:c r="D690" s="2" t="n">
        <x:v>2024</x:v>
      </x:c>
      <x:c r="E690" s="2" t="str">
        <x:v>WB_food_export_share</x:v>
      </x:c>
      <x:c r="F690" s="2" t="str">
        <x:v>Food exports (% of merchandise exports)</x:v>
      </x:c>
    </x:row>
    <x:row r="691" ht="44" customHeight="1">
      <x:c r="A691" s="2" t="str">
        <x:v>BOL</x:v>
      </x:c>
      <x:c r="B691" s="2" t="str">
        <x:v>imports_usd</x:v>
      </x:c>
      <x:c r="C691" s="2" t="n">
        <x:v>10029000000</x:v>
      </x:c>
      <x:c r="D691" s="2" t="n">
        <x:v>2025</x:v>
      </x:c>
      <x:c r="E691" s="2" t="str">
        <x:v>WB_imports_usd</x:v>
      </x:c>
      <x:c r="F691" s="2" t="str">
        <x:v>Merchandise imports (current US$)</x:v>
      </x:c>
    </x:row>
    <x:row r="692" ht="44" customHeight="1">
      <x:c r="A692" s="2" t="str">
        <x:v>BOL</x:v>
      </x:c>
      <x:c r="B692" s="2" t="str">
        <x:v>exports_usd</x:v>
      </x:c>
      <x:c r="C692" s="2" t="n">
        <x:v>9701000000</x:v>
      </x:c>
      <x:c r="D692" s="2" t="n">
        <x:v>2025</x:v>
      </x:c>
      <x:c r="E692" s="2" t="str">
        <x:v>WB_exports_usd</x:v>
      </x:c>
      <x:c r="F692" s="2" t="str">
        <x:v>Merchandise exports (current US$)</x:v>
      </x:c>
    </x:row>
    <x:row r="693" ht="44" customHeight="1">
      <x:c r="A693" s="2" t="str">
        <x:v>BOL</x:v>
      </x:c>
      <x:c r="B693" s="2" t="str">
        <x:v>cereal_yield</x:v>
      </x:c>
      <x:c r="C693" s="2" t="n">
        <x:v>2209</x:v>
      </x:c>
      <x:c r="D693" s="2" t="n">
        <x:v>2024</x:v>
      </x:c>
      <x:c r="E693" s="2" t="str">
        <x:v>WB_cereal_yield</x:v>
      </x:c>
      <x:c r="F693" s="2" t="str">
        <x:v>Cereal yield (kg per hectare)</x:v>
      </x:c>
    </x:row>
    <x:row r="694" ht="44" customHeight="1">
      <x:c r="A694" s="2" t="str">
        <x:v>BOL</x:v>
      </x:c>
      <x:c r="B694" s="2" t="str">
        <x:v>water_stress</x:v>
      </x:c>
      <x:c r="C694" s="2" t="n">
        <x:v>0.202979589</x:v>
      </x:c>
      <x:c r="D694" s="2" t="n">
        <x:v>2022</x:v>
      </x:c>
      <x:c r="E694" s="2" t="str">
        <x:v>WB_water_stress</x:v>
      </x:c>
      <x:c r="F694" s="2" t="str">
        <x:v>Level of water stress: freshwater withdrawal as a proportion of available freshwater resources</x:v>
      </x:c>
    </x:row>
    <x:row r="695" ht="44" customHeight="1">
      <x:c r="A695" s="2" t="str">
        <x:v>BOL</x:v>
      </x:c>
      <x:c r="B695" s="2" t="str">
        <x:v>fertility</x:v>
      </x:c>
      <x:c r="C695" s="2" t="n">
        <x:v>2.523</x:v>
      </x:c>
      <x:c r="D695" s="2" t="n">
        <x:v>2024</x:v>
      </x:c>
      <x:c r="E695" s="2" t="str">
        <x:v>WB_fertility</x:v>
      </x:c>
      <x:c r="F695" s="2" t="str">
        <x:v>Fertility rate, total (births per woman)</x:v>
      </x:c>
    </x:row>
    <x:row r="696" ht="44" customHeight="1">
      <x:c r="A696" s="2" t="str">
        <x:v>BOL</x:v>
      </x:c>
      <x:c r="B696" s="2" t="str">
        <x:v>life_expectancy</x:v>
      </x:c>
      <x:c r="C696" s="2" t="n">
        <x:v>68.739</x:v>
      </x:c>
      <x:c r="D696" s="2" t="n">
        <x:v>2024</x:v>
      </x:c>
      <x:c r="E696" s="2" t="str">
        <x:v>WB_life_expectancy</x:v>
      </x:c>
      <x:c r="F696" s="2" t="str">
        <x:v>Life expectancy at birth, total (years)</x:v>
      </x:c>
    </x:row>
    <x:row r="697" ht="44" customHeight="1">
      <x:c r="A697" s="2" t="str">
        <x:v>BOL</x:v>
      </x:c>
      <x:c r="B697" s="2" t="str">
        <x:v>age_under15</x:v>
      </x:c>
      <x:c r="C697" s="2" t="n">
        <x:v>29.4403184589221</x:v>
      </x:c>
      <x:c r="D697" s="2" t="n">
        <x:v>2025</x:v>
      </x:c>
      <x:c r="E697" s="2" t="str">
        <x:v>WB_age_under15</x:v>
      </x:c>
      <x:c r="F697" s="2" t="str">
        <x:v>Population ages 0-14 (% of total population)</x:v>
      </x:c>
    </x:row>
    <x:row r="698" ht="44" customHeight="1">
      <x:c r="A698" s="2" t="str">
        <x:v>BOL</x:v>
      </x:c>
      <x:c r="B698" s="2" t="str">
        <x:v>age_over65</x:v>
      </x:c>
      <x:c r="C698" s="2" t="n">
        <x:v>5.74004562527309</x:v>
      </x:c>
      <x:c r="D698" s="2" t="n">
        <x:v>2025</x:v>
      </x:c>
      <x:c r="E698" s="2" t="str">
        <x:v>WB_age_over65</x:v>
      </x:c>
      <x:c r="F698" s="2" t="str">
        <x:v>Population ages 65 and above (% of total population)</x:v>
      </x:c>
    </x:row>
    <x:row r="699" ht="44" customHeight="1">
      <x:c r="A699" s="2" t="str">
        <x:v>BOL</x:v>
      </x:c>
      <x:c r="B699" s="2" t="str">
        <x:v>dependency_ratio</x:v>
      </x:c>
      <x:c r="C699" s="2" t="n">
        <x:v>54.2742478853241</x:v>
      </x:c>
      <x:c r="D699" s="2" t="n">
        <x:v>2025</x:v>
      </x:c>
      <x:c r="E699" s="2" t="str">
        <x:v>WB_dependency_ratio</x:v>
      </x:c>
      <x:c r="F699" s="2" t="str">
        <x:v>Age dependency ratio (% of working-age population)</x:v>
      </x:c>
    </x:row>
    <x:row r="700" ht="44" customHeight="1">
      <x:c r="A700" s="2" t="str">
        <x:v>BOL</x:v>
      </x:c>
      <x:c r="B700" s="2" t="str">
        <x:v>net_migration</x:v>
      </x:c>
      <x:c r="C700" s="2" t="n">
        <x:v>-3179</x:v>
      </x:c>
      <x:c r="D700" s="2" t="n">
        <x:v>2025</x:v>
      </x:c>
      <x:c r="E700" s="2" t="str">
        <x:v>WB_net_migration</x:v>
      </x:c>
      <x:c r="F700" s="2" t="str">
        <x:v>Net migration</x:v>
      </x:c>
    </x:row>
    <x:row r="701" ht="44" customHeight="1">
      <x:c r="A701" s="2" t="str">
        <x:v>BOL</x:v>
      </x:c>
      <x:c r="B701" s="2" t="str">
        <x:v>real_gdp</x:v>
      </x:c>
      <x:c r="C701" s="2" t="n">
        <x:v>37207939737.9555</x:v>
      </x:c>
      <x:c r="D701" s="2" t="n">
        <x:v>2025</x:v>
      </x:c>
      <x:c r="E701" s="2" t="str">
        <x:v>WB_real_gdp</x:v>
      </x:c>
      <x:c r="F701" s="2" t="str">
        <x:v>GDP (constant 2015 US$)</x:v>
      </x:c>
    </x:row>
    <x:row r="702" ht="44" customHeight="1">
      <x:c r="A702" s="2" t="str">
        <x:v>BOL</x:v>
      </x:c>
      <x:c r="B702" s="2" t="str">
        <x:v>gdp_growth</x:v>
      </x:c>
      <x:c r="C702" s="2" t="n">
        <x:v>-1.58237567348246</x:v>
      </x:c>
      <x:c r="D702" s="2" t="n">
        <x:v>2025</x:v>
      </x:c>
      <x:c r="E702" s="2" t="str">
        <x:v>WB_gdp_growth</x:v>
      </x:c>
      <x:c r="F702" s="2" t="str">
        <x:v>GDP growth (annual %)</x:v>
      </x:c>
    </x:row>
    <x:row r="703" ht="44" customHeight="1">
      <x:c r="A703" s="2" t="str">
        <x:v>BOL</x:v>
      </x:c>
      <x:c r="B703" s="2" t="str">
        <x:v>real_income</x:v>
      </x:c>
      <x:c r="C703" s="2" t="n">
        <x:v>2957.27261403242</x:v>
      </x:c>
      <x:c r="D703" s="2" t="n">
        <x:v>2025</x:v>
      </x:c>
      <x:c r="E703" s="2" t="str">
        <x:v>WB_real_income</x:v>
      </x:c>
      <x:c r="F703" s="2" t="str">
        <x:v>GDP per capita (constant 2015 US$)</x:v>
      </x:c>
    </x:row>
    <x:row r="704" ht="44" customHeight="1">
      <x:c r="A704" s="2" t="str">
        <x:v>BOL</x:v>
      </x:c>
      <x:c r="B704" s="2" t="str">
        <x:v>agriculture_gdp</x:v>
      </x:c>
      <x:c r="C704" s="2" t="n">
        <x:v>8.82625884280481</x:v>
      </x:c>
      <x:c r="D704" s="2" t="n">
        <x:v>2024</x:v>
      </x:c>
      <x:c r="E704" s="2" t="str">
        <x:v>WB_agriculture_gdp</x:v>
      </x:c>
      <x:c r="F704" s="2" t="str">
        <x:v>Agriculture, forestry, and fishing, value added (% of GDP)</x:v>
      </x:c>
    </x:row>
    <x:row r="705" ht="44" customHeight="1">
      <x:c r="A705" s="2" t="str">
        <x:v>BOL</x:v>
      </x:c>
      <x:c r="B705" s="2" t="str">
        <x:v>poverty</x:v>
      </x:c>
      <x:c r="C705" s="2" t="n">
        <x:v>2.1</x:v>
      </x:c>
      <x:c r="D705" s="2" t="n">
        <x:v>2024</x:v>
      </x:c>
      <x:c r="E705" s="2" t="str">
        <x:v>WB_poverty</x:v>
      </x:c>
      <x:c r="F705" s="2" t="str">
        <x:v>Poverty headcount ratio at $3.00 a day (2021 PPP) (% of population)</x:v>
      </x:c>
    </x:row>
    <x:row r="706" ht="44" customHeight="1">
      <x:c r="A706" s="2" t="str">
        <x:v>BOL</x:v>
      </x:c>
      <x:c r="B706" s="2" t="str">
        <x:v>gini</x:v>
      </x:c>
      <x:c r="C706" s="2" t="n">
        <x:v>40.9</x:v>
      </x:c>
      <x:c r="D706" s="2" t="n">
        <x:v>2024</x:v>
      </x:c>
      <x:c r="E706" s="2" t="str">
        <x:v>WB_gini</x:v>
      </x:c>
      <x:c r="F706" s="2" t="str">
        <x:v>Gini index</x:v>
      </x:c>
    </x:row>
    <x:row r="707" ht="44" customHeight="1">
      <x:c r="A707" s="2" t="str">
        <x:v>BOL</x:v>
      </x:c>
      <x:c r="B707" s="2" t="str">
        <x:v>unemployment</x:v>
      </x:c>
      <x:c r="C707" s="2" t="n">
        <x:v>2.967</x:v>
      </x:c>
      <x:c r="D707" s="2" t="n">
        <x:v>2025</x:v>
      </x:c>
      <x:c r="E707" s="2" t="str">
        <x:v>WB_unemployment</x:v>
      </x:c>
      <x:c r="F707" s="2" t="str">
        <x:v>Unemployment, total (% of total labor force) (modeled ILO estimate)</x:v>
      </x:c>
    </x:row>
    <x:row r="708" ht="44" customHeight="1">
      <x:c r="A708" s="2" t="str">
        <x:v>BOL</x:v>
      </x:c>
      <x:c r="B708" s="2" t="str">
        <x:v>private_credit</x:v>
      </x:c>
      <x:c r="C708" s="2" t="n">
        <x:v>51.752427209762</x:v>
      </x:c>
      <x:c r="D708" s="2" t="n">
        <x:v>2025</x:v>
      </x:c>
      <x:c r="E708" s="2" t="str">
        <x:v>WB_private_credit</x:v>
      </x:c>
      <x:c r="F708" s="2" t="str">
        <x:v>Domestic credit to private sector (% of GDP)</x:v>
      </x:c>
    </x:row>
    <x:row r="709" ht="44" customHeight="1">
      <x:c r="A709" s="2" t="str">
        <x:v>BOL</x:v>
      </x:c>
      <x:c r="B709" s="2" t="str">
        <x:v>lending_rate</x:v>
      </x:c>
      <x:c r="C709" s="2" t="n">
        <x:v>10.1870210797778</x:v>
      </x:c>
      <x:c r="D709" s="2" t="n">
        <x:v>2025</x:v>
      </x:c>
      <x:c r="E709" s="2" t="str">
        <x:v>WB_lending_rate</x:v>
      </x:c>
      <x:c r="F709" s="2" t="str">
        <x:v>Lending interest rate (%)</x:v>
      </x:c>
    </x:row>
    <x:row r="710" ht="44" customHeight="1">
      <x:c r="A710" s="2" t="str">
        <x:v>BOL</x:v>
      </x:c>
      <x:c r="B710" s="2" t="str">
        <x:v>real_interest</x:v>
      </x:c>
      <x:c r="C710" s="2" t="n">
        <x:v>-8.1115158943581</x:v>
      </x:c>
      <x:c r="D710" s="2" t="n">
        <x:v>2025</x:v>
      </x:c>
      <x:c r="E710" s="2" t="str">
        <x:v>WB_real_interest</x:v>
      </x:c>
      <x:c r="F710" s="2" t="str">
        <x:v>Real interest rate (%)</x:v>
      </x:c>
    </x:row>
    <x:row r="711" ht="44" customHeight="1">
      <x:c r="A711" s="2" t="str">
        <x:v>BOL</x:v>
      </x:c>
      <x:c r="B711" s="2" t="str">
        <x:v>government_debt</x:v>
      </x:c>
      <x:c r="C711" s="2" t="n">
        <x:v>68.3398527645303</x:v>
      </x:c>
      <x:c r="D711" s="2" t="n">
        <x:v>2001</x:v>
      </x:c>
      <x:c r="E711" s="2" t="str">
        <x:v>WB_government_debt</x:v>
      </x:c>
      <x:c r="F711" s="2" t="str">
        <x:v>Central government debt, total (% of GDP)</x:v>
      </x:c>
    </x:row>
    <x:row r="712" ht="44" customHeight="1">
      <x:c r="A712" s="2" t="str">
        <x:v>BOL</x:v>
      </x:c>
      <x:c r="B712" s="2" t="str">
        <x:v>electricity_access</x:v>
      </x:c>
      <x:c r="C712" s="2" t="n">
        <x:v>96.6</x:v>
      </x:c>
      <x:c r="D712" s="2" t="n">
        <x:v>2024</x:v>
      </x:c>
      <x:c r="E712" s="2" t="str">
        <x:v>WB_electricity_access</x:v>
      </x:c>
      <x:c r="F712" s="2" t="str">
        <x:v>Access to electricity (% of population)</x:v>
      </x:c>
    </x:row>
    <x:row r="713" ht="44" customHeight="1">
      <x:c r="A713" s="2" t="str">
        <x:v>BOL</x:v>
      </x:c>
      <x:c r="B713" s="2" t="str">
        <x:v>irrigated_land</x:v>
      </x:c>
      <x:c r="C713" s="2" t="n">
        <x:v>0.783342119135477</x:v>
      </x:c>
      <x:c r="D713" s="2" t="n">
        <x:v>2017</x:v>
      </x:c>
      <x:c r="E713" s="2" t="str">
        <x:v>WB_irrigated_land</x:v>
      </x:c>
      <x:c r="F713" s="2" t="str">
        <x:v>Agricultural irrigated land (% of total agricultural land)</x:v>
      </x:c>
    </x:row>
    <x:row r="714" ht="44" customHeight="1">
      <x:c r="A714" s="2" t="str">
        <x:v>BOL</x:v>
      </x:c>
      <x:c r="B714" s="2" t="str">
        <x:v>cereal_area</x:v>
      </x:c>
      <x:c r="C714" s="2" t="n">
        <x:v>1691778</x:v>
      </x:c>
      <x:c r="D714" s="2" t="n">
        <x:v>2024</x:v>
      </x:c>
      <x:c r="E714" s="2" t="str">
        <x:v>WB_cereal_area</x:v>
      </x:c>
      <x:c r="F714" s="2" t="str">
        <x:v>Land under cereal production (hectares)</x:v>
      </x:c>
    </x:row>
    <x:row r="715" ht="44" customHeight="1">
      <x:c r="A715" s="2" t="str">
        <x:v>BOL</x:v>
      </x:c>
      <x:c r="B715" s="2" t="str">
        <x:v>undernourishment</x:v>
      </x:c>
      <x:c r="C715" s="2" t="n">
        <x:v>21.8</x:v>
      </x:c>
      <x:c r="D715" s="2" t="n">
        <x:v>2023</x:v>
      </x:c>
      <x:c r="E715" s="2" t="str">
        <x:v>WB_undernourishment</x:v>
      </x:c>
      <x:c r="F715" s="2" t="str">
        <x:v>Prevalence of undernourishment (% of population)</x:v>
      </x:c>
    </x:row>
    <x:row r="716" ht="44" customHeight="1">
      <x:c r="A716" s="2" t="str">
        <x:v>BOL</x:v>
      </x:c>
      <x:c r="B716" s="2" t="str">
        <x:v>agriculture_employment</x:v>
      </x:c>
      <x:c r="C716" s="2" t="n">
        <x:v>24.7143896755516</x:v>
      </x:c>
      <x:c r="D716" s="2" t="n">
        <x:v>2025</x:v>
      </x:c>
      <x:c r="E716" s="2" t="str">
        <x:v>WB_agriculture_employment</x:v>
      </x:c>
      <x:c r="F716" s="2" t="str">
        <x:v>Employment in agriculture (% of total employment) (modeled ILO estimate)</x:v>
      </x:c>
    </x:row>
    <x:row r="717" ht="44" customHeight="1">
      <x:c r="A717" s="2" t="str">
        <x:v>BOL</x:v>
      </x:c>
      <x:c r="B717" s="2" t="str">
        <x:v>water_withdrawal</x:v>
      </x:c>
      <x:c r="C717" s="2" t="n">
        <x:v>0.118644412191104</x:v>
      </x:c>
      <x:c r="D717" s="2" t="n">
        <x:v>2022</x:v>
      </x:c>
      <x:c r="E717" s="2" t="str">
        <x:v>WB_water_withdrawal</x:v>
      </x:c>
      <x:c r="F717" s="2" t="str">
        <x:v>Annual freshwater withdrawals, total (% of internal resources)</x:v>
      </x:c>
    </x:row>
    <x:row r="718" ht="44" customHeight="1">
      <x:c r="A718" s="2" t="str">
        <x:v>BIH</x:v>
      </x:c>
      <x:c r="B718" s="2" t="str">
        <x:v>population</x:v>
      </x:c>
      <x:c r="C718" s="2" t="n">
        <x:v>3140095</x:v>
      </x:c>
      <x:c r="D718" s="2" t="n">
        <x:v>2025</x:v>
      </x:c>
      <x:c r="E718" s="2" t="str">
        <x:v>WB_population</x:v>
      </x:c>
      <x:c r="F718" s="2" t="str">
        <x:v>Population, total</x:v>
      </x:c>
    </x:row>
    <x:row r="719" ht="44" customHeight="1">
      <x:c r="A719" s="2" t="str">
        <x:v>BIH</x:v>
      </x:c>
      <x:c r="B719" s="2" t="str">
        <x:v>income_ppp</x:v>
      </x:c>
      <x:c r="C719" s="2" t="n">
        <x:v>21178.2260059497</x:v>
      </x:c>
      <x:c r="D719" s="2" t="n">
        <x:v>2025</x:v>
      </x:c>
      <x:c r="E719" s="2" t="str">
        <x:v>WB_income_ppp</x:v>
      </x:c>
      <x:c r="F719" s="2" t="str">
        <x:v>GDP per capita, PPP (constant 2021 international $)</x:v>
      </x:c>
    </x:row>
    <x:row r="720" ht="44" customHeight="1">
      <x:c r="A720" s="2" t="str">
        <x:v>BIH</x:v>
      </x:c>
      <x:c r="B720" s="2" t="str">
        <x:v>urban</x:v>
      </x:c>
      <x:c r="C720" s="2" t="n">
        <x:v>52.6915440779561</x:v>
      </x:c>
      <x:c r="D720" s="2" t="n">
        <x:v>2025</x:v>
      </x:c>
      <x:c r="E720" s="2" t="str">
        <x:v>WB_urban</x:v>
      </x:c>
      <x:c r="F720" s="2" t="str">
        <x:v>Urban population (% of total population)</x:v>
      </x:c>
    </x:row>
    <x:row r="721" ht="44" customHeight="1">
      <x:c r="A721" s="2" t="str">
        <x:v>BIH</x:v>
      </x:c>
      <x:c r="B721" s="2" t="str">
        <x:v>inflation</x:v>
      </x:c>
      <x:c r="C721" s="2" t="n">
        <x:v>6.1059011284828</x:v>
      </x:c>
      <x:c r="D721" s="2" t="n">
        <x:v>2023</x:v>
      </x:c>
      <x:c r="E721" s="2" t="str">
        <x:v>WB_inflation</x:v>
      </x:c>
      <x:c r="F721" s="2" t="str">
        <x:v>Inflation, consumer prices (annual %)</x:v>
      </x:c>
    </x:row>
    <x:row r="722" ht="44" customHeight="1">
      <x:c r="A722" s="2" t="str">
        <x:v>BIH</x:v>
      </x:c>
      <x:c r="B722" s="2" t="str">
        <x:v>food_index</x:v>
      </x:c>
      <x:c r="C722" s="2" t="n">
        <x:v>113.39</x:v>
      </x:c>
      <x:c r="D722" s="2" t="n">
        <x:v>2022</x:v>
      </x:c>
      <x:c r="E722" s="2" t="str">
        <x:v>WB_food_index</x:v>
      </x:c>
      <x:c r="F722" s="2" t="str">
        <x:v>Food production index (2014-2016 = 100)</x:v>
      </x:c>
    </x:row>
    <x:row r="723" ht="44" customHeight="1">
      <x:c r="A723" s="2" t="str">
        <x:v>BIH</x:v>
      </x:c>
      <x:c r="B723" s="2" t="str">
        <x:v>food_import_share</x:v>
      </x:c>
      <x:c r="C723" s="2" t="n">
        <x:v>18.189632702124</x:v>
      </x:c>
      <x:c r="D723" s="2" t="n">
        <x:v>2025</x:v>
      </x:c>
      <x:c r="E723" s="2" t="str">
        <x:v>WB_food_import_share</x:v>
      </x:c>
      <x:c r="F723" s="2" t="str">
        <x:v>Food imports (% of merchandise imports)</x:v>
      </x:c>
    </x:row>
    <x:row r="724" ht="44" customHeight="1">
      <x:c r="A724" s="2" t="str">
        <x:v>BIH</x:v>
      </x:c>
      <x:c r="B724" s="2" t="str">
        <x:v>food_export_share</x:v>
      </x:c>
      <x:c r="C724" s="2" t="n">
        <x:v>7.43011031860062</x:v>
      </x:c>
      <x:c r="D724" s="2" t="n">
        <x:v>2025</x:v>
      </x:c>
      <x:c r="E724" s="2" t="str">
        <x:v>WB_food_export_share</x:v>
      </x:c>
      <x:c r="F724" s="2" t="str">
        <x:v>Food exports (% of merchandise exports)</x:v>
      </x:c>
    </x:row>
    <x:row r="725" ht="44" customHeight="1">
      <x:c r="A725" s="2" t="str">
        <x:v>BIH</x:v>
      </x:c>
      <x:c r="B725" s="2" t="str">
        <x:v>imports_usd</x:v>
      </x:c>
      <x:c r="C725" s="2" t="n">
        <x:v>17328000000</x:v>
      </x:c>
      <x:c r="D725" s="2" t="n">
        <x:v>2025</x:v>
      </x:c>
      <x:c r="E725" s="2" t="str">
        <x:v>WB_imports_usd</x:v>
      </x:c>
      <x:c r="F725" s="2" t="str">
        <x:v>Merchandise imports (current US$)</x:v>
      </x:c>
    </x:row>
    <x:row r="726" ht="44" customHeight="1">
      <x:c r="A726" s="2" t="str">
        <x:v>BIH</x:v>
      </x:c>
      <x:c r="B726" s="2" t="str">
        <x:v>exports_usd</x:v>
      </x:c>
      <x:c r="C726" s="2" t="n">
        <x:v>9813000000</x:v>
      </x:c>
      <x:c r="D726" s="2" t="n">
        <x:v>2025</x:v>
      </x:c>
      <x:c r="E726" s="2" t="str">
        <x:v>WB_exports_usd</x:v>
      </x:c>
      <x:c r="F726" s="2" t="str">
        <x:v>Merchandise exports (current US$)</x:v>
      </x:c>
    </x:row>
    <x:row r="727" ht="44" customHeight="1">
      <x:c r="A727" s="2" t="str">
        <x:v>BIH</x:v>
      </x:c>
      <x:c r="B727" s="2" t="str">
        <x:v>cereal_yield</x:v>
      </x:c>
      <x:c r="C727" s="2" t="n">
        <x:v>5529.7</x:v>
      </x:c>
      <x:c r="D727" s="2" t="n">
        <x:v>2023</x:v>
      </x:c>
      <x:c r="E727" s="2" t="str">
        <x:v>WB_cereal_yield</x:v>
      </x:c>
      <x:c r="F727" s="2" t="str">
        <x:v>Cereal yield (kg per hectare)</x:v>
      </x:c>
    </x:row>
    <x:row r="728" ht="44" customHeight="1">
      <x:c r="A728" s="2" t="str">
        <x:v>BIH</x:v>
      </x:c>
      <x:c r="B728" s="2" t="str">
        <x:v>water_stress</x:v>
      </x:c>
      <x:c r="C728" s="2" t="n">
        <x:v>2.071713147</x:v>
      </x:c>
      <x:c r="D728" s="2" t="n">
        <x:v>2022</x:v>
      </x:c>
      <x:c r="E728" s="2" t="str">
        <x:v>WB_water_stress</x:v>
      </x:c>
      <x:c r="F728" s="2" t="str">
        <x:v>Level of water stress: freshwater withdrawal as a proportion of available freshwater resources</x:v>
      </x:c>
    </x:row>
    <x:row r="729" ht="44" customHeight="1">
      <x:c r="A729" s="2" t="str">
        <x:v>BIH</x:v>
      </x:c>
      <x:c r="B729" s="2" t="str">
        <x:v>fertility</x:v>
      </x:c>
      <x:c r="C729" s="2" t="n">
        <x:v>1.492</x:v>
      </x:c>
      <x:c r="D729" s="2" t="n">
        <x:v>2024</x:v>
      </x:c>
      <x:c r="E729" s="2" t="str">
        <x:v>WB_fertility</x:v>
      </x:c>
      <x:c r="F729" s="2" t="str">
        <x:v>Fertility rate, total (births per woman)</x:v>
      </x:c>
    </x:row>
    <x:row r="730" ht="44" customHeight="1">
      <x:c r="A730" s="2" t="str">
        <x:v>BIH</x:v>
      </x:c>
      <x:c r="B730" s="2" t="str">
        <x:v>life_expectancy</x:v>
      </x:c>
      <x:c r="C730" s="2" t="n">
        <x:v>78.044</x:v>
      </x:c>
      <x:c r="D730" s="2" t="n">
        <x:v>2024</x:v>
      </x:c>
      <x:c r="E730" s="2" t="str">
        <x:v>WB_life_expectancy</x:v>
      </x:c>
      <x:c r="F730" s="2" t="str">
        <x:v>Life expectancy at birth, total (years)</x:v>
      </x:c>
    </x:row>
    <x:row r="731" ht="44" customHeight="1">
      <x:c r="A731" s="2" t="str">
        <x:v>BIH</x:v>
      </x:c>
      <x:c r="B731" s="2" t="str">
        <x:v>age_under15</x:v>
      </x:c>
      <x:c r="C731" s="2" t="n">
        <x:v>12.8485423452885</x:v>
      </x:c>
      <x:c r="D731" s="2" t="n">
        <x:v>2025</x:v>
      </x:c>
      <x:c r="E731" s="2" t="str">
        <x:v>WB_age_under15</x:v>
      </x:c>
      <x:c r="F731" s="2" t="str">
        <x:v>Population ages 0-14 (% of total population)</x:v>
      </x:c>
    </x:row>
    <x:row r="732" ht="44" customHeight="1">
      <x:c r="A732" s="2" t="str">
        <x:v>BIH</x:v>
      </x:c>
      <x:c r="B732" s="2" t="str">
        <x:v>age_over65</x:v>
      </x:c>
      <x:c r="C732" s="2" t="n">
        <x:v>22.8598779877873</x:v>
      </x:c>
      <x:c r="D732" s="2" t="n">
        <x:v>2025</x:v>
      </x:c>
      <x:c r="E732" s="2" t="str">
        <x:v>WB_age_over65</x:v>
      </x:c>
      <x:c r="F732" s="2" t="str">
        <x:v>Population ages 65 and above (% of total population)</x:v>
      </x:c>
    </x:row>
    <x:row r="733" ht="44" customHeight="1">
      <x:c r="A733" s="2" t="str">
        <x:v>BIH</x:v>
      </x:c>
      <x:c r="B733" s="2" t="str">
        <x:v>dependency_ratio</x:v>
      </x:c>
      <x:c r="C733" s="2" t="n">
        <x:v>55.5413393091102</x:v>
      </x:c>
      <x:c r="D733" s="2" t="n">
        <x:v>2025</x:v>
      </x:c>
      <x:c r="E733" s="2" t="str">
        <x:v>WB_dependency_ratio</x:v>
      </x:c>
      <x:c r="F733" s="2" t="str">
        <x:v>Age dependency ratio (% of working-age population)</x:v>
      </x:c>
    </x:row>
    <x:row r="734" ht="44" customHeight="1">
      <x:c r="A734" s="2" t="str">
        <x:v>BIH</x:v>
      </x:c>
      <x:c r="B734" s="2" t="str">
        <x:v>net_migration</x:v>
      </x:c>
      <x:c r="C734" s="2" t="n">
        <x:v>-6994</x:v>
      </x:c>
      <x:c r="D734" s="2" t="n">
        <x:v>2025</x:v>
      </x:c>
      <x:c r="E734" s="2" t="str">
        <x:v>WB_net_migration</x:v>
      </x:c>
      <x:c r="F734" s="2" t="str">
        <x:v>Net migration</x:v>
      </x:c>
    </x:row>
    <x:row r="735" ht="44" customHeight="1">
      <x:c r="A735" s="2" t="str">
        <x:v>BIH</x:v>
      </x:c>
      <x:c r="B735" s="2" t="str">
        <x:v>real_gdp</x:v>
      </x:c>
      <x:c r="C735" s="2" t="n">
        <x:v>21803508730.6731</x:v>
      </x:c>
      <x:c r="D735" s="2" t="n">
        <x:v>2025</x:v>
      </x:c>
      <x:c r="E735" s="2" t="str">
        <x:v>WB_real_gdp</x:v>
      </x:c>
      <x:c r="F735" s="2" t="str">
        <x:v>GDP (constant 2015 US$)</x:v>
      </x:c>
    </x:row>
    <x:row r="736" ht="44" customHeight="1">
      <x:c r="A736" s="2" t="str">
        <x:v>BIH</x:v>
      </x:c>
      <x:c r="B736" s="2" t="str">
        <x:v>gdp_growth</x:v>
      </x:c>
      <x:c r="C736" s="2" t="n">
        <x:v>2.12861913138053</x:v>
      </x:c>
      <x:c r="D736" s="2" t="n">
        <x:v>2025</x:v>
      </x:c>
      <x:c r="E736" s="2" t="str">
        <x:v>WB_gdp_growth</x:v>
      </x:c>
      <x:c r="F736" s="2" t="str">
        <x:v>GDP growth (annual %)</x:v>
      </x:c>
    </x:row>
    <x:row r="737" ht="44" customHeight="1">
      <x:c r="A737" s="2" t="str">
        <x:v>BIH</x:v>
      </x:c>
      <x:c r="B737" s="2" t="str">
        <x:v>real_income</x:v>
      </x:c>
      <x:c r="C737" s="2" t="n">
        <x:v>6943.58251284534</x:v>
      </x:c>
      <x:c r="D737" s="2" t="n">
        <x:v>2025</x:v>
      </x:c>
      <x:c r="E737" s="2" t="str">
        <x:v>WB_real_income</x:v>
      </x:c>
      <x:c r="F737" s="2" t="str">
        <x:v>GDP per capita (constant 2015 US$)</x:v>
      </x:c>
    </x:row>
    <x:row r="738" ht="44" customHeight="1">
      <x:c r="A738" s="2" t="str">
        <x:v>BIH</x:v>
      </x:c>
      <x:c r="B738" s="2" t="str">
        <x:v>agriculture_gdp</x:v>
      </x:c>
      <x:c r="C738" s="2" t="n">
        <x:v>4.35590102154996</x:v>
      </x:c>
      <x:c r="D738" s="2" t="n">
        <x:v>2025</x:v>
      </x:c>
      <x:c r="E738" s="2" t="str">
        <x:v>WB_agriculture_gdp</x:v>
      </x:c>
      <x:c r="F738" s="2" t="str">
        <x:v>Agriculture, forestry, and fishing, value added (% of GDP)</x:v>
      </x:c>
    </x:row>
    <x:row r="739" ht="44" customHeight="1">
      <x:c r="A739" s="2" t="str">
        <x:v>BIH</x:v>
      </x:c>
      <x:c r="B739" s="2" t="str">
        <x:v>poverty</x:v>
      </x:c>
      <x:c r="C739" s="2" t="n">
        <x:v>0.3</x:v>
      </x:c>
      <x:c r="D739" s="2" t="n">
        <x:v>2021</x:v>
      </x:c>
      <x:c r="E739" s="2" t="str">
        <x:v>WB_poverty</x:v>
      </x:c>
      <x:c r="F739" s="2" t="str">
        <x:v>Poverty headcount ratio at $3.00 a day (2021 PPP) (% of population)</x:v>
      </x:c>
    </x:row>
    <x:row r="740" ht="44" customHeight="1">
      <x:c r="A740" s="2" t="str">
        <x:v>BIH</x:v>
      </x:c>
      <x:c r="B740" s="2" t="str">
        <x:v>gini</x:v>
      </x:c>
      <x:c r="C740" s="2" t="n">
        <x:v>30.3</x:v>
      </x:c>
      <x:c r="D740" s="2" t="n">
        <x:v>2021</x:v>
      </x:c>
      <x:c r="E740" s="2" t="str">
        <x:v>WB_gini</x:v>
      </x:c>
      <x:c r="F740" s="2" t="str">
        <x:v>Gini index</x:v>
      </x:c>
    </x:row>
    <x:row r="741" ht="44" customHeight="1">
      <x:c r="A741" s="2" t="str">
        <x:v>BIH</x:v>
      </x:c>
      <x:c r="B741" s="2" t="str">
        <x:v>unemployment</x:v>
      </x:c>
      <x:c r="C741" s="2" t="n">
        <x:v>11.037</x:v>
      </x:c>
      <x:c r="D741" s="2" t="n">
        <x:v>2025</x:v>
      </x:c>
      <x:c r="E741" s="2" t="str">
        <x:v>WB_unemployment</x:v>
      </x:c>
      <x:c r="F741" s="2" t="str">
        <x:v>Unemployment, total (% of total labor force) (modeled ILO estimate)</x:v>
      </x:c>
    </x:row>
    <x:row r="742" ht="44" customHeight="1">
      <x:c r="A742" s="2" t="str">
        <x:v>BIH</x:v>
      </x:c>
      <x:c r="B742" s="2" t="str">
        <x:v>private_credit</x:v>
      </x:c>
      <x:c r="C742" s="2" t="n">
        <x:v>48.066449098491</x:v>
      </x:c>
      <x:c r="D742" s="2" t="n">
        <x:v>2024</x:v>
      </x:c>
      <x:c r="E742" s="2" t="str">
        <x:v>WB_private_credit</x:v>
      </x:c>
      <x:c r="F742" s="2" t="str">
        <x:v>Domestic credit to private sector (% of GDP)</x:v>
      </x:c>
    </x:row>
    <x:row r="743" ht="44" customHeight="1">
      <x:c r="A743" s="2" t="str">
        <x:v>BIH</x:v>
      </x:c>
      <x:c r="B743" s="2" t="str">
        <x:v>lending_rate</x:v>
      </x:c>
      <x:c r="C743" s="2" t="n">
        <x:v>4.22223812164853</x:v>
      </x:c>
      <x:c r="D743" s="2" t="n">
        <x:v>2025</x:v>
      </x:c>
      <x:c r="E743" s="2" t="str">
        <x:v>WB_lending_rate</x:v>
      </x:c>
      <x:c r="F743" s="2" t="str">
        <x:v>Lending interest rate (%)</x:v>
      </x:c>
    </x:row>
    <x:row r="744" ht="44" customHeight="1">
      <x:c r="A744" s="2" t="str">
        <x:v>BIH</x:v>
      </x:c>
      <x:c r="B744" s="2" t="str">
        <x:v>real_interest</x:v>
      </x:c>
      <x:c r="C744" s="2" t="n">
        <x:v>1.17326088615684</x:v>
      </x:c>
      <x:c r="D744" s="2" t="n">
        <x:v>2025</x:v>
      </x:c>
      <x:c r="E744" s="2" t="str">
        <x:v>WB_real_interest</x:v>
      </x:c>
      <x:c r="F744" s="2" t="str">
        <x:v>Real interest rate (%)</x:v>
      </x:c>
    </x:row>
    <x:row r="745" ht="44" customHeight="1">
      <x:c r="A745" s="2" t="str">
        <x:v>BIH</x:v>
      </x:c>
      <x:c r="B745" s="2" t="str">
        <x:v>government_debt</x:v>
      </x:c>
      <x:c r="C745" s="2" t="n">
        <x:v>39.7426659459337</x:v>
      </x:c>
      <x:c r="D745" s="2" t="n">
        <x:v>2024</x:v>
      </x:c>
      <x:c r="E745" s="2" t="str">
        <x:v>WB_government_debt</x:v>
      </x:c>
      <x:c r="F745" s="2" t="str">
        <x:v>Central government debt, total (% of GDP)</x:v>
      </x:c>
    </x:row>
    <x:row r="746" ht="44" customHeight="1">
      <x:c r="A746" s="2" t="str">
        <x:v>BIH</x:v>
      </x:c>
      <x:c r="B746" s="2" t="str">
        <x:v>electricity_access</x:v>
      </x:c>
      <x:c r="C746" s="2" t="n">
        <x:v>100</x:v>
      </x:c>
      <x:c r="D746" s="2" t="n">
        <x:v>2024</x:v>
      </x:c>
      <x:c r="E746" s="2" t="str">
        <x:v>WB_electricity_access</x:v>
      </x:c>
      <x:c r="F746" s="2" t="str">
        <x:v>Access to electricity (% of population)</x:v>
      </x:c>
    </x:row>
    <x:row r="747" ht="44" customHeight="1">
      <x:c r="A747" s="2" t="str">
        <x:v>BIH</x:v>
      </x:c>
      <x:c r="B747" s="2" t="str">
        <x:v>irrigated_land</x:v>
      </x:c>
      <x:c r="C747" s="2"/>
      <x:c r="D747" s="2"/>
      <x:c r="E747" s="2" t="str">
        <x:v>Missing</x:v>
      </x:c>
      <x:c r="F747" s="2" t="str">
        <x:v>Agricultural irrigated land (% of total agricultural land)</x:v>
      </x:c>
    </x:row>
    <x:row r="748" ht="44" customHeight="1">
      <x:c r="A748" s="2" t="str">
        <x:v>BIH</x:v>
      </x:c>
      <x:c r="B748" s="2" t="str">
        <x:v>cereal_area</x:v>
      </x:c>
      <x:c r="C748" s="2" t="n">
        <x:v>192144</x:v>
      </x:c>
      <x:c r="D748" s="2" t="n">
        <x:v>2023</x:v>
      </x:c>
      <x:c r="E748" s="2" t="str">
        <x:v>WB_cereal_area</x:v>
      </x:c>
      <x:c r="F748" s="2" t="str">
        <x:v>Land under cereal production (hectares)</x:v>
      </x:c>
    </x:row>
    <x:row r="749" ht="44" customHeight="1">
      <x:c r="A749" s="2" t="str">
        <x:v>BIH</x:v>
      </x:c>
      <x:c r="B749" s="2" t="str">
        <x:v>undernourishment</x:v>
      </x:c>
      <x:c r="C749" s="2" t="n">
        <x:v>2.5</x:v>
      </x:c>
      <x:c r="D749" s="2" t="n">
        <x:v>2023</x:v>
      </x:c>
      <x:c r="E749" s="2" t="str">
        <x:v>WB_undernourishment</x:v>
      </x:c>
      <x:c r="F749" s="2" t="str">
        <x:v>Prevalence of undernourishment (% of population)</x:v>
      </x:c>
    </x:row>
    <x:row r="750" ht="44" customHeight="1">
      <x:c r="A750" s="2" t="str">
        <x:v>BIH</x:v>
      </x:c>
      <x:c r="B750" s="2" t="str">
        <x:v>agriculture_employment</x:v>
      </x:c>
      <x:c r="C750" s="2" t="n">
        <x:v>16.7089925708187</x:v>
      </x:c>
      <x:c r="D750" s="2" t="n">
        <x:v>2025</x:v>
      </x:c>
      <x:c r="E750" s="2" t="str">
        <x:v>WB_agriculture_employment</x:v>
      </x:c>
      <x:c r="F750" s="2" t="str">
        <x:v>Employment in agriculture (% of total employment) (modeled ILO estimate)</x:v>
      </x:c>
    </x:row>
    <x:row r="751" ht="44" customHeight="1">
      <x:c r="A751" s="2" t="str">
        <x:v>BIH</x:v>
      </x:c>
      <x:c r="B751" s="2" t="str">
        <x:v>water_withdrawal</x:v>
      </x:c>
      <x:c r="C751" s="2" t="n">
        <x:v>0.878971830985916</x:v>
      </x:c>
      <x:c r="D751" s="2" t="n">
        <x:v>2022</x:v>
      </x:c>
      <x:c r="E751" s="2" t="str">
        <x:v>WB_water_withdrawal</x:v>
      </x:c>
      <x:c r="F751" s="2" t="str">
        <x:v>Annual freshwater withdrawals, total (% of internal resources)</x:v>
      </x:c>
    </x:row>
    <x:row r="752" ht="44" customHeight="1">
      <x:c r="A752" s="2" t="str">
        <x:v>BWA</x:v>
      </x:c>
      <x:c r="B752" s="2" t="str">
        <x:v>population</x:v>
      </x:c>
      <x:c r="C752" s="2" t="n">
        <x:v>2562122</x:v>
      </x:c>
      <x:c r="D752" s="2" t="n">
        <x:v>2025</x:v>
      </x:c>
      <x:c r="E752" s="2" t="str">
        <x:v>WB_population</x:v>
      </x:c>
      <x:c r="F752" s="2" t="str">
        <x:v>Population, total</x:v>
      </x:c>
    </x:row>
    <x:row r="753" ht="44" customHeight="1">
      <x:c r="A753" s="2" t="str">
        <x:v>BWA</x:v>
      </x:c>
      <x:c r="B753" s="2" t="str">
        <x:v>income_ppp</x:v>
      </x:c>
      <x:c r="C753" s="2" t="n">
        <x:v>17687.2042407934</x:v>
      </x:c>
      <x:c r="D753" s="2" t="n">
        <x:v>2025</x:v>
      </x:c>
      <x:c r="E753" s="2" t="str">
        <x:v>WB_income_ppp</x:v>
      </x:c>
      <x:c r="F753" s="2" t="str">
        <x:v>GDP per capita, PPP (constant 2021 international $)</x:v>
      </x:c>
    </x:row>
    <x:row r="754" ht="44" customHeight="1">
      <x:c r="A754" s="2" t="str">
        <x:v>BWA</x:v>
      </x:c>
      <x:c r="B754" s="2" t="str">
        <x:v>urban</x:v>
      </x:c>
      <x:c r="C754" s="2" t="n">
        <x:v>67.9559561532102</x:v>
      </x:c>
      <x:c r="D754" s="2" t="n">
        <x:v>2025</x:v>
      </x:c>
      <x:c r="E754" s="2" t="str">
        <x:v>WB_urban</x:v>
      </x:c>
      <x:c r="F754" s="2" t="str">
        <x:v>Urban population (% of total population)</x:v>
      </x:c>
    </x:row>
    <x:row r="755" ht="44" customHeight="1">
      <x:c r="A755" s="2" t="str">
        <x:v>BWA</x:v>
      </x:c>
      <x:c r="B755" s="2" t="str">
        <x:v>inflation</x:v>
      </x:c>
      <x:c r="C755" s="2" t="n">
        <x:v>2.6597506179431</x:v>
      </x:c>
      <x:c r="D755" s="2" t="n">
        <x:v>2025</x:v>
      </x:c>
      <x:c r="E755" s="2" t="str">
        <x:v>WB_inflation</x:v>
      </x:c>
      <x:c r="F755" s="2" t="str">
        <x:v>Inflation, consumer prices (annual %)</x:v>
      </x:c>
    </x:row>
    <x:row r="756" ht="44" customHeight="1">
      <x:c r="A756" s="2" t="str">
        <x:v>BWA</x:v>
      </x:c>
      <x:c r="B756" s="2" t="str">
        <x:v>food_index</x:v>
      </x:c>
      <x:c r="C756" s="2" t="n">
        <x:v>96.87</x:v>
      </x:c>
      <x:c r="D756" s="2" t="n">
        <x:v>2022</x:v>
      </x:c>
      <x:c r="E756" s="2" t="str">
        <x:v>WB_food_index</x:v>
      </x:c>
      <x:c r="F756" s="2" t="str">
        <x:v>Food production index (2014-2016 = 100)</x:v>
      </x:c>
    </x:row>
    <x:row r="757" ht="44" customHeight="1">
      <x:c r="A757" s="2" t="str">
        <x:v>BWA</x:v>
      </x:c>
      <x:c r="B757" s="2" t="str">
        <x:v>food_import_share</x:v>
      </x:c>
      <x:c r="C757" s="2" t="n">
        <x:v>16.2058105870723</x:v>
      </x:c>
      <x:c r="D757" s="2" t="n">
        <x:v>2023</x:v>
      </x:c>
      <x:c r="E757" s="2" t="str">
        <x:v>WB_food_import_share</x:v>
      </x:c>
      <x:c r="F757" s="2" t="str">
        <x:v>Food imports (% of merchandise imports)</x:v>
      </x:c>
    </x:row>
    <x:row r="758" ht="44" customHeight="1">
      <x:c r="A758" s="2" t="str">
        <x:v>BWA</x:v>
      </x:c>
      <x:c r="B758" s="2" t="str">
        <x:v>food_export_share</x:v>
      </x:c>
      <x:c r="C758" s="2" t="n">
        <x:v>1.85190802071299</x:v>
      </x:c>
      <x:c r="D758" s="2" t="n">
        <x:v>2023</x:v>
      </x:c>
      <x:c r="E758" s="2" t="str">
        <x:v>WB_food_export_share</x:v>
      </x:c>
      <x:c r="F758" s="2" t="str">
        <x:v>Food exports (% of merchandise exports)</x:v>
      </x:c>
    </x:row>
    <x:row r="759" ht="44" customHeight="1">
      <x:c r="A759" s="2" t="str">
        <x:v>BWA</x:v>
      </x:c>
      <x:c r="B759" s="2" t="str">
        <x:v>imports_usd</x:v>
      </x:c>
      <x:c r="C759" s="2" t="n">
        <x:v>6395000000</x:v>
      </x:c>
      <x:c r="D759" s="2" t="n">
        <x:v>2025</x:v>
      </x:c>
      <x:c r="E759" s="2" t="str">
        <x:v>WB_imports_usd</x:v>
      </x:c>
      <x:c r="F759" s="2" t="str">
        <x:v>Merchandise imports (current US$)</x:v>
      </x:c>
    </x:row>
    <x:row r="760" ht="44" customHeight="1">
      <x:c r="A760" s="2" t="str">
        <x:v>BWA</x:v>
      </x:c>
      <x:c r="B760" s="2" t="str">
        <x:v>exports_usd</x:v>
      </x:c>
      <x:c r="C760" s="2" t="n">
        <x:v>5119000000</x:v>
      </x:c>
      <x:c r="D760" s="2" t="n">
        <x:v>2025</x:v>
      </x:c>
      <x:c r="E760" s="2" t="str">
        <x:v>WB_exports_usd</x:v>
      </x:c>
      <x:c r="F760" s="2" t="str">
        <x:v>Merchandise exports (current US$)</x:v>
      </x:c>
    </x:row>
    <x:row r="761" ht="44" customHeight="1">
      <x:c r="A761" s="2" t="str">
        <x:v>BWA</x:v>
      </x:c>
      <x:c r="B761" s="2" t="str">
        <x:v>cereal_yield</x:v>
      </x:c>
      <x:c r="C761" s="2" t="n">
        <x:v>900.4</x:v>
      </x:c>
      <x:c r="D761" s="2" t="n">
        <x:v>2024</x:v>
      </x:c>
      <x:c r="E761" s="2" t="str">
        <x:v>WB_cereal_yield</x:v>
      </x:c>
      <x:c r="F761" s="2" t="str">
        <x:v>Cereal yield (kg per hectare)</x:v>
      </x:c>
    </x:row>
    <x:row r="762" ht="44" customHeight="1">
      <x:c r="A762" s="2" t="str">
        <x:v>BWA</x:v>
      </x:c>
      <x:c r="B762" s="2" t="str">
        <x:v>water_stress</x:v>
      </x:c>
      <x:c r="C762" s="2" t="n">
        <x:v>2.230009819</x:v>
      </x:c>
      <x:c r="D762" s="2" t="n">
        <x:v>2022</x:v>
      </x:c>
      <x:c r="E762" s="2" t="str">
        <x:v>WB_water_stress</x:v>
      </x:c>
      <x:c r="F762" s="2" t="str">
        <x:v>Level of water stress: freshwater withdrawal as a proportion of available freshwater resources</x:v>
      </x:c>
    </x:row>
    <x:row r="763" ht="44" customHeight="1">
      <x:c r="A763" s="2" t="str">
        <x:v>BWA</x:v>
      </x:c>
      <x:c r="B763" s="2" t="str">
        <x:v>fertility</x:v>
      </x:c>
      <x:c r="C763" s="2" t="n">
        <x:v>2.703</x:v>
      </x:c>
      <x:c r="D763" s="2" t="n">
        <x:v>2024</x:v>
      </x:c>
      <x:c r="E763" s="2" t="str">
        <x:v>WB_fertility</x:v>
      </x:c>
      <x:c r="F763" s="2" t="str">
        <x:v>Fertility rate, total (births per woman)</x:v>
      </x:c>
    </x:row>
    <x:row r="764" ht="44" customHeight="1">
      <x:c r="A764" s="2" t="str">
        <x:v>BWA</x:v>
      </x:c>
      <x:c r="B764" s="2" t="str">
        <x:v>life_expectancy</x:v>
      </x:c>
      <x:c r="C764" s="2" t="n">
        <x:v>69.293</x:v>
      </x:c>
      <x:c r="D764" s="2" t="n">
        <x:v>2024</x:v>
      </x:c>
      <x:c r="E764" s="2" t="str">
        <x:v>WB_life_expectancy</x:v>
      </x:c>
      <x:c r="F764" s="2" t="str">
        <x:v>Life expectancy at birth, total (years)</x:v>
      </x:c>
    </x:row>
    <x:row r="765" ht="44" customHeight="1">
      <x:c r="A765" s="2" t="str">
        <x:v>BWA</x:v>
      </x:c>
      <x:c r="B765" s="2" t="str">
        <x:v>age_under15</x:v>
      </x:c>
      <x:c r="C765" s="2" t="n">
        <x:v>31.9566554598103</x:v>
      </x:c>
      <x:c r="D765" s="2" t="n">
        <x:v>2025</x:v>
      </x:c>
      <x:c r="E765" s="2" t="str">
        <x:v>WB_age_under15</x:v>
      </x:c>
      <x:c r="F765" s="2" t="str">
        <x:v>Population ages 0-14 (% of total population)</x:v>
      </x:c>
    </x:row>
    <x:row r="766" ht="44" customHeight="1">
      <x:c r="A766" s="2" t="str">
        <x:v>BWA</x:v>
      </x:c>
      <x:c r="B766" s="2" t="str">
        <x:v>age_over65</x:v>
      </x:c>
      <x:c r="C766" s="2" t="n">
        <x:v>4.08292423233554</x:v>
      </x:c>
      <x:c r="D766" s="2" t="n">
        <x:v>2025</x:v>
      </x:c>
      <x:c r="E766" s="2" t="str">
        <x:v>WB_age_over65</x:v>
      </x:c>
      <x:c r="F766" s="2" t="str">
        <x:v>Population ages 65 and above (% of total population)</x:v>
      </x:c>
    </x:row>
    <x:row r="767" ht="44" customHeight="1">
      <x:c r="A767" s="2" t="str">
        <x:v>BWA</x:v>
      </x:c>
      <x:c r="B767" s="2" t="str">
        <x:v>dependency_ratio</x:v>
      </x:c>
      <x:c r="C767" s="2" t="n">
        <x:v>56.3467509263192</x:v>
      </x:c>
      <x:c r="D767" s="2" t="n">
        <x:v>2025</x:v>
      </x:c>
      <x:c r="E767" s="2" t="str">
        <x:v>WB_dependency_ratio</x:v>
      </x:c>
      <x:c r="F767" s="2" t="str">
        <x:v>Age dependency ratio (% of working-age population)</x:v>
      </x:c>
    </x:row>
    <x:row r="768" ht="44" customHeight="1">
      <x:c r="A768" s="2" t="str">
        <x:v>BWA</x:v>
      </x:c>
      <x:c r="B768" s="2" t="str">
        <x:v>net_migration</x:v>
      </x:c>
      <x:c r="C768" s="2" t="n">
        <x:v>-5665</x:v>
      </x:c>
      <x:c r="D768" s="2" t="n">
        <x:v>2025</x:v>
      </x:c>
      <x:c r="E768" s="2" t="str">
        <x:v>WB_net_migration</x:v>
      </x:c>
      <x:c r="F768" s="2" t="str">
        <x:v>Net migration</x:v>
      </x:c>
    </x:row>
    <x:row r="769" ht="44" customHeight="1">
      <x:c r="A769" s="2" t="str">
        <x:v>BWA</x:v>
      </x:c>
      <x:c r="B769" s="2" t="str">
        <x:v>real_gdp</x:v>
      </x:c>
      <x:c r="C769" s="2" t="n">
        <x:v>17399198450.9626</x:v>
      </x:c>
      <x:c r="D769" s="2" t="n">
        <x:v>2025</x:v>
      </x:c>
      <x:c r="E769" s="2" t="str">
        <x:v>WB_real_gdp</x:v>
      </x:c>
      <x:c r="F769" s="2" t="str">
        <x:v>GDP (constant 2015 US$)</x:v>
      </x:c>
    </x:row>
    <x:row r="770" ht="44" customHeight="1">
      <x:c r="A770" s="2" t="str">
        <x:v>BWA</x:v>
      </x:c>
      <x:c r="B770" s="2" t="str">
        <x:v>gdp_growth</x:v>
      </x:c>
      <x:c r="C770" s="2" t="n">
        <x:v>-0.733898323852287</x:v>
      </x:c>
      <x:c r="D770" s="2" t="n">
        <x:v>2025</x:v>
      </x:c>
      <x:c r="E770" s="2" t="str">
        <x:v>WB_gdp_growth</x:v>
      </x:c>
      <x:c r="F770" s="2" t="str">
        <x:v>GDP growth (annual %)</x:v>
      </x:c>
    </x:row>
    <x:row r="771" ht="44" customHeight="1">
      <x:c r="A771" s="2" t="str">
        <x:v>BWA</x:v>
      </x:c>
      <x:c r="B771" s="2" t="str">
        <x:v>real_income</x:v>
      </x:c>
      <x:c r="C771" s="2" t="n">
        <x:v>6790.93284822604</x:v>
      </x:c>
      <x:c r="D771" s="2" t="n">
        <x:v>2025</x:v>
      </x:c>
      <x:c r="E771" s="2" t="str">
        <x:v>WB_real_income</x:v>
      </x:c>
      <x:c r="F771" s="2" t="str">
        <x:v>GDP per capita (constant 2015 US$)</x:v>
      </x:c>
    </x:row>
    <x:row r="772" ht="44" customHeight="1">
      <x:c r="A772" s="2" t="str">
        <x:v>BWA</x:v>
      </x:c>
      <x:c r="B772" s="2" t="str">
        <x:v>agriculture_gdp</x:v>
      </x:c>
      <x:c r="C772" s="2" t="n">
        <x:v>1.78116253805865</x:v>
      </x:c>
      <x:c r="D772" s="2" t="n">
        <x:v>2025</x:v>
      </x:c>
      <x:c r="E772" s="2" t="str">
        <x:v>WB_agriculture_gdp</x:v>
      </x:c>
      <x:c r="F772" s="2" t="str">
        <x:v>Agriculture, forestry, and fishing, value added (% of GDP)</x:v>
      </x:c>
    </x:row>
    <x:row r="773" ht="44" customHeight="1">
      <x:c r="A773" s="2" t="str">
        <x:v>BWA</x:v>
      </x:c>
      <x:c r="B773" s="2" t="str">
        <x:v>poverty</x:v>
      </x:c>
      <x:c r="C773" s="2" t="n">
        <x:v>21.4</x:v>
      </x:c>
      <x:c r="D773" s="2" t="n">
        <x:v>2015</x:v>
      </x:c>
      <x:c r="E773" s="2" t="str">
        <x:v>WB_poverty</x:v>
      </x:c>
      <x:c r="F773" s="2" t="str">
        <x:v>Poverty headcount ratio at $3.00 a day (2021 PPP) (% of population)</x:v>
      </x:c>
    </x:row>
    <x:row r="774" ht="44" customHeight="1">
      <x:c r="A774" s="2" t="str">
        <x:v>BWA</x:v>
      </x:c>
      <x:c r="B774" s="2" t="str">
        <x:v>gini</x:v>
      </x:c>
      <x:c r="C774" s="2" t="n">
        <x:v>54.9</x:v>
      </x:c>
      <x:c r="D774" s="2" t="n">
        <x:v>2015</x:v>
      </x:c>
      <x:c r="E774" s="2" t="str">
        <x:v>WB_gini</x:v>
      </x:c>
      <x:c r="F774" s="2" t="str">
        <x:v>Gini index</x:v>
      </x:c>
    </x:row>
    <x:row r="775" ht="44" customHeight="1">
      <x:c r="A775" s="2" t="str">
        <x:v>BWA</x:v>
      </x:c>
      <x:c r="B775" s="2" t="str">
        <x:v>unemployment</x:v>
      </x:c>
      <x:c r="C775" s="2" t="n">
        <x:v>24.477</x:v>
      </x:c>
      <x:c r="D775" s="2" t="n">
        <x:v>2025</x:v>
      </x:c>
      <x:c r="E775" s="2" t="str">
        <x:v>WB_unemployment</x:v>
      </x:c>
      <x:c r="F775" s="2" t="str">
        <x:v>Unemployment, total (% of total labor force) (modeled ILO estimate)</x:v>
      </x:c>
    </x:row>
    <x:row r="776" ht="44" customHeight="1">
      <x:c r="A776" s="2" t="str">
        <x:v>BWA</x:v>
      </x:c>
      <x:c r="B776" s="2" t="str">
        <x:v>private_credit</x:v>
      </x:c>
      <x:c r="C776" s="2" t="n">
        <x:v>33.2275051888702</x:v>
      </x:c>
      <x:c r="D776" s="2" t="n">
        <x:v>2025</x:v>
      </x:c>
      <x:c r="E776" s="2" t="str">
        <x:v>WB_private_credit</x:v>
      </x:c>
      <x:c r="F776" s="2" t="str">
        <x:v>Domestic credit to private sector (% of GDP)</x:v>
      </x:c>
    </x:row>
    <x:row r="777" ht="44" customHeight="1">
      <x:c r="A777" s="2" t="str">
        <x:v>BWA</x:v>
      </x:c>
      <x:c r="B777" s="2" t="str">
        <x:v>lending_rate</x:v>
      </x:c>
      <x:c r="C777" s="2" t="n">
        <x:v>6.26</x:v>
      </x:c>
      <x:c r="D777" s="2" t="n">
        <x:v>2024</x:v>
      </x:c>
      <x:c r="E777" s="2" t="str">
        <x:v>WB_lending_rate</x:v>
      </x:c>
      <x:c r="F777" s="2" t="str">
        <x:v>Lending interest rate (%)</x:v>
      </x:c>
    </x:row>
    <x:row r="778" ht="44" customHeight="1">
      <x:c r="A778" s="2" t="str">
        <x:v>BWA</x:v>
      </x:c>
      <x:c r="B778" s="2" t="str">
        <x:v>real_interest</x:v>
      </x:c>
      <x:c r="C778" s="2" t="n">
        <x:v>4.24323405651064</x:v>
      </x:c>
      <x:c r="D778" s="2" t="n">
        <x:v>2024</x:v>
      </x:c>
      <x:c r="E778" s="2" t="str">
        <x:v>WB_real_interest</x:v>
      </x:c>
      <x:c r="F778" s="2" t="str">
        <x:v>Real interest rate (%)</x:v>
      </x:c>
    </x:row>
    <x:row r="779" ht="44" customHeight="1">
      <x:c r="A779" s="2" t="str">
        <x:v>BWA</x:v>
      </x:c>
      <x:c r="B779" s="2" t="str">
        <x:v>government_debt</x:v>
      </x:c>
      <x:c r="C779" s="2" t="n">
        <x:v>19.7464546226653</x:v>
      </x:c>
      <x:c r="D779" s="2" t="n">
        <x:v>2023</x:v>
      </x:c>
      <x:c r="E779" s="2" t="str">
        <x:v>WB_government_debt</x:v>
      </x:c>
      <x:c r="F779" s="2" t="str">
        <x:v>Central government debt, total (% of GDP)</x:v>
      </x:c>
    </x:row>
    <x:row r="780" ht="44" customHeight="1">
      <x:c r="A780" s="2" t="str">
        <x:v>BWA</x:v>
      </x:c>
      <x:c r="B780" s="2" t="str">
        <x:v>electricity_access</x:v>
      </x:c>
      <x:c r="C780" s="2" t="n">
        <x:v>80.2</x:v>
      </x:c>
      <x:c r="D780" s="2" t="n">
        <x:v>2024</x:v>
      </x:c>
      <x:c r="E780" s="2" t="str">
        <x:v>WB_electricity_access</x:v>
      </x:c>
      <x:c r="F780" s="2" t="str">
        <x:v>Access to electricity (% of population)</x:v>
      </x:c>
    </x:row>
    <x:row r="781" ht="44" customHeight="1">
      <x:c r="A781" s="2" t="str">
        <x:v>BWA</x:v>
      </x:c>
      <x:c r="B781" s="2" t="str">
        <x:v>irrigated_land</x:v>
      </x:c>
      <x:c r="C781" s="2" t="n">
        <x:v>0.00961390555299185</x:v>
      </x:c>
      <x:c r="D781" s="2" t="n">
        <x:v>2014</x:v>
      </x:c>
      <x:c r="E781" s="2" t="str">
        <x:v>WB_irrigated_land</x:v>
      </x:c>
      <x:c r="F781" s="2" t="str">
        <x:v>Agricultural irrigated land (% of total agricultural land)</x:v>
      </x:c>
    </x:row>
    <x:row r="782" ht="44" customHeight="1">
      <x:c r="A782" s="2" t="str">
        <x:v>BWA</x:v>
      </x:c>
      <x:c r="B782" s="2" t="str">
        <x:v>cereal_area</x:v>
      </x:c>
      <x:c r="C782" s="2" t="n">
        <x:v>60588</x:v>
      </x:c>
      <x:c r="D782" s="2" t="n">
        <x:v>2024</x:v>
      </x:c>
      <x:c r="E782" s="2" t="str">
        <x:v>WB_cereal_area</x:v>
      </x:c>
      <x:c r="F782" s="2" t="str">
        <x:v>Land under cereal production (hectares)</x:v>
      </x:c>
    </x:row>
    <x:row r="783" ht="44" customHeight="1">
      <x:c r="A783" s="2" t="str">
        <x:v>BWA</x:v>
      </x:c>
      <x:c r="B783" s="2" t="str">
        <x:v>undernourishment</x:v>
      </x:c>
      <x:c r="C783" s="2" t="n">
        <x:v>24</x:v>
      </x:c>
      <x:c r="D783" s="2" t="n">
        <x:v>2023</x:v>
      </x:c>
      <x:c r="E783" s="2" t="str">
        <x:v>WB_undernourishment</x:v>
      </x:c>
      <x:c r="F783" s="2" t="str">
        <x:v>Prevalence of undernourishment (% of population)</x:v>
      </x:c>
    </x:row>
    <x:row r="784" ht="44" customHeight="1">
      <x:c r="A784" s="2" t="str">
        <x:v>BWA</x:v>
      </x:c>
      <x:c r="B784" s="2" t="str">
        <x:v>agriculture_employment</x:v>
      </x:c>
      <x:c r="C784" s="2" t="n">
        <x:v>18.0285048740906</x:v>
      </x:c>
      <x:c r="D784" s="2" t="n">
        <x:v>2025</x:v>
      </x:c>
      <x:c r="E784" s="2" t="str">
        <x:v>WB_agriculture_employment</x:v>
      </x:c>
      <x:c r="F784" s="2" t="str">
        <x:v>Employment in agriculture (% of total employment) (modeled ILO estimate)</x:v>
      </x:c>
    </x:row>
    <x:row r="785" ht="44" customHeight="1">
      <x:c r="A785" s="2" t="str">
        <x:v>BWA</x:v>
      </x:c>
      <x:c r="B785" s="2" t="str">
        <x:v>water_withdrawal</x:v>
      </x:c>
      <x:c r="C785" s="2" t="n">
        <x:v>8.88565995833333</x:v>
      </x:c>
      <x:c r="D785" s="2" t="n">
        <x:v>2022</x:v>
      </x:c>
      <x:c r="E785" s="2" t="str">
        <x:v>WB_water_withdrawal</x:v>
      </x:c>
      <x:c r="F785" s="2" t="str">
        <x:v>Annual freshwater withdrawals, total (% of internal resources)</x:v>
      </x:c>
    </x:row>
    <x:row r="786" ht="44" customHeight="1">
      <x:c r="A786" s="2" t="str">
        <x:v>BRA</x:v>
      </x:c>
      <x:c r="B786" s="2" t="str">
        <x:v>population</x:v>
      </x:c>
      <x:c r="C786" s="2" t="n">
        <x:v>212812405</x:v>
      </x:c>
      <x:c r="D786" s="2" t="n">
        <x:v>2025</x:v>
      </x:c>
      <x:c r="E786" s="2" t="str">
        <x:v>WB_population</x:v>
      </x:c>
      <x:c r="F786" s="2" t="str">
        <x:v>Population, total</x:v>
      </x:c>
    </x:row>
    <x:row r="787" ht="44" customHeight="1">
      <x:c r="A787" s="2" t="str">
        <x:v>BRA</x:v>
      </x:c>
      <x:c r="B787" s="2" t="str">
        <x:v>income_ppp</x:v>
      </x:c>
      <x:c r="C787" s="2" t="n">
        <x:v>20024.6968256903</x:v>
      </x:c>
      <x:c r="D787" s="2" t="n">
        <x:v>2025</x:v>
      </x:c>
      <x:c r="E787" s="2" t="str">
        <x:v>WB_income_ppp</x:v>
      </x:c>
      <x:c r="F787" s="2" t="str">
        <x:v>GDP per capita, PPP (constant 2021 international $)</x:v>
      </x:c>
    </x:row>
    <x:row r="788" ht="44" customHeight="1">
      <x:c r="A788" s="2" t="str">
        <x:v>BRA</x:v>
      </x:c>
      <x:c r="B788" s="2" t="str">
        <x:v>urban</x:v>
      </x:c>
      <x:c r="C788" s="2" t="n">
        <x:v>88.1772996487898</x:v>
      </x:c>
      <x:c r="D788" s="2" t="n">
        <x:v>2025</x:v>
      </x:c>
      <x:c r="E788" s="2" t="str">
        <x:v>WB_urban</x:v>
      </x:c>
      <x:c r="F788" s="2" t="str">
        <x:v>Urban population (% of total population)</x:v>
      </x:c>
    </x:row>
    <x:row r="789" ht="44" customHeight="1">
      <x:c r="A789" s="2" t="str">
        <x:v>BRA</x:v>
      </x:c>
      <x:c r="B789" s="2" t="str">
        <x:v>inflation</x:v>
      </x:c>
      <x:c r="C789" s="2" t="n">
        <x:v>5.01675279604836</x:v>
      </x:c>
      <x:c r="D789" s="2" t="n">
        <x:v>2025</x:v>
      </x:c>
      <x:c r="E789" s="2" t="str">
        <x:v>WB_inflation</x:v>
      </x:c>
      <x:c r="F789" s="2" t="str">
        <x:v>Inflation, consumer prices (annual %)</x:v>
      </x:c>
    </x:row>
    <x:row r="790" ht="44" customHeight="1">
      <x:c r="A790" s="2" t="str">
        <x:v>BRA</x:v>
      </x:c>
      <x:c r="B790" s="2" t="str">
        <x:v>food_index</x:v>
      </x:c>
      <x:c r="C790" s="2" t="n">
        <x:v>113.77</x:v>
      </x:c>
      <x:c r="D790" s="2" t="n">
        <x:v>2022</x:v>
      </x:c>
      <x:c r="E790" s="2" t="str">
        <x:v>WB_food_index</x:v>
      </x:c>
      <x:c r="F790" s="2" t="str">
        <x:v>Food production index (2014-2016 = 100)</x:v>
      </x:c>
    </x:row>
    <x:row r="791" ht="44" customHeight="1">
      <x:c r="A791" s="2" t="str">
        <x:v>BRA</x:v>
      </x:c>
      <x:c r="B791" s="2" t="str">
        <x:v>food_import_share</x:v>
      </x:c>
      <x:c r="C791" s="2" t="n">
        <x:v>5.52507357671033</x:v>
      </x:c>
      <x:c r="D791" s="2" t="n">
        <x:v>2025</x:v>
      </x:c>
      <x:c r="E791" s="2" t="str">
        <x:v>WB_food_import_share</x:v>
      </x:c>
      <x:c r="F791" s="2" t="str">
        <x:v>Food imports (% of merchandise imports)</x:v>
      </x:c>
    </x:row>
    <x:row r="792" ht="44" customHeight="1">
      <x:c r="A792" s="2" t="str">
        <x:v>BRA</x:v>
      </x:c>
      <x:c r="B792" s="2" t="str">
        <x:v>food_export_share</x:v>
      </x:c>
      <x:c r="C792" s="2" t="n">
        <x:v>40.7289982125326</x:v>
      </x:c>
      <x:c r="D792" s="2" t="n">
        <x:v>2025</x:v>
      </x:c>
      <x:c r="E792" s="2" t="str">
        <x:v>WB_food_export_share</x:v>
      </x:c>
      <x:c r="F792" s="2" t="str">
        <x:v>Food exports (% of merchandise exports)</x:v>
      </x:c>
    </x:row>
    <x:row r="793" ht="44" customHeight="1">
      <x:c r="A793" s="2" t="str">
        <x:v>BRA</x:v>
      </x:c>
      <x:c r="B793" s="2" t="str">
        <x:v>imports_usd</x:v>
      </x:c>
      <x:c r="C793" s="2" t="n">
        <x:v>293696000000</x:v>
      </x:c>
      <x:c r="D793" s="2" t="n">
        <x:v>2025</x:v>
      </x:c>
      <x:c r="E793" s="2" t="str">
        <x:v>WB_imports_usd</x:v>
      </x:c>
      <x:c r="F793" s="2" t="str">
        <x:v>Merchandise imports (current US$)</x:v>
      </x:c>
    </x:row>
    <x:row r="794" ht="44" customHeight="1">
      <x:c r="A794" s="2" t="str">
        <x:v>BRA</x:v>
      </x:c>
      <x:c r="B794" s="2" t="str">
        <x:v>exports_usd</x:v>
      </x:c>
      <x:c r="C794" s="2" t="n">
        <x:v>348278000000</x:v>
      </x:c>
      <x:c r="D794" s="2" t="n">
        <x:v>2025</x:v>
      </x:c>
      <x:c r="E794" s="2" t="str">
        <x:v>WB_exports_usd</x:v>
      </x:c>
      <x:c r="F794" s="2" t="str">
        <x:v>Merchandise exports (current US$)</x:v>
      </x:c>
    </x:row>
    <x:row r="795" ht="44" customHeight="1">
      <x:c r="A795" s="2" t="str">
        <x:v>BRA</x:v>
      </x:c>
      <x:c r="B795" s="2" t="str">
        <x:v>cereal_yield</x:v>
      </x:c>
      <x:c r="C795" s="2" t="n">
        <x:v>5002.6</x:v>
      </x:c>
      <x:c r="D795" s="2" t="n">
        <x:v>2024</x:v>
      </x:c>
      <x:c r="E795" s="2" t="str">
        <x:v>WB_cereal_yield</x:v>
      </x:c>
      <x:c r="F795" s="2" t="str">
        <x:v>Cereal yield (kg per hectare)</x:v>
      </x:c>
    </x:row>
    <x:row r="796" ht="44" customHeight="1">
      <x:c r="A796" s="2" t="str">
        <x:v>BRA</x:v>
      </x:c>
      <x:c r="B796" s="2" t="str">
        <x:v>water_stress</x:v>
      </x:c>
      <x:c r="C796" s="2" t="n">
        <x:v>1.495816821</x:v>
      </x:c>
      <x:c r="D796" s="2" t="n">
        <x:v>2022</x:v>
      </x:c>
      <x:c r="E796" s="2" t="str">
        <x:v>WB_water_stress</x:v>
      </x:c>
      <x:c r="F796" s="2" t="str">
        <x:v>Level of water stress: freshwater withdrawal as a proportion of available freshwater resources</x:v>
      </x:c>
    </x:row>
    <x:row r="797" ht="44" customHeight="1">
      <x:c r="A797" s="2" t="str">
        <x:v>BRA</x:v>
      </x:c>
      <x:c r="B797" s="2" t="str">
        <x:v>fertility</x:v>
      </x:c>
      <x:c r="C797" s="2" t="n">
        <x:v>1.614</x:v>
      </x:c>
      <x:c r="D797" s="2" t="n">
        <x:v>2024</x:v>
      </x:c>
      <x:c r="E797" s="2" t="str">
        <x:v>WB_fertility</x:v>
      </x:c>
      <x:c r="F797" s="2" t="str">
        <x:v>Fertility rate, total (births per woman)</x:v>
      </x:c>
    </x:row>
    <x:row r="798" ht="44" customHeight="1">
      <x:c r="A798" s="2" t="str">
        <x:v>BRA</x:v>
      </x:c>
      <x:c r="B798" s="2" t="str">
        <x:v>life_expectancy</x:v>
      </x:c>
      <x:c r="C798" s="2" t="n">
        <x:v>76.023</x:v>
      </x:c>
      <x:c r="D798" s="2" t="n">
        <x:v>2024</x:v>
      </x:c>
      <x:c r="E798" s="2" t="str">
        <x:v>WB_life_expectancy</x:v>
      </x:c>
      <x:c r="F798" s="2" t="str">
        <x:v>Life expectancy at birth, total (years)</x:v>
      </x:c>
    </x:row>
    <x:row r="799" ht="44" customHeight="1">
      <x:c r="A799" s="2" t="str">
        <x:v>BRA</x:v>
      </x:c>
      <x:c r="B799" s="2" t="str">
        <x:v>age_under15</x:v>
      </x:c>
      <x:c r="C799" s="2" t="n">
        <x:v>19.3866212827208</x:v>
      </x:c>
      <x:c r="D799" s="2" t="n">
        <x:v>2025</x:v>
      </x:c>
      <x:c r="E799" s="2" t="str">
        <x:v>WB_age_under15</x:v>
      </x:c>
      <x:c r="F799" s="2" t="str">
        <x:v>Population ages 0-14 (% of total population)</x:v>
      </x:c>
    </x:row>
    <x:row r="800" ht="44" customHeight="1">
      <x:c r="A800" s="2" t="str">
        <x:v>BRA</x:v>
      </x:c>
      <x:c r="B800" s="2" t="str">
        <x:v>age_over65</x:v>
      </x:c>
      <x:c r="C800" s="2" t="n">
        <x:v>11.4803394567154</x:v>
      </x:c>
      <x:c r="D800" s="2" t="n">
        <x:v>2025</x:v>
      </x:c>
      <x:c r="E800" s="2" t="str">
        <x:v>WB_age_over65</x:v>
      </x:c>
      <x:c r="F800" s="2" t="str">
        <x:v>Population ages 65 and above (% of total population)</x:v>
      </x:c>
    </x:row>
    <x:row r="801" ht="44" customHeight="1">
      <x:c r="A801" s="2" t="str">
        <x:v>BRA</x:v>
      </x:c>
      <x:c r="B801" s="2" t="str">
        <x:v>dependency_ratio</x:v>
      </x:c>
      <x:c r="C801" s="2" t="n">
        <x:v>44.6486379446561</x:v>
      </x:c>
      <x:c r="D801" s="2" t="n">
        <x:v>2025</x:v>
      </x:c>
      <x:c r="E801" s="2" t="str">
        <x:v>WB_dependency_ratio</x:v>
      </x:c>
      <x:c r="F801" s="2" t="str">
        <x:v>Age dependency ratio (% of working-age population)</x:v>
      </x:c>
    </x:row>
    <x:row r="802" ht="44" customHeight="1">
      <x:c r="A802" s="2" t="str">
        <x:v>BRA</x:v>
      </x:c>
      <x:c r="B802" s="2" t="str">
        <x:v>net_migration</x:v>
      </x:c>
      <x:c r="C802" s="2" t="n">
        <x:v>-217283</x:v>
      </x:c>
      <x:c r="D802" s="2" t="n">
        <x:v>2025</x:v>
      </x:c>
      <x:c r="E802" s="2" t="str">
        <x:v>WB_net_migration</x:v>
      </x:c>
      <x:c r="F802" s="2" t="str">
        <x:v>Net migration</x:v>
      </x:c>
    </x:row>
    <x:row r="803" ht="44" customHeight="1">
      <x:c r="A803" s="2" t="str">
        <x:v>BRA</x:v>
      </x:c>
      <x:c r="B803" s="2" t="str">
        <x:v>real_gdp</x:v>
      </x:c>
      <x:c r="C803" s="2" t="n">
        <x:v>2074494382804.15</x:v>
      </x:c>
      <x:c r="D803" s="2" t="n">
        <x:v>2025</x:v>
      </x:c>
      <x:c r="E803" s="2" t="str">
        <x:v>WB_real_gdp</x:v>
      </x:c>
      <x:c r="F803" s="2" t="str">
        <x:v>GDP (constant 2015 US$)</x:v>
      </x:c>
    </x:row>
    <x:row r="804" ht="44" customHeight="1">
      <x:c r="A804" s="2" t="str">
        <x:v>BRA</x:v>
      </x:c>
      <x:c r="B804" s="2" t="str">
        <x:v>gdp_growth</x:v>
      </x:c>
      <x:c r="C804" s="2" t="n">
        <x:v>2.2857464902475</x:v>
      </x:c>
      <x:c r="D804" s="2" t="n">
        <x:v>2025</x:v>
      </x:c>
      <x:c r="E804" s="2" t="str">
        <x:v>WB_gdp_growth</x:v>
      </x:c>
      <x:c r="F804" s="2" t="str">
        <x:v>GDP growth (annual %)</x:v>
      </x:c>
    </x:row>
    <x:row r="805" ht="44" customHeight="1">
      <x:c r="A805" s="2" t="str">
        <x:v>BRA</x:v>
      </x:c>
      <x:c r="B805" s="2" t="str">
        <x:v>real_income</x:v>
      </x:c>
      <x:c r="C805" s="2" t="n">
        <x:v>9747.99557762692</x:v>
      </x:c>
      <x:c r="D805" s="2" t="n">
        <x:v>2025</x:v>
      </x:c>
      <x:c r="E805" s="2" t="str">
        <x:v>WB_real_income</x:v>
      </x:c>
      <x:c r="F805" s="2" t="str">
        <x:v>GDP per capita (constant 2015 US$)</x:v>
      </x:c>
    </x:row>
    <x:row r="806" ht="44" customHeight="1">
      <x:c r="A806" s="2" t="str">
        <x:v>BRA</x:v>
      </x:c>
      <x:c r="B806" s="2" t="str">
        <x:v>agriculture_gdp</x:v>
      </x:c>
      <x:c r="C806" s="2" t="n">
        <x:v>6.08621695565171</x:v>
      </x:c>
      <x:c r="D806" s="2" t="n">
        <x:v>2025</x:v>
      </x:c>
      <x:c r="E806" s="2" t="str">
        <x:v>WB_agriculture_gdp</x:v>
      </x:c>
      <x:c r="F806" s="2" t="str">
        <x:v>Agriculture, forestry, and fishing, value added (% of GDP)</x:v>
      </x:c>
    </x:row>
    <x:row r="807" ht="44" customHeight="1">
      <x:c r="A807" s="2" t="str">
        <x:v>BRA</x:v>
      </x:c>
      <x:c r="B807" s="2" t="str">
        <x:v>poverty</x:v>
      </x:c>
      <x:c r="C807" s="2" t="n">
        <x:v>3</x:v>
      </x:c>
      <x:c r="D807" s="2" t="n">
        <x:v>2024</x:v>
      </x:c>
      <x:c r="E807" s="2" t="str">
        <x:v>WB_poverty</x:v>
      </x:c>
      <x:c r="F807" s="2" t="str">
        <x:v>Poverty headcount ratio at $3.00 a day (2021 PPP) (% of population)</x:v>
      </x:c>
    </x:row>
    <x:row r="808" ht="44" customHeight="1">
      <x:c r="A808" s="2" t="str">
        <x:v>BRA</x:v>
      </x:c>
      <x:c r="B808" s="2" t="str">
        <x:v>gini</x:v>
      </x:c>
      <x:c r="C808" s="2" t="n">
        <x:v>50.3</x:v>
      </x:c>
      <x:c r="D808" s="2" t="n">
        <x:v>2024</x:v>
      </x:c>
      <x:c r="E808" s="2" t="str">
        <x:v>WB_gini</x:v>
      </x:c>
      <x:c r="F808" s="2" t="str">
        <x:v>Gini index</x:v>
      </x:c>
    </x:row>
    <x:row r="809" ht="44" customHeight="1">
      <x:c r="A809" s="2" t="str">
        <x:v>BRA</x:v>
      </x:c>
      <x:c r="B809" s="2" t="str">
        <x:v>unemployment</x:v>
      </x:c>
      <x:c r="C809" s="2" t="n">
        <x:v>5.97</x:v>
      </x:c>
      <x:c r="D809" s="2" t="n">
        <x:v>2025</x:v>
      </x:c>
      <x:c r="E809" s="2" t="str">
        <x:v>WB_unemployment</x:v>
      </x:c>
      <x:c r="F809" s="2" t="str">
        <x:v>Unemployment, total (% of total labor force) (modeled ILO estimate)</x:v>
      </x:c>
    </x:row>
    <x:row r="810" ht="44" customHeight="1">
      <x:c r="A810" s="2" t="str">
        <x:v>BRA</x:v>
      </x:c>
      <x:c r="B810" s="2" t="str">
        <x:v>private_credit</x:v>
      </x:c>
      <x:c r="C810" s="2" t="n">
        <x:v>75.1029927271417</x:v>
      </x:c>
      <x:c r="D810" s="2" t="n">
        <x:v>2025</x:v>
      </x:c>
      <x:c r="E810" s="2" t="str">
        <x:v>WB_private_credit</x:v>
      </x:c>
      <x:c r="F810" s="2" t="str">
        <x:v>Domestic credit to private sector (% of GDP)</x:v>
      </x:c>
    </x:row>
    <x:row r="811" ht="44" customHeight="1">
      <x:c r="A811" s="2" t="str">
        <x:v>BRA</x:v>
      </x:c>
      <x:c r="B811" s="2" t="str">
        <x:v>lending_rate</x:v>
      </x:c>
      <x:c r="C811" s="2" t="n">
        <x:v>45.3333333333333</x:v>
      </x:c>
      <x:c r="D811" s="2" t="n">
        <x:v>2025</x:v>
      </x:c>
      <x:c r="E811" s="2" t="str">
        <x:v>WB_lending_rate</x:v>
      </x:c>
      <x:c r="F811" s="2" t="str">
        <x:v>Lending interest rate (%)</x:v>
      </x:c>
    </x:row>
    <x:row r="812" ht="44" customHeight="1">
      <x:c r="A812" s="2" t="str">
        <x:v>BRA</x:v>
      </x:c>
      <x:c r="B812" s="2" t="str">
        <x:v>real_interest</x:v>
      </x:c>
      <x:c r="C812" s="2" t="n">
        <x:v>37.4603628210418</x:v>
      </x:c>
      <x:c r="D812" s="2" t="n">
        <x:v>2025</x:v>
      </x:c>
      <x:c r="E812" s="2" t="str">
        <x:v>WB_real_interest</x:v>
      </x:c>
      <x:c r="F812" s="2" t="str">
        <x:v>Real interest rate (%)</x:v>
      </x:c>
    </x:row>
    <x:row r="813" ht="44" customHeight="1">
      <x:c r="A813" s="2" t="str">
        <x:v>BRA</x:v>
      </x:c>
      <x:c r="B813" s="2" t="str">
        <x:v>government_debt</x:v>
      </x:c>
      <x:c r="C813" s="2" t="n">
        <x:v>81.8554431191023</x:v>
      </x:c>
      <x:c r="D813" s="2" t="n">
        <x:v>2024</x:v>
      </x:c>
      <x:c r="E813" s="2" t="str">
        <x:v>WB_government_debt</x:v>
      </x:c>
      <x:c r="F813" s="2" t="str">
        <x:v>Central government debt, total (% of GDP)</x:v>
      </x:c>
    </x:row>
    <x:row r="814" ht="44" customHeight="1">
      <x:c r="A814" s="2" t="str">
        <x:v>BRA</x:v>
      </x:c>
      <x:c r="B814" s="2" t="str">
        <x:v>electricity_access</x:v>
      </x:c>
      <x:c r="C814" s="2" t="n">
        <x:v>99.8</x:v>
      </x:c>
      <x:c r="D814" s="2" t="n">
        <x:v>2024</x:v>
      </x:c>
      <x:c r="E814" s="2" t="str">
        <x:v>WB_electricity_access</x:v>
      </x:c>
      <x:c r="F814" s="2" t="str">
        <x:v>Access to electricity (% of population)</x:v>
      </x:c>
    </x:row>
    <x:row r="815" ht="44" customHeight="1">
      <x:c r="A815" s="2" t="str">
        <x:v>BRA</x:v>
      </x:c>
      <x:c r="B815" s="2" t="str">
        <x:v>irrigated_land</x:v>
      </x:c>
      <x:c r="C815" s="2" t="n">
        <x:v>3.87876104288415</x:v>
      </x:c>
      <x:c r="D815" s="2" t="n">
        <x:v>2023</x:v>
      </x:c>
      <x:c r="E815" s="2" t="str">
        <x:v>WB_irrigated_land</x:v>
      </x:c>
      <x:c r="F815" s="2" t="str">
        <x:v>Agricultural irrigated land (% of total agricultural land)</x:v>
      </x:c>
    </x:row>
    <x:row r="816" ht="44" customHeight="1">
      <x:c r="A816" s="2" t="str">
        <x:v>BRA</x:v>
      </x:c>
      <x:c r="B816" s="2" t="str">
        <x:v>cereal_area</x:v>
      </x:c>
      <x:c r="C816" s="2" t="n">
        <x:v>27781508</x:v>
      </x:c>
      <x:c r="D816" s="2" t="n">
        <x:v>2024</x:v>
      </x:c>
      <x:c r="E816" s="2" t="str">
        <x:v>WB_cereal_area</x:v>
      </x:c>
      <x:c r="F816" s="2" t="str">
        <x:v>Land under cereal production (hectares)</x:v>
      </x:c>
    </x:row>
    <x:row r="817" ht="44" customHeight="1">
      <x:c r="A817" s="2" t="str">
        <x:v>BRA</x:v>
      </x:c>
      <x:c r="B817" s="2" t="str">
        <x:v>undernourishment</x:v>
      </x:c>
      <x:c r="C817" s="2" t="n">
        <x:v>2.5</x:v>
      </x:c>
      <x:c r="D817" s="2" t="n">
        <x:v>2023</x:v>
      </x:c>
      <x:c r="E817" s="2" t="str">
        <x:v>WB_undernourishment</x:v>
      </x:c>
      <x:c r="F817" s="2" t="str">
        <x:v>Prevalence of undernourishment (% of population)</x:v>
      </x:c>
    </x:row>
    <x:row r="818" ht="44" customHeight="1">
      <x:c r="A818" s="2" t="str">
        <x:v>BRA</x:v>
      </x:c>
      <x:c r="B818" s="2" t="str">
        <x:v>agriculture_employment</x:v>
      </x:c>
      <x:c r="C818" s="2" t="n">
        <x:v>7.62782592703127</x:v>
      </x:c>
      <x:c r="D818" s="2" t="n">
        <x:v>2025</x:v>
      </x:c>
      <x:c r="E818" s="2" t="str">
        <x:v>WB_agriculture_employment</x:v>
      </x:c>
      <x:c r="F818" s="2" t="str">
        <x:v>Employment in agriculture (% of total employment) (modeled ILO estimate)</x:v>
      </x:c>
    </x:row>
    <x:row r="819" ht="44" customHeight="1">
      <x:c r="A819" s="2" t="str">
        <x:v>BRA</x:v>
      </x:c>
      <x:c r="B819" s="2" t="str">
        <x:v>water_withdrawal</x:v>
      </x:c>
      <x:c r="C819" s="2" t="n">
        <x:v>1.20014131778838</x:v>
      </x:c>
      <x:c r="D819" s="2" t="n">
        <x:v>2022</x:v>
      </x:c>
      <x:c r="E819" s="2" t="str">
        <x:v>WB_water_withdrawal</x:v>
      </x:c>
      <x:c r="F819" s="2" t="str">
        <x:v>Annual freshwater withdrawals, total (% of internal resources)</x:v>
      </x:c>
    </x:row>
    <x:row r="820" ht="44" customHeight="1">
      <x:c r="A820" s="2" t="str">
        <x:v>BRN</x:v>
      </x:c>
      <x:c r="B820" s="2" t="str">
        <x:v>population</x:v>
      </x:c>
      <x:c r="C820" s="2" t="n">
        <x:v>466330</x:v>
      </x:c>
      <x:c r="D820" s="2" t="n">
        <x:v>2025</x:v>
      </x:c>
      <x:c r="E820" s="2" t="str">
        <x:v>WB_population</x:v>
      </x:c>
      <x:c r="F820" s="2" t="str">
        <x:v>Population, total</x:v>
      </x:c>
    </x:row>
    <x:row r="821" ht="44" customHeight="1">
      <x:c r="A821" s="2" t="str">
        <x:v>BRN</x:v>
      </x:c>
      <x:c r="B821" s="2" t="str">
        <x:v>income_ppp</x:v>
      </x:c>
      <x:c r="C821" s="2" t="n">
        <x:v>78985.122026951</x:v>
      </x:c>
      <x:c r="D821" s="2" t="n">
        <x:v>2025</x:v>
      </x:c>
      <x:c r="E821" s="2" t="str">
        <x:v>WB_income_ppp</x:v>
      </x:c>
      <x:c r="F821" s="2" t="str">
        <x:v>GDP per capita, PPP (constant 2021 international $)</x:v>
      </x:c>
    </x:row>
    <x:row r="822" ht="44" customHeight="1">
      <x:c r="A822" s="2" t="str">
        <x:v>BRN</x:v>
      </x:c>
      <x:c r="B822" s="2" t="str">
        <x:v>urban</x:v>
      </x:c>
      <x:c r="C822" s="2" t="n">
        <x:v>75.0109886586819</x:v>
      </x:c>
      <x:c r="D822" s="2" t="n">
        <x:v>2025</x:v>
      </x:c>
      <x:c r="E822" s="2" t="str">
        <x:v>WB_urban</x:v>
      </x:c>
      <x:c r="F822" s="2" t="str">
        <x:v>Urban population (% of total population)</x:v>
      </x:c>
    </x:row>
    <x:row r="823" ht="44" customHeight="1">
      <x:c r="A823" s="2" t="str">
        <x:v>BRN</x:v>
      </x:c>
      <x:c r="B823" s="2" t="str">
        <x:v>inflation</x:v>
      </x:c>
      <x:c r="C823" s="2" t="n">
        <x:v>-0.302994414446762</x:v>
      </x:c>
      <x:c r="D823" s="2" t="n">
        <x:v>2025</x:v>
      </x:c>
      <x:c r="E823" s="2" t="str">
        <x:v>WB_inflation</x:v>
      </x:c>
      <x:c r="F823" s="2" t="str">
        <x:v>Inflation, consumer prices (annual %)</x:v>
      </x:c>
    </x:row>
    <x:row r="824" ht="44" customHeight="1">
      <x:c r="A824" s="2" t="str">
        <x:v>BRN</x:v>
      </x:c>
      <x:c r="B824" s="2" t="str">
        <x:v>food_index</x:v>
      </x:c>
      <x:c r="C824" s="2" t="n">
        <x:v>119.3</x:v>
      </x:c>
      <x:c r="D824" s="2" t="n">
        <x:v>2022</x:v>
      </x:c>
      <x:c r="E824" s="2" t="str">
        <x:v>WB_food_index</x:v>
      </x:c>
      <x:c r="F824" s="2" t="str">
        <x:v>Food production index (2014-2016 = 100)</x:v>
      </x:c>
    </x:row>
    <x:row r="825" ht="44" customHeight="1">
      <x:c r="A825" s="2" t="str">
        <x:v>BRN</x:v>
      </x:c>
      <x:c r="B825" s="2" t="str">
        <x:v>food_import_share</x:v>
      </x:c>
      <x:c r="C825" s="2" t="n">
        <x:v>8.16878884475865</x:v>
      </x:c>
      <x:c r="D825" s="2" t="n">
        <x:v>2024</x:v>
      </x:c>
      <x:c r="E825" s="2" t="str">
        <x:v>WB_food_import_share</x:v>
      </x:c>
      <x:c r="F825" s="2" t="str">
        <x:v>Food imports (% of merchandise imports)</x:v>
      </x:c>
    </x:row>
    <x:row r="826" ht="44" customHeight="1">
      <x:c r="A826" s="2" t="str">
        <x:v>BRN</x:v>
      </x:c>
      <x:c r="B826" s="2" t="str">
        <x:v>food_export_share</x:v>
      </x:c>
      <x:c r="C826" s="2" t="n">
        <x:v>0.102881112615471</x:v>
      </x:c>
      <x:c r="D826" s="2" t="n">
        <x:v>2024</x:v>
      </x:c>
      <x:c r="E826" s="2" t="str">
        <x:v>WB_food_export_share</x:v>
      </x:c>
      <x:c r="F826" s="2" t="str">
        <x:v>Food exports (% of merchandise exports)</x:v>
      </x:c>
    </x:row>
    <x:row r="827" ht="44" customHeight="1">
      <x:c r="A827" s="2" t="str">
        <x:v>BRN</x:v>
      </x:c>
      <x:c r="B827" s="2" t="str">
        <x:v>imports_usd</x:v>
      </x:c>
      <x:c r="C827" s="2" t="n">
        <x:v>6036000000</x:v>
      </x:c>
      <x:c r="D827" s="2" t="n">
        <x:v>2025</x:v>
      </x:c>
      <x:c r="E827" s="2" t="str">
        <x:v>WB_imports_usd</x:v>
      </x:c>
      <x:c r="F827" s="2" t="str">
        <x:v>Merchandise imports (current US$)</x:v>
      </x:c>
    </x:row>
    <x:row r="828" ht="44" customHeight="1">
      <x:c r="A828" s="2" t="str">
        <x:v>BRN</x:v>
      </x:c>
      <x:c r="B828" s="2" t="str">
        <x:v>exports_usd</x:v>
      </x:c>
      <x:c r="C828" s="2" t="n">
        <x:v>10498000000</x:v>
      </x:c>
      <x:c r="D828" s="2" t="n">
        <x:v>2025</x:v>
      </x:c>
      <x:c r="E828" s="2" t="str">
        <x:v>WB_exports_usd</x:v>
      </x:c>
      <x:c r="F828" s="2" t="str">
        <x:v>Merchandise exports (current US$)</x:v>
      </x:c>
    </x:row>
    <x:row r="829" ht="44" customHeight="1">
      <x:c r="A829" s="2" t="str">
        <x:v>BRN</x:v>
      </x:c>
      <x:c r="B829" s="2" t="str">
        <x:v>cereal_yield</x:v>
      </x:c>
      <x:c r="C829" s="2" t="n">
        <x:v>2466.7</x:v>
      </x:c>
      <x:c r="D829" s="2" t="n">
        <x:v>2023</x:v>
      </x:c>
      <x:c r="E829" s="2" t="str">
        <x:v>WB_cereal_yield</x:v>
      </x:c>
      <x:c r="F829" s="2" t="str">
        <x:v>Cereal yield (kg per hectare)</x:v>
      </x:c>
    </x:row>
    <x:row r="830" ht="44" customHeight="1">
      <x:c r="A830" s="2" t="str">
        <x:v>BRN</x:v>
      </x:c>
      <x:c r="B830" s="2" t="str">
        <x:v>water_stress</x:v>
      </x:c>
      <x:c r="C830" s="2" t="n">
        <x:v>3.466465712</x:v>
      </x:c>
      <x:c r="D830" s="2" t="n">
        <x:v>2022</x:v>
      </x:c>
      <x:c r="E830" s="2" t="str">
        <x:v>WB_water_stress</x:v>
      </x:c>
      <x:c r="F830" s="2" t="str">
        <x:v>Level of water stress: freshwater withdrawal as a proportion of available freshwater resources</x:v>
      </x:c>
    </x:row>
    <x:row r="831" ht="44" customHeight="1">
      <x:c r="A831" s="2" t="str">
        <x:v>BRN</x:v>
      </x:c>
      <x:c r="B831" s="2" t="str">
        <x:v>fertility</x:v>
      </x:c>
      <x:c r="C831" s="2" t="n">
        <x:v>1.731</x:v>
      </x:c>
      <x:c r="D831" s="2" t="n">
        <x:v>2024</x:v>
      </x:c>
      <x:c r="E831" s="2" t="str">
        <x:v>WB_fertility</x:v>
      </x:c>
      <x:c r="F831" s="2" t="str">
        <x:v>Fertility rate, total (births per woman)</x:v>
      </x:c>
    </x:row>
    <x:row r="832" ht="44" customHeight="1">
      <x:c r="A832" s="2" t="str">
        <x:v>BRN</x:v>
      </x:c>
      <x:c r="B832" s="2" t="str">
        <x:v>life_expectancy</x:v>
      </x:c>
      <x:c r="C832" s="2" t="n">
        <x:v>75.501</x:v>
      </x:c>
      <x:c r="D832" s="2" t="n">
        <x:v>2024</x:v>
      </x:c>
      <x:c r="E832" s="2" t="str">
        <x:v>WB_life_expectancy</x:v>
      </x:c>
      <x:c r="F832" s="2" t="str">
        <x:v>Life expectancy at birth, total (years)</x:v>
      </x:c>
    </x:row>
    <x:row r="833" ht="44" customHeight="1">
      <x:c r="A833" s="2" t="str">
        <x:v>BRN</x:v>
      </x:c>
      <x:c r="B833" s="2" t="str">
        <x:v>age_under15</x:v>
      </x:c>
      <x:c r="C833" s="2" t="n">
        <x:v>20.625929464189</x:v>
      </x:c>
      <x:c r="D833" s="2" t="n">
        <x:v>2025</x:v>
      </x:c>
      <x:c r="E833" s="2" t="str">
        <x:v>WB_age_under15</x:v>
      </x:c>
      <x:c r="F833" s="2" t="str">
        <x:v>Population ages 0-14 (% of total population)</x:v>
      </x:c>
    </x:row>
    <x:row r="834" ht="44" customHeight="1">
      <x:c r="A834" s="2" t="str">
        <x:v>BRN</x:v>
      </x:c>
      <x:c r="B834" s="2" t="str">
        <x:v>age_over65</x:v>
      </x:c>
      <x:c r="C834" s="2" t="n">
        <x:v>7.23853575950962</x:v>
      </x:c>
      <x:c r="D834" s="2" t="n">
        <x:v>2025</x:v>
      </x:c>
      <x:c r="E834" s="2" t="str">
        <x:v>WB_age_over65</x:v>
      </x:c>
      <x:c r="F834" s="2" t="str">
        <x:v>Population ages 65 and above (% of total population)</x:v>
      </x:c>
    </x:row>
    <x:row r="835" ht="44" customHeight="1">
      <x:c r="A835" s="2" t="str">
        <x:v>BRN</x:v>
      </x:c>
      <x:c r="B835" s="2" t="str">
        <x:v>dependency_ratio</x:v>
      </x:c>
      <x:c r="C835" s="2" t="n">
        <x:v>38.6277832278011</x:v>
      </x:c>
      <x:c r="D835" s="2" t="n">
        <x:v>2025</x:v>
      </x:c>
      <x:c r="E835" s="2" t="str">
        <x:v>WB_dependency_ratio</x:v>
      </x:c>
      <x:c r="F835" s="2" t="str">
        <x:v>Age dependency ratio (% of working-age population)</x:v>
      </x:c>
    </x:row>
    <x:row r="836" ht="44" customHeight="1">
      <x:c r="A836" s="2" t="str">
        <x:v>BRN</x:v>
      </x:c>
      <x:c r="B836" s="2" t="str">
        <x:v>net_migration</x:v>
      </x:c>
      <x:c r="C836" s="2" t="n">
        <x:v>0</x:v>
      </x:c>
      <x:c r="D836" s="2" t="n">
        <x:v>2025</x:v>
      </x:c>
      <x:c r="E836" s="2" t="str">
        <x:v>WB_net_migration</x:v>
      </x:c>
      <x:c r="F836" s="2" t="str">
        <x:v>Net migration</x:v>
      </x:c>
    </x:row>
    <x:row r="837" ht="44" customHeight="1">
      <x:c r="A837" s="2" t="str">
        <x:v>BRN</x:v>
      </x:c>
      <x:c r="B837" s="2" t="str">
        <x:v>real_gdp</x:v>
      </x:c>
      <x:c r="C837" s="2" t="n">
        <x:v>13771417606.902</x:v>
      </x:c>
      <x:c r="D837" s="2" t="n">
        <x:v>2025</x:v>
      </x:c>
      <x:c r="E837" s="2" t="str">
        <x:v>WB_real_gdp</x:v>
      </x:c>
      <x:c r="F837" s="2" t="str">
        <x:v>GDP (constant 2015 US$)</x:v>
      </x:c>
    </x:row>
    <x:row r="838" ht="44" customHeight="1">
      <x:c r="A838" s="2" t="str">
        <x:v>BRN</x:v>
      </x:c>
      <x:c r="B838" s="2" t="str">
        <x:v>gdp_growth</x:v>
      </x:c>
      <x:c r="C838" s="2" t="n">
        <x:v>0.66956214816436</x:v>
      </x:c>
      <x:c r="D838" s="2" t="n">
        <x:v>2025</x:v>
      </x:c>
      <x:c r="E838" s="2" t="str">
        <x:v>WB_gdp_growth</x:v>
      </x:c>
      <x:c r="F838" s="2" t="str">
        <x:v>GDP growth (annual %)</x:v>
      </x:c>
    </x:row>
    <x:row r="839" ht="44" customHeight="1">
      <x:c r="A839" s="2" t="str">
        <x:v>BRN</x:v>
      </x:c>
      <x:c r="B839" s="2" t="str">
        <x:v>real_income</x:v>
      </x:c>
      <x:c r="C839" s="2" t="n">
        <x:v>29531.4854435743</x:v>
      </x:c>
      <x:c r="D839" s="2" t="n">
        <x:v>2025</x:v>
      </x:c>
      <x:c r="E839" s="2" t="str">
        <x:v>WB_real_income</x:v>
      </x:c>
      <x:c r="F839" s="2" t="str">
        <x:v>GDP per capita (constant 2015 US$)</x:v>
      </x:c>
    </x:row>
    <x:row r="840" ht="44" customHeight="1">
      <x:c r="A840" s="2" t="str">
        <x:v>BRN</x:v>
      </x:c>
      <x:c r="B840" s="2" t="str">
        <x:v>agriculture_gdp</x:v>
      </x:c>
      <x:c r="C840" s="2" t="n">
        <x:v>1.18136570943281</x:v>
      </x:c>
      <x:c r="D840" s="2" t="n">
        <x:v>2025</x:v>
      </x:c>
      <x:c r="E840" s="2" t="str">
        <x:v>WB_agriculture_gdp</x:v>
      </x:c>
      <x:c r="F840" s="2" t="str">
        <x:v>Agriculture, forestry, and fishing, value added (% of GDP)</x:v>
      </x:c>
    </x:row>
    <x:row r="841" ht="44" customHeight="1">
      <x:c r="A841" s="2" t="str">
        <x:v>BRN</x:v>
      </x:c>
      <x:c r="B841" s="2" t="str">
        <x:v>poverty</x:v>
      </x:c>
      <x:c r="C841" s="2"/>
      <x:c r="D841" s="2"/>
      <x:c r="E841" s="2" t="str">
        <x:v>Missing</x:v>
      </x:c>
      <x:c r="F841" s="2" t="str">
        <x:v>Poverty headcount ratio at $3.00 a day (2021 PPP) (% of population)</x:v>
      </x:c>
    </x:row>
    <x:row r="842" ht="44" customHeight="1">
      <x:c r="A842" s="2" t="str">
        <x:v>BRN</x:v>
      </x:c>
      <x:c r="B842" s="2" t="str">
        <x:v>gini</x:v>
      </x:c>
      <x:c r="C842" s="2"/>
      <x:c r="D842" s="2"/>
      <x:c r="E842" s="2" t="str">
        <x:v>Missing</x:v>
      </x:c>
      <x:c r="F842" s="2" t="str">
        <x:v>Gini index</x:v>
      </x:c>
    </x:row>
    <x:row r="843" ht="44" customHeight="1">
      <x:c r="A843" s="2" t="str">
        <x:v>BRN</x:v>
      </x:c>
      <x:c r="B843" s="2" t="str">
        <x:v>unemployment</x:v>
      </x:c>
      <x:c r="C843" s="2" t="n">
        <x:v>5.277</x:v>
      </x:c>
      <x:c r="D843" s="2" t="n">
        <x:v>2025</x:v>
      </x:c>
      <x:c r="E843" s="2" t="str">
        <x:v>WB_unemployment</x:v>
      </x:c>
      <x:c r="F843" s="2" t="str">
        <x:v>Unemployment, total (% of total labor force) (modeled ILO estimate)</x:v>
      </x:c>
    </x:row>
    <x:row r="844" ht="44" customHeight="1">
      <x:c r="A844" s="2" t="str">
        <x:v>BRN</x:v>
      </x:c>
      <x:c r="B844" s="2" t="str">
        <x:v>private_credit</x:v>
      </x:c>
      <x:c r="C844" s="2" t="n">
        <x:v>40.1476670566578</x:v>
      </x:c>
      <x:c r="D844" s="2" t="n">
        <x:v>2025</x:v>
      </x:c>
      <x:c r="E844" s="2" t="str">
        <x:v>WB_private_credit</x:v>
      </x:c>
      <x:c r="F844" s="2" t="str">
        <x:v>Domestic credit to private sector (% of GDP)</x:v>
      </x:c>
    </x:row>
    <x:row r="845" ht="44" customHeight="1">
      <x:c r="A845" s="2" t="str">
        <x:v>BRN</x:v>
      </x:c>
      <x:c r="B845" s="2" t="str">
        <x:v>lending_rate</x:v>
      </x:c>
      <x:c r="C845" s="2" t="n">
        <x:v>5.5</x:v>
      </x:c>
      <x:c r="D845" s="2" t="n">
        <x:v>2025</x:v>
      </x:c>
      <x:c r="E845" s="2" t="str">
        <x:v>WB_lending_rate</x:v>
      </x:c>
      <x:c r="F845" s="2" t="str">
        <x:v>Lending interest rate (%)</x:v>
      </x:c>
    </x:row>
    <x:row r="846" ht="44" customHeight="1">
      <x:c r="A846" s="2" t="str">
        <x:v>BRN</x:v>
      </x:c>
      <x:c r="B846" s="2" t="str">
        <x:v>real_interest</x:v>
      </x:c>
      <x:c r="C846" s="2" t="n">
        <x:v>10.7456322035555</x:v>
      </x:c>
      <x:c r="D846" s="2" t="n">
        <x:v>2025</x:v>
      </x:c>
      <x:c r="E846" s="2" t="str">
        <x:v>WB_real_interest</x:v>
      </x:c>
      <x:c r="F846" s="2" t="str">
        <x:v>Real interest rate (%)</x:v>
      </x:c>
    </x:row>
    <x:row r="847" ht="44" customHeight="1">
      <x:c r="A847" s="2" t="str">
        <x:v>BRN</x:v>
      </x:c>
      <x:c r="B847" s="2" t="str">
        <x:v>government_debt</x:v>
      </x:c>
      <x:c r="C847" s="2"/>
      <x:c r="D847" s="2"/>
      <x:c r="E847" s="2" t="str">
        <x:v>Missing</x:v>
      </x:c>
      <x:c r="F847" s="2" t="str">
        <x:v>Central government debt, total (% of GDP)</x:v>
      </x:c>
    </x:row>
    <x:row r="848" ht="44" customHeight="1">
      <x:c r="A848" s="2" t="str">
        <x:v>BRN</x:v>
      </x:c>
      <x:c r="B848" s="2" t="str">
        <x:v>electricity_access</x:v>
      </x:c>
      <x:c r="C848" s="2" t="n">
        <x:v>100</x:v>
      </x:c>
      <x:c r="D848" s="2" t="n">
        <x:v>2024</x:v>
      </x:c>
      <x:c r="E848" s="2" t="str">
        <x:v>WB_electricity_access</x:v>
      </x:c>
      <x:c r="F848" s="2" t="str">
        <x:v>Access to electricity (% of population)</x:v>
      </x:c>
    </x:row>
    <x:row r="849" ht="44" customHeight="1">
      <x:c r="A849" s="2" t="str">
        <x:v>BRN</x:v>
      </x:c>
      <x:c r="B849" s="2" t="str">
        <x:v>irrigated_land</x:v>
      </x:c>
      <x:c r="C849" s="2" t="n">
        <x:v>8.23507462686567</x:v>
      </x:c>
      <x:c r="D849" s="2" t="n">
        <x:v>2023</x:v>
      </x:c>
      <x:c r="E849" s="2" t="str">
        <x:v>WB_irrigated_land</x:v>
      </x:c>
      <x:c r="F849" s="2" t="str">
        <x:v>Agricultural irrigated land (% of total agricultural land)</x:v>
      </x:c>
    </x:row>
    <x:row r="850" ht="44" customHeight="1">
      <x:c r="A850" s="2" t="str">
        <x:v>BRN</x:v>
      </x:c>
      <x:c r="B850" s="2" t="str">
        <x:v>cereal_area</x:v>
      </x:c>
      <x:c r="C850" s="2" t="n">
        <x:v>1500</x:v>
      </x:c>
      <x:c r="D850" s="2" t="n">
        <x:v>2023</x:v>
      </x:c>
      <x:c r="E850" s="2" t="str">
        <x:v>WB_cereal_area</x:v>
      </x:c>
      <x:c r="F850" s="2" t="str">
        <x:v>Land under cereal production (hectares)</x:v>
      </x:c>
    </x:row>
    <x:row r="851" ht="44" customHeight="1">
      <x:c r="A851" s="2" t="str">
        <x:v>BRN</x:v>
      </x:c>
      <x:c r="B851" s="2" t="str">
        <x:v>undernourishment</x:v>
      </x:c>
      <x:c r="C851" s="2"/>
      <x:c r="D851" s="2"/>
      <x:c r="E851" s="2" t="str">
        <x:v>Missing</x:v>
      </x:c>
      <x:c r="F851" s="2" t="str">
        <x:v>Prevalence of undernourishment (% of population)</x:v>
      </x:c>
    </x:row>
    <x:row r="852" ht="44" customHeight="1">
      <x:c r="A852" s="2" t="str">
        <x:v>BRN</x:v>
      </x:c>
      <x:c r="B852" s="2" t="str">
        <x:v>agriculture_employment</x:v>
      </x:c>
      <x:c r="C852" s="2" t="n">
        <x:v>1.20105852995764</x:v>
      </x:c>
      <x:c r="D852" s="2" t="n">
        <x:v>2025</x:v>
      </x:c>
      <x:c r="E852" s="2" t="str">
        <x:v>WB_agriculture_employment</x:v>
      </x:c>
      <x:c r="F852" s="2" t="str">
        <x:v>Employment in agriculture (% of total employment) (modeled ILO estimate)</x:v>
      </x:c>
    </x:row>
    <x:row r="853" ht="44" customHeight="1">
      <x:c r="A853" s="2" t="str">
        <x:v>BRN</x:v>
      </x:c>
      <x:c r="B853" s="2" t="str">
        <x:v>water_withdrawal</x:v>
      </x:c>
      <x:c r="C853" s="2" t="n">
        <x:v>1.08235294117647</x:v>
      </x:c>
      <x:c r="D853" s="2" t="n">
        <x:v>2022</x:v>
      </x:c>
      <x:c r="E853" s="2" t="str">
        <x:v>WB_water_withdrawal</x:v>
      </x:c>
      <x:c r="F853" s="2" t="str">
        <x:v>Annual freshwater withdrawals, total (% of internal resources)</x:v>
      </x:c>
    </x:row>
    <x:row r="854" ht="44" customHeight="1">
      <x:c r="A854" s="2" t="str">
        <x:v>BGR</x:v>
      </x:c>
      <x:c r="B854" s="2" t="str">
        <x:v>population</x:v>
      </x:c>
      <x:c r="C854" s="2" t="n">
        <x:v>6433302</x:v>
      </x:c>
      <x:c r="D854" s="2" t="n">
        <x:v>2025</x:v>
      </x:c>
      <x:c r="E854" s="2" t="str">
        <x:v>WB_population</x:v>
      </x:c>
      <x:c r="F854" s="2" t="str">
        <x:v>Population, total</x:v>
      </x:c>
    </x:row>
    <x:row r="855" ht="44" customHeight="1">
      <x:c r="A855" s="2" t="str">
        <x:v>BGR</x:v>
      </x:c>
      <x:c r="B855" s="2" t="str">
        <x:v>income_ppp</x:v>
      </x:c>
      <x:c r="C855" s="2" t="n">
        <x:v>35325.5317883474</x:v>
      </x:c>
      <x:c r="D855" s="2" t="n">
        <x:v>2025</x:v>
      </x:c>
      <x:c r="E855" s="2" t="str">
        <x:v>WB_income_ppp</x:v>
      </x:c>
      <x:c r="F855" s="2" t="str">
        <x:v>GDP per capita, PPP (constant 2021 international $)</x:v>
      </x:c>
    </x:row>
    <x:row r="856" ht="44" customHeight="1">
      <x:c r="A856" s="2" t="str">
        <x:v>BGR</x:v>
      </x:c>
      <x:c r="B856" s="2" t="str">
        <x:v>urban</x:v>
      </x:c>
      <x:c r="C856" s="2" t="n">
        <x:v>74.1727501848475</x:v>
      </x:c>
      <x:c r="D856" s="2" t="n">
        <x:v>2025</x:v>
      </x:c>
      <x:c r="E856" s="2" t="str">
        <x:v>WB_urban</x:v>
      </x:c>
      <x:c r="F856" s="2" t="str">
        <x:v>Urban population (% of total population)</x:v>
      </x:c>
    </x:row>
    <x:row r="857" ht="44" customHeight="1">
      <x:c r="A857" s="2" t="str">
        <x:v>BGR</x:v>
      </x:c>
      <x:c r="B857" s="2" t="str">
        <x:v>inflation</x:v>
      </x:c>
      <x:c r="C857" s="2" t="n">
        <x:v>4.58084355235697</x:v>
      </x:c>
      <x:c r="D857" s="2" t="n">
        <x:v>2025</x:v>
      </x:c>
      <x:c r="E857" s="2" t="str">
        <x:v>WB_inflation</x:v>
      </x:c>
      <x:c r="F857" s="2" t="str">
        <x:v>Inflation, consumer prices (annual %)</x:v>
      </x:c>
    </x:row>
    <x:row r="858" ht="44" customHeight="1">
      <x:c r="A858" s="2" t="str">
        <x:v>BGR</x:v>
      </x:c>
      <x:c r="B858" s="2" t="str">
        <x:v>food_index</x:v>
      </x:c>
      <x:c r="C858" s="2" t="n">
        <x:v>100.74</x:v>
      </x:c>
      <x:c r="D858" s="2" t="n">
        <x:v>2022</x:v>
      </x:c>
      <x:c r="E858" s="2" t="str">
        <x:v>WB_food_index</x:v>
      </x:c>
      <x:c r="F858" s="2" t="str">
        <x:v>Food production index (2014-2016 = 100)</x:v>
      </x:c>
    </x:row>
    <x:row r="859" ht="44" customHeight="1">
      <x:c r="A859" s="2" t="str">
        <x:v>BGR</x:v>
      </x:c>
      <x:c r="B859" s="2" t="str">
        <x:v>food_import_share</x:v>
      </x:c>
      <x:c r="C859" s="2" t="n">
        <x:v>13.2029398386042</x:v>
      </x:c>
      <x:c r="D859" s="2" t="n">
        <x:v>2024</x:v>
      </x:c>
      <x:c r="E859" s="2" t="str">
        <x:v>WB_food_import_share</x:v>
      </x:c>
      <x:c r="F859" s="2" t="str">
        <x:v>Food imports (% of merchandise imports)</x:v>
      </x:c>
    </x:row>
    <x:row r="860" ht="44" customHeight="1">
      <x:c r="A860" s="2" t="str">
        <x:v>BGR</x:v>
      </x:c>
      <x:c r="B860" s="2" t="str">
        <x:v>food_export_share</x:v>
      </x:c>
      <x:c r="C860" s="2" t="n">
        <x:v>15.1661949226268</x:v>
      </x:c>
      <x:c r="D860" s="2" t="n">
        <x:v>2024</x:v>
      </x:c>
      <x:c r="E860" s="2" t="str">
        <x:v>WB_food_export_share</x:v>
      </x:c>
      <x:c r="F860" s="2" t="str">
        <x:v>Food exports (% of merchandise exports)</x:v>
      </x:c>
    </x:row>
    <x:row r="861" ht="44" customHeight="1">
      <x:c r="A861" s="2" t="str">
        <x:v>BGR</x:v>
      </x:c>
      <x:c r="B861" s="2" t="str">
        <x:v>imports_usd</x:v>
      </x:c>
      <x:c r="C861" s="2" t="n">
        <x:v>60894000000</x:v>
      </x:c>
      <x:c r="D861" s="2" t="n">
        <x:v>2025</x:v>
      </x:c>
      <x:c r="E861" s="2" t="str">
        <x:v>WB_imports_usd</x:v>
      </x:c>
      <x:c r="F861" s="2" t="str">
        <x:v>Merchandise imports (current US$)</x:v>
      </x:c>
    </x:row>
    <x:row r="862" ht="44" customHeight="1">
      <x:c r="A862" s="2" t="str">
        <x:v>BGR</x:v>
      </x:c>
      <x:c r="B862" s="2" t="str">
        <x:v>exports_usd</x:v>
      </x:c>
      <x:c r="C862" s="2" t="n">
        <x:v>48318000000</x:v>
      </x:c>
      <x:c r="D862" s="2" t="n">
        <x:v>2025</x:v>
      </x:c>
      <x:c r="E862" s="2" t="str">
        <x:v>WB_exports_usd</x:v>
      </x:c>
      <x:c r="F862" s="2" t="str">
        <x:v>Merchandise exports (current US$)</x:v>
      </x:c>
    </x:row>
    <x:row r="863" ht="44" customHeight="1">
      <x:c r="A863" s="2" t="str">
        <x:v>BGR</x:v>
      </x:c>
      <x:c r="B863" s="2" t="str">
        <x:v>cereal_yield</x:v>
      </x:c>
      <x:c r="C863" s="2" t="n">
        <x:v>5223.8</x:v>
      </x:c>
      <x:c r="D863" s="2" t="n">
        <x:v>2023</x:v>
      </x:c>
      <x:c r="E863" s="2" t="str">
        <x:v>WB_cereal_yield</x:v>
      </x:c>
      <x:c r="F863" s="2" t="str">
        <x:v>Cereal yield (kg per hectare)</x:v>
      </x:c>
    </x:row>
    <x:row r="864" ht="44" customHeight="1">
      <x:c r="A864" s="2" t="str">
        <x:v>BGR</x:v>
      </x:c>
      <x:c r="B864" s="2" t="str">
        <x:v>water_stress</x:v>
      </x:c>
      <x:c r="C864" s="2" t="n">
        <x:v>40.23530092</x:v>
      </x:c>
      <x:c r="D864" s="2" t="n">
        <x:v>2022</x:v>
      </x:c>
      <x:c r="E864" s="2" t="str">
        <x:v>WB_water_stress</x:v>
      </x:c>
      <x:c r="F864" s="2" t="str">
        <x:v>Level of water stress: freshwater withdrawal as a proportion of available freshwater resources</x:v>
      </x:c>
    </x:row>
    <x:row r="865" ht="44" customHeight="1">
      <x:c r="A865" s="2" t="str">
        <x:v>BGR</x:v>
      </x:c>
      <x:c r="B865" s="2" t="str">
        <x:v>fertility</x:v>
      </x:c>
      <x:c r="C865" s="2" t="n">
        <x:v>1.72</x:v>
      </x:c>
      <x:c r="D865" s="2" t="n">
        <x:v>2024</x:v>
      </x:c>
      <x:c r="E865" s="2" t="str">
        <x:v>WB_fertility</x:v>
      </x:c>
      <x:c r="F865" s="2" t="str">
        <x:v>Fertility rate, total (births per woman)</x:v>
      </x:c>
    </x:row>
    <x:row r="866" ht="44" customHeight="1">
      <x:c r="A866" s="2" t="str">
        <x:v>BGR</x:v>
      </x:c>
      <x:c r="B866" s="2" t="str">
        <x:v>life_expectancy</x:v>
      </x:c>
      <x:c r="C866" s="2" t="n">
        <x:v>75.7609756097561</x:v>
      </x:c>
      <x:c r="D866" s="2" t="n">
        <x:v>2024</x:v>
      </x:c>
      <x:c r="E866" s="2" t="str">
        <x:v>WB_life_expectancy</x:v>
      </x:c>
      <x:c r="F866" s="2" t="str">
        <x:v>Life expectancy at birth, total (years)</x:v>
      </x:c>
    </x:row>
    <x:row r="867" ht="44" customHeight="1">
      <x:c r="A867" s="2" t="str">
        <x:v>BGR</x:v>
      </x:c>
      <x:c r="B867" s="2" t="str">
        <x:v>age_under15</x:v>
      </x:c>
      <x:c r="C867" s="2" t="n">
        <x:v>14.3997234665952</x:v>
      </x:c>
      <x:c r="D867" s="2" t="n">
        <x:v>2025</x:v>
      </x:c>
      <x:c r="E867" s="2" t="str">
        <x:v>WB_age_under15</x:v>
      </x:c>
      <x:c r="F867" s="2" t="str">
        <x:v>Population ages 0-14 (% of total population)</x:v>
      </x:c>
    </x:row>
    <x:row r="868" ht="44" customHeight="1">
      <x:c r="A868" s="2" t="str">
        <x:v>BGR</x:v>
      </x:c>
      <x:c r="B868" s="2" t="str">
        <x:v>age_over65</x:v>
      </x:c>
      <x:c r="C868" s="2" t="n">
        <x:v>22.2355986271326</x:v>
      </x:c>
      <x:c r="D868" s="2" t="n">
        <x:v>2025</x:v>
      </x:c>
      <x:c r="E868" s="2" t="str">
        <x:v>WB_age_over65</x:v>
      </x:c>
      <x:c r="F868" s="2" t="str">
        <x:v>Population ages 65 and above (% of total population)</x:v>
      </x:c>
    </x:row>
    <x:row r="869" ht="44" customHeight="1">
      <x:c r="A869" s="2" t="str">
        <x:v>BGR</x:v>
      </x:c>
      <x:c r="B869" s="2" t="str">
        <x:v>dependency_ratio</x:v>
      </x:c>
      <x:c r="C869" s="2" t="n">
        <x:v>57.8166346575358</x:v>
      </x:c>
      <x:c r="D869" s="2" t="n">
        <x:v>2025</x:v>
      </x:c>
      <x:c r="E869" s="2" t="str">
        <x:v>WB_dependency_ratio</x:v>
      </x:c>
      <x:c r="F869" s="2" t="str">
        <x:v>Age dependency ratio (% of working-age population)</x:v>
      </x:c>
    </x:row>
    <x:row r="870" ht="44" customHeight="1">
      <x:c r="A870" s="2" t="str">
        <x:v>BGR</x:v>
      </x:c>
      <x:c r="B870" s="2" t="str">
        <x:v>net_migration</x:v>
      </x:c>
      <x:c r="C870" s="2" t="n">
        <x:v>-2961</x:v>
      </x:c>
      <x:c r="D870" s="2" t="n">
        <x:v>2025</x:v>
      </x:c>
      <x:c r="E870" s="2" t="str">
        <x:v>WB_net_migration</x:v>
      </x:c>
      <x:c r="F870" s="2" t="str">
        <x:v>Net migration</x:v>
      </x:c>
    </x:row>
    <x:row r="871" ht="44" customHeight="1">
      <x:c r="A871" s="2" t="str">
        <x:v>BGR</x:v>
      </x:c>
      <x:c r="B871" s="2" t="str">
        <x:v>real_gdp</x:v>
      </x:c>
      <x:c r="C871" s="2" t="n">
        <x:v>67254858232.0129</x:v>
      </x:c>
      <x:c r="D871" s="2" t="n">
        <x:v>2025</x:v>
      </x:c>
      <x:c r="E871" s="2" t="str">
        <x:v>WB_real_gdp</x:v>
      </x:c>
      <x:c r="F871" s="2" t="str">
        <x:v>GDP (constant 2015 US$)</x:v>
      </x:c>
    </x:row>
    <x:row r="872" ht="44" customHeight="1">
      <x:c r="A872" s="2" t="str">
        <x:v>BGR</x:v>
      </x:c>
      <x:c r="B872" s="2" t="str">
        <x:v>gdp_growth</x:v>
      </x:c>
      <x:c r="C872" s="2" t="n">
        <x:v>3.0963663917961</x:v>
      </x:c>
      <x:c r="D872" s="2" t="n">
        <x:v>2025</x:v>
      </x:c>
      <x:c r="E872" s="2" t="str">
        <x:v>WB_gdp_growth</x:v>
      </x:c>
      <x:c r="F872" s="2" t="str">
        <x:v>GDP growth (annual %)</x:v>
      </x:c>
    </x:row>
    <x:row r="873" ht="44" customHeight="1">
      <x:c r="A873" s="2" t="str">
        <x:v>BGR</x:v>
      </x:c>
      <x:c r="B873" s="2" t="str">
        <x:v>real_income</x:v>
      </x:c>
      <x:c r="C873" s="2" t="n">
        <x:v>10454.1739579477</x:v>
      </x:c>
      <x:c r="D873" s="2" t="n">
        <x:v>2025</x:v>
      </x:c>
      <x:c r="E873" s="2" t="str">
        <x:v>WB_real_income</x:v>
      </x:c>
      <x:c r="F873" s="2" t="str">
        <x:v>GDP per capita (constant 2015 US$)</x:v>
      </x:c>
    </x:row>
    <x:row r="874" ht="44" customHeight="1">
      <x:c r="A874" s="2" t="str">
        <x:v>BGR</x:v>
      </x:c>
      <x:c r="B874" s="2" t="str">
        <x:v>agriculture_gdp</x:v>
      </x:c>
      <x:c r="C874" s="2" t="n">
        <x:v>2.47498607309854</x:v>
      </x:c>
      <x:c r="D874" s="2" t="n">
        <x:v>2025</x:v>
      </x:c>
      <x:c r="E874" s="2" t="str">
        <x:v>WB_agriculture_gdp</x:v>
      </x:c>
      <x:c r="F874" s="2" t="str">
        <x:v>Agriculture, forestry, and fishing, value added (% of GDP)</x:v>
      </x:c>
    </x:row>
    <x:row r="875" ht="44" customHeight="1">
      <x:c r="A875" s="2" t="str">
        <x:v>BGR</x:v>
      </x:c>
      <x:c r="B875" s="2" t="str">
        <x:v>poverty</x:v>
      </x:c>
      <x:c r="C875" s="2" t="n">
        <x:v>1</x:v>
      </x:c>
      <x:c r="D875" s="2" t="n">
        <x:v>2023</x:v>
      </x:c>
      <x:c r="E875" s="2" t="str">
        <x:v>WB_poverty</x:v>
      </x:c>
      <x:c r="F875" s="2" t="str">
        <x:v>Poverty headcount ratio at $3.00 a day (2021 PPP) (% of population)</x:v>
      </x:c>
    </x:row>
    <x:row r="876" ht="44" customHeight="1">
      <x:c r="A876" s="2" t="str">
        <x:v>BGR</x:v>
      </x:c>
      <x:c r="B876" s="2" t="str">
        <x:v>gini</x:v>
      </x:c>
      <x:c r="C876" s="2" t="n">
        <x:v>39.5</x:v>
      </x:c>
      <x:c r="D876" s="2" t="n">
        <x:v>2023</x:v>
      </x:c>
      <x:c r="E876" s="2" t="str">
        <x:v>WB_gini</x:v>
      </x:c>
      <x:c r="F876" s="2" t="str">
        <x:v>Gini index</x:v>
      </x:c>
    </x:row>
    <x:row r="877" ht="44" customHeight="1">
      <x:c r="A877" s="2" t="str">
        <x:v>BGR</x:v>
      </x:c>
      <x:c r="B877" s="2" t="str">
        <x:v>unemployment</x:v>
      </x:c>
      <x:c r="C877" s="2" t="n">
        <x:v>3.536</x:v>
      </x:c>
      <x:c r="D877" s="2" t="n">
        <x:v>2025</x:v>
      </x:c>
      <x:c r="E877" s="2" t="str">
        <x:v>WB_unemployment</x:v>
      </x:c>
      <x:c r="F877" s="2" t="str">
        <x:v>Unemployment, total (% of total labor force) (modeled ILO estimate)</x:v>
      </x:c>
    </x:row>
    <x:row r="878" ht="44" customHeight="1">
      <x:c r="A878" s="2" t="str">
        <x:v>BGR</x:v>
      </x:c>
      <x:c r="B878" s="2" t="str">
        <x:v>private_credit</x:v>
      </x:c>
      <x:c r="C878" s="2" t="n">
        <x:v>47.0679032225989</x:v>
      </x:c>
      <x:c r="D878" s="2" t="n">
        <x:v>2024</x:v>
      </x:c>
      <x:c r="E878" s="2" t="str">
        <x:v>WB_private_credit</x:v>
      </x:c>
      <x:c r="F878" s="2" t="str">
        <x:v>Domestic credit to private sector (% of GDP)</x:v>
      </x:c>
    </x:row>
    <x:row r="879" ht="44" customHeight="1">
      <x:c r="A879" s="2" t="str">
        <x:v>BGR</x:v>
      </x:c>
      <x:c r="B879" s="2" t="str">
        <x:v>lending_rate</x:v>
      </x:c>
      <x:c r="C879" s="2" t="n">
        <x:v>4.23581666666667</x:v>
      </x:c>
      <x:c r="D879" s="2" t="n">
        <x:v>2025</x:v>
      </x:c>
      <x:c r="E879" s="2" t="str">
        <x:v>WB_lending_rate</x:v>
      </x:c>
      <x:c r="F879" s="2" t="str">
        <x:v>Lending interest rate (%)</x:v>
      </x:c>
    </x:row>
    <x:row r="880" ht="44" customHeight="1">
      <x:c r="A880" s="2" t="str">
        <x:v>BGR</x:v>
      </x:c>
      <x:c r="B880" s="2" t="str">
        <x:v>real_interest</x:v>
      </x:c>
      <x:c r="C880" s="2" t="n">
        <x:v>-2.95808031498756</x:v>
      </x:c>
      <x:c r="D880" s="2" t="n">
        <x:v>2025</x:v>
      </x:c>
      <x:c r="E880" s="2" t="str">
        <x:v>WB_real_interest</x:v>
      </x:c>
      <x:c r="F880" s="2" t="str">
        <x:v>Real interest rate (%)</x:v>
      </x:c>
    </x:row>
    <x:row r="881" ht="44" customHeight="1">
      <x:c r="A881" s="2" t="str">
        <x:v>BGR</x:v>
      </x:c>
      <x:c r="B881" s="2" t="str">
        <x:v>government_debt</x:v>
      </x:c>
      <x:c r="C881" s="2"/>
      <x:c r="D881" s="2"/>
      <x:c r="E881" s="2" t="str">
        <x:v>Missing</x:v>
      </x:c>
      <x:c r="F881" s="2" t="str">
        <x:v>Central government debt, total (% of GDP)</x:v>
      </x:c>
    </x:row>
    <x:row r="882" ht="44" customHeight="1">
      <x:c r="A882" s="2" t="str">
        <x:v>BGR</x:v>
      </x:c>
      <x:c r="B882" s="2" t="str">
        <x:v>electricity_access</x:v>
      </x:c>
      <x:c r="C882" s="2" t="n">
        <x:v>100</x:v>
      </x:c>
      <x:c r="D882" s="2" t="n">
        <x:v>2024</x:v>
      </x:c>
      <x:c r="E882" s="2" t="str">
        <x:v>WB_electricity_access</x:v>
      </x:c>
      <x:c r="F882" s="2" t="str">
        <x:v>Access to electricity (% of population)</x:v>
      </x:c>
    </x:row>
    <x:row r="883" ht="44" customHeight="1">
      <x:c r="A883" s="2" t="str">
        <x:v>BGR</x:v>
      </x:c>
      <x:c r="B883" s="2" t="str">
        <x:v>irrigated_land</x:v>
      </x:c>
      <x:c r="C883" s="2" t="n">
        <x:v>0.616381403920456</x:v>
      </x:c>
      <x:c r="D883" s="2" t="n">
        <x:v>2023</x:v>
      </x:c>
      <x:c r="E883" s="2" t="str">
        <x:v>WB_irrigated_land</x:v>
      </x:c>
      <x:c r="F883" s="2" t="str">
        <x:v>Agricultural irrigated land (% of total agricultural land)</x:v>
      </x:c>
    </x:row>
    <x:row r="884" ht="44" customHeight="1">
      <x:c r="A884" s="2" t="str">
        <x:v>BGR</x:v>
      </x:c>
      <x:c r="B884" s="2" t="str">
        <x:v>cereal_area</x:v>
      </x:c>
      <x:c r="C884" s="2" t="n">
        <x:v>1980470</x:v>
      </x:c>
      <x:c r="D884" s="2" t="n">
        <x:v>2023</x:v>
      </x:c>
      <x:c r="E884" s="2" t="str">
        <x:v>WB_cereal_area</x:v>
      </x:c>
      <x:c r="F884" s="2" t="str">
        <x:v>Land under cereal production (hectares)</x:v>
      </x:c>
    </x:row>
    <x:row r="885" ht="44" customHeight="1">
      <x:c r="A885" s="2" t="str">
        <x:v>BGR</x:v>
      </x:c>
      <x:c r="B885" s="2" t="str">
        <x:v>undernourishment</x:v>
      </x:c>
      <x:c r="C885" s="2" t="n">
        <x:v>2.5</x:v>
      </x:c>
      <x:c r="D885" s="2" t="n">
        <x:v>2023</x:v>
      </x:c>
      <x:c r="E885" s="2" t="str">
        <x:v>WB_undernourishment</x:v>
      </x:c>
      <x:c r="F885" s="2" t="str">
        <x:v>Prevalence of undernourishment (% of population)</x:v>
      </x:c>
    </x:row>
    <x:row r="886" ht="44" customHeight="1">
      <x:c r="A886" s="2" t="str">
        <x:v>BGR</x:v>
      </x:c>
      <x:c r="B886" s="2" t="str">
        <x:v>agriculture_employment</x:v>
      </x:c>
      <x:c r="C886" s="2" t="n">
        <x:v>4.68922155611638</x:v>
      </x:c>
      <x:c r="D886" s="2" t="n">
        <x:v>2025</x:v>
      </x:c>
      <x:c r="E886" s="2" t="str">
        <x:v>WB_agriculture_employment</x:v>
      </x:c>
      <x:c r="F886" s="2" t="str">
        <x:v>Employment in agriculture (% of total employment) (modeled ILO estimate)</x:v>
      </x:c>
    </x:row>
    <x:row r="887" ht="44" customHeight="1">
      <x:c r="A887" s="2" t="str">
        <x:v>BGR</x:v>
      </x:c>
      <x:c r="B887" s="2" t="str">
        <x:v>water_withdrawal</x:v>
      </x:c>
      <x:c r="C887" s="2" t="n">
        <x:v>25.9211136285714</x:v>
      </x:c>
      <x:c r="D887" s="2" t="n">
        <x:v>2022</x:v>
      </x:c>
      <x:c r="E887" s="2" t="str">
        <x:v>WB_water_withdrawal</x:v>
      </x:c>
      <x:c r="F887" s="2" t="str">
        <x:v>Annual freshwater withdrawals, total (% of internal resources)</x:v>
      </x:c>
    </x:row>
    <x:row r="888" ht="44" customHeight="1">
      <x:c r="A888" s="2" t="str">
        <x:v>BFA</x:v>
      </x:c>
      <x:c r="B888" s="2" t="str">
        <x:v>population</x:v>
      </x:c>
      <x:c r="C888" s="2" t="n">
        <x:v>24074580</x:v>
      </x:c>
      <x:c r="D888" s="2" t="n">
        <x:v>2025</x:v>
      </x:c>
      <x:c r="E888" s="2" t="str">
        <x:v>WB_population</x:v>
      </x:c>
      <x:c r="F888" s="2" t="str">
        <x:v>Population, total</x:v>
      </x:c>
    </x:row>
    <x:row r="889" ht="44" customHeight="1">
      <x:c r="A889" s="2" t="str">
        <x:v>BFA</x:v>
      </x:c>
      <x:c r="B889" s="2" t="str">
        <x:v>income_ppp</x:v>
      </x:c>
      <x:c r="C889" s="2" t="n">
        <x:v>2624.82858270803</x:v>
      </x:c>
      <x:c r="D889" s="2" t="n">
        <x:v>2025</x:v>
      </x:c>
      <x:c r="E889" s="2" t="str">
        <x:v>WB_income_ppp</x:v>
      </x:c>
      <x:c r="F889" s="2" t="str">
        <x:v>GDP per capita, PPP (constant 2021 international $)</x:v>
      </x:c>
    </x:row>
    <x:row r="890" ht="44" customHeight="1">
      <x:c r="A890" s="2" t="str">
        <x:v>BFA</x:v>
      </x:c>
      <x:c r="B890" s="2" t="str">
        <x:v>urban</x:v>
      </x:c>
      <x:c r="C890" s="2" t="n">
        <x:v>28.9226360719085</x:v>
      </x:c>
      <x:c r="D890" s="2" t="n">
        <x:v>2025</x:v>
      </x:c>
      <x:c r="E890" s="2" t="str">
        <x:v>WB_urban</x:v>
      </x:c>
      <x:c r="F890" s="2" t="str">
        <x:v>Urban population (% of total population)</x:v>
      </x:c>
    </x:row>
    <x:row r="891" ht="44" customHeight="1">
      <x:c r="A891" s="2" t="str">
        <x:v>BFA</x:v>
      </x:c>
      <x:c r="B891" s="2" t="str">
        <x:v>inflation</x:v>
      </x:c>
      <x:c r="C891" s="2" t="n">
        <x:v>-0.586235316330579</x:v>
      </x:c>
      <x:c r="D891" s="2" t="n">
        <x:v>2025</x:v>
      </x:c>
      <x:c r="E891" s="2" t="str">
        <x:v>WB_inflation</x:v>
      </x:c>
      <x:c r="F891" s="2" t="str">
        <x:v>Inflation, consumer prices (annual %)</x:v>
      </x:c>
    </x:row>
    <x:row r="892" ht="44" customHeight="1">
      <x:c r="A892" s="2" t="str">
        <x:v>BFA</x:v>
      </x:c>
      <x:c r="B892" s="2" t="str">
        <x:v>food_index</x:v>
      </x:c>
      <x:c r="C892" s="2" t="n">
        <x:v>118.84</x:v>
      </x:c>
      <x:c r="D892" s="2" t="n">
        <x:v>2022</x:v>
      </x:c>
      <x:c r="E892" s="2" t="str">
        <x:v>WB_food_index</x:v>
      </x:c>
      <x:c r="F892" s="2" t="str">
        <x:v>Food production index (2014-2016 = 100)</x:v>
      </x:c>
    </x:row>
    <x:row r="893" ht="44" customHeight="1">
      <x:c r="A893" s="2" t="str">
        <x:v>BFA</x:v>
      </x:c>
      <x:c r="B893" s="2" t="str">
        <x:v>food_import_share</x:v>
      </x:c>
      <x:c r="C893" s="2" t="n">
        <x:v>11.1839548315761</x:v>
      </x:c>
      <x:c r="D893" s="2" t="n">
        <x:v>2024</x:v>
      </x:c>
      <x:c r="E893" s="2" t="str">
        <x:v>WB_food_import_share</x:v>
      </x:c>
      <x:c r="F893" s="2" t="str">
        <x:v>Food imports (% of merchandise imports)</x:v>
      </x:c>
    </x:row>
    <x:row r="894" ht="44" customHeight="1">
      <x:c r="A894" s="2" t="str">
        <x:v>BFA</x:v>
      </x:c>
      <x:c r="B894" s="2" t="str">
        <x:v>food_export_share</x:v>
      </x:c>
      <x:c r="C894" s="2" t="n">
        <x:v>7.08885052904513</x:v>
      </x:c>
      <x:c r="D894" s="2" t="n">
        <x:v>2024</x:v>
      </x:c>
      <x:c r="E894" s="2" t="str">
        <x:v>WB_food_export_share</x:v>
      </x:c>
      <x:c r="F894" s="2" t="str">
        <x:v>Food exports (% of merchandise exports)</x:v>
      </x:c>
    </x:row>
    <x:row r="895" ht="44" customHeight="1">
      <x:c r="A895" s="2" t="str">
        <x:v>BFA</x:v>
      </x:c>
      <x:c r="B895" s="2" t="str">
        <x:v>imports_usd</x:v>
      </x:c>
      <x:c r="C895" s="2" t="n">
        <x:v>7572000000</x:v>
      </x:c>
      <x:c r="D895" s="2" t="n">
        <x:v>2025</x:v>
      </x:c>
      <x:c r="E895" s="2" t="str">
        <x:v>WB_imports_usd</x:v>
      </x:c>
      <x:c r="F895" s="2" t="str">
        <x:v>Merchandise imports (current US$)</x:v>
      </x:c>
    </x:row>
    <x:row r="896" ht="44" customHeight="1">
      <x:c r="A896" s="2" t="str">
        <x:v>BFA</x:v>
      </x:c>
      <x:c r="B896" s="2" t="str">
        <x:v>exports_usd</x:v>
      </x:c>
      <x:c r="C896" s="2" t="n">
        <x:v>11076000000</x:v>
      </x:c>
      <x:c r="D896" s="2" t="n">
        <x:v>2025</x:v>
      </x:c>
      <x:c r="E896" s="2" t="str">
        <x:v>WB_exports_usd</x:v>
      </x:c>
      <x:c r="F896" s="2" t="str">
        <x:v>Merchandise exports (current US$)</x:v>
      </x:c>
    </x:row>
    <x:row r="897" ht="44" customHeight="1">
      <x:c r="A897" s="2" t="str">
        <x:v>BFA</x:v>
      </x:c>
      <x:c r="B897" s="2" t="str">
        <x:v>cereal_yield</x:v>
      </x:c>
      <x:c r="C897" s="2" t="n">
        <x:v>1197.9</x:v>
      </x:c>
      <x:c r="D897" s="2" t="n">
        <x:v>2024</x:v>
      </x:c>
      <x:c r="E897" s="2" t="str">
        <x:v>WB_cereal_yield</x:v>
      </x:c>
      <x:c r="F897" s="2" t="str">
        <x:v>Cereal yield (kg per hectare)</x:v>
      </x:c>
    </x:row>
    <x:row r="898" ht="44" customHeight="1">
      <x:c r="A898" s="2" t="str">
        <x:v>BFA</x:v>
      </x:c>
      <x:c r="B898" s="2" t="str">
        <x:v>water_stress</x:v>
      </x:c>
      <x:c r="C898" s="2" t="n">
        <x:v>7.820267686</x:v>
      </x:c>
      <x:c r="D898" s="2" t="n">
        <x:v>2022</x:v>
      </x:c>
      <x:c r="E898" s="2" t="str">
        <x:v>WB_water_stress</x:v>
      </x:c>
      <x:c r="F898" s="2" t="str">
        <x:v>Level of water stress: freshwater withdrawal as a proportion of available freshwater resources</x:v>
      </x:c>
    </x:row>
    <x:row r="899" ht="44" customHeight="1">
      <x:c r="A899" s="2" t="str">
        <x:v>BFA</x:v>
      </x:c>
      <x:c r="B899" s="2" t="str">
        <x:v>fertility</x:v>
      </x:c>
      <x:c r="C899" s="2" t="n">
        <x:v>4.11</x:v>
      </x:c>
      <x:c r="D899" s="2" t="n">
        <x:v>2024</x:v>
      </x:c>
      <x:c r="E899" s="2" t="str">
        <x:v>WB_fertility</x:v>
      </x:c>
      <x:c r="F899" s="2" t="str">
        <x:v>Fertility rate, total (births per woman)</x:v>
      </x:c>
    </x:row>
    <x:row r="900" ht="44" customHeight="1">
      <x:c r="A900" s="2" t="str">
        <x:v>BFA</x:v>
      </x:c>
      <x:c r="B900" s="2" t="str">
        <x:v>life_expectancy</x:v>
      </x:c>
      <x:c r="C900" s="2" t="n">
        <x:v>61.292</x:v>
      </x:c>
      <x:c r="D900" s="2" t="n">
        <x:v>2024</x:v>
      </x:c>
      <x:c r="E900" s="2" t="str">
        <x:v>WB_life_expectancy</x:v>
      </x:c>
      <x:c r="F900" s="2" t="str">
        <x:v>Life expectancy at birth, total (years)</x:v>
      </x:c>
    </x:row>
    <x:row r="901" ht="44" customHeight="1">
      <x:c r="A901" s="2" t="str">
        <x:v>BFA</x:v>
      </x:c>
      <x:c r="B901" s="2" t="str">
        <x:v>age_under15</x:v>
      </x:c>
      <x:c r="C901" s="2" t="n">
        <x:v>41.1699311057555</x:v>
      </x:c>
      <x:c r="D901" s="2" t="n">
        <x:v>2025</x:v>
      </x:c>
      <x:c r="E901" s="2" t="str">
        <x:v>WB_age_under15</x:v>
      </x:c>
      <x:c r="F901" s="2" t="str">
        <x:v>Population ages 0-14 (% of total population)</x:v>
      </x:c>
    </x:row>
    <x:row r="902" ht="44" customHeight="1">
      <x:c r="A902" s="2" t="str">
        <x:v>BFA</x:v>
      </x:c>
      <x:c r="B902" s="2" t="str">
        <x:v>age_over65</x:v>
      </x:c>
      <x:c r="C902" s="2" t="n">
        <x:v>2.68420882108847</x:v>
      </x:c>
      <x:c r="D902" s="2" t="n">
        <x:v>2025</x:v>
      </x:c>
      <x:c r="E902" s="2" t="str">
        <x:v>WB_age_over65</x:v>
      </x:c>
      <x:c r="F902" s="2" t="str">
        <x:v>Population ages 65 and above (% of total population)</x:v>
      </x:c>
    </x:row>
    <x:row r="903" ht="44" customHeight="1">
      <x:c r="A903" s="2" t="str">
        <x:v>BFA</x:v>
      </x:c>
      <x:c r="B903" s="2" t="str">
        <x:v>dependency_ratio</x:v>
      </x:c>
      <x:c r="C903" s="2" t="n">
        <x:v>78.1075218541557</x:v>
      </x:c>
      <x:c r="D903" s="2" t="n">
        <x:v>2025</x:v>
      </x:c>
      <x:c r="E903" s="2" t="str">
        <x:v>WB_dependency_ratio</x:v>
      </x:c>
      <x:c r="F903" s="2" t="str">
        <x:v>Age dependency ratio (% of working-age population)</x:v>
      </x:c>
    </x:row>
    <x:row r="904" ht="44" customHeight="1">
      <x:c r="A904" s="2" t="str">
        <x:v>BFA</x:v>
      </x:c>
      <x:c r="B904" s="2" t="str">
        <x:v>net_migration</x:v>
      </x:c>
      <x:c r="C904" s="2" t="n">
        <x:v>-27130</x:v>
      </x:c>
      <x:c r="D904" s="2" t="n">
        <x:v>2025</x:v>
      </x:c>
      <x:c r="E904" s="2" t="str">
        <x:v>WB_net_migration</x:v>
      </x:c>
      <x:c r="F904" s="2" t="str">
        <x:v>Net migration</x:v>
      </x:c>
    </x:row>
    <x:row r="905" ht="44" customHeight="1">
      <x:c r="A905" s="2" t="str">
        <x:v>BFA</x:v>
      </x:c>
      <x:c r="B905" s="2" t="str">
        <x:v>real_gdp</x:v>
      </x:c>
      <x:c r="C905" s="2" t="n">
        <x:v>18945886455.8867</x:v>
      </x:c>
      <x:c r="D905" s="2" t="n">
        <x:v>2025</x:v>
      </x:c>
      <x:c r="E905" s="2" t="str">
        <x:v>WB_real_gdp</x:v>
      </x:c>
      <x:c r="F905" s="2" t="str">
        <x:v>GDP (constant 2015 US$)</x:v>
      </x:c>
    </x:row>
    <x:row r="906" ht="44" customHeight="1">
      <x:c r="A906" s="2" t="str">
        <x:v>BFA</x:v>
      </x:c>
      <x:c r="B906" s="2" t="str">
        <x:v>gdp_growth</x:v>
      </x:c>
      <x:c r="C906" s="2" t="n">
        <x:v>5.29461839319283</x:v>
      </x:c>
      <x:c r="D906" s="2" t="n">
        <x:v>2025</x:v>
      </x:c>
      <x:c r="E906" s="2" t="str">
        <x:v>WB_gdp_growth</x:v>
      </x:c>
      <x:c r="F906" s="2" t="str">
        <x:v>GDP growth (annual %)</x:v>
      </x:c>
    </x:row>
    <x:row r="907" ht="44" customHeight="1">
      <x:c r="A907" s="2" t="str">
        <x:v>BFA</x:v>
      </x:c>
      <x:c r="B907" s="2" t="str">
        <x:v>real_income</x:v>
      </x:c>
      <x:c r="C907" s="2" t="n">
        <x:v>786.966437457548</x:v>
      </x:c>
      <x:c r="D907" s="2" t="n">
        <x:v>2025</x:v>
      </x:c>
      <x:c r="E907" s="2" t="str">
        <x:v>WB_real_income</x:v>
      </x:c>
      <x:c r="F907" s="2" t="str">
        <x:v>GDP per capita (constant 2015 US$)</x:v>
      </x:c>
    </x:row>
    <x:row r="908" ht="44" customHeight="1">
      <x:c r="A908" s="2" t="str">
        <x:v>BFA</x:v>
      </x:c>
      <x:c r="B908" s="2" t="str">
        <x:v>agriculture_gdp</x:v>
      </x:c>
      <x:c r="C908" s="2" t="n">
        <x:v>19.9429410767908</x:v>
      </x:c>
      <x:c r="D908" s="2" t="n">
        <x:v>2025</x:v>
      </x:c>
      <x:c r="E908" s="2" t="str">
        <x:v>WB_agriculture_gdp</x:v>
      </x:c>
      <x:c r="F908" s="2" t="str">
        <x:v>Agriculture, forestry, and fishing, value added (% of GDP)</x:v>
      </x:c>
    </x:row>
    <x:row r="909" ht="44" customHeight="1">
      <x:c r="A909" s="2" t="str">
        <x:v>BFA</x:v>
      </x:c>
      <x:c r="B909" s="2" t="str">
        <x:v>poverty</x:v>
      </x:c>
      <x:c r="C909" s="2" t="n">
        <x:v>42.1</x:v>
      </x:c>
      <x:c r="D909" s="2" t="n">
        <x:v>2021</x:v>
      </x:c>
      <x:c r="E909" s="2" t="str">
        <x:v>WB_poverty</x:v>
      </x:c>
      <x:c r="F909" s="2" t="str">
        <x:v>Poverty headcount ratio at $3.00 a day (2021 PPP) (% of population)</x:v>
      </x:c>
    </x:row>
    <x:row r="910" ht="44" customHeight="1">
      <x:c r="A910" s="2" t="str">
        <x:v>BFA</x:v>
      </x:c>
      <x:c r="B910" s="2" t="str">
        <x:v>gini</x:v>
      </x:c>
      <x:c r="C910" s="2" t="n">
        <x:v>37.4</x:v>
      </x:c>
      <x:c r="D910" s="2" t="n">
        <x:v>2021</x:v>
      </x:c>
      <x:c r="E910" s="2" t="str">
        <x:v>WB_gini</x:v>
      </x:c>
      <x:c r="F910" s="2" t="str">
        <x:v>Gini index</x:v>
      </x:c>
    </x:row>
    <x:row r="911" ht="44" customHeight="1">
      <x:c r="A911" s="2" t="str">
        <x:v>BFA</x:v>
      </x:c>
      <x:c r="B911" s="2" t="str">
        <x:v>unemployment</x:v>
      </x:c>
      <x:c r="C911" s="2" t="n">
        <x:v>3.477</x:v>
      </x:c>
      <x:c r="D911" s="2" t="n">
        <x:v>2025</x:v>
      </x:c>
      <x:c r="E911" s="2" t="str">
        <x:v>WB_unemployment</x:v>
      </x:c>
      <x:c r="F911" s="2" t="str">
        <x:v>Unemployment, total (% of total labor force) (modeled ILO estimate)</x:v>
      </x:c>
    </x:row>
    <x:row r="912" ht="44" customHeight="1">
      <x:c r="A912" s="2" t="str">
        <x:v>BFA</x:v>
      </x:c>
      <x:c r="B912" s="2" t="str">
        <x:v>private_credit</x:v>
      </x:c>
      <x:c r="C912" s="2" t="n">
        <x:v>22.7194616435475</x:v>
      </x:c>
      <x:c r="D912" s="2" t="n">
        <x:v>2025</x:v>
      </x:c>
      <x:c r="E912" s="2" t="str">
        <x:v>WB_private_credit</x:v>
      </x:c>
      <x:c r="F912" s="2" t="str">
        <x:v>Domestic credit to private sector (% of GDP)</x:v>
      </x:c>
    </x:row>
    <x:row r="913" ht="44" customHeight="1">
      <x:c r="A913" s="2" t="str">
        <x:v>BFA</x:v>
      </x:c>
      <x:c r="B913" s="2" t="str">
        <x:v>lending_rate</x:v>
      </x:c>
      <x:c r="C913" s="2" t="n">
        <x:v>6.25</x:v>
      </x:c>
      <x:c r="D913" s="2" t="n">
        <x:v>2021</x:v>
      </x:c>
      <x:c r="E913" s="2" t="str">
        <x:v>WB_lending_rate</x:v>
      </x:c>
      <x:c r="F913" s="2" t="str">
        <x:v>Lending interest rate (%)</x:v>
      </x:c>
    </x:row>
    <x:row r="914" ht="44" customHeight="1">
      <x:c r="A914" s="2" t="str">
        <x:v>BFA</x:v>
      </x:c>
      <x:c r="B914" s="2" t="str">
        <x:v>real_interest</x:v>
      </x:c>
      <x:c r="C914" s="2" t="n">
        <x:v>6.13021813204196</x:v>
      </x:c>
      <x:c r="D914" s="2" t="n">
        <x:v>2021</x:v>
      </x:c>
      <x:c r="E914" s="2" t="str">
        <x:v>WB_real_interest</x:v>
      </x:c>
      <x:c r="F914" s="2" t="str">
        <x:v>Real interest rate (%)</x:v>
      </x:c>
    </x:row>
    <x:row r="915" ht="44" customHeight="1">
      <x:c r="A915" s="2" t="str">
        <x:v>BFA</x:v>
      </x:c>
      <x:c r="B915" s="2" t="str">
        <x:v>government_debt</x:v>
      </x:c>
      <x:c r="C915" s="2" t="n">
        <x:v>64.1848911988902</x:v>
      </x:c>
      <x:c r="D915" s="2" t="n">
        <x:v>2024</x:v>
      </x:c>
      <x:c r="E915" s="2" t="str">
        <x:v>WB_government_debt</x:v>
      </x:c>
      <x:c r="F915" s="2" t="str">
        <x:v>Central government debt, total (% of GDP)</x:v>
      </x:c>
    </x:row>
    <x:row r="916" ht="44" customHeight="1">
      <x:c r="A916" s="2" t="str">
        <x:v>BFA</x:v>
      </x:c>
      <x:c r="B916" s="2" t="str">
        <x:v>electricity_access</x:v>
      </x:c>
      <x:c r="C916" s="2" t="n">
        <x:v>34</x:v>
      </x:c>
      <x:c r="D916" s="2" t="n">
        <x:v>2024</x:v>
      </x:c>
      <x:c r="E916" s="2" t="str">
        <x:v>WB_electricity_access</x:v>
      </x:c>
      <x:c r="F916" s="2" t="str">
        <x:v>Access to electricity (% of population)</x:v>
      </x:c>
    </x:row>
    <x:row r="917" ht="44" customHeight="1">
      <x:c r="A917" s="2" t="str">
        <x:v>BFA</x:v>
      </x:c>
      <x:c r="B917" s="2" t="str">
        <x:v>irrigated_land</x:v>
      </x:c>
      <x:c r="C917" s="2"/>
      <x:c r="D917" s="2"/>
      <x:c r="E917" s="2" t="str">
        <x:v>Missing</x:v>
      </x:c>
      <x:c r="F917" s="2" t="str">
        <x:v>Agricultural irrigated land (% of total agricultural land)</x:v>
      </x:c>
    </x:row>
    <x:row r="918" ht="44" customHeight="1">
      <x:c r="A918" s="2" t="str">
        <x:v>BFA</x:v>
      </x:c>
      <x:c r="B918" s="2" t="str">
        <x:v>cereal_area</x:v>
      </x:c>
      <x:c r="C918" s="2" t="n">
        <x:v>4348855</x:v>
      </x:c>
      <x:c r="D918" s="2" t="n">
        <x:v>2024</x:v>
      </x:c>
      <x:c r="E918" s="2" t="str">
        <x:v>WB_cereal_area</x:v>
      </x:c>
      <x:c r="F918" s="2" t="str">
        <x:v>Land under cereal production (hectares)</x:v>
      </x:c>
    </x:row>
    <x:row r="919" ht="44" customHeight="1">
      <x:c r="A919" s="2" t="str">
        <x:v>BFA</x:v>
      </x:c>
      <x:c r="B919" s="2" t="str">
        <x:v>undernourishment</x:v>
      </x:c>
      <x:c r="C919" s="2" t="n">
        <x:v>13.1</x:v>
      </x:c>
      <x:c r="D919" s="2" t="n">
        <x:v>2023</x:v>
      </x:c>
      <x:c r="E919" s="2" t="str">
        <x:v>WB_undernourishment</x:v>
      </x:c>
      <x:c r="F919" s="2" t="str">
        <x:v>Prevalence of undernourishment (% of population)</x:v>
      </x:c>
    </x:row>
    <x:row r="920" ht="44" customHeight="1">
      <x:c r="A920" s="2" t="str">
        <x:v>BFA</x:v>
      </x:c>
      <x:c r="B920" s="2" t="str">
        <x:v>agriculture_employment</x:v>
      </x:c>
      <x:c r="C920" s="2" t="n">
        <x:v>51.7754423010249</x:v>
      </x:c>
      <x:c r="D920" s="2" t="n">
        <x:v>2025</x:v>
      </x:c>
      <x:c r="E920" s="2" t="str">
        <x:v>WB_agriculture_employment</x:v>
      </x:c>
      <x:c r="F920" s="2" t="str">
        <x:v>Employment in agriculture (% of total employment) (modeled ILO estimate)</x:v>
      </x:c>
    </x:row>
    <x:row r="921" ht="44" customHeight="1">
      <x:c r="A921" s="2" t="str">
        <x:v>BFA</x:v>
      </x:c>
      <x:c r="B921" s="2" t="str">
        <x:v>water_withdrawal</x:v>
      </x:c>
      <x:c r="C921" s="2" t="n">
        <x:v>6.544</x:v>
      </x:c>
      <x:c r="D921" s="2" t="n">
        <x:v>2022</x:v>
      </x:c>
      <x:c r="E921" s="2" t="str">
        <x:v>WB_water_withdrawal</x:v>
      </x:c>
      <x:c r="F921" s="2" t="str">
        <x:v>Annual freshwater withdrawals, total (% of internal resources)</x:v>
      </x:c>
    </x:row>
    <x:row r="922" ht="44" customHeight="1">
      <x:c r="A922" s="2" t="str">
        <x:v>BDI</x:v>
      </x:c>
      <x:c r="B922" s="2" t="str">
        <x:v>population</x:v>
      </x:c>
      <x:c r="C922" s="2" t="n">
        <x:v>14390003</x:v>
      </x:c>
      <x:c r="D922" s="2" t="n">
        <x:v>2025</x:v>
      </x:c>
      <x:c r="E922" s="2" t="str">
        <x:v>WB_population</x:v>
      </x:c>
      <x:c r="F922" s="2" t="str">
        <x:v>Population, total</x:v>
      </x:c>
    </x:row>
    <x:row r="923" ht="44" customHeight="1">
      <x:c r="A923" s="2" t="str">
        <x:v>BDI</x:v>
      </x:c>
      <x:c r="B923" s="2" t="str">
        <x:v>income_ppp</x:v>
      </x:c>
      <x:c r="C923" s="2" t="n">
        <x:v>1066.51299240586</x:v>
      </x:c>
      <x:c r="D923" s="2" t="n">
        <x:v>2025</x:v>
      </x:c>
      <x:c r="E923" s="2" t="str">
        <x:v>WB_income_ppp</x:v>
      </x:c>
      <x:c r="F923" s="2" t="str">
        <x:v>GDP per capita, PPP (constant 2021 international $)</x:v>
      </x:c>
    </x:row>
    <x:row r="924" ht="44" customHeight="1">
      <x:c r="A924" s="2" t="str">
        <x:v>BDI</x:v>
      </x:c>
      <x:c r="B924" s="2" t="str">
        <x:v>urban</x:v>
      </x:c>
      <x:c r="C924" s="2" t="n">
        <x:v>25.6870184681663</x:v>
      </x:c>
      <x:c r="D924" s="2" t="n">
        <x:v>2025</x:v>
      </x:c>
      <x:c r="E924" s="2" t="str">
        <x:v>WB_urban</x:v>
      </x:c>
      <x:c r="F924" s="2" t="str">
        <x:v>Urban population (% of total population)</x:v>
      </x:c>
    </x:row>
    <x:row r="925" ht="44" customHeight="1">
      <x:c r="A925" s="2" t="str">
        <x:v>BDI</x:v>
      </x:c>
      <x:c r="B925" s="2" t="str">
        <x:v>inflation</x:v>
      </x:c>
      <x:c r="C925" s="2" t="n">
        <x:v>34.1339985744832</x:v>
      </x:c>
      <x:c r="D925" s="2" t="n">
        <x:v>2025</x:v>
      </x:c>
      <x:c r="E925" s="2" t="str">
        <x:v>WB_inflation</x:v>
      </x:c>
      <x:c r="F925" s="2" t="str">
        <x:v>Inflation, consumer prices (annual %)</x:v>
      </x:c>
    </x:row>
    <x:row r="926" ht="44" customHeight="1">
      <x:c r="A926" s="2" t="str">
        <x:v>BDI</x:v>
      </x:c>
      <x:c r="B926" s="2" t="str">
        <x:v>food_index</x:v>
      </x:c>
      <x:c r="C926" s="2" t="n">
        <x:v>119.15</x:v>
      </x:c>
      <x:c r="D926" s="2" t="n">
        <x:v>2022</x:v>
      </x:c>
      <x:c r="E926" s="2" t="str">
        <x:v>WB_food_index</x:v>
      </x:c>
      <x:c r="F926" s="2" t="str">
        <x:v>Food production index (2014-2016 = 100)</x:v>
      </x:c>
    </x:row>
    <x:row r="927" ht="44" customHeight="1">
      <x:c r="A927" s="2" t="str">
        <x:v>BDI</x:v>
      </x:c>
      <x:c r="B927" s="2" t="str">
        <x:v>food_import_share</x:v>
      </x:c>
      <x:c r="C927" s="2" t="n">
        <x:v>13.6549138261671</x:v>
      </x:c>
      <x:c r="D927" s="2" t="n">
        <x:v>2023</x:v>
      </x:c>
      <x:c r="E927" s="2" t="str">
        <x:v>WB_food_import_share</x:v>
      </x:c>
      <x:c r="F927" s="2" t="str">
        <x:v>Food imports (% of merchandise imports)</x:v>
      </x:c>
    </x:row>
    <x:row r="928" ht="44" customHeight="1">
      <x:c r="A928" s="2" t="str">
        <x:v>BDI</x:v>
      </x:c>
      <x:c r="B928" s="2" t="str">
        <x:v>food_export_share</x:v>
      </x:c>
      <x:c r="C928" s="2" t="n">
        <x:v>46.0212438657281</x:v>
      </x:c>
      <x:c r="D928" s="2" t="n">
        <x:v>2023</x:v>
      </x:c>
      <x:c r="E928" s="2" t="str">
        <x:v>WB_food_export_share</x:v>
      </x:c>
      <x:c r="F928" s="2" t="str">
        <x:v>Food exports (% of merchandise exports)</x:v>
      </x:c>
    </x:row>
    <x:row r="929" ht="44" customHeight="1">
      <x:c r="A929" s="2" t="str">
        <x:v>BDI</x:v>
      </x:c>
      <x:c r="B929" s="2" t="str">
        <x:v>imports_usd</x:v>
      </x:c>
      <x:c r="C929" s="2" t="n">
        <x:v>1188000000</x:v>
      </x:c>
      <x:c r="D929" s="2" t="n">
        <x:v>2025</x:v>
      </x:c>
      <x:c r="E929" s="2" t="str">
        <x:v>WB_imports_usd</x:v>
      </x:c>
      <x:c r="F929" s="2" t="str">
        <x:v>Merchandise imports (current US$)</x:v>
      </x:c>
    </x:row>
    <x:row r="930" ht="44" customHeight="1">
      <x:c r="A930" s="2" t="str">
        <x:v>BDI</x:v>
      </x:c>
      <x:c r="B930" s="2" t="str">
        <x:v>exports_usd</x:v>
      </x:c>
      <x:c r="C930" s="2" t="n">
        <x:v>332000000</x:v>
      </x:c>
      <x:c r="D930" s="2" t="n">
        <x:v>2025</x:v>
      </x:c>
      <x:c r="E930" s="2" t="str">
        <x:v>WB_exports_usd</x:v>
      </x:c>
      <x:c r="F930" s="2" t="str">
        <x:v>Merchandise exports (current US$)</x:v>
      </x:c>
    </x:row>
    <x:row r="931" ht="44" customHeight="1">
      <x:c r="A931" s="2" t="str">
        <x:v>BDI</x:v>
      </x:c>
      <x:c r="B931" s="2" t="str">
        <x:v>cereal_yield</x:v>
      </x:c>
      <x:c r="C931" s="2" t="n">
        <x:v>1163.4</x:v>
      </x:c>
      <x:c r="D931" s="2" t="n">
        <x:v>2024</x:v>
      </x:c>
      <x:c r="E931" s="2" t="str">
        <x:v>WB_cereal_yield</x:v>
      </x:c>
      <x:c r="F931" s="2" t="str">
        <x:v>Cereal yield (kg per hectare)</x:v>
      </x:c>
    </x:row>
    <x:row r="932" ht="44" customHeight="1">
      <x:c r="A932" s="2" t="str">
        <x:v>BDI</x:v>
      </x:c>
      <x:c r="B932" s="2" t="str">
        <x:v>water_stress</x:v>
      </x:c>
      <x:c r="C932" s="2" t="n">
        <x:v>10.19286754</x:v>
      </x:c>
      <x:c r="D932" s="2" t="n">
        <x:v>2022</x:v>
      </x:c>
      <x:c r="E932" s="2" t="str">
        <x:v>WB_water_stress</x:v>
      </x:c>
      <x:c r="F932" s="2" t="str">
        <x:v>Level of water stress: freshwater withdrawal as a proportion of available freshwater resources</x:v>
      </x:c>
    </x:row>
    <x:row r="933" ht="44" customHeight="1">
      <x:c r="A933" s="2" t="str">
        <x:v>BDI</x:v>
      </x:c>
      <x:c r="B933" s="2" t="str">
        <x:v>fertility</x:v>
      </x:c>
      <x:c r="C933" s="2" t="n">
        <x:v>4.789</x:v>
      </x:c>
      <x:c r="D933" s="2" t="n">
        <x:v>2024</x:v>
      </x:c>
      <x:c r="E933" s="2" t="str">
        <x:v>WB_fertility</x:v>
      </x:c>
      <x:c r="F933" s="2" t="str">
        <x:v>Fertility rate, total (births per woman)</x:v>
      </x:c>
    </x:row>
    <x:row r="934" ht="44" customHeight="1">
      <x:c r="A934" s="2" t="str">
        <x:v>BDI</x:v>
      </x:c>
      <x:c r="B934" s="2" t="str">
        <x:v>life_expectancy</x:v>
      </x:c>
      <x:c r="C934" s="2" t="n">
        <x:v>63.818</x:v>
      </x:c>
      <x:c r="D934" s="2" t="n">
        <x:v>2024</x:v>
      </x:c>
      <x:c r="E934" s="2" t="str">
        <x:v>WB_life_expectancy</x:v>
      </x:c>
      <x:c r="F934" s="2" t="str">
        <x:v>Life expectancy at birth, total (years)</x:v>
      </x:c>
    </x:row>
    <x:row r="935" ht="44" customHeight="1">
      <x:c r="A935" s="2" t="str">
        <x:v>BDI</x:v>
      </x:c>
      <x:c r="B935" s="2" t="str">
        <x:v>age_under15</x:v>
      </x:c>
      <x:c r="C935" s="2" t="n">
        <x:v>43.9812536516238</x:v>
      </x:c>
      <x:c r="D935" s="2" t="n">
        <x:v>2025</x:v>
      </x:c>
      <x:c r="E935" s="2" t="str">
        <x:v>WB_age_under15</x:v>
      </x:c>
      <x:c r="F935" s="2" t="str">
        <x:v>Population ages 0-14 (% of total population)</x:v>
      </x:c>
    </x:row>
    <x:row r="936" ht="44" customHeight="1">
      <x:c r="A936" s="2" t="str">
        <x:v>BDI</x:v>
      </x:c>
      <x:c r="B936" s="2" t="str">
        <x:v>age_over65</x:v>
      </x:c>
      <x:c r="C936" s="2" t="n">
        <x:v>2.54810935578364</x:v>
      </x:c>
      <x:c r="D936" s="2" t="n">
        <x:v>2025</x:v>
      </x:c>
      <x:c r="E936" s="2" t="str">
        <x:v>WB_age_over65</x:v>
      </x:c>
      <x:c r="F936" s="2" t="str">
        <x:v>Population ages 65 and above (% of total population)</x:v>
      </x:c>
    </x:row>
    <x:row r="937" ht="44" customHeight="1">
      <x:c r="A937" s="2" t="str">
        <x:v>BDI</x:v>
      </x:c>
      <x:c r="B937" s="2" t="str">
        <x:v>dependency_ratio</x:v>
      </x:c>
      <x:c r="C937" s="2" t="n">
        <x:v>87.018537835051</x:v>
      </x:c>
      <x:c r="D937" s="2" t="n">
        <x:v>2025</x:v>
      </x:c>
      <x:c r="E937" s="2" t="str">
        <x:v>WB_dependency_ratio</x:v>
      </x:c>
      <x:c r="F937" s="2" t="str">
        <x:v>Age dependency ratio (% of working-age population)</x:v>
      </x:c>
    </x:row>
    <x:row r="938" ht="44" customHeight="1">
      <x:c r="A938" s="2" t="str">
        <x:v>BDI</x:v>
      </x:c>
      <x:c r="B938" s="2" t="str">
        <x:v>net_migration</x:v>
      </x:c>
      <x:c r="C938" s="2" t="n">
        <x:v>-34727</x:v>
      </x:c>
      <x:c r="D938" s="2" t="n">
        <x:v>2025</x:v>
      </x:c>
      <x:c r="E938" s="2" t="str">
        <x:v>WB_net_migration</x:v>
      </x:c>
      <x:c r="F938" s="2" t="str">
        <x:v>Net migration</x:v>
      </x:c>
    </x:row>
    <x:row r="939" ht="44" customHeight="1">
      <x:c r="A939" s="2" t="str">
        <x:v>BDI</x:v>
      </x:c>
      <x:c r="B939" s="2" t="str">
        <x:v>real_gdp</x:v>
      </x:c>
      <x:c r="C939" s="2" t="n">
        <x:v>3934701368.14248</x:v>
      </x:c>
      <x:c r="D939" s="2" t="n">
        <x:v>2025</x:v>
      </x:c>
      <x:c r="E939" s="2" t="str">
        <x:v>WB_real_gdp</x:v>
      </x:c>
      <x:c r="F939" s="2" t="str">
        <x:v>GDP (constant 2015 US$)</x:v>
      </x:c>
    </x:row>
    <x:row r="940" ht="44" customHeight="1">
      <x:c r="A940" s="2" t="str">
        <x:v>BDI</x:v>
      </x:c>
      <x:c r="B940" s="2" t="str">
        <x:v>gdp_growth</x:v>
      </x:c>
      <x:c r="C940" s="2" t="n">
        <x:v>4.24010529884178</x:v>
      </x:c>
      <x:c r="D940" s="2" t="n">
        <x:v>2025</x:v>
      </x:c>
      <x:c r="E940" s="2" t="str">
        <x:v>WB_gdp_growth</x:v>
      </x:c>
      <x:c r="F940" s="2" t="str">
        <x:v>GDP growth (annual %)</x:v>
      </x:c>
    </x:row>
    <x:row r="941" ht="44" customHeight="1">
      <x:c r="A941" s="2" t="str">
        <x:v>BDI</x:v>
      </x:c>
      <x:c r="B941" s="2" t="str">
        <x:v>real_income</x:v>
      </x:c>
      <x:c r="C941" s="2" t="n">
        <x:v>273.432977612477</x:v>
      </x:c>
      <x:c r="D941" s="2" t="n">
        <x:v>2025</x:v>
      </x:c>
      <x:c r="E941" s="2" t="str">
        <x:v>WB_real_income</x:v>
      </x:c>
      <x:c r="F941" s="2" t="str">
        <x:v>GDP per capita (constant 2015 US$)</x:v>
      </x:c>
    </x:row>
    <x:row r="942" ht="44" customHeight="1">
      <x:c r="A942" s="2" t="str">
        <x:v>BDI</x:v>
      </x:c>
      <x:c r="B942" s="2" t="str">
        <x:v>agriculture_gdp</x:v>
      </x:c>
      <x:c r="C942" s="2" t="n">
        <x:v>34.289723106363</x:v>
      </x:c>
      <x:c r="D942" s="2" t="n">
        <x:v>2025</x:v>
      </x:c>
      <x:c r="E942" s="2" t="str">
        <x:v>WB_agriculture_gdp</x:v>
      </x:c>
      <x:c r="F942" s="2" t="str">
        <x:v>Agriculture, forestry, and fishing, value added (% of GDP)</x:v>
      </x:c>
    </x:row>
    <x:row r="943" ht="44" customHeight="1">
      <x:c r="A943" s="2" t="str">
        <x:v>BDI</x:v>
      </x:c>
      <x:c r="B943" s="2" t="str">
        <x:v>poverty</x:v>
      </x:c>
      <x:c r="C943" s="2" t="n">
        <x:v>74.2</x:v>
      </x:c>
      <x:c r="D943" s="2" t="n">
        <x:v>2020</x:v>
      </x:c>
      <x:c r="E943" s="2" t="str">
        <x:v>WB_poverty</x:v>
      </x:c>
      <x:c r="F943" s="2" t="str">
        <x:v>Poverty headcount ratio at $3.00 a day (2021 PPP) (% of population)</x:v>
      </x:c>
    </x:row>
    <x:row r="944" ht="44" customHeight="1">
      <x:c r="A944" s="2" t="str">
        <x:v>BDI</x:v>
      </x:c>
      <x:c r="B944" s="2" t="str">
        <x:v>gini</x:v>
      </x:c>
      <x:c r="C944" s="2" t="n">
        <x:v>37.5</x:v>
      </x:c>
      <x:c r="D944" s="2" t="n">
        <x:v>2020</x:v>
      </x:c>
      <x:c r="E944" s="2" t="str">
        <x:v>WB_gini</x:v>
      </x:c>
      <x:c r="F944" s="2" t="str">
        <x:v>Gini index</x:v>
      </x:c>
    </x:row>
    <x:row r="945" ht="44" customHeight="1">
      <x:c r="A945" s="2" t="str">
        <x:v>BDI</x:v>
      </x:c>
      <x:c r="B945" s="2" t="str">
        <x:v>unemployment</x:v>
      </x:c>
      <x:c r="C945" s="2" t="n">
        <x:v>0.922</x:v>
      </x:c>
      <x:c r="D945" s="2" t="n">
        <x:v>2025</x:v>
      </x:c>
      <x:c r="E945" s="2" t="str">
        <x:v>WB_unemployment</x:v>
      </x:c>
      <x:c r="F945" s="2" t="str">
        <x:v>Unemployment, total (% of total labor force) (modeled ILO estimate)</x:v>
      </x:c>
    </x:row>
    <x:row r="946" ht="44" customHeight="1">
      <x:c r="A946" s="2" t="str">
        <x:v>BDI</x:v>
      </x:c>
      <x:c r="B946" s="2" t="str">
        <x:v>private_credit</x:v>
      </x:c>
      <x:c r="C946" s="2" t="n">
        <x:v>38.5431725234643</x:v>
      </x:c>
      <x:c r="D946" s="2" t="n">
        <x:v>2025</x:v>
      </x:c>
      <x:c r="E946" s="2" t="str">
        <x:v>WB_private_credit</x:v>
      </x:c>
      <x:c r="F946" s="2" t="str">
        <x:v>Domestic credit to private sector (% of GDP)</x:v>
      </x:c>
    </x:row>
    <x:row r="947" ht="44" customHeight="1">
      <x:c r="A947" s="2" t="str">
        <x:v>BDI</x:v>
      </x:c>
      <x:c r="B947" s="2" t="str">
        <x:v>lending_rate</x:v>
      </x:c>
      <x:c r="C947" s="2" t="n">
        <x:v>12.3743112233376</x:v>
      </x:c>
      <x:c r="D947" s="2" t="n">
        <x:v>2025</x:v>
      </x:c>
      <x:c r="E947" s="2" t="str">
        <x:v>WB_lending_rate</x:v>
      </x:c>
      <x:c r="F947" s="2" t="str">
        <x:v>Lending interest rate (%)</x:v>
      </x:c>
    </x:row>
    <x:row r="948" ht="44" customHeight="1">
      <x:c r="A948" s="2" t="str">
        <x:v>BDI</x:v>
      </x:c>
      <x:c r="B948" s="2" t="str">
        <x:v>real_interest</x:v>
      </x:c>
      <x:c r="C948" s="2" t="n">
        <x:v>-4.94851954196155</x:v>
      </x:c>
      <x:c r="D948" s="2" t="n">
        <x:v>2025</x:v>
      </x:c>
      <x:c r="E948" s="2" t="str">
        <x:v>WB_real_interest</x:v>
      </x:c>
      <x:c r="F948" s="2" t="str">
        <x:v>Real interest rate (%)</x:v>
      </x:c>
    </x:row>
    <x:row r="949" ht="44" customHeight="1">
      <x:c r="A949" s="2" t="str">
        <x:v>BDI</x:v>
      </x:c>
      <x:c r="B949" s="2" t="str">
        <x:v>government_debt</x:v>
      </x:c>
      <x:c r="C949" s="2"/>
      <x:c r="D949" s="2"/>
      <x:c r="E949" s="2" t="str">
        <x:v>Missing</x:v>
      </x:c>
      <x:c r="F949" s="2" t="str">
        <x:v>Central government debt, total (% of GDP)</x:v>
      </x:c>
    </x:row>
    <x:row r="950" ht="44" customHeight="1">
      <x:c r="A950" s="2" t="str">
        <x:v>BDI</x:v>
      </x:c>
      <x:c r="B950" s="2" t="str">
        <x:v>electricity_access</x:v>
      </x:c>
      <x:c r="C950" s="2" t="n">
        <x:v>20.1</x:v>
      </x:c>
      <x:c r="D950" s="2" t="n">
        <x:v>2024</x:v>
      </x:c>
      <x:c r="E950" s="2" t="str">
        <x:v>WB_electricity_access</x:v>
      </x:c>
      <x:c r="F950" s="2" t="str">
        <x:v>Access to electricity (% of population)</x:v>
      </x:c>
    </x:row>
    <x:row r="951" ht="44" customHeight="1">
      <x:c r="A951" s="2" t="str">
        <x:v>BDI</x:v>
      </x:c>
      <x:c r="B951" s="2" t="str">
        <x:v>irrigated_land</x:v>
      </x:c>
      <x:c r="C951" s="2"/>
      <x:c r="D951" s="2"/>
      <x:c r="E951" s="2" t="str">
        <x:v>Missing</x:v>
      </x:c>
      <x:c r="F951" s="2" t="str">
        <x:v>Agricultural irrigated land (% of total agricultural land)</x:v>
      </x:c>
    </x:row>
    <x:row r="952" ht="44" customHeight="1">
      <x:c r="A952" s="2" t="str">
        <x:v>BDI</x:v>
      </x:c>
      <x:c r="B952" s="2" t="str">
        <x:v>cereal_area</x:v>
      </x:c>
      <x:c r="C952" s="2" t="n">
        <x:v>678679</x:v>
      </x:c>
      <x:c r="D952" s="2" t="n">
        <x:v>2024</x:v>
      </x:c>
      <x:c r="E952" s="2" t="str">
        <x:v>WB_cereal_area</x:v>
      </x:c>
      <x:c r="F952" s="2" t="str">
        <x:v>Land under cereal production (hectares)</x:v>
      </x:c>
    </x:row>
    <x:row r="953" ht="44" customHeight="1">
      <x:c r="A953" s="2" t="str">
        <x:v>BDI</x:v>
      </x:c>
      <x:c r="B953" s="2" t="str">
        <x:v>undernourishment</x:v>
      </x:c>
      <x:c r="C953" s="2"/>
      <x:c r="D953" s="2"/>
      <x:c r="E953" s="2" t="str">
        <x:v>Missing</x:v>
      </x:c>
      <x:c r="F953" s="2" t="str">
        <x:v>Prevalence of undernourishment (% of population)</x:v>
      </x:c>
    </x:row>
    <x:row r="954" ht="44" customHeight="1">
      <x:c r="A954" s="2" t="str">
        <x:v>BDI</x:v>
      </x:c>
      <x:c r="B954" s="2" t="str">
        <x:v>agriculture_employment</x:v>
      </x:c>
      <x:c r="C954" s="2" t="n">
        <x:v>85.3410580900747</x:v>
      </x:c>
      <x:c r="D954" s="2" t="n">
        <x:v>2025</x:v>
      </x:c>
      <x:c r="E954" s="2" t="str">
        <x:v>WB_agriculture_employment</x:v>
      </x:c>
      <x:c r="F954" s="2" t="str">
        <x:v>Employment in agriculture (% of total employment) (modeled ILO estimate)</x:v>
      </x:c>
    </x:row>
    <x:row r="955" ht="44" customHeight="1">
      <x:c r="A955" s="2" t="str">
        <x:v>BDI</x:v>
      </x:c>
      <x:c r="B955" s="2" t="str">
        <x:v>water_withdrawal</x:v>
      </x:c>
      <x:c r="C955" s="2" t="n">
        <x:v>2.78429423459245</x:v>
      </x:c>
      <x:c r="D955" s="2" t="n">
        <x:v>2022</x:v>
      </x:c>
      <x:c r="E955" s="2" t="str">
        <x:v>WB_water_withdrawal</x:v>
      </x:c>
      <x:c r="F955" s="2" t="str">
        <x:v>Annual freshwater withdrawals, total (% of internal resources)</x:v>
      </x:c>
    </x:row>
    <x:row r="956" ht="44" customHeight="1">
      <x:c r="A956" s="2" t="str">
        <x:v>CPV</x:v>
      </x:c>
      <x:c r="B956" s="2" t="str">
        <x:v>population</x:v>
      </x:c>
      <x:c r="C956" s="2" t="n">
        <x:v>527326</x:v>
      </x:c>
      <x:c r="D956" s="2" t="n">
        <x:v>2025</x:v>
      </x:c>
      <x:c r="E956" s="2" t="str">
        <x:v>WB_population</x:v>
      </x:c>
      <x:c r="F956" s="2" t="str">
        <x:v>Population, total</x:v>
      </x:c>
    </x:row>
    <x:row r="957" ht="44" customHeight="1">
      <x:c r="A957" s="2" t="str">
        <x:v>CPV</x:v>
      </x:c>
      <x:c r="B957" s="2" t="str">
        <x:v>income_ppp</x:v>
      </x:c>
      <x:c r="C957" s="2" t="n">
        <x:v>10395.7415044012</x:v>
      </x:c>
      <x:c r="D957" s="2" t="n">
        <x:v>2025</x:v>
      </x:c>
      <x:c r="E957" s="2" t="str">
        <x:v>WB_income_ppp</x:v>
      </x:c>
      <x:c r="F957" s="2" t="str">
        <x:v>GDP per capita, PPP (constant 2021 international $)</x:v>
      </x:c>
    </x:row>
    <x:row r="958" ht="44" customHeight="1">
      <x:c r="A958" s="2" t="str">
        <x:v>CPV</x:v>
      </x:c>
      <x:c r="B958" s="2" t="str">
        <x:v>urban</x:v>
      </x:c>
      <x:c r="C958" s="2" t="n">
        <x:v>77.6300668010068</x:v>
      </x:c>
      <x:c r="D958" s="2" t="n">
        <x:v>2025</x:v>
      </x:c>
      <x:c r="E958" s="2" t="str">
        <x:v>WB_urban</x:v>
      </x:c>
      <x:c r="F958" s="2" t="str">
        <x:v>Urban population (% of total population)</x:v>
      </x:c>
    </x:row>
    <x:row r="959" ht="44" customHeight="1">
      <x:c r="A959" s="2" t="str">
        <x:v>CPV</x:v>
      </x:c>
      <x:c r="B959" s="2" t="str">
        <x:v>inflation</x:v>
      </x:c>
      <x:c r="C959" s="2" t="n">
        <x:v>2.34333897365163</x:v>
      </x:c>
      <x:c r="D959" s="2" t="n">
        <x:v>2025</x:v>
      </x:c>
      <x:c r="E959" s="2" t="str">
        <x:v>WB_inflation</x:v>
      </x:c>
      <x:c r="F959" s="2" t="str">
        <x:v>Inflation, consumer prices (annual %)</x:v>
      </x:c>
    </x:row>
    <x:row r="960" ht="44" customHeight="1">
      <x:c r="A960" s="2" t="str">
        <x:v>CPV</x:v>
      </x:c>
      <x:c r="B960" s="2" t="str">
        <x:v>food_index</x:v>
      </x:c>
      <x:c r="C960" s="2" t="n">
        <x:v>74.78</x:v>
      </x:c>
      <x:c r="D960" s="2" t="n">
        <x:v>2022</x:v>
      </x:c>
      <x:c r="E960" s="2" t="str">
        <x:v>WB_food_index</x:v>
      </x:c>
      <x:c r="F960" s="2" t="str">
        <x:v>Food production index (2014-2016 = 100)</x:v>
      </x:c>
    </x:row>
    <x:row r="961" ht="44" customHeight="1">
      <x:c r="A961" s="2" t="str">
        <x:v>CPV</x:v>
      </x:c>
      <x:c r="B961" s="2" t="str">
        <x:v>food_import_share</x:v>
      </x:c>
      <x:c r="C961" s="2" t="n">
        <x:v>32.5608876520847</x:v>
      </x:c>
      <x:c r="D961" s="2" t="n">
        <x:v>2024</x:v>
      </x:c>
      <x:c r="E961" s="2" t="str">
        <x:v>WB_food_import_share</x:v>
      </x:c>
      <x:c r="F961" s="2" t="str">
        <x:v>Food imports (% of merchandise imports)</x:v>
      </x:c>
    </x:row>
    <x:row r="962" ht="44" customHeight="1">
      <x:c r="A962" s="2" t="str">
        <x:v>CPV</x:v>
      </x:c>
      <x:c r="B962" s="2" t="str">
        <x:v>food_export_share</x:v>
      </x:c>
      <x:c r="C962" s="2" t="n">
        <x:v>86.3881917733023</x:v>
      </x:c>
      <x:c r="D962" s="2" t="n">
        <x:v>2024</x:v>
      </x:c>
      <x:c r="E962" s="2" t="str">
        <x:v>WB_food_export_share</x:v>
      </x:c>
      <x:c r="F962" s="2" t="str">
        <x:v>Food exports (% of merchandise exports)</x:v>
      </x:c>
    </x:row>
    <x:row r="963" ht="44" customHeight="1">
      <x:c r="A963" s="2" t="str">
        <x:v>CPV</x:v>
      </x:c>
      <x:c r="B963" s="2" t="str">
        <x:v>imports_usd</x:v>
      </x:c>
      <x:c r="C963" s="2" t="n">
        <x:v>2043000000</x:v>
      </x:c>
      <x:c r="D963" s="2" t="n">
        <x:v>2025</x:v>
      </x:c>
      <x:c r="E963" s="2" t="str">
        <x:v>WB_imports_usd</x:v>
      </x:c>
      <x:c r="F963" s="2" t="str">
        <x:v>Merchandise imports (current US$)</x:v>
      </x:c>
    </x:row>
    <x:row r="964" ht="44" customHeight="1">
      <x:c r="A964" s="2" t="str">
        <x:v>CPV</x:v>
      </x:c>
      <x:c r="B964" s="2" t="str">
        <x:v>exports_usd</x:v>
      </x:c>
      <x:c r="C964" s="2" t="n">
        <x:v>96000000</x:v>
      </x:c>
      <x:c r="D964" s="2" t="n">
        <x:v>2025</x:v>
      </x:c>
      <x:c r="E964" s="2" t="str">
        <x:v>WB_exports_usd</x:v>
      </x:c>
      <x:c r="F964" s="2" t="str">
        <x:v>Merchandise exports (current US$)</x:v>
      </x:c>
    </x:row>
    <x:row r="965" ht="44" customHeight="1">
      <x:c r="A965" s="2" t="str">
        <x:v>CPV</x:v>
      </x:c>
      <x:c r="B965" s="2" t="str">
        <x:v>cereal_yield</x:v>
      </x:c>
      <x:c r="C965" s="2" t="n">
        <x:v>40.3</x:v>
      </x:c>
      <x:c r="D965" s="2" t="n">
        <x:v>2024</x:v>
      </x:c>
      <x:c r="E965" s="2" t="str">
        <x:v>WB_cereal_yield</x:v>
      </x:c>
      <x:c r="F965" s="2" t="str">
        <x:v>Cereal yield (kg per hectare)</x:v>
      </x:c>
    </x:row>
    <x:row r="966" ht="44" customHeight="1">
      <x:c r="A966" s="2" t="str">
        <x:v>CPV</x:v>
      </x:c>
      <x:c r="B966" s="2" t="str">
        <x:v>water_stress</x:v>
      </x:c>
      <x:c r="C966" s="2" t="n">
        <x:v>59.68371</x:v>
      </x:c>
      <x:c r="D966" s="2" t="n">
        <x:v>2022</x:v>
      </x:c>
      <x:c r="E966" s="2" t="str">
        <x:v>WB_water_stress</x:v>
      </x:c>
      <x:c r="F966" s="2" t="str">
        <x:v>Level of water stress: freshwater withdrawal as a proportion of available freshwater resources</x:v>
      </x:c>
    </x:row>
    <x:row r="967" ht="44" customHeight="1">
      <x:c r="A967" s="2" t="str">
        <x:v>CPV</x:v>
      </x:c>
      <x:c r="B967" s="2" t="str">
        <x:v>fertility</x:v>
      </x:c>
      <x:c r="C967" s="2" t="n">
        <x:v>1.511</x:v>
      </x:c>
      <x:c r="D967" s="2" t="n">
        <x:v>2024</x:v>
      </x:c>
      <x:c r="E967" s="2" t="str">
        <x:v>WB_fertility</x:v>
      </x:c>
      <x:c r="F967" s="2" t="str">
        <x:v>Fertility rate, total (births per woman)</x:v>
      </x:c>
    </x:row>
    <x:row r="968" ht="44" customHeight="1">
      <x:c r="A968" s="2" t="str">
        <x:v>CPV</x:v>
      </x:c>
      <x:c r="B968" s="2" t="str">
        <x:v>life_expectancy</x:v>
      </x:c>
      <x:c r="C968" s="2" t="n">
        <x:v>76.224</x:v>
      </x:c>
      <x:c r="D968" s="2" t="n">
        <x:v>2024</x:v>
      </x:c>
      <x:c r="E968" s="2" t="str">
        <x:v>WB_life_expectancy</x:v>
      </x:c>
      <x:c r="F968" s="2" t="str">
        <x:v>Life expectancy at birth, total (years)</x:v>
      </x:c>
    </x:row>
    <x:row r="969" ht="44" customHeight="1">
      <x:c r="A969" s="2" t="str">
        <x:v>CPV</x:v>
      </x:c>
      <x:c r="B969" s="2" t="str">
        <x:v>age_under15</x:v>
      </x:c>
      <x:c r="C969" s="2" t="n">
        <x:v>24.6949938889737</x:v>
      </x:c>
      <x:c r="D969" s="2" t="n">
        <x:v>2025</x:v>
      </x:c>
      <x:c r="E969" s="2" t="str">
        <x:v>WB_age_under15</x:v>
      </x:c>
      <x:c r="F969" s="2" t="str">
        <x:v>Population ages 0-14 (% of total population)</x:v>
      </x:c>
    </x:row>
    <x:row r="970" ht="44" customHeight="1">
      <x:c r="A970" s="2" t="str">
        <x:v>CPV</x:v>
      </x:c>
      <x:c r="B970" s="2" t="str">
        <x:v>age_over65</x:v>
      </x:c>
      <x:c r="C970" s="2" t="n">
        <x:v>7.15393054195179</x:v>
      </x:c>
      <x:c r="D970" s="2" t="n">
        <x:v>2025</x:v>
      </x:c>
      <x:c r="E970" s="2" t="str">
        <x:v>WB_age_over65</x:v>
      </x:c>
      <x:c r="F970" s="2" t="str">
        <x:v>Population ages 65 and above (% of total population)</x:v>
      </x:c>
    </x:row>
    <x:row r="971" ht="44" customHeight="1">
      <x:c r="A971" s="2" t="str">
        <x:v>CPV</x:v>
      </x:c>
      <x:c r="B971" s="2" t="str">
        <x:v>dependency_ratio</x:v>
      </x:c>
      <x:c r="C971" s="2" t="n">
        <x:v>46.7329664030631</x:v>
      </x:c>
      <x:c r="D971" s="2" t="n">
        <x:v>2025</x:v>
      </x:c>
      <x:c r="E971" s="2" t="str">
        <x:v>WB_dependency_ratio</x:v>
      </x:c>
      <x:c r="F971" s="2" t="str">
        <x:v>Age dependency ratio (% of working-age population)</x:v>
      </x:c>
    </x:row>
    <x:row r="972" ht="44" customHeight="1">
      <x:c r="A972" s="2" t="str">
        <x:v>CPV</x:v>
      </x:c>
      <x:c r="B972" s="2" t="str">
        <x:v>net_migration</x:v>
      </x:c>
      <x:c r="C972" s="2" t="n">
        <x:v>-1284</x:v>
      </x:c>
      <x:c r="D972" s="2" t="n">
        <x:v>2025</x:v>
      </x:c>
      <x:c r="E972" s="2" t="str">
        <x:v>WB_net_migration</x:v>
      </x:c>
      <x:c r="F972" s="2" t="str">
        <x:v>Net migration</x:v>
      </x:c>
    </x:row>
    <x:row r="973" ht="44" customHeight="1">
      <x:c r="A973" s="2" t="str">
        <x:v>CPV</x:v>
      </x:c>
      <x:c r="B973" s="2" t="str">
        <x:v>real_gdp</x:v>
      </x:c>
      <x:c r="C973" s="2" t="n">
        <x:v>2476302510.90263</x:v>
      </x:c>
      <x:c r="D973" s="2" t="n">
        <x:v>2025</x:v>
      </x:c>
      <x:c r="E973" s="2" t="str">
        <x:v>WB_real_gdp</x:v>
      </x:c>
      <x:c r="F973" s="2" t="str">
        <x:v>GDP (constant 2015 US$)</x:v>
      </x:c>
    </x:row>
    <x:row r="974" ht="44" customHeight="1">
      <x:c r="A974" s="2" t="str">
        <x:v>CPV</x:v>
      </x:c>
      <x:c r="B974" s="2" t="str">
        <x:v>gdp_growth</x:v>
      </x:c>
      <x:c r="C974" s="2" t="n">
        <x:v>6.29698518253096</x:v>
      </x:c>
      <x:c r="D974" s="2" t="n">
        <x:v>2025</x:v>
      </x:c>
      <x:c r="E974" s="2" t="str">
        <x:v>WB_gdp_growth</x:v>
      </x:c>
      <x:c r="F974" s="2" t="str">
        <x:v>GDP growth (annual %)</x:v>
      </x:c>
    </x:row>
    <x:row r="975" ht="44" customHeight="1">
      <x:c r="A975" s="2" t="str">
        <x:v>CPV</x:v>
      </x:c>
      <x:c r="B975" s="2" t="str">
        <x:v>real_income</x:v>
      </x:c>
      <x:c r="C975" s="2" t="n">
        <x:v>4695.96134251417</x:v>
      </x:c>
      <x:c r="D975" s="2" t="n">
        <x:v>2025</x:v>
      </x:c>
      <x:c r="E975" s="2" t="str">
        <x:v>WB_real_income</x:v>
      </x:c>
      <x:c r="F975" s="2" t="str">
        <x:v>GDP per capita (constant 2015 US$)</x:v>
      </x:c>
    </x:row>
    <x:row r="976" ht="44" customHeight="1">
      <x:c r="A976" s="2" t="str">
        <x:v>CPV</x:v>
      </x:c>
      <x:c r="B976" s="2" t="str">
        <x:v>agriculture_gdp</x:v>
      </x:c>
      <x:c r="C976" s="2" t="n">
        <x:v>5.03715103863143</x:v>
      </x:c>
      <x:c r="D976" s="2" t="n">
        <x:v>2025</x:v>
      </x:c>
      <x:c r="E976" s="2" t="str">
        <x:v>WB_agriculture_gdp</x:v>
      </x:c>
      <x:c r="F976" s="2" t="str">
        <x:v>Agriculture, forestry, and fishing, value added (% of GDP)</x:v>
      </x:c>
    </x:row>
    <x:row r="977" ht="44" customHeight="1">
      <x:c r="A977" s="2" t="str">
        <x:v>CPV</x:v>
      </x:c>
      <x:c r="B977" s="2" t="str">
        <x:v>poverty</x:v>
      </x:c>
      <x:c r="C977" s="2" t="n">
        <x:v>14.6</x:v>
      </x:c>
      <x:c r="D977" s="2" t="n">
        <x:v>2015</x:v>
      </x:c>
      <x:c r="E977" s="2" t="str">
        <x:v>WB_poverty</x:v>
      </x:c>
      <x:c r="F977" s="2" t="str">
        <x:v>Poverty headcount ratio at $3.00 a day (2021 PPP) (% of population)</x:v>
      </x:c>
    </x:row>
    <x:row r="978" ht="44" customHeight="1">
      <x:c r="A978" s="2" t="str">
        <x:v>CPV</x:v>
      </x:c>
      <x:c r="B978" s="2" t="str">
        <x:v>gini</x:v>
      </x:c>
      <x:c r="C978" s="2" t="n">
        <x:v>42.4</x:v>
      </x:c>
      <x:c r="D978" s="2" t="n">
        <x:v>2015</x:v>
      </x:c>
      <x:c r="E978" s="2" t="str">
        <x:v>WB_gini</x:v>
      </x:c>
      <x:c r="F978" s="2" t="str">
        <x:v>Gini index</x:v>
      </x:c>
    </x:row>
    <x:row r="979" ht="44" customHeight="1">
      <x:c r="A979" s="2" t="str">
        <x:v>CPV</x:v>
      </x:c>
      <x:c r="B979" s="2" t="str">
        <x:v>unemployment</x:v>
      </x:c>
      <x:c r="C979" s="2" t="n">
        <x:v>11.939</x:v>
      </x:c>
      <x:c r="D979" s="2" t="n">
        <x:v>2025</x:v>
      </x:c>
      <x:c r="E979" s="2" t="str">
        <x:v>WB_unemployment</x:v>
      </x:c>
      <x:c r="F979" s="2" t="str">
        <x:v>Unemployment, total (% of total labor force) (modeled ILO estimate)</x:v>
      </x:c>
    </x:row>
    <x:row r="980" ht="44" customHeight="1">
      <x:c r="A980" s="2" t="str">
        <x:v>CPV</x:v>
      </x:c>
      <x:c r="B980" s="2" t="str">
        <x:v>private_credit</x:v>
      </x:c>
      <x:c r="C980" s="2" t="n">
        <x:v>54.042686639781</x:v>
      </x:c>
      <x:c r="D980" s="2" t="n">
        <x:v>2025</x:v>
      </x:c>
      <x:c r="E980" s="2" t="str">
        <x:v>WB_private_credit</x:v>
      </x:c>
      <x:c r="F980" s="2" t="str">
        <x:v>Domestic credit to private sector (% of GDP)</x:v>
      </x:c>
    </x:row>
    <x:row r="981" ht="44" customHeight="1">
      <x:c r="A981" s="2" t="str">
        <x:v>CPV</x:v>
      </x:c>
      <x:c r="B981" s="2" t="str">
        <x:v>lending_rate</x:v>
      </x:c>
      <x:c r="C981" s="2" t="n">
        <x:v>7.74712195998856</x:v>
      </x:c>
      <x:c r="D981" s="2" t="n">
        <x:v>2025</x:v>
      </x:c>
      <x:c r="E981" s="2" t="str">
        <x:v>WB_lending_rate</x:v>
      </x:c>
      <x:c r="F981" s="2" t="str">
        <x:v>Lending interest rate (%)</x:v>
      </x:c>
    </x:row>
    <x:row r="982" ht="44" customHeight="1">
      <x:c r="A982" s="2" t="str">
        <x:v>CPV</x:v>
      </x:c>
      <x:c r="B982" s="2" t="str">
        <x:v>real_interest</x:v>
      </x:c>
      <x:c r="C982" s="2" t="n">
        <x:v>5.90045101459725</x:v>
      </x:c>
      <x:c r="D982" s="2" t="n">
        <x:v>2025</x:v>
      </x:c>
      <x:c r="E982" s="2" t="str">
        <x:v>WB_real_interest</x:v>
      </x:c>
      <x:c r="F982" s="2" t="str">
        <x:v>Real interest rate (%)</x:v>
      </x:c>
    </x:row>
    <x:row r="983" ht="44" customHeight="1">
      <x:c r="A983" s="2" t="str">
        <x:v>CPV</x:v>
      </x:c>
      <x:c r="B983" s="2" t="str">
        <x:v>government_debt</x:v>
      </x:c>
      <x:c r="C983" s="2"/>
      <x:c r="D983" s="2"/>
      <x:c r="E983" s="2" t="str">
        <x:v>Missing</x:v>
      </x:c>
      <x:c r="F983" s="2" t="str">
        <x:v>Central government debt, total (% of GDP)</x:v>
      </x:c>
    </x:row>
    <x:row r="984" ht="44" customHeight="1">
      <x:c r="A984" s="2" t="str">
        <x:v>CPV</x:v>
      </x:c>
      <x:c r="B984" s="2" t="str">
        <x:v>electricity_access</x:v>
      </x:c>
      <x:c r="C984" s="2" t="n">
        <x:v>98.4</x:v>
      </x:c>
      <x:c r="D984" s="2" t="n">
        <x:v>2024</x:v>
      </x:c>
      <x:c r="E984" s="2" t="str">
        <x:v>WB_electricity_access</x:v>
      </x:c>
      <x:c r="F984" s="2" t="str">
        <x:v>Access to electricity (% of population)</x:v>
      </x:c>
    </x:row>
    <x:row r="985" ht="44" customHeight="1">
      <x:c r="A985" s="2" t="str">
        <x:v>CPV</x:v>
      </x:c>
      <x:c r="B985" s="2" t="str">
        <x:v>irrigated_land</x:v>
      </x:c>
      <x:c r="C985" s="2"/>
      <x:c r="D985" s="2"/>
      <x:c r="E985" s="2" t="str">
        <x:v>Missing</x:v>
      </x:c>
      <x:c r="F985" s="2" t="str">
        <x:v>Agricultural irrigated land (% of total agricultural land)</x:v>
      </x:c>
    </x:row>
    <x:row r="986" ht="44" customHeight="1">
      <x:c r="A986" s="2" t="str">
        <x:v>CPV</x:v>
      </x:c>
      <x:c r="B986" s="2" t="str">
        <x:v>cereal_area</x:v>
      </x:c>
      <x:c r="C986" s="2" t="n">
        <x:v>124</x:v>
      </x:c>
      <x:c r="D986" s="2" t="n">
        <x:v>2024</x:v>
      </x:c>
      <x:c r="E986" s="2" t="str">
        <x:v>WB_cereal_area</x:v>
      </x:c>
      <x:c r="F986" s="2" t="str">
        <x:v>Land under cereal production (hectares)</x:v>
      </x:c>
    </x:row>
    <x:row r="987" ht="44" customHeight="1">
      <x:c r="A987" s="2" t="str">
        <x:v>CPV</x:v>
      </x:c>
      <x:c r="B987" s="2" t="str">
        <x:v>undernourishment</x:v>
      </x:c>
      <x:c r="C987" s="2" t="n">
        <x:v>13.5</x:v>
      </x:c>
      <x:c r="D987" s="2" t="n">
        <x:v>2023</x:v>
      </x:c>
      <x:c r="E987" s="2" t="str">
        <x:v>WB_undernourishment</x:v>
      </x:c>
      <x:c r="F987" s="2" t="str">
        <x:v>Prevalence of undernourishment (% of population)</x:v>
      </x:c>
    </x:row>
    <x:row r="988" ht="44" customHeight="1">
      <x:c r="A988" s="2" t="str">
        <x:v>CPV</x:v>
      </x:c>
      <x:c r="B988" s="2" t="str">
        <x:v>agriculture_employment</x:v>
      </x:c>
      <x:c r="C988" s="2" t="n">
        <x:v>9.24518083164504</x:v>
      </x:c>
      <x:c r="D988" s="2" t="n">
        <x:v>2025</x:v>
      </x:c>
      <x:c r="E988" s="2" t="str">
        <x:v>WB_agriculture_employment</x:v>
      </x:c>
      <x:c r="F988" s="2" t="str">
        <x:v>Employment in agriculture (% of total employment) (modeled ILO estimate)</x:v>
      </x:c>
    </x:row>
    <x:row r="989" ht="44" customHeight="1">
      <x:c r="A989" s="2" t="str">
        <x:v>CPV</x:v>
      </x:c>
      <x:c r="B989" s="2" t="str">
        <x:v>water_withdrawal</x:v>
      </x:c>
      <x:c r="C989" s="2" t="n">
        <x:v>59.68371</x:v>
      </x:c>
      <x:c r="D989" s="2" t="n">
        <x:v>2022</x:v>
      </x:c>
      <x:c r="E989" s="2" t="str">
        <x:v>WB_water_withdrawal</x:v>
      </x:c>
      <x:c r="F989" s="2" t="str">
        <x:v>Annual freshwater withdrawals, total (% of internal resources)</x:v>
      </x:c>
    </x:row>
    <x:row r="990" ht="44" customHeight="1">
      <x:c r="A990" s="2" t="str">
        <x:v>KHM</x:v>
      </x:c>
      <x:c r="B990" s="2" t="str">
        <x:v>population</x:v>
      </x:c>
      <x:c r="C990" s="2" t="n">
        <x:v>17847982</x:v>
      </x:c>
      <x:c r="D990" s="2" t="n">
        <x:v>2025</x:v>
      </x:c>
      <x:c r="E990" s="2" t="str">
        <x:v>WB_population</x:v>
      </x:c>
      <x:c r="F990" s="2" t="str">
        <x:v>Population, total</x:v>
      </x:c>
    </x:row>
    <x:row r="991" ht="44" customHeight="1">
      <x:c r="A991" s="2" t="str">
        <x:v>KHM</x:v>
      </x:c>
      <x:c r="B991" s="2" t="str">
        <x:v>income_ppp</x:v>
      </x:c>
      <x:c r="C991" s="2" t="n">
        <x:v>7300.08078250634</x:v>
      </x:c>
      <x:c r="D991" s="2" t="n">
        <x:v>2025</x:v>
      </x:c>
      <x:c r="E991" s="2" t="str">
        <x:v>WB_income_ppp</x:v>
      </x:c>
      <x:c r="F991" s="2" t="str">
        <x:v>GDP per capita, PPP (constant 2021 international $)</x:v>
      </x:c>
    </x:row>
    <x:row r="992" ht="44" customHeight="1">
      <x:c r="A992" s="2" t="str">
        <x:v>KHM</x:v>
      </x:c>
      <x:c r="B992" s="2" t="str">
        <x:v>urban</x:v>
      </x:c>
      <x:c r="C992" s="2" t="n">
        <x:v>41.10561939401</x:v>
      </x:c>
      <x:c r="D992" s="2" t="n">
        <x:v>2025</x:v>
      </x:c>
      <x:c r="E992" s="2" t="str">
        <x:v>WB_urban</x:v>
      </x:c>
      <x:c r="F992" s="2" t="str">
        <x:v>Urban population (% of total population)</x:v>
      </x:c>
    </x:row>
    <x:row r="993" ht="44" customHeight="1">
      <x:c r="A993" s="2" t="str">
        <x:v>KHM</x:v>
      </x:c>
      <x:c r="B993" s="2" t="str">
        <x:v>inflation</x:v>
      </x:c>
      <x:c r="C993" s="2" t="n">
        <x:v>2.35127105896507</x:v>
      </x:c>
      <x:c r="D993" s="2" t="n">
        <x:v>2025</x:v>
      </x:c>
      <x:c r="E993" s="2" t="str">
        <x:v>WB_inflation</x:v>
      </x:c>
      <x:c r="F993" s="2" t="str">
        <x:v>Inflation, consumer prices (annual %)</x:v>
      </x:c>
    </x:row>
    <x:row r="994" ht="44" customHeight="1">
      <x:c r="A994" s="2" t="str">
        <x:v>KHM</x:v>
      </x:c>
      <x:c r="B994" s="2" t="str">
        <x:v>food_index</x:v>
      </x:c>
      <x:c r="C994" s="2" t="n">
        <x:v>123.74</x:v>
      </x:c>
      <x:c r="D994" s="2" t="n">
        <x:v>2022</x:v>
      </x:c>
      <x:c r="E994" s="2" t="str">
        <x:v>WB_food_index</x:v>
      </x:c>
      <x:c r="F994" s="2" t="str">
        <x:v>Food production index (2014-2016 = 100)</x:v>
      </x:c>
    </x:row>
    <x:row r="995" ht="44" customHeight="1">
      <x:c r="A995" s="2" t="str">
        <x:v>KHM</x:v>
      </x:c>
      <x:c r="B995" s="2" t="str">
        <x:v>food_import_share</x:v>
      </x:c>
      <x:c r="C995" s="2" t="n">
        <x:v>7.45951314329506</x:v>
      </x:c>
      <x:c r="D995" s="2" t="n">
        <x:v>2024</x:v>
      </x:c>
      <x:c r="E995" s="2" t="str">
        <x:v>WB_food_import_share</x:v>
      </x:c>
      <x:c r="F995" s="2" t="str">
        <x:v>Food imports (% of merchandise imports)</x:v>
      </x:c>
    </x:row>
    <x:row r="996" ht="44" customHeight="1">
      <x:c r="A996" s="2" t="str">
        <x:v>KHM</x:v>
      </x:c>
      <x:c r="B996" s="2" t="str">
        <x:v>food_export_share</x:v>
      </x:c>
      <x:c r="C996" s="2" t="n">
        <x:v>15.2293598703288</x:v>
      </x:c>
      <x:c r="D996" s="2" t="n">
        <x:v>2024</x:v>
      </x:c>
      <x:c r="E996" s="2" t="str">
        <x:v>WB_food_export_share</x:v>
      </x:c>
      <x:c r="F996" s="2" t="str">
        <x:v>Food exports (% of merchandise exports)</x:v>
      </x:c>
    </x:row>
    <x:row r="997" ht="44" customHeight="1">
      <x:c r="A997" s="2" t="str">
        <x:v>KHM</x:v>
      </x:c>
      <x:c r="B997" s="2" t="str">
        <x:v>imports_usd</x:v>
      </x:c>
      <x:c r="C997" s="2" t="n">
        <x:v>33885000000</x:v>
      </x:c>
      <x:c r="D997" s="2" t="n">
        <x:v>2025</x:v>
      </x:c>
      <x:c r="E997" s="2" t="str">
        <x:v>WB_imports_usd</x:v>
      </x:c>
      <x:c r="F997" s="2" t="str">
        <x:v>Merchandise imports (current US$)</x:v>
      </x:c>
    </x:row>
    <x:row r="998" ht="44" customHeight="1">
      <x:c r="A998" s="2" t="str">
        <x:v>KHM</x:v>
      </x:c>
      <x:c r="B998" s="2" t="str">
        <x:v>exports_usd</x:v>
      </x:c>
      <x:c r="C998" s="2" t="n">
        <x:v>31274000000</x:v>
      </x:c>
      <x:c r="D998" s="2" t="n">
        <x:v>2025</x:v>
      </x:c>
      <x:c r="E998" s="2" t="str">
        <x:v>WB_exports_usd</x:v>
      </x:c>
      <x:c r="F998" s="2" t="str">
        <x:v>Merchandise exports (current US$)</x:v>
      </x:c>
    </x:row>
    <x:row r="999" ht="44" customHeight="1">
      <x:c r="A999" s="2" t="str">
        <x:v>KHM</x:v>
      </x:c>
      <x:c r="B999" s="2" t="str">
        <x:v>cereal_yield</x:v>
      </x:c>
      <x:c r="C999" s="2" t="n">
        <x:v>3722.1</x:v>
      </x:c>
      <x:c r="D999" s="2" t="n">
        <x:v>2023</x:v>
      </x:c>
      <x:c r="E999" s="2" t="str">
        <x:v>WB_cereal_yield</x:v>
      </x:c>
      <x:c r="F999" s="2" t="str">
        <x:v>Cereal yield (kg per hectare)</x:v>
      </x:c>
    </x:row>
    <x:row r="1000" ht="44" customHeight="1">
      <x:c r="A1000" s="2" t="str">
        <x:v>KHM</x:v>
      </x:c>
      <x:c r="B1000" s="2" t="str">
        <x:v>water_stress</x:v>
      </x:c>
      <x:c r="C1000" s="2" t="n">
        <x:v>1.036544851</x:v>
      </x:c>
      <x:c r="D1000" s="2" t="n">
        <x:v>2022</x:v>
      </x:c>
      <x:c r="E1000" s="2" t="str">
        <x:v>WB_water_stress</x:v>
      </x:c>
      <x:c r="F1000" s="2" t="str">
        <x:v>Level of water stress: freshwater withdrawal as a proportion of available freshwater resources</x:v>
      </x:c>
    </x:row>
    <x:row r="1001" ht="44" customHeight="1">
      <x:c r="A1001" s="2" t="str">
        <x:v>KHM</x:v>
      </x:c>
      <x:c r="B1001" s="2" t="str">
        <x:v>fertility</x:v>
      </x:c>
      <x:c r="C1001" s="2" t="n">
        <x:v>2.548</x:v>
      </x:c>
      <x:c r="D1001" s="2" t="n">
        <x:v>2024</x:v>
      </x:c>
      <x:c r="E1001" s="2" t="str">
        <x:v>WB_fertility</x:v>
      </x:c>
      <x:c r="F1001" s="2" t="str">
        <x:v>Fertility rate, total (births per woman)</x:v>
      </x:c>
    </x:row>
    <x:row r="1002" ht="44" customHeight="1">
      <x:c r="A1002" s="2" t="str">
        <x:v>KHM</x:v>
      </x:c>
      <x:c r="B1002" s="2" t="str">
        <x:v>life_expectancy</x:v>
      </x:c>
      <x:c r="C1002" s="2" t="n">
        <x:v>70.817</x:v>
      </x:c>
      <x:c r="D1002" s="2" t="n">
        <x:v>2024</x:v>
      </x:c>
      <x:c r="E1002" s="2" t="str">
        <x:v>WB_life_expectancy</x:v>
      </x:c>
      <x:c r="F1002" s="2" t="str">
        <x:v>Life expectancy at birth, total (years)</x:v>
      </x:c>
    </x:row>
    <x:row r="1003" ht="44" customHeight="1">
      <x:c r="A1003" s="2" t="str">
        <x:v>KHM</x:v>
      </x:c>
      <x:c r="B1003" s="2" t="str">
        <x:v>age_under15</x:v>
      </x:c>
      <x:c r="C1003" s="2" t="n">
        <x:v>29.4972991763802</x:v>
      </x:c>
      <x:c r="D1003" s="2" t="n">
        <x:v>2025</x:v>
      </x:c>
      <x:c r="E1003" s="2" t="str">
        <x:v>WB_age_under15</x:v>
      </x:c>
      <x:c r="F1003" s="2" t="str">
        <x:v>Population ages 0-14 (% of total population)</x:v>
      </x:c>
    </x:row>
    <x:row r="1004" ht="44" customHeight="1">
      <x:c r="A1004" s="2" t="str">
        <x:v>KHM</x:v>
      </x:c>
      <x:c r="B1004" s="2" t="str">
        <x:v>age_over65</x:v>
      </x:c>
      <x:c r="C1004" s="2" t="n">
        <x:v>6.37709648006975</x:v>
      </x:c>
      <x:c r="D1004" s="2" t="n">
        <x:v>2025</x:v>
      </x:c>
      <x:c r="E1004" s="2" t="str">
        <x:v>WB_age_over65</x:v>
      </x:c>
      <x:c r="F1004" s="2" t="str">
        <x:v>Population ages 65 and above (% of total population)</x:v>
      </x:c>
    </x:row>
    <x:row r="1005" ht="44" customHeight="1">
      <x:c r="A1005" s="2" t="str">
        <x:v>KHM</x:v>
      </x:c>
      <x:c r="B1005" s="2" t="str">
        <x:v>dependency_ratio</x:v>
      </x:c>
      <x:c r="C1005" s="2" t="n">
        <x:v>55.9439537843445</x:v>
      </x:c>
      <x:c r="D1005" s="2" t="n">
        <x:v>2025</x:v>
      </x:c>
      <x:c r="E1005" s="2" t="str">
        <x:v>WB_dependency_ratio</x:v>
      </x:c>
      <x:c r="F1005" s="2" t="str">
        <x:v>Age dependency ratio (% of working-age population)</x:v>
      </x:c>
    </x:row>
    <x:row r="1006" ht="44" customHeight="1">
      <x:c r="A1006" s="2" t="str">
        <x:v>KHM</x:v>
      </x:c>
      <x:c r="B1006" s="2" t="str">
        <x:v>net_migration</x:v>
      </x:c>
      <x:c r="C1006" s="2" t="n">
        <x:v>-31469</x:v>
      </x:c>
      <x:c r="D1006" s="2" t="n">
        <x:v>2025</x:v>
      </x:c>
      <x:c r="E1006" s="2" t="str">
        <x:v>WB_net_migration</x:v>
      </x:c>
      <x:c r="F1006" s="2" t="str">
        <x:v>Net migration</x:v>
      </x:c>
    </x:row>
    <x:row r="1007" ht="44" customHeight="1">
      <x:c r="A1007" s="2" t="str">
        <x:v>KHM</x:v>
      </x:c>
      <x:c r="B1007" s="2" t="str">
        <x:v>real_gdp</x:v>
      </x:c>
      <x:c r="C1007" s="2" t="n">
        <x:v>40575632562.1218</x:v>
      </x:c>
      <x:c r="D1007" s="2" t="n">
        <x:v>2025</x:v>
      </x:c>
      <x:c r="E1007" s="2" t="str">
        <x:v>WB_real_gdp</x:v>
      </x:c>
      <x:c r="F1007" s="2" t="str">
        <x:v>GDP (constant 2015 US$)</x:v>
      </x:c>
    </x:row>
    <x:row r="1008" ht="44" customHeight="1">
      <x:c r="A1008" s="2" t="str">
        <x:v>KHM</x:v>
      </x:c>
      <x:c r="B1008" s="2" t="str">
        <x:v>gdp_growth</x:v>
      </x:c>
      <x:c r="C1008" s="2" t="n">
        <x:v>5.34932084572877</x:v>
      </x:c>
      <x:c r="D1008" s="2" t="n">
        <x:v>2025</x:v>
      </x:c>
      <x:c r="E1008" s="2" t="str">
        <x:v>WB_gdp_growth</x:v>
      </x:c>
      <x:c r="F1008" s="2" t="str">
        <x:v>GDP growth (annual %)</x:v>
      </x:c>
    </x:row>
    <x:row r="1009" ht="44" customHeight="1">
      <x:c r="A1009" s="2" t="str">
        <x:v>KHM</x:v>
      </x:c>
      <x:c r="B1009" s="2" t="str">
        <x:v>real_income</x:v>
      </x:c>
      <x:c r="C1009" s="2" t="n">
        <x:v>2273.40169673646</x:v>
      </x:c>
      <x:c r="D1009" s="2" t="n">
        <x:v>2025</x:v>
      </x:c>
      <x:c r="E1009" s="2" t="str">
        <x:v>WB_real_income</x:v>
      </x:c>
      <x:c r="F1009" s="2" t="str">
        <x:v>GDP per capita (constant 2015 US$)</x:v>
      </x:c>
    </x:row>
    <x:row r="1010" ht="44" customHeight="1">
      <x:c r="A1010" s="2" t="str">
        <x:v>KHM</x:v>
      </x:c>
      <x:c r="B1010" s="2" t="str">
        <x:v>agriculture_gdp</x:v>
      </x:c>
      <x:c r="C1010" s="2" t="n">
        <x:v>16.1106828275296</x:v>
      </x:c>
      <x:c r="D1010" s="2" t="n">
        <x:v>2025</x:v>
      </x:c>
      <x:c r="E1010" s="2" t="str">
        <x:v>WB_agriculture_gdp</x:v>
      </x:c>
      <x:c r="F1010" s="2" t="str">
        <x:v>Agriculture, forestry, and fishing, value added (% of GDP)</x:v>
      </x:c>
    </x:row>
    <x:row r="1011" ht="44" customHeight="1">
      <x:c r="A1011" s="2" t="str">
        <x:v>KHM</x:v>
      </x:c>
      <x:c r="B1011" s="2" t="str">
        <x:v>poverty</x:v>
      </x:c>
      <x:c r="C1011" s="2"/>
      <x:c r="D1011" s="2"/>
      <x:c r="E1011" s="2" t="str">
        <x:v>Missing</x:v>
      </x:c>
      <x:c r="F1011" s="2" t="str">
        <x:v>Poverty headcount ratio at $3.00 a day (2021 PPP) (% of population)</x:v>
      </x:c>
    </x:row>
    <x:row r="1012" ht="44" customHeight="1">
      <x:c r="A1012" s="2" t="str">
        <x:v>KHM</x:v>
      </x:c>
      <x:c r="B1012" s="2" t="str">
        <x:v>gini</x:v>
      </x:c>
      <x:c r="C1012" s="2"/>
      <x:c r="D1012" s="2"/>
      <x:c r="E1012" s="2" t="str">
        <x:v>Missing</x:v>
      </x:c>
      <x:c r="F1012" s="2" t="str">
        <x:v>Gini index</x:v>
      </x:c>
    </x:row>
    <x:row r="1013" ht="44" customHeight="1">
      <x:c r="A1013" s="2" t="str">
        <x:v>KHM</x:v>
      </x:c>
      <x:c r="B1013" s="2" t="str">
        <x:v>unemployment</x:v>
      </x:c>
      <x:c r="C1013" s="2" t="n">
        <x:v>0.263</x:v>
      </x:c>
      <x:c r="D1013" s="2" t="n">
        <x:v>2025</x:v>
      </x:c>
      <x:c r="E1013" s="2" t="str">
        <x:v>WB_unemployment</x:v>
      </x:c>
      <x:c r="F1013" s="2" t="str">
        <x:v>Unemployment, total (% of total labor force) (modeled ILO estimate)</x:v>
      </x:c>
    </x:row>
    <x:row r="1014" ht="44" customHeight="1">
      <x:c r="A1014" s="2" t="str">
        <x:v>KHM</x:v>
      </x:c>
      <x:c r="B1014" s="2" t="str">
        <x:v>private_credit</x:v>
      </x:c>
      <x:c r="C1014" s="2" t="n">
        <x:v>121.482151366024</x:v>
      </x:c>
      <x:c r="D1014" s="2" t="n">
        <x:v>2025</x:v>
      </x:c>
      <x:c r="E1014" s="2" t="str">
        <x:v>WB_private_credit</x:v>
      </x:c>
      <x:c r="F1014" s="2" t="str">
        <x:v>Domestic credit to private sector (% of GDP)</x:v>
      </x:c>
    </x:row>
    <x:row r="1015" ht="44" customHeight="1">
      <x:c r="A1015" s="2" t="str">
        <x:v>KHM</x:v>
      </x:c>
      <x:c r="B1015" s="2" t="str">
        <x:v>lending_rate</x:v>
      </x:c>
      <x:c r="C1015" s="2"/>
      <x:c r="D1015" s="2"/>
      <x:c r="E1015" s="2" t="str">
        <x:v>Missing</x:v>
      </x:c>
      <x:c r="F1015" s="2" t="str">
        <x:v>Lending interest rate (%)</x:v>
      </x:c>
    </x:row>
    <x:row r="1016" ht="44" customHeight="1">
      <x:c r="A1016" s="2" t="str">
        <x:v>KHM</x:v>
      </x:c>
      <x:c r="B1016" s="2" t="str">
        <x:v>real_interest</x:v>
      </x:c>
      <x:c r="C1016" s="2"/>
      <x:c r="D1016" s="2"/>
      <x:c r="E1016" s="2" t="str">
        <x:v>Missing</x:v>
      </x:c>
      <x:c r="F1016" s="2" t="str">
        <x:v>Real interest rate (%)</x:v>
      </x:c>
    </x:row>
    <x:row r="1017" ht="44" customHeight="1">
      <x:c r="A1017" s="2" t="str">
        <x:v>KHM</x:v>
      </x:c>
      <x:c r="B1017" s="2" t="str">
        <x:v>government_debt</x:v>
      </x:c>
      <x:c r="C1017" s="2" t="n">
        <x:v>50.3420177209934</x:v>
      </x:c>
      <x:c r="D1017" s="2" t="n">
        <x:v>2023</x:v>
      </x:c>
      <x:c r="E1017" s="2" t="str">
        <x:v>WB_government_debt</x:v>
      </x:c>
      <x:c r="F1017" s="2" t="str">
        <x:v>Central government debt, total (% of GDP)</x:v>
      </x:c>
    </x:row>
    <x:row r="1018" ht="44" customHeight="1">
      <x:c r="A1018" s="2" t="str">
        <x:v>KHM</x:v>
      </x:c>
      <x:c r="B1018" s="2" t="str">
        <x:v>electricity_access</x:v>
      </x:c>
      <x:c r="C1018" s="2" t="n">
        <x:v>99.2</x:v>
      </x:c>
      <x:c r="D1018" s="2" t="n">
        <x:v>2024</x:v>
      </x:c>
      <x:c r="E1018" s="2" t="str">
        <x:v>WB_electricity_access</x:v>
      </x:c>
      <x:c r="F1018" s="2" t="str">
        <x:v>Access to electricity (% of population)</x:v>
      </x:c>
    </x:row>
    <x:row r="1019" ht="44" customHeight="1">
      <x:c r="A1019" s="2" t="str">
        <x:v>KHM</x:v>
      </x:c>
      <x:c r="B1019" s="2" t="str">
        <x:v>irrigated_land</x:v>
      </x:c>
      <x:c r="C1019" s="2"/>
      <x:c r="D1019" s="2"/>
      <x:c r="E1019" s="2" t="str">
        <x:v>Missing</x:v>
      </x:c>
      <x:c r="F1019" s="2" t="str">
        <x:v>Agricultural irrigated land (% of total agricultural land)</x:v>
      </x:c>
    </x:row>
    <x:row r="1020" ht="44" customHeight="1">
      <x:c r="A1020" s="2" t="str">
        <x:v>KHM</x:v>
      </x:c>
      <x:c r="B1020" s="2" t="str">
        <x:v>cereal_area</x:v>
      </x:c>
      <x:c r="C1020" s="2" t="n">
        <x:v>3863387</x:v>
      </x:c>
      <x:c r="D1020" s="2" t="n">
        <x:v>2023</x:v>
      </x:c>
      <x:c r="E1020" s="2" t="str">
        <x:v>WB_cereal_area</x:v>
      </x:c>
      <x:c r="F1020" s="2" t="str">
        <x:v>Land under cereal production (hectares)</x:v>
      </x:c>
    </x:row>
    <x:row r="1021" ht="44" customHeight="1">
      <x:c r="A1021" s="2" t="str">
        <x:v>KHM</x:v>
      </x:c>
      <x:c r="B1021" s="2" t="str">
        <x:v>undernourishment</x:v>
      </x:c>
      <x:c r="C1021" s="2" t="n">
        <x:v>5.2</x:v>
      </x:c>
      <x:c r="D1021" s="2" t="n">
        <x:v>2023</x:v>
      </x:c>
      <x:c r="E1021" s="2" t="str">
        <x:v>WB_undernourishment</x:v>
      </x:c>
      <x:c r="F1021" s="2" t="str">
        <x:v>Prevalence of undernourishment (% of population)</x:v>
      </x:c>
    </x:row>
    <x:row r="1022" ht="44" customHeight="1">
      <x:c r="A1022" s="2" t="str">
        <x:v>KHM</x:v>
      </x:c>
      <x:c r="B1022" s="2" t="str">
        <x:v>agriculture_employment</x:v>
      </x:c>
      <x:c r="C1022" s="2" t="n">
        <x:v>33.4047460215625</x:v>
      </x:c>
      <x:c r="D1022" s="2" t="n">
        <x:v>2025</x:v>
      </x:c>
      <x:c r="E1022" s="2" t="str">
        <x:v>WB_agriculture_employment</x:v>
      </x:c>
      <x:c r="F1022" s="2" t="str">
        <x:v>Employment in agriculture (% of total employment) (modeled ILO estimate)</x:v>
      </x:c>
    </x:row>
    <x:row r="1023" ht="44" customHeight="1">
      <x:c r="A1023" s="2" t="str">
        <x:v>KHM</x:v>
      </x:c>
      <x:c r="B1023" s="2" t="str">
        <x:v>water_withdrawal</x:v>
      </x:c>
      <x:c r="C1023" s="2" t="n">
        <x:v>1.81094527363184</x:v>
      </x:c>
      <x:c r="D1023" s="2" t="n">
        <x:v>2022</x:v>
      </x:c>
      <x:c r="E1023" s="2" t="str">
        <x:v>WB_water_withdrawal</x:v>
      </x:c>
      <x:c r="F1023" s="2" t="str">
        <x:v>Annual freshwater withdrawals, total (% of internal resources)</x:v>
      </x:c>
    </x:row>
    <x:row r="1024" ht="44" customHeight="1">
      <x:c r="A1024" s="2" t="str">
        <x:v>CMR</x:v>
      </x:c>
      <x:c r="B1024" s="2" t="str">
        <x:v>population</x:v>
      </x:c>
      <x:c r="C1024" s="2" t="n">
        <x:v>29879337</x:v>
      </x:c>
      <x:c r="D1024" s="2" t="n">
        <x:v>2025</x:v>
      </x:c>
      <x:c r="E1024" s="2" t="str">
        <x:v>WB_population</x:v>
      </x:c>
      <x:c r="F1024" s="2" t="str">
        <x:v>Population, total</x:v>
      </x:c>
    </x:row>
    <x:row r="1025" ht="44" customHeight="1">
      <x:c r="A1025" s="2" t="str">
        <x:v>CMR</x:v>
      </x:c>
      <x:c r="B1025" s="2" t="str">
        <x:v>income_ppp</x:v>
      </x:c>
      <x:c r="C1025" s="2" t="n">
        <x:v>4945.95640965334</x:v>
      </x:c>
      <x:c r="D1025" s="2" t="n">
        <x:v>2025</x:v>
      </x:c>
      <x:c r="E1025" s="2" t="str">
        <x:v>WB_income_ppp</x:v>
      </x:c>
      <x:c r="F1025" s="2" t="str">
        <x:v>GDP per capita, PPP (constant 2021 international $)</x:v>
      </x:c>
    </x:row>
    <x:row r="1026" ht="44" customHeight="1">
      <x:c r="A1026" s="2" t="str">
        <x:v>CMR</x:v>
      </x:c>
      <x:c r="B1026" s="2" t="str">
        <x:v>urban</x:v>
      </x:c>
      <x:c r="C1026" s="2" t="n">
        <x:v>55.6692041661323</x:v>
      </x:c>
      <x:c r="D1026" s="2" t="n">
        <x:v>2025</x:v>
      </x:c>
      <x:c r="E1026" s="2" t="str">
        <x:v>WB_urban</x:v>
      </x:c>
      <x:c r="F1026" s="2" t="str">
        <x:v>Urban population (% of total population)</x:v>
      </x:c>
    </x:row>
    <x:row r="1027" ht="44" customHeight="1">
      <x:c r="A1027" s="2" t="str">
        <x:v>CMR</x:v>
      </x:c>
      <x:c r="B1027" s="2" t="str">
        <x:v>inflation</x:v>
      </x:c>
      <x:c r="C1027" s="2" t="n">
        <x:v>3.40373458279055</x:v>
      </x:c>
      <x:c r="D1027" s="2" t="n">
        <x:v>2025</x:v>
      </x:c>
      <x:c r="E1027" s="2" t="str">
        <x:v>WB_inflation</x:v>
      </x:c>
      <x:c r="F1027" s="2" t="str">
        <x:v>Inflation, consumer prices (annual %)</x:v>
      </x:c>
    </x:row>
    <x:row r="1028" ht="44" customHeight="1">
      <x:c r="A1028" s="2" t="str">
        <x:v>CMR</x:v>
      </x:c>
      <x:c r="B1028" s="2" t="str">
        <x:v>food_index</x:v>
      </x:c>
      <x:c r="C1028" s="2" t="n">
        <x:v>107.84</x:v>
      </x:c>
      <x:c r="D1028" s="2" t="n">
        <x:v>2022</x:v>
      </x:c>
      <x:c r="E1028" s="2" t="str">
        <x:v>WB_food_index</x:v>
      </x:c>
      <x:c r="F1028" s="2" t="str">
        <x:v>Food production index (2014-2016 = 100)</x:v>
      </x:c>
    </x:row>
    <x:row r="1029" ht="44" customHeight="1">
      <x:c r="A1029" s="2" t="str">
        <x:v>CMR</x:v>
      </x:c>
      <x:c r="B1029" s="2" t="str">
        <x:v>food_import_share</x:v>
      </x:c>
      <x:c r="C1029" s="2" t="n">
        <x:v>21.7495498286128</x:v>
      </x:c>
      <x:c r="D1029" s="2" t="n">
        <x:v>2023</x:v>
      </x:c>
      <x:c r="E1029" s="2" t="str">
        <x:v>WB_food_import_share</x:v>
      </x:c>
      <x:c r="F1029" s="2" t="str">
        <x:v>Food imports (% of merchandise imports)</x:v>
      </x:c>
    </x:row>
    <x:row r="1030" ht="44" customHeight="1">
      <x:c r="A1030" s="2" t="str">
        <x:v>CMR</x:v>
      </x:c>
      <x:c r="B1030" s="2" t="str">
        <x:v>food_export_share</x:v>
      </x:c>
      <x:c r="C1030" s="2" t="n">
        <x:v>22.8464876533836</x:v>
      </x:c>
      <x:c r="D1030" s="2" t="n">
        <x:v>2023</x:v>
      </x:c>
      <x:c r="E1030" s="2" t="str">
        <x:v>WB_food_export_share</x:v>
      </x:c>
      <x:c r="F1030" s="2" t="str">
        <x:v>Food exports (% of merchandise exports)</x:v>
      </x:c>
    </x:row>
    <x:row r="1031" ht="44" customHeight="1">
      <x:c r="A1031" s="2" t="str">
        <x:v>CMR</x:v>
      </x:c>
      <x:c r="B1031" s="2" t="str">
        <x:v>imports_usd</x:v>
      </x:c>
      <x:c r="C1031" s="2" t="n">
        <x:v>9400000000</x:v>
      </x:c>
      <x:c r="D1031" s="2" t="n">
        <x:v>2025</x:v>
      </x:c>
      <x:c r="E1031" s="2" t="str">
        <x:v>WB_imports_usd</x:v>
      </x:c>
      <x:c r="F1031" s="2" t="str">
        <x:v>Merchandise imports (current US$)</x:v>
      </x:c>
    </x:row>
    <x:row r="1032" ht="44" customHeight="1">
      <x:c r="A1032" s="2" t="str">
        <x:v>CMR</x:v>
      </x:c>
      <x:c r="B1032" s="2" t="str">
        <x:v>exports_usd</x:v>
      </x:c>
      <x:c r="C1032" s="2" t="n">
        <x:v>5100000000</x:v>
      </x:c>
      <x:c r="D1032" s="2" t="n">
        <x:v>2025</x:v>
      </x:c>
      <x:c r="E1032" s="2" t="str">
        <x:v>WB_exports_usd</x:v>
      </x:c>
      <x:c r="F1032" s="2" t="str">
        <x:v>Merchandise exports (current US$)</x:v>
      </x:c>
    </x:row>
    <x:row r="1033" ht="44" customHeight="1">
      <x:c r="A1033" s="2" t="str">
        <x:v>CMR</x:v>
      </x:c>
      <x:c r="B1033" s="2" t="str">
        <x:v>cereal_yield</x:v>
      </x:c>
      <x:c r="C1033" s="2" t="n">
        <x:v>1770.4</x:v>
      </x:c>
      <x:c r="D1033" s="2" t="n">
        <x:v>2024</x:v>
      </x:c>
      <x:c r="E1033" s="2" t="str">
        <x:v>WB_cereal_yield</x:v>
      </x:c>
      <x:c r="F1033" s="2" t="str">
        <x:v>Cereal yield (kg per hectare)</x:v>
      </x:c>
    </x:row>
    <x:row r="1034" ht="44" customHeight="1">
      <x:c r="A1034" s="2" t="str">
        <x:v>CMR</x:v>
      </x:c>
      <x:c r="B1034" s="2" t="str">
        <x:v>water_stress</x:v>
      </x:c>
      <x:c r="C1034" s="2" t="n">
        <x:v>1.560430108</x:v>
      </x:c>
      <x:c r="D1034" s="2" t="n">
        <x:v>2022</x:v>
      </x:c>
      <x:c r="E1034" s="2" t="str">
        <x:v>WB_water_stress</x:v>
      </x:c>
      <x:c r="F1034" s="2" t="str">
        <x:v>Level of water stress: freshwater withdrawal as a proportion of available freshwater resources</x:v>
      </x:c>
    </x:row>
    <x:row r="1035" ht="44" customHeight="1">
      <x:c r="A1035" s="2" t="str">
        <x:v>CMR</x:v>
      </x:c>
      <x:c r="B1035" s="2" t="str">
        <x:v>fertility</x:v>
      </x:c>
      <x:c r="C1035" s="2" t="n">
        <x:v>4.261</x:v>
      </x:c>
      <x:c r="D1035" s="2" t="n">
        <x:v>2024</x:v>
      </x:c>
      <x:c r="E1035" s="2" t="str">
        <x:v>WB_fertility</x:v>
      </x:c>
      <x:c r="F1035" s="2" t="str">
        <x:v>Fertility rate, total (births per woman)</x:v>
      </x:c>
    </x:row>
    <x:row r="1036" ht="44" customHeight="1">
      <x:c r="A1036" s="2" t="str">
        <x:v>CMR</x:v>
      </x:c>
      <x:c r="B1036" s="2" t="str">
        <x:v>life_expectancy</x:v>
      </x:c>
      <x:c r="C1036" s="2" t="n">
        <x:v>63.968</x:v>
      </x:c>
      <x:c r="D1036" s="2" t="n">
        <x:v>2024</x:v>
      </x:c>
      <x:c r="E1036" s="2" t="str">
        <x:v>WB_life_expectancy</x:v>
      </x:c>
      <x:c r="F1036" s="2" t="str">
        <x:v>Life expectancy at birth, total (years)</x:v>
      </x:c>
    </x:row>
    <x:row r="1037" ht="44" customHeight="1">
      <x:c r="A1037" s="2" t="str">
        <x:v>CMR</x:v>
      </x:c>
      <x:c r="B1037" s="2" t="str">
        <x:v>age_under15</x:v>
      </x:c>
      <x:c r="C1037" s="2" t="n">
        <x:v>41.1173982876528</x:v>
      </x:c>
      <x:c r="D1037" s="2" t="n">
        <x:v>2025</x:v>
      </x:c>
      <x:c r="E1037" s="2" t="str">
        <x:v>WB_age_under15</x:v>
      </x:c>
      <x:c r="F1037" s="2" t="str">
        <x:v>Population ages 0-14 (% of total population)</x:v>
      </x:c>
    </x:row>
    <x:row r="1038" ht="44" customHeight="1">
      <x:c r="A1038" s="2" t="str">
        <x:v>CMR</x:v>
      </x:c>
      <x:c r="B1038" s="2" t="str">
        <x:v>age_over65</x:v>
      </x:c>
      <x:c r="C1038" s="2" t="n">
        <x:v>2.81759096595751</x:v>
      </x:c>
      <x:c r="D1038" s="2" t="n">
        <x:v>2025</x:v>
      </x:c>
      <x:c r="E1038" s="2" t="str">
        <x:v>WB_age_over65</x:v>
      </x:c>
      <x:c r="F1038" s="2" t="str">
        <x:v>Population ages 65 and above (% of total population)</x:v>
      </x:c>
    </x:row>
    <x:row r="1039" ht="44" customHeight="1">
      <x:c r="A1039" s="2" t="str">
        <x:v>CMR</x:v>
      </x:c>
      <x:c r="B1039" s="2" t="str">
        <x:v>dependency_ratio</x:v>
      </x:c>
      <x:c r="C1039" s="2" t="n">
        <x:v>78.3643636318919</x:v>
      </x:c>
      <x:c r="D1039" s="2" t="n">
        <x:v>2025</x:v>
      </x:c>
      <x:c r="E1039" s="2" t="str">
        <x:v>WB_dependency_ratio</x:v>
      </x:c>
      <x:c r="F1039" s="2" t="str">
        <x:v>Age dependency ratio (% of working-age population)</x:v>
      </x:c>
    </x:row>
    <x:row r="1040" ht="44" customHeight="1">
      <x:c r="A1040" s="2" t="str">
        <x:v>CMR</x:v>
      </x:c>
      <x:c r="B1040" s="2" t="str">
        <x:v>net_migration</x:v>
      </x:c>
      <x:c r="C1040" s="2" t="n">
        <x:v>-15379</x:v>
      </x:c>
      <x:c r="D1040" s="2" t="n">
        <x:v>2025</x:v>
      </x:c>
      <x:c r="E1040" s="2" t="str">
        <x:v>WB_net_migration</x:v>
      </x:c>
      <x:c r="F1040" s="2" t="str">
        <x:v>Net migration</x:v>
      </x:c>
    </x:row>
    <x:row r="1041" ht="44" customHeight="1">
      <x:c r="A1041" s="2" t="str">
        <x:v>CMR</x:v>
      </x:c>
      <x:c r="B1041" s="2" t="str">
        <x:v>real_gdp</x:v>
      </x:c>
      <x:c r="C1041" s="2" t="n">
        <x:v>44504411650.8349</x:v>
      </x:c>
      <x:c r="D1041" s="2" t="n">
        <x:v>2025</x:v>
      </x:c>
      <x:c r="E1041" s="2" t="str">
        <x:v>WB_real_gdp</x:v>
      </x:c>
      <x:c r="F1041" s="2" t="str">
        <x:v>GDP (constant 2015 US$)</x:v>
      </x:c>
    </x:row>
    <x:row r="1042" ht="44" customHeight="1">
      <x:c r="A1042" s="2" t="str">
        <x:v>CMR</x:v>
      </x:c>
      <x:c r="B1042" s="2" t="str">
        <x:v>gdp_growth</x:v>
      </x:c>
      <x:c r="C1042" s="2" t="n">
        <x:v>3.20000015616144</x:v>
      </x:c>
      <x:c r="D1042" s="2" t="n">
        <x:v>2025</x:v>
      </x:c>
      <x:c r="E1042" s="2" t="str">
        <x:v>WB_gdp_growth</x:v>
      </x:c>
      <x:c r="F1042" s="2" t="str">
        <x:v>GDP growth (annual %)</x:v>
      </x:c>
    </x:row>
    <x:row r="1043" ht="44" customHeight="1">
      <x:c r="A1043" s="2" t="str">
        <x:v>CMR</x:v>
      </x:c>
      <x:c r="B1043" s="2" t="str">
        <x:v>real_income</x:v>
      </x:c>
      <x:c r="C1043" s="2" t="n">
        <x:v>1489.47119043622</x:v>
      </x:c>
      <x:c r="D1043" s="2" t="n">
        <x:v>2025</x:v>
      </x:c>
      <x:c r="E1043" s="2" t="str">
        <x:v>WB_real_income</x:v>
      </x:c>
      <x:c r="F1043" s="2" t="str">
        <x:v>GDP per capita (constant 2015 US$)</x:v>
      </x:c>
    </x:row>
    <x:row r="1044" ht="44" customHeight="1">
      <x:c r="A1044" s="2" t="str">
        <x:v>CMR</x:v>
      </x:c>
      <x:c r="B1044" s="2" t="str">
        <x:v>agriculture_gdp</x:v>
      </x:c>
      <x:c r="C1044" s="2" t="n">
        <x:v>16.8466307383509</x:v>
      </x:c>
      <x:c r="D1044" s="2" t="n">
        <x:v>2025</x:v>
      </x:c>
      <x:c r="E1044" s="2" t="str">
        <x:v>WB_agriculture_gdp</x:v>
      </x:c>
      <x:c r="F1044" s="2" t="str">
        <x:v>Agriculture, forestry, and fishing, value added (% of GDP)</x:v>
      </x:c>
    </x:row>
    <x:row r="1045" ht="44" customHeight="1">
      <x:c r="A1045" s="2" t="str">
        <x:v>CMR</x:v>
      </x:c>
      <x:c r="B1045" s="2" t="str">
        <x:v>poverty</x:v>
      </x:c>
      <x:c r="C1045" s="2" t="n">
        <x:v>26.7</x:v>
      </x:c>
      <x:c r="D1045" s="2" t="n">
        <x:v>2021</x:v>
      </x:c>
      <x:c r="E1045" s="2" t="str">
        <x:v>WB_poverty</x:v>
      </x:c>
      <x:c r="F1045" s="2" t="str">
        <x:v>Poverty headcount ratio at $3.00 a day (2021 PPP) (% of population)</x:v>
      </x:c>
    </x:row>
    <x:row r="1046" ht="44" customHeight="1">
      <x:c r="A1046" s="2" t="str">
        <x:v>CMR</x:v>
      </x:c>
      <x:c r="B1046" s="2" t="str">
        <x:v>gini</x:v>
      </x:c>
      <x:c r="C1046" s="2" t="n">
        <x:v>42.2</x:v>
      </x:c>
      <x:c r="D1046" s="2" t="n">
        <x:v>2021</x:v>
      </x:c>
      <x:c r="E1046" s="2" t="str">
        <x:v>WB_gini</x:v>
      </x:c>
      <x:c r="F1046" s="2" t="str">
        <x:v>Gini index</x:v>
      </x:c>
    </x:row>
    <x:row r="1047" ht="44" customHeight="1">
      <x:c r="A1047" s="2" t="str">
        <x:v>CMR</x:v>
      </x:c>
      <x:c r="B1047" s="2" t="str">
        <x:v>unemployment</x:v>
      </x:c>
      <x:c r="C1047" s="2" t="n">
        <x:v>3.602</x:v>
      </x:c>
      <x:c r="D1047" s="2" t="n">
        <x:v>2025</x:v>
      </x:c>
      <x:c r="E1047" s="2" t="str">
        <x:v>WB_unemployment</x:v>
      </x:c>
      <x:c r="F1047" s="2" t="str">
        <x:v>Unemployment, total (% of total labor force) (modeled ILO estimate)</x:v>
      </x:c>
    </x:row>
    <x:row r="1048" ht="44" customHeight="1">
      <x:c r="A1048" s="2" t="str">
        <x:v>CMR</x:v>
      </x:c>
      <x:c r="B1048" s="2" t="str">
        <x:v>private_credit</x:v>
      </x:c>
      <x:c r="C1048" s="2" t="n">
        <x:v>14.0910928751244</x:v>
      </x:c>
      <x:c r="D1048" s="2" t="n">
        <x:v>2019</x:v>
      </x:c>
      <x:c r="E1048" s="2" t="str">
        <x:v>WB_private_credit</x:v>
      </x:c>
      <x:c r="F1048" s="2" t="str">
        <x:v>Domestic credit to private sector (% of GDP)</x:v>
      </x:c>
    </x:row>
    <x:row r="1049" ht="44" customHeight="1">
      <x:c r="A1049" s="2" t="str">
        <x:v>CMR</x:v>
      </x:c>
      <x:c r="B1049" s="2" t="str">
        <x:v>lending_rate</x:v>
      </x:c>
      <x:c r="C1049" s="2"/>
      <x:c r="D1049" s="2"/>
      <x:c r="E1049" s="2" t="str">
        <x:v>Missing</x:v>
      </x:c>
      <x:c r="F1049" s="2" t="str">
        <x:v>Lending interest rate (%)</x:v>
      </x:c>
    </x:row>
    <x:row r="1050" ht="44" customHeight="1">
      <x:c r="A1050" s="2" t="str">
        <x:v>CMR</x:v>
      </x:c>
      <x:c r="B1050" s="2" t="str">
        <x:v>real_interest</x:v>
      </x:c>
      <x:c r="C1050" s="2"/>
      <x:c r="D1050" s="2"/>
      <x:c r="E1050" s="2" t="str">
        <x:v>Missing</x:v>
      </x:c>
      <x:c r="F1050" s="2" t="str">
        <x:v>Real interest rate (%)</x:v>
      </x:c>
    </x:row>
    <x:row r="1051" ht="44" customHeight="1">
      <x:c r="A1051" s="2" t="str">
        <x:v>CMR</x:v>
      </x:c>
      <x:c r="B1051" s="2" t="str">
        <x:v>government_debt</x:v>
      </x:c>
      <x:c r="C1051" s="2"/>
      <x:c r="D1051" s="2"/>
      <x:c r="E1051" s="2" t="str">
        <x:v>Missing</x:v>
      </x:c>
      <x:c r="F1051" s="2" t="str">
        <x:v>Central government debt, total (% of GDP)</x:v>
      </x:c>
    </x:row>
    <x:row r="1052" ht="44" customHeight="1">
      <x:c r="A1052" s="2" t="str">
        <x:v>CMR</x:v>
      </x:c>
      <x:c r="B1052" s="2" t="str">
        <x:v>electricity_access</x:v>
      </x:c>
      <x:c r="C1052" s="2" t="n">
        <x:v>72</x:v>
      </x:c>
      <x:c r="D1052" s="2" t="n">
        <x:v>2024</x:v>
      </x:c>
      <x:c r="E1052" s="2" t="str">
        <x:v>WB_electricity_access</x:v>
      </x:c>
      <x:c r="F1052" s="2" t="str">
        <x:v>Access to electricity (% of population)</x:v>
      </x:c>
    </x:row>
    <x:row r="1053" ht="44" customHeight="1">
      <x:c r="A1053" s="2" t="str">
        <x:v>CMR</x:v>
      </x:c>
      <x:c r="B1053" s="2" t="str">
        <x:v>irrigated_land</x:v>
      </x:c>
      <x:c r="C1053" s="2"/>
      <x:c r="D1053" s="2"/>
      <x:c r="E1053" s="2" t="str">
        <x:v>Missing</x:v>
      </x:c>
      <x:c r="F1053" s="2" t="str">
        <x:v>Agricultural irrigated land (% of total agricultural land)</x:v>
      </x:c>
    </x:row>
    <x:row r="1054" ht="44" customHeight="1">
      <x:c r="A1054" s="2" t="str">
        <x:v>CMR</x:v>
      </x:c>
      <x:c r="B1054" s="2" t="str">
        <x:v>cereal_area</x:v>
      </x:c>
      <x:c r="C1054" s="2" t="n">
        <x:v>2172460</x:v>
      </x:c>
      <x:c r="D1054" s="2" t="n">
        <x:v>2024</x:v>
      </x:c>
      <x:c r="E1054" s="2" t="str">
        <x:v>WB_cereal_area</x:v>
      </x:c>
      <x:c r="F1054" s="2" t="str">
        <x:v>Land under cereal production (hectares)</x:v>
      </x:c>
    </x:row>
    <x:row r="1055" ht="44" customHeight="1">
      <x:c r="A1055" s="2" t="str">
        <x:v>CMR</x:v>
      </x:c>
      <x:c r="B1055" s="2" t="str">
        <x:v>undernourishment</x:v>
      </x:c>
      <x:c r="C1055" s="2" t="n">
        <x:v>4.8</x:v>
      </x:c>
      <x:c r="D1055" s="2" t="n">
        <x:v>2023</x:v>
      </x:c>
      <x:c r="E1055" s="2" t="str">
        <x:v>WB_undernourishment</x:v>
      </x:c>
      <x:c r="F1055" s="2" t="str">
        <x:v>Prevalence of undernourishment (% of population)</x:v>
      </x:c>
    </x:row>
    <x:row r="1056" ht="44" customHeight="1">
      <x:c r="A1056" s="2" t="str">
        <x:v>CMR</x:v>
      </x:c>
      <x:c r="B1056" s="2" t="str">
        <x:v>agriculture_employment</x:v>
      </x:c>
      <x:c r="C1056" s="2" t="n">
        <x:v>41.8539758640678</x:v>
      </x:c>
      <x:c r="D1056" s="2" t="n">
        <x:v>2025</x:v>
      </x:c>
      <x:c r="E1056" s="2" t="str">
        <x:v>WB_agriculture_employment</x:v>
      </x:c>
      <x:c r="F1056" s="2" t="str">
        <x:v>Employment in agriculture (% of total employment) (modeled ILO estimate)</x:v>
      </x:c>
    </x:row>
    <x:row r="1057" ht="44" customHeight="1">
      <x:c r="A1057" s="2" t="str">
        <x:v>CMR</x:v>
      </x:c>
      <x:c r="B1057" s="2" t="str">
        <x:v>water_withdrawal</x:v>
      </x:c>
      <x:c r="C1057" s="2" t="n">
        <x:v>0.398681318681319</x:v>
      </x:c>
      <x:c r="D1057" s="2" t="n">
        <x:v>2022</x:v>
      </x:c>
      <x:c r="E1057" s="2" t="str">
        <x:v>WB_water_withdrawal</x:v>
      </x:c>
      <x:c r="F1057" s="2" t="str">
        <x:v>Annual freshwater withdrawals, total (% of internal resources)</x:v>
      </x:c>
    </x:row>
    <x:row r="1058" ht="44" customHeight="1">
      <x:c r="A1058" s="2" t="str">
        <x:v>CAN</x:v>
      </x:c>
      <x:c r="B1058" s="2" t="str">
        <x:v>population</x:v>
      </x:c>
      <x:c r="C1058" s="2" t="n">
        <x:v>41651653</x:v>
      </x:c>
      <x:c r="D1058" s="2" t="n">
        <x:v>2025</x:v>
      </x:c>
      <x:c r="E1058" s="2" t="str">
        <x:v>WB_population</x:v>
      </x:c>
      <x:c r="F1058" s="2" t="str">
        <x:v>Population, total</x:v>
      </x:c>
    </x:row>
    <x:row r="1059" ht="44" customHeight="1">
      <x:c r="A1059" s="2" t="str">
        <x:v>CAN</x:v>
      </x:c>
      <x:c r="B1059" s="2" t="str">
        <x:v>income_ppp</x:v>
      </x:c>
      <x:c r="C1059" s="2" t="n">
        <x:v>57989.5784653558</x:v>
      </x:c>
      <x:c r="D1059" s="2" t="n">
        <x:v>2025</x:v>
      </x:c>
      <x:c r="E1059" s="2" t="str">
        <x:v>WB_income_ppp</x:v>
      </x:c>
      <x:c r="F1059" s="2" t="str">
        <x:v>GDP per capita, PPP (constant 2021 international $)</x:v>
      </x:c>
    </x:row>
    <x:row r="1060" ht="44" customHeight="1">
      <x:c r="A1060" s="2" t="str">
        <x:v>CAN</x:v>
      </x:c>
      <x:c r="B1060" s="2" t="str">
        <x:v>urban</x:v>
      </x:c>
      <x:c r="C1060" s="2" t="n">
        <x:v>82.8757020253886</x:v>
      </x:c>
      <x:c r="D1060" s="2" t="n">
        <x:v>2025</x:v>
      </x:c>
      <x:c r="E1060" s="2" t="str">
        <x:v>WB_urban</x:v>
      </x:c>
      <x:c r="F1060" s="2" t="str">
        <x:v>Urban population (% of total population)</x:v>
      </x:c>
    </x:row>
    <x:row r="1061" ht="44" customHeight="1">
      <x:c r="A1061" s="2" t="str">
        <x:v>CAN</x:v>
      </x:c>
      <x:c r="B1061" s="2" t="str">
        <x:v>inflation</x:v>
      </x:c>
      <x:c r="C1061" s="2" t="n">
        <x:v>2.07232411149103</x:v>
      </x:c>
      <x:c r="D1061" s="2" t="n">
        <x:v>2025</x:v>
      </x:c>
      <x:c r="E1061" s="2" t="str">
        <x:v>WB_inflation</x:v>
      </x:c>
      <x:c r="F1061" s="2" t="str">
        <x:v>Inflation, consumer prices (annual %)</x:v>
      </x:c>
    </x:row>
    <x:row r="1062" ht="44" customHeight="1">
      <x:c r="A1062" s="2" t="str">
        <x:v>CAN</x:v>
      </x:c>
      <x:c r="B1062" s="2" t="str">
        <x:v>food_index</x:v>
      </x:c>
      <x:c r="C1062" s="2" t="n">
        <x:v>111.63</x:v>
      </x:c>
      <x:c r="D1062" s="2" t="n">
        <x:v>2022</x:v>
      </x:c>
      <x:c r="E1062" s="2" t="str">
        <x:v>WB_food_index</x:v>
      </x:c>
      <x:c r="F1062" s="2" t="str">
        <x:v>Food production index (2014-2016 = 100)</x:v>
      </x:c>
    </x:row>
    <x:row r="1063" ht="44" customHeight="1">
      <x:c r="A1063" s="2" t="str">
        <x:v>CAN</x:v>
      </x:c>
      <x:c r="B1063" s="2" t="str">
        <x:v>food_import_share</x:v>
      </x:c>
      <x:c r="C1063" s="2" t="n">
        <x:v>9.2023002049639</x:v>
      </x:c>
      <x:c r="D1063" s="2" t="n">
        <x:v>2024</x:v>
      </x:c>
      <x:c r="E1063" s="2" t="str">
        <x:v>WB_food_import_share</x:v>
      </x:c>
      <x:c r="F1063" s="2" t="str">
        <x:v>Food imports (% of merchandise imports)</x:v>
      </x:c>
    </x:row>
    <x:row r="1064" ht="44" customHeight="1">
      <x:c r="A1064" s="2" t="str">
        <x:v>CAN</x:v>
      </x:c>
      <x:c r="B1064" s="2" t="str">
        <x:v>food_export_share</x:v>
      </x:c>
      <x:c r="C1064" s="2" t="n">
        <x:v>13.5312278758624</x:v>
      </x:c>
      <x:c r="D1064" s="2" t="n">
        <x:v>2024</x:v>
      </x:c>
      <x:c r="E1064" s="2" t="str">
        <x:v>WB_food_export_share</x:v>
      </x:c>
      <x:c r="F1064" s="2" t="str">
        <x:v>Food exports (% of merchandise exports)</x:v>
      </x:c>
    </x:row>
    <x:row r="1065" ht="44" customHeight="1">
      <x:c r="A1065" s="2" t="str">
        <x:v>CAN</x:v>
      </x:c>
      <x:c r="B1065" s="2" t="str">
        <x:v>imports_usd</x:v>
      </x:c>
      <x:c r="C1065" s="2" t="n">
        <x:v>577441000000</x:v>
      </x:c>
      <x:c r="D1065" s="2" t="n">
        <x:v>2025</x:v>
      </x:c>
      <x:c r="E1065" s="2" t="str">
        <x:v>WB_imports_usd</x:v>
      </x:c>
      <x:c r="F1065" s="2" t="str">
        <x:v>Merchandise imports (current US$)</x:v>
      </x:c>
    </x:row>
    <x:row r="1066" ht="44" customHeight="1">
      <x:c r="A1066" s="2" t="str">
        <x:v>CAN</x:v>
      </x:c>
      <x:c r="B1066" s="2" t="str">
        <x:v>exports_usd</x:v>
      </x:c>
      <x:c r="C1066" s="2" t="n">
        <x:v>554676000000</x:v>
      </x:c>
      <x:c r="D1066" s="2" t="n">
        <x:v>2025</x:v>
      </x:c>
      <x:c r="E1066" s="2" t="str">
        <x:v>WB_exports_usd</x:v>
      </x:c>
      <x:c r="F1066" s="2" t="str">
        <x:v>Merchandise exports (current US$)</x:v>
      </x:c>
    </x:row>
    <x:row r="1067" ht="44" customHeight="1">
      <x:c r="A1067" s="2" t="str">
        <x:v>CAN</x:v>
      </x:c>
      <x:c r="B1067" s="2" t="str">
        <x:v>cereal_yield</x:v>
      </x:c>
      <x:c r="C1067" s="2" t="n">
        <x:v>3694.7</x:v>
      </x:c>
      <x:c r="D1067" s="2" t="n">
        <x:v>2023</x:v>
      </x:c>
      <x:c r="E1067" s="2" t="str">
        <x:v>WB_cereal_yield</x:v>
      </x:c>
      <x:c r="F1067" s="2" t="str">
        <x:v>Cereal yield (kg per hectare)</x:v>
      </x:c>
    </x:row>
    <x:row r="1068" ht="44" customHeight="1">
      <x:c r="A1068" s="2" t="str">
        <x:v>CAN</x:v>
      </x:c>
      <x:c r="B1068" s="2" t="str">
        <x:v>water_stress</x:v>
      </x:c>
      <x:c r="C1068" s="2" t="n">
        <x:v>3.720700309</x:v>
      </x:c>
      <x:c r="D1068" s="2" t="n">
        <x:v>2022</x:v>
      </x:c>
      <x:c r="E1068" s="2" t="str">
        <x:v>WB_water_stress</x:v>
      </x:c>
      <x:c r="F1068" s="2" t="str">
        <x:v>Level of water stress: freshwater withdrawal as a proportion of available freshwater resources</x:v>
      </x:c>
    </x:row>
    <x:row r="1069" ht="44" customHeight="1">
      <x:c r="A1069" s="2" t="str">
        <x:v>CAN</x:v>
      </x:c>
      <x:c r="B1069" s="2" t="str">
        <x:v>fertility</x:v>
      </x:c>
      <x:c r="C1069" s="2" t="n">
        <x:v>1.25</x:v>
      </x:c>
      <x:c r="D1069" s="2" t="n">
        <x:v>2024</x:v>
      </x:c>
      <x:c r="E1069" s="2" t="str">
        <x:v>WB_fertility</x:v>
      </x:c>
      <x:c r="F1069" s="2" t="str">
        <x:v>Fertility rate, total (births per woman)</x:v>
      </x:c>
    </x:row>
    <x:row r="1070" ht="44" customHeight="1">
      <x:c r="A1070" s="2" t="str">
        <x:v>CAN</x:v>
      </x:c>
      <x:c r="B1070" s="2" t="str">
        <x:v>life_expectancy</x:v>
      </x:c>
      <x:c r="C1070" s="2" t="n">
        <x:v>82.1080487804878</x:v>
      </x:c>
      <x:c r="D1070" s="2" t="n">
        <x:v>2024</x:v>
      </x:c>
      <x:c r="E1070" s="2" t="str">
        <x:v>WB_life_expectancy</x:v>
      </x:c>
      <x:c r="F1070" s="2" t="str">
        <x:v>Life expectancy at birth, total (years)</x:v>
      </x:c>
    </x:row>
    <x:row r="1071" ht="44" customHeight="1">
      <x:c r="A1071" s="2" t="str">
        <x:v>CAN</x:v>
      </x:c>
      <x:c r="B1071" s="2" t="str">
        <x:v>age_under15</x:v>
      </x:c>
      <x:c r="C1071" s="2" t="n">
        <x:v>14.980307512278</x:v>
      </x:c>
      <x:c r="D1071" s="2" t="n">
        <x:v>2025</x:v>
      </x:c>
      <x:c r="E1071" s="2" t="str">
        <x:v>WB_age_under15</x:v>
      </x:c>
      <x:c r="F1071" s="2" t="str">
        <x:v>Population ages 0-14 (% of total population)</x:v>
      </x:c>
    </x:row>
    <x:row r="1072" ht="44" customHeight="1">
      <x:c r="A1072" s="2" t="str">
        <x:v>CAN</x:v>
      </x:c>
      <x:c r="B1072" s="2" t="str">
        <x:v>age_over65</x:v>
      </x:c>
      <x:c r="C1072" s="2" t="n">
        <x:v>20.2603673865917</x:v>
      </x:c>
      <x:c r="D1072" s="2" t="n">
        <x:v>2025</x:v>
      </x:c>
      <x:c r="E1072" s="2" t="str">
        <x:v>WB_age_over65</x:v>
      </x:c>
      <x:c r="F1072" s="2" t="str">
        <x:v>Population ages 65 and above (% of total population)</x:v>
      </x:c>
    </x:row>
    <x:row r="1073" ht="44" customHeight="1">
      <x:c r="A1073" s="2" t="str">
        <x:v>CAN</x:v>
      </x:c>
      <x:c r="B1073" s="2" t="str">
        <x:v>dependency_ratio</x:v>
      </x:c>
      <x:c r="C1073" s="2" t="n">
        <x:v>54.4179177883457</x:v>
      </x:c>
      <x:c r="D1073" s="2" t="n">
        <x:v>2025</x:v>
      </x:c>
      <x:c r="E1073" s="2" t="str">
        <x:v>WB_dependency_ratio</x:v>
      </x:c>
      <x:c r="F1073" s="2" t="str">
        <x:v>Age dependency ratio (% of working-age population)</x:v>
      </x:c>
    </x:row>
    <x:row r="1074" ht="44" customHeight="1">
      <x:c r="A1074" s="2" t="str">
        <x:v>CAN</x:v>
      </x:c>
      <x:c r="B1074" s="2" t="str">
        <x:v>net_migration</x:v>
      </x:c>
      <x:c r="C1074" s="2" t="n">
        <x:v>326204</x:v>
      </x:c>
      <x:c r="D1074" s="2" t="n">
        <x:v>2025</x:v>
      </x:c>
      <x:c r="E1074" s="2" t="str">
        <x:v>WB_net_migration</x:v>
      </x:c>
      <x:c r="F1074" s="2" t="str">
        <x:v>Net migration</x:v>
      </x:c>
    </x:row>
    <x:row r="1075" ht="44" customHeight="1">
      <x:c r="A1075" s="2" t="str">
        <x:v>CAN</x:v>
      </x:c>
      <x:c r="B1075" s="2" t="str">
        <x:v>real_gdp</x:v>
      </x:c>
      <x:c r="C1075" s="2" t="n">
        <x:v>1891740160107.82</x:v>
      </x:c>
      <x:c r="D1075" s="2" t="n">
        <x:v>2025</x:v>
      </x:c>
      <x:c r="E1075" s="2" t="str">
        <x:v>WB_real_gdp</x:v>
      </x:c>
      <x:c r="F1075" s="2" t="str">
        <x:v>GDP (constant 2015 US$)</x:v>
      </x:c>
    </x:row>
    <x:row r="1076" ht="44" customHeight="1">
      <x:c r="A1076" s="2" t="str">
        <x:v>CAN</x:v>
      </x:c>
      <x:c r="B1076" s="2" t="str">
        <x:v>gdp_growth</x:v>
      </x:c>
      <x:c r="C1076" s="2" t="n">
        <x:v>1.74268536175708</x:v>
      </x:c>
      <x:c r="D1076" s="2" t="n">
        <x:v>2025</x:v>
      </x:c>
      <x:c r="E1076" s="2" t="str">
        <x:v>WB_gdp_growth</x:v>
      </x:c>
      <x:c r="F1076" s="2" t="str">
        <x:v>GDP growth (annual %)</x:v>
      </x:c>
    </x:row>
    <x:row r="1077" ht="44" customHeight="1">
      <x:c r="A1077" s="2" t="str">
        <x:v>CAN</x:v>
      </x:c>
      <x:c r="B1077" s="2" t="str">
        <x:v>real_income</x:v>
      </x:c>
      <x:c r="C1077" s="2" t="n">
        <x:v>45418.1292662699</x:v>
      </x:c>
      <x:c r="D1077" s="2" t="n">
        <x:v>2025</x:v>
      </x:c>
      <x:c r="E1077" s="2" t="str">
        <x:v>WB_real_income</x:v>
      </x:c>
      <x:c r="F1077" s="2" t="str">
        <x:v>GDP per capita (constant 2015 US$)</x:v>
      </x:c>
    </x:row>
    <x:row r="1078" ht="44" customHeight="1">
      <x:c r="A1078" s="2" t="str">
        <x:v>CAN</x:v>
      </x:c>
      <x:c r="B1078" s="2" t="str">
        <x:v>agriculture_gdp</x:v>
      </x:c>
      <x:c r="C1078" s="2" t="n">
        <x:v>1.93275289413659</x:v>
      </x:c>
      <x:c r="D1078" s="2" t="n">
        <x:v>2022</x:v>
      </x:c>
      <x:c r="E1078" s="2" t="str">
        <x:v>WB_agriculture_gdp</x:v>
      </x:c>
      <x:c r="F1078" s="2" t="str">
        <x:v>Agriculture, forestry, and fishing, value added (% of GDP)</x:v>
      </x:c>
    </x:row>
    <x:row r="1079" ht="44" customHeight="1">
      <x:c r="A1079" s="2" t="str">
        <x:v>CAN</x:v>
      </x:c>
      <x:c r="B1079" s="2" t="str">
        <x:v>poverty</x:v>
      </x:c>
      <x:c r="C1079" s="2" t="n">
        <x:v>0.3</x:v>
      </x:c>
      <x:c r="D1079" s="2" t="n">
        <x:v>2022</x:v>
      </x:c>
      <x:c r="E1079" s="2" t="str">
        <x:v>WB_poverty</x:v>
      </x:c>
      <x:c r="F1079" s="2" t="str">
        <x:v>Poverty headcount ratio at $3.00 a day (2021 PPP) (% of population)</x:v>
      </x:c>
    </x:row>
    <x:row r="1080" ht="44" customHeight="1">
      <x:c r="A1080" s="2" t="str">
        <x:v>CAN</x:v>
      </x:c>
      <x:c r="B1080" s="2" t="str">
        <x:v>gini</x:v>
      </x:c>
      <x:c r="C1080" s="2" t="n">
        <x:v>31.5</x:v>
      </x:c>
      <x:c r="D1080" s="2" t="n">
        <x:v>2022</x:v>
      </x:c>
      <x:c r="E1080" s="2" t="str">
        <x:v>WB_gini</x:v>
      </x:c>
      <x:c r="F1080" s="2" t="str">
        <x:v>Gini index</x:v>
      </x:c>
    </x:row>
    <x:row r="1081" ht="44" customHeight="1">
      <x:c r="A1081" s="2" t="str">
        <x:v>CAN</x:v>
      </x:c>
      <x:c r="B1081" s="2" t="str">
        <x:v>unemployment</x:v>
      </x:c>
      <x:c r="C1081" s="2" t="n">
        <x:v>6.907</x:v>
      </x:c>
      <x:c r="D1081" s="2" t="n">
        <x:v>2025</x:v>
      </x:c>
      <x:c r="E1081" s="2" t="str">
        <x:v>WB_unemployment</x:v>
      </x:c>
      <x:c r="F1081" s="2" t="str">
        <x:v>Unemployment, total (% of total labor force) (modeled ILO estimate)</x:v>
      </x:c>
    </x:row>
    <x:row r="1082" ht="44" customHeight="1">
      <x:c r="A1082" s="2" t="str">
        <x:v>CAN</x:v>
      </x:c>
      <x:c r="B1082" s="2" t="str">
        <x:v>private_credit</x:v>
      </x:c>
      <x:c r="C1082" s="2" t="n">
        <x:v>124.097472125061</x:v>
      </x:c>
      <x:c r="D1082" s="2" t="n">
        <x:v>2008</x:v>
      </x:c>
      <x:c r="E1082" s="2" t="str">
        <x:v>WB_private_credit</x:v>
      </x:c>
      <x:c r="F1082" s="2" t="str">
        <x:v>Domestic credit to private sector (% of GDP)</x:v>
      </x:c>
    </x:row>
    <x:row r="1083" ht="44" customHeight="1">
      <x:c r="A1083" s="2" t="str">
        <x:v>CAN</x:v>
      </x:c>
      <x:c r="B1083" s="2" t="str">
        <x:v>lending_rate</x:v>
      </x:c>
      <x:c r="C1083" s="2" t="n">
        <x:v>2.7</x:v>
      </x:c>
      <x:c r="D1083" s="2" t="n">
        <x:v>2017</x:v>
      </x:c>
      <x:c r="E1083" s="2" t="str">
        <x:v>WB_lending_rate</x:v>
      </x:c>
      <x:c r="F1083" s="2" t="str">
        <x:v>Lending interest rate (%)</x:v>
      </x:c>
    </x:row>
    <x:row r="1084" ht="44" customHeight="1">
      <x:c r="A1084" s="2" t="str">
        <x:v>CAN</x:v>
      </x:c>
      <x:c r="B1084" s="2" t="str">
        <x:v>real_interest</x:v>
      </x:c>
      <x:c r="C1084" s="2" t="n">
        <x:v>0.125617247961227</x:v>
      </x:c>
      <x:c r="D1084" s="2" t="n">
        <x:v>2017</x:v>
      </x:c>
      <x:c r="E1084" s="2" t="str">
        <x:v>WB_real_interest</x:v>
      </x:c>
      <x:c r="F1084" s="2" t="str">
        <x:v>Real interest rate (%)</x:v>
      </x:c>
    </x:row>
    <x:row r="1085" ht="44" customHeight="1">
      <x:c r="A1085" s="2" t="str">
        <x:v>CAN</x:v>
      </x:c>
      <x:c r="B1085" s="2" t="str">
        <x:v>government_debt</x:v>
      </x:c>
      <x:c r="C1085" s="2" t="n">
        <x:v>64.1314232901439</x:v>
      </x:c>
      <x:c r="D1085" s="2" t="n">
        <x:v>2024</x:v>
      </x:c>
      <x:c r="E1085" s="2" t="str">
        <x:v>WB_government_debt</x:v>
      </x:c>
      <x:c r="F1085" s="2" t="str">
        <x:v>Central government debt, total (% of GDP)</x:v>
      </x:c>
    </x:row>
    <x:row r="1086" ht="44" customHeight="1">
      <x:c r="A1086" s="2" t="str">
        <x:v>CAN</x:v>
      </x:c>
      <x:c r="B1086" s="2" t="str">
        <x:v>electricity_access</x:v>
      </x:c>
      <x:c r="C1086" s="2" t="n">
        <x:v>100</x:v>
      </x:c>
      <x:c r="D1086" s="2" t="n">
        <x:v>2024</x:v>
      </x:c>
      <x:c r="E1086" s="2" t="str">
        <x:v>WB_electricity_access</x:v>
      </x:c>
      <x:c r="F1086" s="2" t="str">
        <x:v>Access to electricity (% of population)</x:v>
      </x:c>
    </x:row>
    <x:row r="1087" ht="44" customHeight="1">
      <x:c r="A1087" s="2" t="str">
        <x:v>CAN</x:v>
      </x:c>
      <x:c r="B1087" s="2" t="str">
        <x:v>irrigated_land</x:v>
      </x:c>
      <x:c r="C1087" s="2" t="n">
        <x:v>1.55988617745969</x:v>
      </x:c>
      <x:c r="D1087" s="2" t="n">
        <x:v>2015</x:v>
      </x:c>
      <x:c r="E1087" s="2" t="str">
        <x:v>WB_irrigated_land</x:v>
      </x:c>
      <x:c r="F1087" s="2" t="str">
        <x:v>Agricultural irrigated land (% of total agricultural land)</x:v>
      </x:c>
    </x:row>
    <x:row r="1088" ht="44" customHeight="1">
      <x:c r="A1088" s="2" t="str">
        <x:v>CAN</x:v>
      </x:c>
      <x:c r="B1088" s="2" t="str">
        <x:v>cereal_area</x:v>
      </x:c>
      <x:c r="C1088" s="2" t="n">
        <x:v>16033993</x:v>
      </x:c>
      <x:c r="D1088" s="2" t="n">
        <x:v>2023</x:v>
      </x:c>
      <x:c r="E1088" s="2" t="str">
        <x:v>WB_cereal_area</x:v>
      </x:c>
      <x:c r="F1088" s="2" t="str">
        <x:v>Land under cereal production (hectares)</x:v>
      </x:c>
    </x:row>
    <x:row r="1089" ht="44" customHeight="1">
      <x:c r="A1089" s="2" t="str">
        <x:v>CAN</x:v>
      </x:c>
      <x:c r="B1089" s="2" t="str">
        <x:v>undernourishment</x:v>
      </x:c>
      <x:c r="C1089" s="2" t="n">
        <x:v>2.5</x:v>
      </x:c>
      <x:c r="D1089" s="2" t="n">
        <x:v>2023</x:v>
      </x:c>
      <x:c r="E1089" s="2" t="str">
        <x:v>WB_undernourishment</x:v>
      </x:c>
      <x:c r="F1089" s="2" t="str">
        <x:v>Prevalence of undernourishment (% of population)</x:v>
      </x:c>
    </x:row>
    <x:row r="1090" ht="44" customHeight="1">
      <x:c r="A1090" s="2" t="str">
        <x:v>CAN</x:v>
      </x:c>
      <x:c r="B1090" s="2" t="str">
        <x:v>agriculture_employment</x:v>
      </x:c>
      <x:c r="C1090" s="2" t="n">
        <x:v>1.10470724220992</x:v>
      </x:c>
      <x:c r="D1090" s="2" t="n">
        <x:v>2025</x:v>
      </x:c>
      <x:c r="E1090" s="2" t="str">
        <x:v>WB_agriculture_employment</x:v>
      </x:c>
      <x:c r="F1090" s="2" t="str">
        <x:v>Employment in agriculture (% of total employment) (modeled ILO estimate)</x:v>
      </x:c>
    </x:row>
    <x:row r="1091" ht="44" customHeight="1">
      <x:c r="A1091" s="2" t="str">
        <x:v>CAN</x:v>
      </x:c>
      <x:c r="B1091" s="2" t="str">
        <x:v>water_withdrawal</x:v>
      </x:c>
      <x:c r="C1091" s="2" t="n">
        <x:v>1.26764912280702</x:v>
      </x:c>
      <x:c r="D1091" s="2" t="n">
        <x:v>2022</x:v>
      </x:c>
      <x:c r="E1091" s="2" t="str">
        <x:v>WB_water_withdrawal</x:v>
      </x:c>
      <x:c r="F1091" s="2" t="str">
        <x:v>Annual freshwater withdrawals, total (% of internal resources)</x:v>
      </x:c>
    </x:row>
    <x:row r="1092" ht="44" customHeight="1">
      <x:c r="A1092" s="2" t="str">
        <x:v>CAF</x:v>
      </x:c>
      <x:c r="B1092" s="2" t="str">
        <x:v>population</x:v>
      </x:c>
      <x:c r="C1092" s="2" t="n">
        <x:v>5513282</x:v>
      </x:c>
      <x:c r="D1092" s="2" t="n">
        <x:v>2025</x:v>
      </x:c>
      <x:c r="E1092" s="2" t="str">
        <x:v>WB_population</x:v>
      </x:c>
      <x:c r="F1092" s="2" t="str">
        <x:v>Population, total</x:v>
      </x:c>
    </x:row>
    <x:row r="1093" ht="44" customHeight="1">
      <x:c r="A1093" s="2" t="str">
        <x:v>CAF</x:v>
      </x:c>
      <x:c r="B1093" s="2" t="str">
        <x:v>income_ppp</x:v>
      </x:c>
      <x:c r="C1093" s="2" t="n">
        <x:v>1122.76083348097</x:v>
      </x:c>
      <x:c r="D1093" s="2" t="n">
        <x:v>2025</x:v>
      </x:c>
      <x:c r="E1093" s="2" t="str">
        <x:v>WB_income_ppp</x:v>
      </x:c>
      <x:c r="F1093" s="2" t="str">
        <x:v>GDP per capita, PPP (constant 2021 international $)</x:v>
      </x:c>
    </x:row>
    <x:row r="1094" ht="44" customHeight="1">
      <x:c r="A1094" s="2" t="str">
        <x:v>CAF</x:v>
      </x:c>
      <x:c r="B1094" s="2" t="str">
        <x:v>urban</x:v>
      </x:c>
      <x:c r="C1094" s="2" t="n">
        <x:v>44.5532156681816</x:v>
      </x:c>
      <x:c r="D1094" s="2" t="n">
        <x:v>2025</x:v>
      </x:c>
      <x:c r="E1094" s="2" t="str">
        <x:v>WB_urban</x:v>
      </x:c>
      <x:c r="F1094" s="2" t="str">
        <x:v>Urban population (% of total population)</x:v>
      </x:c>
    </x:row>
    <x:row r="1095" ht="44" customHeight="1">
      <x:c r="A1095" s="2" t="str">
        <x:v>CAF</x:v>
      </x:c>
      <x:c r="B1095" s="2" t="str">
        <x:v>inflation</x:v>
      </x:c>
      <x:c r="C1095" s="2" t="n">
        <x:v>1.00198012768088</x:v>
      </x:c>
      <x:c r="D1095" s="2" t="n">
        <x:v>2025</x:v>
      </x:c>
      <x:c r="E1095" s="2" t="str">
        <x:v>WB_inflation</x:v>
      </x:c>
      <x:c r="F1095" s="2" t="str">
        <x:v>Inflation, consumer prices (annual %)</x:v>
      </x:c>
    </x:row>
    <x:row r="1096" ht="44" customHeight="1">
      <x:c r="A1096" s="2" t="str">
        <x:v>CAF</x:v>
      </x:c>
      <x:c r="B1096" s="2" t="str">
        <x:v>food_index</x:v>
      </x:c>
      <x:c r="C1096" s="2" t="n">
        <x:v>147.99</x:v>
      </x:c>
      <x:c r="D1096" s="2" t="n">
        <x:v>2022</x:v>
      </x:c>
      <x:c r="E1096" s="2" t="str">
        <x:v>WB_food_index</x:v>
      </x:c>
      <x:c r="F1096" s="2" t="str">
        <x:v>Food production index (2014-2016 = 100)</x:v>
      </x:c>
    </x:row>
    <x:row r="1097" ht="44" customHeight="1">
      <x:c r="A1097" s="2" t="str">
        <x:v>CAF</x:v>
      </x:c>
      <x:c r="B1097" s="2" t="str">
        <x:v>food_import_share</x:v>
      </x:c>
      <x:c r="C1097" s="2" t="n">
        <x:v>20.9175124035838</x:v>
      </x:c>
      <x:c r="D1097" s="2" t="n">
        <x:v>2024</x:v>
      </x:c>
      <x:c r="E1097" s="2" t="str">
        <x:v>WB_food_import_share</x:v>
      </x:c>
      <x:c r="F1097" s="2" t="str">
        <x:v>Food imports (% of merchandise imports)</x:v>
      </x:c>
    </x:row>
    <x:row r="1098" ht="44" customHeight="1">
      <x:c r="A1098" s="2" t="str">
        <x:v>CAF</x:v>
      </x:c>
      <x:c r="B1098" s="2" t="str">
        <x:v>food_export_share</x:v>
      </x:c>
      <x:c r="C1098" s="2" t="n">
        <x:v>0.215221053015092</x:v>
      </x:c>
      <x:c r="D1098" s="2" t="n">
        <x:v>2024</x:v>
      </x:c>
      <x:c r="E1098" s="2" t="str">
        <x:v>WB_food_export_share</x:v>
      </x:c>
      <x:c r="F1098" s="2" t="str">
        <x:v>Food exports (% of merchandise exports)</x:v>
      </x:c>
    </x:row>
    <x:row r="1099" ht="44" customHeight="1">
      <x:c r="A1099" s="2" t="str">
        <x:v>CAF</x:v>
      </x:c>
      <x:c r="B1099" s="2" t="str">
        <x:v>imports_usd</x:v>
      </x:c>
      <x:c r="C1099" s="2" t="n">
        <x:v>573000000</x:v>
      </x:c>
      <x:c r="D1099" s="2" t="n">
        <x:v>2025</x:v>
      </x:c>
      <x:c r="E1099" s="2" t="str">
        <x:v>WB_imports_usd</x:v>
      </x:c>
      <x:c r="F1099" s="2" t="str">
        <x:v>Merchandise imports (current US$)</x:v>
      </x:c>
    </x:row>
    <x:row r="1100" ht="44" customHeight="1">
      <x:c r="A1100" s="2" t="str">
        <x:v>CAF</x:v>
      </x:c>
      <x:c r="B1100" s="2" t="str">
        <x:v>exports_usd</x:v>
      </x:c>
      <x:c r="C1100" s="2" t="n">
        <x:v>255000000</x:v>
      </x:c>
      <x:c r="D1100" s="2" t="n">
        <x:v>2025</x:v>
      </x:c>
      <x:c r="E1100" s="2" t="str">
        <x:v>WB_exports_usd</x:v>
      </x:c>
      <x:c r="F1100" s="2" t="str">
        <x:v>Merchandise exports (current US$)</x:v>
      </x:c>
    </x:row>
    <x:row r="1101" ht="44" customHeight="1">
      <x:c r="A1101" s="2" t="str">
        <x:v>CAF</x:v>
      </x:c>
      <x:c r="B1101" s="2" t="str">
        <x:v>cereal_yield</x:v>
      </x:c>
      <x:c r="C1101" s="2" t="n">
        <x:v>878.1</x:v>
      </x:c>
      <x:c r="D1101" s="2" t="n">
        <x:v>2023</x:v>
      </x:c>
      <x:c r="E1101" s="2" t="str">
        <x:v>WB_cereal_yield</x:v>
      </x:c>
      <x:c r="F1101" s="2" t="str">
        <x:v>Cereal yield (kg per hectare)</x:v>
      </x:c>
    </x:row>
    <x:row r="1102" ht="44" customHeight="1">
      <x:c r="A1102" s="2" t="str">
        <x:v>CAF</x:v>
      </x:c>
      <x:c r="B1102" s="2" t="str">
        <x:v>water_stress</x:v>
      </x:c>
      <x:c r="C1102" s="2" t="n">
        <x:v>0.335648148</x:v>
      </x:c>
      <x:c r="D1102" s="2" t="n">
        <x:v>2022</x:v>
      </x:c>
      <x:c r="E1102" s="2" t="str">
        <x:v>WB_water_stress</x:v>
      </x:c>
      <x:c r="F1102" s="2" t="str">
        <x:v>Level of water stress: freshwater withdrawal as a proportion of available freshwater resources</x:v>
      </x:c>
    </x:row>
    <x:row r="1103" ht="44" customHeight="1">
      <x:c r="A1103" s="2" t="str">
        <x:v>CAF</x:v>
      </x:c>
      <x:c r="B1103" s="2" t="str">
        <x:v>fertility</x:v>
      </x:c>
      <x:c r="C1103" s="2" t="n">
        <x:v>5.954</x:v>
      </x:c>
      <x:c r="D1103" s="2" t="n">
        <x:v>2024</x:v>
      </x:c>
      <x:c r="E1103" s="2" t="str">
        <x:v>WB_fertility</x:v>
      </x:c>
      <x:c r="F1103" s="2" t="str">
        <x:v>Fertility rate, total (births per woman)</x:v>
      </x:c>
    </x:row>
    <x:row r="1104" ht="44" customHeight="1">
      <x:c r="A1104" s="2" t="str">
        <x:v>CAF</x:v>
      </x:c>
      <x:c r="B1104" s="2" t="str">
        <x:v>life_expectancy</x:v>
      </x:c>
      <x:c r="C1104" s="2" t="n">
        <x:v>57.671</x:v>
      </x:c>
      <x:c r="D1104" s="2" t="n">
        <x:v>2024</x:v>
      </x:c>
      <x:c r="E1104" s="2" t="str">
        <x:v>WB_life_expectancy</x:v>
      </x:c>
      <x:c r="F1104" s="2" t="str">
        <x:v>Life expectancy at birth, total (years)</x:v>
      </x:c>
    </x:row>
    <x:row r="1105" ht="44" customHeight="1">
      <x:c r="A1105" s="2" t="str">
        <x:v>CAF</x:v>
      </x:c>
      <x:c r="B1105" s="2" t="str">
        <x:v>age_under15</x:v>
      </x:c>
      <x:c r="C1105" s="2" t="n">
        <x:v>48.682635860092</x:v>
      </x:c>
      <x:c r="D1105" s="2" t="n">
        <x:v>2025</x:v>
      </x:c>
      <x:c r="E1105" s="2" t="str">
        <x:v>WB_age_under15</x:v>
      </x:c>
      <x:c r="F1105" s="2" t="str">
        <x:v>Population ages 0-14 (% of total population)</x:v>
      </x:c>
    </x:row>
    <x:row r="1106" ht="44" customHeight="1">
      <x:c r="A1106" s="2" t="str">
        <x:v>CAF</x:v>
      </x:c>
      <x:c r="B1106" s="2" t="str">
        <x:v>age_over65</x:v>
      </x:c>
      <x:c r="C1106" s="2" t="n">
        <x:v>2.19798298001082</x:v>
      </x:c>
      <x:c r="D1106" s="2" t="n">
        <x:v>2025</x:v>
      </x:c>
      <x:c r="E1106" s="2" t="str">
        <x:v>WB_age_over65</x:v>
      </x:c>
      <x:c r="F1106" s="2" t="str">
        <x:v>Population ages 65 and above (% of total population)</x:v>
      </x:c>
    </x:row>
    <x:row r="1107" ht="44" customHeight="1">
      <x:c r="A1107" s="2" t="str">
        <x:v>CAF</x:v>
      </x:c>
      <x:c r="B1107" s="2" t="str">
        <x:v>dependency_ratio</x:v>
      </x:c>
      <x:c r="C1107" s="2" t="n">
        <x:v>103.585626770159</x:v>
      </x:c>
      <x:c r="D1107" s="2" t="n">
        <x:v>2025</x:v>
      </x:c>
      <x:c r="E1107" s="2" t="str">
        <x:v>WB_dependency_ratio</x:v>
      </x:c>
      <x:c r="F1107" s="2" t="str">
        <x:v>Age dependency ratio (% of working-age population)</x:v>
      </x:c>
    </x:row>
    <x:row r="1108" ht="44" customHeight="1">
      <x:c r="A1108" s="2" t="str">
        <x:v>CAF</x:v>
      </x:c>
      <x:c r="B1108" s="2" t="str">
        <x:v>net_migration</x:v>
      </x:c>
      <x:c r="C1108" s="2" t="n">
        <x:v>-14693</x:v>
      </x:c>
      <x:c r="D1108" s="2" t="n">
        <x:v>2025</x:v>
      </x:c>
      <x:c r="E1108" s="2" t="str">
        <x:v>WB_net_migration</x:v>
      </x:c>
      <x:c r="F1108" s="2" t="str">
        <x:v>Net migration</x:v>
      </x:c>
    </x:row>
    <x:row r="1109" ht="44" customHeight="1">
      <x:c r="A1109" s="2" t="str">
        <x:v>CAF</x:v>
      </x:c>
      <x:c r="B1109" s="2" t="str">
        <x:v>real_gdp</x:v>
      </x:c>
      <x:c r="C1109" s="2" t="n">
        <x:v>2172168656.51218</x:v>
      </x:c>
      <x:c r="D1109" s="2" t="n">
        <x:v>2025</x:v>
      </x:c>
      <x:c r="E1109" s="2" t="str">
        <x:v>WB_real_gdp</x:v>
      </x:c>
      <x:c r="F1109" s="2" t="str">
        <x:v>GDP (constant 2015 US$)</x:v>
      </x:c>
    </x:row>
    <x:row r="1110" ht="44" customHeight="1">
      <x:c r="A1110" s="2" t="str">
        <x:v>CAF</x:v>
      </x:c>
      <x:c r="B1110" s="2" t="str">
        <x:v>gdp_growth</x:v>
      </x:c>
      <x:c r="C1110" s="2" t="n">
        <x:v>4.49950000393781</x:v>
      </x:c>
      <x:c r="D1110" s="2" t="n">
        <x:v>2025</x:v>
      </x:c>
      <x:c r="E1110" s="2" t="str">
        <x:v>WB_gdp_growth</x:v>
      </x:c>
      <x:c r="F1110" s="2" t="str">
        <x:v>GDP growth (annual %)</x:v>
      </x:c>
    </x:row>
    <x:row r="1111" ht="44" customHeight="1">
      <x:c r="A1111" s="2" t="str">
        <x:v>CAF</x:v>
      </x:c>
      <x:c r="B1111" s="2" t="str">
        <x:v>real_income</x:v>
      </x:c>
      <x:c r="C1111" s="2" t="n">
        <x:v>393.988309778491</x:v>
      </x:c>
      <x:c r="D1111" s="2" t="n">
        <x:v>2025</x:v>
      </x:c>
      <x:c r="E1111" s="2" t="str">
        <x:v>WB_real_income</x:v>
      </x:c>
      <x:c r="F1111" s="2" t="str">
        <x:v>GDP per capita (constant 2015 US$)</x:v>
      </x:c>
    </x:row>
    <x:row r="1112" ht="44" customHeight="1">
      <x:c r="A1112" s="2" t="str">
        <x:v>CAF</x:v>
      </x:c>
      <x:c r="B1112" s="2" t="str">
        <x:v>agriculture_gdp</x:v>
      </x:c>
      <x:c r="C1112" s="2" t="n">
        <x:v>27.6072515492258</x:v>
      </x:c>
      <x:c r="D1112" s="2" t="n">
        <x:v>2025</x:v>
      </x:c>
      <x:c r="E1112" s="2" t="str">
        <x:v>WB_agriculture_gdp</x:v>
      </x:c>
      <x:c r="F1112" s="2" t="str">
        <x:v>Agriculture, forestry, and fishing, value added (% of GDP)</x:v>
      </x:c>
    </x:row>
    <x:row r="1113" ht="44" customHeight="1">
      <x:c r="A1113" s="2" t="str">
        <x:v>CAF</x:v>
      </x:c>
      <x:c r="B1113" s="2" t="str">
        <x:v>poverty</x:v>
      </x:c>
      <x:c r="C1113" s="2" t="n">
        <x:v>71.6</x:v>
      </x:c>
      <x:c r="D1113" s="2" t="n">
        <x:v>2021</x:v>
      </x:c>
      <x:c r="E1113" s="2" t="str">
        <x:v>WB_poverty</x:v>
      </x:c>
      <x:c r="F1113" s="2" t="str">
        <x:v>Poverty headcount ratio at $3.00 a day (2021 PPP) (% of population)</x:v>
      </x:c>
    </x:row>
    <x:row r="1114" ht="44" customHeight="1">
      <x:c r="A1114" s="2" t="str">
        <x:v>CAF</x:v>
      </x:c>
      <x:c r="B1114" s="2" t="str">
        <x:v>gini</x:v>
      </x:c>
      <x:c r="C1114" s="2" t="n">
        <x:v>43</x:v>
      </x:c>
      <x:c r="D1114" s="2" t="n">
        <x:v>2021</x:v>
      </x:c>
      <x:c r="E1114" s="2" t="str">
        <x:v>WB_gini</x:v>
      </x:c>
      <x:c r="F1114" s="2" t="str">
        <x:v>Gini index</x:v>
      </x:c>
    </x:row>
    <x:row r="1115" ht="44" customHeight="1">
      <x:c r="A1115" s="2" t="str">
        <x:v>CAF</x:v>
      </x:c>
      <x:c r="B1115" s="2" t="str">
        <x:v>unemployment</x:v>
      </x:c>
      <x:c r="C1115" s="2" t="n">
        <x:v>6.251</x:v>
      </x:c>
      <x:c r="D1115" s="2" t="n">
        <x:v>2025</x:v>
      </x:c>
      <x:c r="E1115" s="2" t="str">
        <x:v>WB_unemployment</x:v>
      </x:c>
      <x:c r="F1115" s="2" t="str">
        <x:v>Unemployment, total (% of total labor force) (modeled ILO estimate)</x:v>
      </x:c>
    </x:row>
    <x:row r="1116" ht="44" customHeight="1">
      <x:c r="A1116" s="2" t="str">
        <x:v>CAF</x:v>
      </x:c>
      <x:c r="B1116" s="2" t="str">
        <x:v>private_credit</x:v>
      </x:c>
      <x:c r="C1116" s="2" t="n">
        <x:v>13.0385826544527</x:v>
      </x:c>
      <x:c r="D1116" s="2" t="n">
        <x:v>2022</x:v>
      </x:c>
      <x:c r="E1116" s="2" t="str">
        <x:v>WB_private_credit</x:v>
      </x:c>
      <x:c r="F1116" s="2" t="str">
        <x:v>Domestic credit to private sector (% of GDP)</x:v>
      </x:c>
    </x:row>
    <x:row r="1117" ht="44" customHeight="1">
      <x:c r="A1117" s="2" t="str">
        <x:v>CAF</x:v>
      </x:c>
      <x:c r="B1117" s="2" t="str">
        <x:v>lending_rate</x:v>
      </x:c>
      <x:c r="C1117" s="2"/>
      <x:c r="D1117" s="2"/>
      <x:c r="E1117" s="2" t="str">
        <x:v>Missing</x:v>
      </x:c>
      <x:c r="F1117" s="2" t="str">
        <x:v>Lending interest rate (%)</x:v>
      </x:c>
    </x:row>
    <x:row r="1118" ht="44" customHeight="1">
      <x:c r="A1118" s="2" t="str">
        <x:v>CAF</x:v>
      </x:c>
      <x:c r="B1118" s="2" t="str">
        <x:v>real_interest</x:v>
      </x:c>
      <x:c r="C1118" s="2"/>
      <x:c r="D1118" s="2"/>
      <x:c r="E1118" s="2" t="str">
        <x:v>Missing</x:v>
      </x:c>
      <x:c r="F1118" s="2" t="str">
        <x:v>Real interest rate (%)</x:v>
      </x:c>
    </x:row>
    <x:row r="1119" ht="44" customHeight="1">
      <x:c r="A1119" s="2" t="str">
        <x:v>CAF</x:v>
      </x:c>
      <x:c r="B1119" s="2" t="str">
        <x:v>government_debt</x:v>
      </x:c>
      <x:c r="C1119" s="2"/>
      <x:c r="D1119" s="2"/>
      <x:c r="E1119" s="2" t="str">
        <x:v>Missing</x:v>
      </x:c>
      <x:c r="F1119" s="2" t="str">
        <x:v>Central government debt, total (% of GDP)</x:v>
      </x:c>
    </x:row>
    <x:row r="1120" ht="44" customHeight="1">
      <x:c r="A1120" s="2" t="str">
        <x:v>CAF</x:v>
      </x:c>
      <x:c r="B1120" s="2" t="str">
        <x:v>electricity_access</x:v>
      </x:c>
      <x:c r="C1120" s="2" t="n">
        <x:v>18.2</x:v>
      </x:c>
      <x:c r="D1120" s="2" t="n">
        <x:v>2024</x:v>
      </x:c>
      <x:c r="E1120" s="2" t="str">
        <x:v>WB_electricity_access</x:v>
      </x:c>
      <x:c r="F1120" s="2" t="str">
        <x:v>Access to electricity (% of population)</x:v>
      </x:c>
    </x:row>
    <x:row r="1121" ht="44" customHeight="1">
      <x:c r="A1121" s="2" t="str">
        <x:v>CAF</x:v>
      </x:c>
      <x:c r="B1121" s="2" t="str">
        <x:v>irrigated_land</x:v>
      </x:c>
      <x:c r="C1121" s="2"/>
      <x:c r="D1121" s="2"/>
      <x:c r="E1121" s="2" t="str">
        <x:v>Missing</x:v>
      </x:c>
      <x:c r="F1121" s="2" t="str">
        <x:v>Agricultural irrigated land (% of total agricultural land)</x:v>
      </x:c>
    </x:row>
    <x:row r="1122" ht="44" customHeight="1">
      <x:c r="A1122" s="2" t="str">
        <x:v>CAF</x:v>
      </x:c>
      <x:c r="B1122" s="2" t="str">
        <x:v>cereal_area</x:v>
      </x:c>
      <x:c r="C1122" s="2" t="n">
        <x:v>344610</x:v>
      </x:c>
      <x:c r="D1122" s="2" t="n">
        <x:v>2023</x:v>
      </x:c>
      <x:c r="E1122" s="2" t="str">
        <x:v>WB_cereal_area</x:v>
      </x:c>
      <x:c r="F1122" s="2" t="str">
        <x:v>Land under cereal production (hectares)</x:v>
      </x:c>
    </x:row>
    <x:row r="1123" ht="44" customHeight="1">
      <x:c r="A1123" s="2" t="str">
        <x:v>CAF</x:v>
      </x:c>
      <x:c r="B1123" s="2" t="str">
        <x:v>undernourishment</x:v>
      </x:c>
      <x:c r="C1123" s="2" t="n">
        <x:v>29.8</x:v>
      </x:c>
      <x:c r="D1123" s="2" t="n">
        <x:v>2023</x:v>
      </x:c>
      <x:c r="E1123" s="2" t="str">
        <x:v>WB_undernourishment</x:v>
      </x:c>
      <x:c r="F1123" s="2" t="str">
        <x:v>Prevalence of undernourishment (% of population)</x:v>
      </x:c>
    </x:row>
    <x:row r="1124" ht="44" customHeight="1">
      <x:c r="A1124" s="2" t="str">
        <x:v>CAF</x:v>
      </x:c>
      <x:c r="B1124" s="2" t="str">
        <x:v>agriculture_employment</x:v>
      </x:c>
      <x:c r="C1124" s="2" t="n">
        <x:v>66.0601029284997</x:v>
      </x:c>
      <x:c r="D1124" s="2" t="n">
        <x:v>2025</x:v>
      </x:c>
      <x:c r="E1124" s="2" t="str">
        <x:v>WB_agriculture_employment</x:v>
      </x:c>
      <x:c r="F1124" s="2" t="str">
        <x:v>Employment in agriculture (% of total employment) (modeled ILO estimate)</x:v>
      </x:c>
    </x:row>
    <x:row r="1125" ht="44" customHeight="1">
      <x:c r="A1125" s="2" t="str">
        <x:v>CAF</x:v>
      </x:c>
      <x:c r="B1125" s="2" t="str">
        <x:v>water_withdrawal</x:v>
      </x:c>
      <x:c r="C1125" s="2" t="n">
        <x:v>0.0514184397163121</x:v>
      </x:c>
      <x:c r="D1125" s="2" t="n">
        <x:v>2022</x:v>
      </x:c>
      <x:c r="E1125" s="2" t="str">
        <x:v>WB_water_withdrawal</x:v>
      </x:c>
      <x:c r="F1125" s="2" t="str">
        <x:v>Annual freshwater withdrawals, total (% of internal resources)</x:v>
      </x:c>
    </x:row>
    <x:row r="1126" ht="44" customHeight="1">
      <x:c r="A1126" s="2" t="str">
        <x:v>TCD</x:v>
      </x:c>
      <x:c r="B1126" s="2" t="str">
        <x:v>population</x:v>
      </x:c>
      <x:c r="C1126" s="2" t="n">
        <x:v>21003705</x:v>
      </x:c>
      <x:c r="D1126" s="2" t="n">
        <x:v>2025</x:v>
      </x:c>
      <x:c r="E1126" s="2" t="str">
        <x:v>WB_population</x:v>
      </x:c>
      <x:c r="F1126" s="2" t="str">
        <x:v>Population, total</x:v>
      </x:c>
    </x:row>
    <x:row r="1127" ht="44" customHeight="1">
      <x:c r="A1127" s="2" t="str">
        <x:v>TCD</x:v>
      </x:c>
      <x:c r="B1127" s="2" t="str">
        <x:v>income_ppp</x:v>
      </x:c>
      <x:c r="C1127" s="2" t="n">
        <x:v>2480.50962500924</x:v>
      </x:c>
      <x:c r="D1127" s="2" t="n">
        <x:v>2025</x:v>
      </x:c>
      <x:c r="E1127" s="2" t="str">
        <x:v>WB_income_ppp</x:v>
      </x:c>
      <x:c r="F1127" s="2" t="str">
        <x:v>GDP per capita, PPP (constant 2021 international $)</x:v>
      </x:c>
    </x:row>
    <x:row r="1128" ht="44" customHeight="1">
      <x:c r="A1128" s="2" t="str">
        <x:v>TCD</x:v>
      </x:c>
      <x:c r="B1128" s="2" t="str">
        <x:v>urban</x:v>
      </x:c>
      <x:c r="C1128" s="2" t="n">
        <x:v>27.5658786336865</x:v>
      </x:c>
      <x:c r="D1128" s="2" t="n">
        <x:v>2025</x:v>
      </x:c>
      <x:c r="E1128" s="2" t="str">
        <x:v>WB_urban</x:v>
      </x:c>
      <x:c r="F1128" s="2" t="str">
        <x:v>Urban population (% of total population)</x:v>
      </x:c>
    </x:row>
    <x:row r="1129" ht="44" customHeight="1">
      <x:c r="A1129" s="2" t="str">
        <x:v>TCD</x:v>
      </x:c>
      <x:c r="B1129" s="2" t="str">
        <x:v>inflation</x:v>
      </x:c>
      <x:c r="C1129" s="2" t="n">
        <x:v>-3.9119812440659</x:v>
      </x:c>
      <x:c r="D1129" s="2" t="n">
        <x:v>2025</x:v>
      </x:c>
      <x:c r="E1129" s="2" t="str">
        <x:v>WB_inflation</x:v>
      </x:c>
      <x:c r="F1129" s="2" t="str">
        <x:v>Inflation, consumer prices (annual %)</x:v>
      </x:c>
    </x:row>
    <x:row r="1130" ht="44" customHeight="1">
      <x:c r="A1130" s="2" t="str">
        <x:v>TCD</x:v>
      </x:c>
      <x:c r="B1130" s="2" t="str">
        <x:v>food_index</x:v>
      </x:c>
      <x:c r="C1130" s="2" t="n">
        <x:v>130.28</x:v>
      </x:c>
      <x:c r="D1130" s="2" t="n">
        <x:v>2022</x:v>
      </x:c>
      <x:c r="E1130" s="2" t="str">
        <x:v>WB_food_index</x:v>
      </x:c>
      <x:c r="F1130" s="2" t="str">
        <x:v>Food production index (2014-2016 = 100)</x:v>
      </x:c>
    </x:row>
    <x:row r="1131" ht="44" customHeight="1">
      <x:c r="A1131" s="2" t="str">
        <x:v>TCD</x:v>
      </x:c>
      <x:c r="B1131" s="2" t="str">
        <x:v>food_import_share</x:v>
      </x:c>
      <x:c r="C1131" s="2"/>
      <x:c r="D1131" s="2"/>
      <x:c r="E1131" s="2" t="str">
        <x:v>Missing</x:v>
      </x:c>
      <x:c r="F1131" s="2" t="str">
        <x:v>Food imports (% of merchandise imports)</x:v>
      </x:c>
    </x:row>
    <x:row r="1132" ht="44" customHeight="1">
      <x:c r="A1132" s="2" t="str">
        <x:v>TCD</x:v>
      </x:c>
      <x:c r="B1132" s="2" t="str">
        <x:v>food_export_share</x:v>
      </x:c>
      <x:c r="C1132" s="2"/>
      <x:c r="D1132" s="2"/>
      <x:c r="E1132" s="2" t="str">
        <x:v>Missing</x:v>
      </x:c>
      <x:c r="F1132" s="2" t="str">
        <x:v>Food exports (% of merchandise exports)</x:v>
      </x:c>
    </x:row>
    <x:row r="1133" ht="44" customHeight="1">
      <x:c r="A1133" s="2" t="str">
        <x:v>TCD</x:v>
      </x:c>
      <x:c r="B1133" s="2" t="str">
        <x:v>imports_usd</x:v>
      </x:c>
      <x:c r="C1133" s="2" t="n">
        <x:v>2200000000</x:v>
      </x:c>
      <x:c r="D1133" s="2" t="n">
        <x:v>2025</x:v>
      </x:c>
      <x:c r="E1133" s="2" t="str">
        <x:v>WB_imports_usd</x:v>
      </x:c>
      <x:c r="F1133" s="2" t="str">
        <x:v>Merchandise imports (current US$)</x:v>
      </x:c>
    </x:row>
    <x:row r="1134" ht="44" customHeight="1">
      <x:c r="A1134" s="2" t="str">
        <x:v>TCD</x:v>
      </x:c>
      <x:c r="B1134" s="2" t="str">
        <x:v>exports_usd</x:v>
      </x:c>
      <x:c r="C1134" s="2" t="n">
        <x:v>4000000000</x:v>
      </x:c>
      <x:c r="D1134" s="2" t="n">
        <x:v>2025</x:v>
      </x:c>
      <x:c r="E1134" s="2" t="str">
        <x:v>WB_exports_usd</x:v>
      </x:c>
      <x:c r="F1134" s="2" t="str">
        <x:v>Merchandise exports (current US$)</x:v>
      </x:c>
    </x:row>
    <x:row r="1135" ht="44" customHeight="1">
      <x:c r="A1135" s="2" t="str">
        <x:v>TCD</x:v>
      </x:c>
      <x:c r="B1135" s="2" t="str">
        <x:v>cereal_yield</x:v>
      </x:c>
      <x:c r="C1135" s="2" t="n">
        <x:v>826.9</x:v>
      </x:c>
      <x:c r="D1135" s="2" t="n">
        <x:v>2024</x:v>
      </x:c>
      <x:c r="E1135" s="2" t="str">
        <x:v>WB_cereal_yield</x:v>
      </x:c>
      <x:c r="F1135" s="2" t="str">
        <x:v>Cereal yield (kg per hectare)</x:v>
      </x:c>
    </x:row>
    <x:row r="1136" ht="44" customHeight="1">
      <x:c r="A1136" s="2" t="str">
        <x:v>TCD</x:v>
      </x:c>
      <x:c r="B1136" s="2" t="str">
        <x:v>water_stress</x:v>
      </x:c>
      <x:c r="C1136" s="2" t="n">
        <x:v>4.294921875</x:v>
      </x:c>
      <x:c r="D1136" s="2" t="n">
        <x:v>2022</x:v>
      </x:c>
      <x:c r="E1136" s="2" t="str">
        <x:v>WB_water_stress</x:v>
      </x:c>
      <x:c r="F1136" s="2" t="str">
        <x:v>Level of water stress: freshwater withdrawal as a proportion of available freshwater resources</x:v>
      </x:c>
    </x:row>
    <x:row r="1137" ht="44" customHeight="1">
      <x:c r="A1137" s="2" t="str">
        <x:v>TCD</x:v>
      </x:c>
      <x:c r="B1137" s="2" t="str">
        <x:v>fertility</x:v>
      </x:c>
      <x:c r="C1137" s="2" t="n">
        <x:v>6.028</x:v>
      </x:c>
      <x:c r="D1137" s="2" t="n">
        <x:v>2024</x:v>
      </x:c>
      <x:c r="E1137" s="2" t="str">
        <x:v>WB_fertility</x:v>
      </x:c>
      <x:c r="F1137" s="2" t="str">
        <x:v>Fertility rate, total (births per woman)</x:v>
      </x:c>
    </x:row>
    <x:row r="1138" ht="44" customHeight="1">
      <x:c r="A1138" s="2" t="str">
        <x:v>TCD</x:v>
      </x:c>
      <x:c r="B1138" s="2" t="str">
        <x:v>life_expectancy</x:v>
      </x:c>
      <x:c r="C1138" s="2" t="n">
        <x:v>55.238</x:v>
      </x:c>
      <x:c r="D1138" s="2" t="n">
        <x:v>2024</x:v>
      </x:c>
      <x:c r="E1138" s="2" t="str">
        <x:v>WB_life_expectancy</x:v>
      </x:c>
      <x:c r="F1138" s="2" t="str">
        <x:v>Life expectancy at birth, total (years)</x:v>
      </x:c>
    </x:row>
    <x:row r="1139" ht="44" customHeight="1">
      <x:c r="A1139" s="2" t="str">
        <x:v>TCD</x:v>
      </x:c>
      <x:c r="B1139" s="2" t="str">
        <x:v>age_under15</x:v>
      </x:c>
      <x:c r="C1139" s="2" t="n">
        <x:v>45.961619628537</x:v>
      </x:c>
      <x:c r="D1139" s="2" t="n">
        <x:v>2025</x:v>
      </x:c>
      <x:c r="E1139" s="2" t="str">
        <x:v>WB_age_under15</x:v>
      </x:c>
      <x:c r="F1139" s="2" t="str">
        <x:v>Population ages 0-14 (% of total population)</x:v>
      </x:c>
    </x:row>
    <x:row r="1140" ht="44" customHeight="1">
      <x:c r="A1140" s="2" t="str">
        <x:v>TCD</x:v>
      </x:c>
      <x:c r="B1140" s="2" t="str">
        <x:v>age_over65</x:v>
      </x:c>
      <x:c r="C1140" s="2" t="n">
        <x:v>2.11894758567596</x:v>
      </x:c>
      <x:c r="D1140" s="2" t="n">
        <x:v>2025</x:v>
      </x:c>
      <x:c r="E1140" s="2" t="str">
        <x:v>WB_age_over65</x:v>
      </x:c>
      <x:c r="F1140" s="2" t="str">
        <x:v>Population ages 65 and above (% of total population)</x:v>
      </x:c>
    </x:row>
    <x:row r="1141" ht="44" customHeight="1">
      <x:c r="A1141" s="2" t="str">
        <x:v>TCD</x:v>
      </x:c>
      <x:c r="B1141" s="2" t="str">
        <x:v>dependency_ratio</x:v>
      </x:c>
      <x:c r="C1141" s="2" t="n">
        <x:v>92.6061106803711</x:v>
      </x:c>
      <x:c r="D1141" s="2" t="n">
        <x:v>2025</x:v>
      </x:c>
      <x:c r="E1141" s="2" t="str">
        <x:v>WB_dependency_ratio</x:v>
      </x:c>
      <x:c r="F1141" s="2" t="str">
        <x:v>Age dependency ratio (% of working-age population)</x:v>
      </x:c>
    </x:row>
    <x:row r="1142" ht="44" customHeight="1">
      <x:c r="A1142" s="2" t="str">
        <x:v>TCD</x:v>
      </x:c>
      <x:c r="B1142" s="2" t="str">
        <x:v>net_migration</x:v>
      </x:c>
      <x:c r="C1142" s="2" t="n">
        <x:v>-123104</x:v>
      </x:c>
      <x:c r="D1142" s="2" t="n">
        <x:v>2025</x:v>
      </x:c>
      <x:c r="E1142" s="2" t="str">
        <x:v>WB_net_migration</x:v>
      </x:c>
      <x:c r="F1142" s="2" t="str">
        <x:v>Net migration</x:v>
      </x:c>
    </x:row>
    <x:row r="1143" ht="44" customHeight="1">
      <x:c r="A1143" s="2" t="str">
        <x:v>TCD</x:v>
      </x:c>
      <x:c r="B1143" s="2" t="str">
        <x:v>real_gdp</x:v>
      </x:c>
      <x:c r="C1143" s="2" t="n">
        <x:v>18347335765.9226</x:v>
      </x:c>
      <x:c r="D1143" s="2" t="n">
        <x:v>2025</x:v>
      </x:c>
      <x:c r="E1143" s="2" t="str">
        <x:v>WB_real_gdp</x:v>
      </x:c>
      <x:c r="F1143" s="2" t="str">
        <x:v>GDP (constant 2015 US$)</x:v>
      </x:c>
    </x:row>
    <x:row r="1144" ht="44" customHeight="1">
      <x:c r="A1144" s="2" t="str">
        <x:v>TCD</x:v>
      </x:c>
      <x:c r="B1144" s="2" t="str">
        <x:v>gdp_growth</x:v>
      </x:c>
      <x:c r="C1144" s="2" t="n">
        <x:v>5.58988021765651</x:v>
      </x:c>
      <x:c r="D1144" s="2" t="n">
        <x:v>2025</x:v>
      </x:c>
      <x:c r="E1144" s="2" t="str">
        <x:v>WB_gdp_growth</x:v>
      </x:c>
      <x:c r="F1144" s="2" t="str">
        <x:v>GDP growth (annual %)</x:v>
      </x:c>
    </x:row>
    <x:row r="1145" ht="44" customHeight="1">
      <x:c r="A1145" s="2" t="str">
        <x:v>TCD</x:v>
      </x:c>
      <x:c r="B1145" s="2" t="str">
        <x:v>real_income</x:v>
      </x:c>
      <x:c r="C1145" s="2" t="n">
        <x:v>873.528540127688</x:v>
      </x:c>
      <x:c r="D1145" s="2" t="n">
        <x:v>2025</x:v>
      </x:c>
      <x:c r="E1145" s="2" t="str">
        <x:v>WB_real_income</x:v>
      </x:c>
      <x:c r="F1145" s="2" t="str">
        <x:v>GDP per capita (constant 2015 US$)</x:v>
      </x:c>
    </x:row>
    <x:row r="1146" ht="44" customHeight="1">
      <x:c r="A1146" s="2" t="str">
        <x:v>TCD</x:v>
      </x:c>
      <x:c r="B1146" s="2" t="str">
        <x:v>agriculture_gdp</x:v>
      </x:c>
      <x:c r="C1146" s="2" t="n">
        <x:v>36.3366564080775</x:v>
      </x:c>
      <x:c r="D1146" s="2" t="n">
        <x:v>2025</x:v>
      </x:c>
      <x:c r="E1146" s="2" t="str">
        <x:v>WB_agriculture_gdp</x:v>
      </x:c>
      <x:c r="F1146" s="2" t="str">
        <x:v>Agriculture, forestry, and fishing, value added (% of GDP)</x:v>
      </x:c>
    </x:row>
    <x:row r="1147" ht="44" customHeight="1">
      <x:c r="A1147" s="2" t="str">
        <x:v>TCD</x:v>
      </x:c>
      <x:c r="B1147" s="2" t="str">
        <x:v>poverty</x:v>
      </x:c>
      <x:c r="C1147" s="2" t="n">
        <x:v>39.5</x:v>
      </x:c>
      <x:c r="D1147" s="2" t="n">
        <x:v>2022</x:v>
      </x:c>
      <x:c r="E1147" s="2" t="str">
        <x:v>WB_poverty</x:v>
      </x:c>
      <x:c r="F1147" s="2" t="str">
        <x:v>Poverty headcount ratio at $3.00 a day (2021 PPP) (% of population)</x:v>
      </x:c>
    </x:row>
    <x:row r="1148" ht="44" customHeight="1">
      <x:c r="A1148" s="2" t="str">
        <x:v>TCD</x:v>
      </x:c>
      <x:c r="B1148" s="2" t="str">
        <x:v>gini</x:v>
      </x:c>
      <x:c r="C1148" s="2" t="n">
        <x:v>37.4</x:v>
      </x:c>
      <x:c r="D1148" s="2" t="n">
        <x:v>2022</x:v>
      </x:c>
      <x:c r="E1148" s="2" t="str">
        <x:v>WB_gini</x:v>
      </x:c>
      <x:c r="F1148" s="2" t="str">
        <x:v>Gini index</x:v>
      </x:c>
    </x:row>
    <x:row r="1149" ht="44" customHeight="1">
      <x:c r="A1149" s="2" t="str">
        <x:v>TCD</x:v>
      </x:c>
      <x:c r="B1149" s="2" t="str">
        <x:v>unemployment</x:v>
      </x:c>
      <x:c r="C1149" s="2" t="n">
        <x:v>1.057</x:v>
      </x:c>
      <x:c r="D1149" s="2" t="n">
        <x:v>2025</x:v>
      </x:c>
      <x:c r="E1149" s="2" t="str">
        <x:v>WB_unemployment</x:v>
      </x:c>
      <x:c r="F1149" s="2" t="str">
        <x:v>Unemployment, total (% of total labor force) (modeled ILO estimate)</x:v>
      </x:c>
    </x:row>
    <x:row r="1150" ht="44" customHeight="1">
      <x:c r="A1150" s="2" t="str">
        <x:v>TCD</x:v>
      </x:c>
      <x:c r="B1150" s="2" t="str">
        <x:v>private_credit</x:v>
      </x:c>
      <x:c r="C1150" s="2" t="n">
        <x:v>8.32290954891334</x:v>
      </x:c>
      <x:c r="D1150" s="2" t="n">
        <x:v>2021</x:v>
      </x:c>
      <x:c r="E1150" s="2" t="str">
        <x:v>WB_private_credit</x:v>
      </x:c>
      <x:c r="F1150" s="2" t="str">
        <x:v>Domestic credit to private sector (% of GDP)</x:v>
      </x:c>
    </x:row>
    <x:row r="1151" ht="44" customHeight="1">
      <x:c r="A1151" s="2" t="str">
        <x:v>TCD</x:v>
      </x:c>
      <x:c r="B1151" s="2" t="str">
        <x:v>lending_rate</x:v>
      </x:c>
      <x:c r="C1151" s="2"/>
      <x:c r="D1151" s="2"/>
      <x:c r="E1151" s="2" t="str">
        <x:v>Missing</x:v>
      </x:c>
      <x:c r="F1151" s="2" t="str">
        <x:v>Lending interest rate (%)</x:v>
      </x:c>
    </x:row>
    <x:row r="1152" ht="44" customHeight="1">
      <x:c r="A1152" s="2" t="str">
        <x:v>TCD</x:v>
      </x:c>
      <x:c r="B1152" s="2" t="str">
        <x:v>real_interest</x:v>
      </x:c>
      <x:c r="C1152" s="2"/>
      <x:c r="D1152" s="2"/>
      <x:c r="E1152" s="2" t="str">
        <x:v>Missing</x:v>
      </x:c>
      <x:c r="F1152" s="2" t="str">
        <x:v>Real interest rate (%)</x:v>
      </x:c>
    </x:row>
    <x:row r="1153" ht="44" customHeight="1">
      <x:c r="A1153" s="2" t="str">
        <x:v>TCD</x:v>
      </x:c>
      <x:c r="B1153" s="2" t="str">
        <x:v>government_debt</x:v>
      </x:c>
      <x:c r="C1153" s="2"/>
      <x:c r="D1153" s="2"/>
      <x:c r="E1153" s="2" t="str">
        <x:v>Missing</x:v>
      </x:c>
      <x:c r="F1153" s="2" t="str">
        <x:v>Central government debt, total (% of GDP)</x:v>
      </x:c>
    </x:row>
    <x:row r="1154" ht="44" customHeight="1">
      <x:c r="A1154" s="2" t="str">
        <x:v>TCD</x:v>
      </x:c>
      <x:c r="B1154" s="2" t="str">
        <x:v>electricity_access</x:v>
      </x:c>
      <x:c r="C1154" s="2" t="n">
        <x:v>13.4</x:v>
      </x:c>
      <x:c r="D1154" s="2" t="n">
        <x:v>2024</x:v>
      </x:c>
      <x:c r="E1154" s="2" t="str">
        <x:v>WB_electricity_access</x:v>
      </x:c>
      <x:c r="F1154" s="2" t="str">
        <x:v>Access to electricity (% of population)</x:v>
      </x:c>
    </x:row>
    <x:row r="1155" ht="44" customHeight="1">
      <x:c r="A1155" s="2" t="str">
        <x:v>TCD</x:v>
      </x:c>
      <x:c r="B1155" s="2" t="str">
        <x:v>irrigated_land</x:v>
      </x:c>
      <x:c r="C1155" s="2"/>
      <x:c r="D1155" s="2"/>
      <x:c r="E1155" s="2" t="str">
        <x:v>Missing</x:v>
      </x:c>
      <x:c r="F1155" s="2" t="str">
        <x:v>Agricultural irrigated land (% of total agricultural land)</x:v>
      </x:c>
    </x:row>
    <x:row r="1156" ht="44" customHeight="1">
      <x:c r="A1156" s="2" t="str">
        <x:v>TCD</x:v>
      </x:c>
      <x:c r="B1156" s="2" t="str">
        <x:v>cereal_area</x:v>
      </x:c>
      <x:c r="C1156" s="2" t="n">
        <x:v>3276392</x:v>
      </x:c>
      <x:c r="D1156" s="2" t="n">
        <x:v>2024</x:v>
      </x:c>
      <x:c r="E1156" s="2" t="str">
        <x:v>WB_cereal_area</x:v>
      </x:c>
      <x:c r="F1156" s="2" t="str">
        <x:v>Land under cereal production (hectares)</x:v>
      </x:c>
    </x:row>
    <x:row r="1157" ht="44" customHeight="1">
      <x:c r="A1157" s="2" t="str">
        <x:v>TCD</x:v>
      </x:c>
      <x:c r="B1157" s="2" t="str">
        <x:v>undernourishment</x:v>
      </x:c>
      <x:c r="C1157" s="2" t="n">
        <x:v>32</x:v>
      </x:c>
      <x:c r="D1157" s="2" t="n">
        <x:v>2023</x:v>
      </x:c>
      <x:c r="E1157" s="2" t="str">
        <x:v>WB_undernourishment</x:v>
      </x:c>
      <x:c r="F1157" s="2" t="str">
        <x:v>Prevalence of undernourishment (% of population)</x:v>
      </x:c>
    </x:row>
    <x:row r="1158" ht="44" customHeight="1">
      <x:c r="A1158" s="2" t="str">
        <x:v>TCD</x:v>
      </x:c>
      <x:c r="B1158" s="2" t="str">
        <x:v>agriculture_employment</x:v>
      </x:c>
      <x:c r="C1158" s="2" t="n">
        <x:v>71.7359655462114</x:v>
      </x:c>
      <x:c r="D1158" s="2" t="n">
        <x:v>2025</x:v>
      </x:c>
      <x:c r="E1158" s="2" t="str">
        <x:v>WB_agriculture_employment</x:v>
      </x:c>
      <x:c r="F1158" s="2" t="str">
        <x:v>Employment in agriculture (% of total employment) (modeled ILO estimate)</x:v>
      </x:c>
    </x:row>
    <x:row r="1159" ht="44" customHeight="1">
      <x:c r="A1159" s="2" t="str">
        <x:v>TCD</x:v>
      </x:c>
      <x:c r="B1159" s="2" t="str">
        <x:v>water_withdrawal</x:v>
      </x:c>
      <x:c r="C1159" s="2" t="n">
        <x:v>5.864</x:v>
      </x:c>
      <x:c r="D1159" s="2" t="n">
        <x:v>2022</x:v>
      </x:c>
      <x:c r="E1159" s="2" t="str">
        <x:v>WB_water_withdrawal</x:v>
      </x:c>
      <x:c r="F1159" s="2" t="str">
        <x:v>Annual freshwater withdrawals, total (% of internal resources)</x:v>
      </x:c>
    </x:row>
    <x:row r="1160" ht="44" customHeight="1">
      <x:c r="A1160" s="2" t="str">
        <x:v>CHL</x:v>
      </x:c>
      <x:c r="B1160" s="2" t="str">
        <x:v>population</x:v>
      </x:c>
      <x:c r="C1160" s="2" t="n">
        <x:v>19859921</x:v>
      </x:c>
      <x:c r="D1160" s="2" t="n">
        <x:v>2025</x:v>
      </x:c>
      <x:c r="E1160" s="2" t="str">
        <x:v>WB_population</x:v>
      </x:c>
      <x:c r="F1160" s="2" t="str">
        <x:v>Population, total</x:v>
      </x:c>
    </x:row>
    <x:row r="1161" ht="44" customHeight="1">
      <x:c r="A1161" s="2" t="str">
        <x:v>CHL</x:v>
      </x:c>
      <x:c r="B1161" s="2" t="str">
        <x:v>income_ppp</x:v>
      </x:c>
      <x:c r="C1161" s="2" t="n">
        <x:v>30863.4223155169</x:v>
      </x:c>
      <x:c r="D1161" s="2" t="n">
        <x:v>2025</x:v>
      </x:c>
      <x:c r="E1161" s="2" t="str">
        <x:v>WB_income_ppp</x:v>
      </x:c>
      <x:c r="F1161" s="2" t="str">
        <x:v>GDP per capita, PPP (constant 2021 international $)</x:v>
      </x:c>
    </x:row>
    <x:row r="1162" ht="44" customHeight="1">
      <x:c r="A1162" s="2" t="str">
        <x:v>CHL</x:v>
      </x:c>
      <x:c r="B1162" s="2" t="str">
        <x:v>urban</x:v>
      </x:c>
      <x:c r="C1162" s="2" t="n">
        <x:v>89.1772830019223</x:v>
      </x:c>
      <x:c r="D1162" s="2" t="n">
        <x:v>2025</x:v>
      </x:c>
      <x:c r="E1162" s="2" t="str">
        <x:v>WB_urban</x:v>
      </x:c>
      <x:c r="F1162" s="2" t="str">
        <x:v>Urban population (% of total population)</x:v>
      </x:c>
    </x:row>
    <x:row r="1163" ht="44" customHeight="1">
      <x:c r="A1163" s="2" t="str">
        <x:v>CHL</x:v>
      </x:c>
      <x:c r="B1163" s="2" t="str">
        <x:v>inflation</x:v>
      </x:c>
      <x:c r="C1163" s="2" t="n">
        <x:v>4.21293601694293</x:v>
      </x:c>
      <x:c r="D1163" s="2" t="n">
        <x:v>2025</x:v>
      </x:c>
      <x:c r="E1163" s="2" t="str">
        <x:v>WB_inflation</x:v>
      </x:c>
      <x:c r="F1163" s="2" t="str">
        <x:v>Inflation, consumer prices (annual %)</x:v>
      </x:c>
    </x:row>
    <x:row r="1164" ht="44" customHeight="1">
      <x:c r="A1164" s="2" t="str">
        <x:v>CHL</x:v>
      </x:c>
      <x:c r="B1164" s="2" t="str">
        <x:v>food_index</x:v>
      </x:c>
      <x:c r="C1164" s="2" t="n">
        <x:v>105.36</x:v>
      </x:c>
      <x:c r="D1164" s="2" t="n">
        <x:v>2022</x:v>
      </x:c>
      <x:c r="E1164" s="2" t="str">
        <x:v>WB_food_index</x:v>
      </x:c>
      <x:c r="F1164" s="2" t="str">
        <x:v>Food production index (2014-2016 = 100)</x:v>
      </x:c>
    </x:row>
    <x:row r="1165" ht="44" customHeight="1">
      <x:c r="A1165" s="2" t="str">
        <x:v>CHL</x:v>
      </x:c>
      <x:c r="B1165" s="2" t="str">
        <x:v>food_import_share</x:v>
      </x:c>
      <x:c r="C1165" s="2" t="n">
        <x:v>11.5766136056875</x:v>
      </x:c>
      <x:c r="D1165" s="2" t="n">
        <x:v>2025</x:v>
      </x:c>
      <x:c r="E1165" s="2" t="str">
        <x:v>WB_food_import_share</x:v>
      </x:c>
      <x:c r="F1165" s="2" t="str">
        <x:v>Food imports (% of merchandise imports)</x:v>
      </x:c>
    </x:row>
    <x:row r="1166" ht="44" customHeight="1">
      <x:c r="A1166" s="2" t="str">
        <x:v>CHL</x:v>
      </x:c>
      <x:c r="B1166" s="2" t="str">
        <x:v>food_export_share</x:v>
      </x:c>
      <x:c r="C1166" s="2" t="n">
        <x:v>22.6946115697361</x:v>
      </x:c>
      <x:c r="D1166" s="2" t="n">
        <x:v>2025</x:v>
      </x:c>
      <x:c r="E1166" s="2" t="str">
        <x:v>WB_food_export_share</x:v>
      </x:c>
      <x:c r="F1166" s="2" t="str">
        <x:v>Food exports (% of merchandise exports)</x:v>
      </x:c>
    </x:row>
    <x:row r="1167" ht="44" customHeight="1">
      <x:c r="A1167" s="2" t="str">
        <x:v>CHL</x:v>
      </x:c>
      <x:c r="B1167" s="2" t="str">
        <x:v>imports_usd</x:v>
      </x:c>
      <x:c r="C1167" s="2" t="n">
        <x:v>92663000000</x:v>
      </x:c>
      <x:c r="D1167" s="2" t="n">
        <x:v>2025</x:v>
      </x:c>
      <x:c r="E1167" s="2" t="str">
        <x:v>WB_imports_usd</x:v>
      </x:c>
      <x:c r="F1167" s="2" t="str">
        <x:v>Merchandise imports (current US$)</x:v>
      </x:c>
    </x:row>
    <x:row r="1168" ht="44" customHeight="1">
      <x:c r="A1168" s="2" t="str">
        <x:v>CHL</x:v>
      </x:c>
      <x:c r="B1168" s="2" t="str">
        <x:v>exports_usd</x:v>
      </x:c>
      <x:c r="C1168" s="2" t="n">
        <x:v>107005000000</x:v>
      </x:c>
      <x:c r="D1168" s="2" t="n">
        <x:v>2025</x:v>
      </x:c>
      <x:c r="E1168" s="2" t="str">
        <x:v>WB_exports_usd</x:v>
      </x:c>
      <x:c r="F1168" s="2" t="str">
        <x:v>Merchandise exports (current US$)</x:v>
      </x:c>
    </x:row>
    <x:row r="1169" ht="44" customHeight="1">
      <x:c r="A1169" s="2" t="str">
        <x:v>CHL</x:v>
      </x:c>
      <x:c r="B1169" s="2" t="str">
        <x:v>cereal_yield</x:v>
      </x:c>
      <x:c r="C1169" s="2" t="n">
        <x:v>6606.1</x:v>
      </x:c>
      <x:c r="D1169" s="2" t="n">
        <x:v>2024</x:v>
      </x:c>
      <x:c r="E1169" s="2" t="str">
        <x:v>WB_cereal_yield</x:v>
      </x:c>
      <x:c r="F1169" s="2" t="str">
        <x:v>Cereal yield (kg per hectare)</x:v>
      </x:c>
    </x:row>
    <x:row r="1170" ht="44" customHeight="1">
      <x:c r="A1170" s="2" t="str">
        <x:v>CHL</x:v>
      </x:c>
      <x:c r="B1170" s="2" t="str">
        <x:v>water_stress</x:v>
      </x:c>
      <x:c r="C1170" s="2" t="n">
        <x:v>8.982121089</x:v>
      </x:c>
      <x:c r="D1170" s="2" t="n">
        <x:v>2022</x:v>
      </x:c>
      <x:c r="E1170" s="2" t="str">
        <x:v>WB_water_stress</x:v>
      </x:c>
      <x:c r="F1170" s="2" t="str">
        <x:v>Level of water stress: freshwater withdrawal as a proportion of available freshwater resources</x:v>
      </x:c>
    </x:row>
    <x:row r="1171" ht="44" customHeight="1">
      <x:c r="A1171" s="2" t="str">
        <x:v>CHL</x:v>
      </x:c>
      <x:c r="B1171" s="2" t="str">
        <x:v>fertility</x:v>
      </x:c>
      <x:c r="C1171" s="2" t="n">
        <x:v>1.14</x:v>
      </x:c>
      <x:c r="D1171" s="2" t="n">
        <x:v>2024</x:v>
      </x:c>
      <x:c r="E1171" s="2" t="str">
        <x:v>WB_fertility</x:v>
      </x:c>
      <x:c r="F1171" s="2" t="str">
        <x:v>Fertility rate, total (births per woman)</x:v>
      </x:c>
    </x:row>
    <x:row r="1172" ht="44" customHeight="1">
      <x:c r="A1172" s="2" t="str">
        <x:v>CHL</x:v>
      </x:c>
      <x:c r="B1172" s="2" t="str">
        <x:v>life_expectancy</x:v>
      </x:c>
      <x:c r="C1172" s="2" t="n">
        <x:v>81.359</x:v>
      </x:c>
      <x:c r="D1172" s="2" t="n">
        <x:v>2024</x:v>
      </x:c>
      <x:c r="E1172" s="2" t="str">
        <x:v>WB_life_expectancy</x:v>
      </x:c>
      <x:c r="F1172" s="2" t="str">
        <x:v>Life expectancy at birth, total (years)</x:v>
      </x:c>
    </x:row>
    <x:row r="1173" ht="44" customHeight="1">
      <x:c r="A1173" s="2" t="str">
        <x:v>CHL</x:v>
      </x:c>
      <x:c r="B1173" s="2" t="str">
        <x:v>age_under15</x:v>
      </x:c>
      <x:c r="C1173" s="2" t="n">
        <x:v>16.5470018737738</x:v>
      </x:c>
      <x:c r="D1173" s="2" t="n">
        <x:v>2025</x:v>
      </x:c>
      <x:c r="E1173" s="2" t="str">
        <x:v>WB_age_under15</x:v>
      </x:c>
      <x:c r="F1173" s="2" t="str">
        <x:v>Population ages 0-14 (% of total population)</x:v>
      </x:c>
    </x:row>
    <x:row r="1174" ht="44" customHeight="1">
      <x:c r="A1174" s="2" t="str">
        <x:v>CHL</x:v>
      </x:c>
      <x:c r="B1174" s="2" t="str">
        <x:v>age_over65</x:v>
      </x:c>
      <x:c r="C1174" s="2" t="n">
        <x:v>14.5897458504493</x:v>
      </x:c>
      <x:c r="D1174" s="2" t="n">
        <x:v>2025</x:v>
      </x:c>
      <x:c r="E1174" s="2" t="str">
        <x:v>WB_age_over65</x:v>
      </x:c>
      <x:c r="F1174" s="2" t="str">
        <x:v>Population ages 65 and above (% of total population)</x:v>
      </x:c>
    </x:row>
    <x:row r="1175" ht="44" customHeight="1">
      <x:c r="A1175" s="2" t="str">
        <x:v>CHL</x:v>
      </x:c>
      <x:c r="B1175" s="2" t="str">
        <x:v>dependency_ratio</x:v>
      </x:c>
      <x:c r="C1175" s="2" t="n">
        <x:v>45.2153293896903</x:v>
      </x:c>
      <x:c r="D1175" s="2" t="n">
        <x:v>2025</x:v>
      </x:c>
      <x:c r="E1175" s="2" t="str">
        <x:v>WB_dependency_ratio</x:v>
      </x:c>
      <x:c r="F1175" s="2" t="str">
        <x:v>Age dependency ratio (% of working-age population)</x:v>
      </x:c>
    </x:row>
    <x:row r="1176" ht="44" customHeight="1">
      <x:c r="A1176" s="2" t="str">
        <x:v>CHL</x:v>
      </x:c>
      <x:c r="B1176" s="2" t="str">
        <x:v>net_migration</x:v>
      </x:c>
      <x:c r="C1176" s="2" t="n">
        <x:v>51712</x:v>
      </x:c>
      <x:c r="D1176" s="2" t="n">
        <x:v>2025</x:v>
      </x:c>
      <x:c r="E1176" s="2" t="str">
        <x:v>WB_net_migration</x:v>
      </x:c>
      <x:c r="F1176" s="2" t="str">
        <x:v>Net migration</x:v>
      </x:c>
    </x:row>
    <x:row r="1177" ht="44" customHeight="1">
      <x:c r="A1177" s="2" t="str">
        <x:v>CHL</x:v>
      </x:c>
      <x:c r="B1177" s="2" t="str">
        <x:v>real_gdp</x:v>
      </x:c>
      <x:c r="C1177" s="2" t="n">
        <x:v>296005043455.575</x:v>
      </x:c>
      <x:c r="D1177" s="2" t="n">
        <x:v>2025</x:v>
      </x:c>
      <x:c r="E1177" s="2" t="str">
        <x:v>WB_real_gdp</x:v>
      </x:c>
      <x:c r="F1177" s="2" t="str">
        <x:v>GDP (constant 2015 US$)</x:v>
      </x:c>
    </x:row>
    <x:row r="1178" ht="44" customHeight="1">
      <x:c r="A1178" s="2" t="str">
        <x:v>CHL</x:v>
      </x:c>
      <x:c r="B1178" s="2" t="str">
        <x:v>gdp_growth</x:v>
      </x:c>
      <x:c r="C1178" s="2" t="n">
        <x:v>2.45925474781374</x:v>
      </x:c>
      <x:c r="D1178" s="2" t="n">
        <x:v>2025</x:v>
      </x:c>
      <x:c r="E1178" s="2" t="str">
        <x:v>WB_gdp_growth</x:v>
      </x:c>
      <x:c r="F1178" s="2" t="str">
        <x:v>GDP growth (annual %)</x:v>
      </x:c>
    </x:row>
    <x:row r="1179" ht="44" customHeight="1">
      <x:c r="A1179" s="2" t="str">
        <x:v>CHL</x:v>
      </x:c>
      <x:c r="B1179" s="2" t="str">
        <x:v>real_income</x:v>
      </x:c>
      <x:c r="C1179" s="2" t="n">
        <x:v>14904.6435509776</x:v>
      </x:c>
      <x:c r="D1179" s="2" t="n">
        <x:v>2025</x:v>
      </x:c>
      <x:c r="E1179" s="2" t="str">
        <x:v>WB_real_income</x:v>
      </x:c>
      <x:c r="F1179" s="2" t="str">
        <x:v>GDP per capita (constant 2015 US$)</x:v>
      </x:c>
    </x:row>
    <x:row r="1180" ht="44" customHeight="1">
      <x:c r="A1180" s="2" t="str">
        <x:v>CHL</x:v>
      </x:c>
      <x:c r="B1180" s="2" t="str">
        <x:v>agriculture_gdp</x:v>
      </x:c>
      <x:c r="C1180" s="2" t="n">
        <x:v>3.45290754387223</x:v>
      </x:c>
      <x:c r="D1180" s="2" t="n">
        <x:v>2025</x:v>
      </x:c>
      <x:c r="E1180" s="2" t="str">
        <x:v>WB_agriculture_gdp</x:v>
      </x:c>
      <x:c r="F1180" s="2" t="str">
        <x:v>Agriculture, forestry, and fishing, value added (% of GDP)</x:v>
      </x:c>
    </x:row>
    <x:row r="1181" ht="44" customHeight="1">
      <x:c r="A1181" s="2" t="str">
        <x:v>CHL</x:v>
      </x:c>
      <x:c r="B1181" s="2" t="str">
        <x:v>poverty</x:v>
      </x:c>
      <x:c r="C1181" s="2" t="n">
        <x:v>0.4</x:v>
      </x:c>
      <x:c r="D1181" s="2" t="n">
        <x:v>2024</x:v>
      </x:c>
      <x:c r="E1181" s="2" t="str">
        <x:v>WB_poverty</x:v>
      </x:c>
      <x:c r="F1181" s="2" t="str">
        <x:v>Poverty headcount ratio at $3.00 a day (2021 PPP) (% of population)</x:v>
      </x:c>
    </x:row>
    <x:row r="1182" ht="44" customHeight="1">
      <x:c r="A1182" s="2" t="str">
        <x:v>CHL</x:v>
      </x:c>
      <x:c r="B1182" s="2" t="str">
        <x:v>gini</x:v>
      </x:c>
      <x:c r="C1182" s="2" t="n">
        <x:v>43</x:v>
      </x:c>
      <x:c r="D1182" s="2" t="n">
        <x:v>2024</x:v>
      </x:c>
      <x:c r="E1182" s="2" t="str">
        <x:v>WB_gini</x:v>
      </x:c>
      <x:c r="F1182" s="2" t="str">
        <x:v>Gini index</x:v>
      </x:c>
    </x:row>
    <x:row r="1183" ht="44" customHeight="1">
      <x:c r="A1183" s="2" t="str">
        <x:v>CHL</x:v>
      </x:c>
      <x:c r="B1183" s="2" t="str">
        <x:v>unemployment</x:v>
      </x:c>
      <x:c r="C1183" s="2" t="n">
        <x:v>8.974</x:v>
      </x:c>
      <x:c r="D1183" s="2" t="n">
        <x:v>2025</x:v>
      </x:c>
      <x:c r="E1183" s="2" t="str">
        <x:v>WB_unemployment</x:v>
      </x:c>
      <x:c r="F1183" s="2" t="str">
        <x:v>Unemployment, total (% of total labor force) (modeled ILO estimate)</x:v>
      </x:c>
    </x:row>
    <x:row r="1184" ht="44" customHeight="1">
      <x:c r="A1184" s="2" t="str">
        <x:v>CHL</x:v>
      </x:c>
      <x:c r="B1184" s="2" t="str">
        <x:v>private_credit</x:v>
      </x:c>
      <x:c r="C1184" s="2" t="n">
        <x:v>102.08420900719</x:v>
      </x:c>
      <x:c r="D1184" s="2" t="n">
        <x:v>2025</x:v>
      </x:c>
      <x:c r="E1184" s="2" t="str">
        <x:v>WB_private_credit</x:v>
      </x:c>
      <x:c r="F1184" s="2" t="str">
        <x:v>Domestic credit to private sector (% of GDP)</x:v>
      </x:c>
    </x:row>
    <x:row r="1185" ht="44" customHeight="1">
      <x:c r="A1185" s="2" t="str">
        <x:v>CHL</x:v>
      </x:c>
      <x:c r="B1185" s="2" t="str">
        <x:v>lending_rate</x:v>
      </x:c>
      <x:c r="C1185" s="2" t="n">
        <x:v>4.17801925025561</x:v>
      </x:c>
      <x:c r="D1185" s="2" t="n">
        <x:v>2018</x:v>
      </x:c>
      <x:c r="E1185" s="2" t="str">
        <x:v>WB_lending_rate</x:v>
      </x:c>
      <x:c r="F1185" s="2" t="str">
        <x:v>Lending interest rate (%)</x:v>
      </x:c>
    </x:row>
    <x:row r="1186" ht="44" customHeight="1">
      <x:c r="A1186" s="2" t="str">
        <x:v>CHL</x:v>
      </x:c>
      <x:c r="B1186" s="2" t="str">
        <x:v>real_interest</x:v>
      </x:c>
      <x:c r="C1186" s="2" t="n">
        <x:v>2.54731216179179</x:v>
      </x:c>
      <x:c r="D1186" s="2" t="n">
        <x:v>2018</x:v>
      </x:c>
      <x:c r="E1186" s="2" t="str">
        <x:v>WB_real_interest</x:v>
      </x:c>
      <x:c r="F1186" s="2" t="str">
        <x:v>Real interest rate (%)</x:v>
      </x:c>
    </x:row>
    <x:row r="1187" ht="44" customHeight="1">
      <x:c r="A1187" s="2" t="str">
        <x:v>CHL</x:v>
      </x:c>
      <x:c r="B1187" s="2" t="str">
        <x:v>government_debt</x:v>
      </x:c>
      <x:c r="C1187" s="2" t="n">
        <x:v>13.1456400046218</x:v>
      </x:c>
      <x:c r="D1187" s="2" t="n">
        <x:v>2000</x:v>
      </x:c>
      <x:c r="E1187" s="2" t="str">
        <x:v>WB_government_debt</x:v>
      </x:c>
      <x:c r="F1187" s="2" t="str">
        <x:v>Central government debt, total (% of GDP)</x:v>
      </x:c>
    </x:row>
    <x:row r="1188" ht="44" customHeight="1">
      <x:c r="A1188" s="2" t="str">
        <x:v>CHL</x:v>
      </x:c>
      <x:c r="B1188" s="2" t="str">
        <x:v>electricity_access</x:v>
      </x:c>
      <x:c r="C1188" s="2" t="n">
        <x:v>99</x:v>
      </x:c>
      <x:c r="D1188" s="2" t="n">
        <x:v>2024</x:v>
      </x:c>
      <x:c r="E1188" s="2" t="str">
        <x:v>WB_electricity_access</x:v>
      </x:c>
      <x:c r="F1188" s="2" t="str">
        <x:v>Access to electricity (% of population)</x:v>
      </x:c>
    </x:row>
    <x:row r="1189" ht="44" customHeight="1">
      <x:c r="A1189" s="2" t="str">
        <x:v>CHL</x:v>
      </x:c>
      <x:c r="B1189" s="2" t="str">
        <x:v>irrigated_land</x:v>
      </x:c>
      <x:c r="C1189" s="2" t="n">
        <x:v>8.50102224465314</x:v>
      </x:c>
      <x:c r="D1189" s="2" t="n">
        <x:v>2023</x:v>
      </x:c>
      <x:c r="E1189" s="2" t="str">
        <x:v>WB_irrigated_land</x:v>
      </x:c>
      <x:c r="F1189" s="2" t="str">
        <x:v>Agricultural irrigated land (% of total agricultural land)</x:v>
      </x:c>
    </x:row>
    <x:row r="1190" ht="44" customHeight="1">
      <x:c r="A1190" s="2" t="str">
        <x:v>CHL</x:v>
      </x:c>
      <x:c r="B1190" s="2" t="str">
        <x:v>cereal_area</x:v>
      </x:c>
      <x:c r="C1190" s="2" t="n">
        <x:v>386898</x:v>
      </x:c>
      <x:c r="D1190" s="2" t="n">
        <x:v>2024</x:v>
      </x:c>
      <x:c r="E1190" s="2" t="str">
        <x:v>WB_cereal_area</x:v>
      </x:c>
      <x:c r="F1190" s="2" t="str">
        <x:v>Land under cereal production (hectares)</x:v>
      </x:c>
    </x:row>
    <x:row r="1191" ht="44" customHeight="1">
      <x:c r="A1191" s="2" t="str">
        <x:v>CHL</x:v>
      </x:c>
      <x:c r="B1191" s="2" t="str">
        <x:v>undernourishment</x:v>
      </x:c>
      <x:c r="C1191" s="2" t="n">
        <x:v>2.5</x:v>
      </x:c>
      <x:c r="D1191" s="2" t="n">
        <x:v>2023</x:v>
      </x:c>
      <x:c r="E1191" s="2" t="str">
        <x:v>WB_undernourishment</x:v>
      </x:c>
      <x:c r="F1191" s="2" t="str">
        <x:v>Prevalence of undernourishment (% of population)</x:v>
      </x:c>
    </x:row>
    <x:row r="1192" ht="44" customHeight="1">
      <x:c r="A1192" s="2" t="str">
        <x:v>CHL</x:v>
      </x:c>
      <x:c r="B1192" s="2" t="str">
        <x:v>agriculture_employment</x:v>
      </x:c>
      <x:c r="C1192" s="2" t="n">
        <x:v>6.06552449974121</x:v>
      </x:c>
      <x:c r="D1192" s="2" t="n">
        <x:v>2025</x:v>
      </x:c>
      <x:c r="E1192" s="2" t="str">
        <x:v>WB_agriculture_employment</x:v>
      </x:c>
      <x:c r="F1192" s="2" t="str">
        <x:v>Employment in agriculture (% of total employment) (modeled ILO estimate)</x:v>
      </x:c>
    </x:row>
    <x:row r="1193" ht="44" customHeight="1">
      <x:c r="A1193" s="2" t="str">
        <x:v>CHL</x:v>
      </x:c>
      <x:c r="B1193" s="2" t="str">
        <x:v>water_withdrawal</x:v>
      </x:c>
      <x:c r="C1193" s="2" t="n">
        <x:v>3.99638418079096</x:v>
      </x:c>
      <x:c r="D1193" s="2" t="n">
        <x:v>2022</x:v>
      </x:c>
      <x:c r="E1193" s="2" t="str">
        <x:v>WB_water_withdrawal</x:v>
      </x:c>
      <x:c r="F1193" s="2" t="str">
        <x:v>Annual freshwater withdrawals, total (% of internal resources)</x:v>
      </x:c>
    </x:row>
    <x:row r="1194" ht="44" customHeight="1">
      <x:c r="A1194" s="2" t="str">
        <x:v>CHN</x:v>
      </x:c>
      <x:c r="B1194" s="2" t="str">
        <x:v>population</x:v>
      </x:c>
      <x:c r="C1194" s="2" t="n">
        <x:v>1406585000</x:v>
      </x:c>
      <x:c r="D1194" s="2" t="n">
        <x:v>2025</x:v>
      </x:c>
      <x:c r="E1194" s="2" t="str">
        <x:v>WB_population</x:v>
      </x:c>
      <x:c r="F1194" s="2" t="str">
        <x:v>Population, total</x:v>
      </x:c>
    </x:row>
    <x:row r="1195" ht="44" customHeight="1">
      <x:c r="A1195" s="2" t="str">
        <x:v>CHN</x:v>
      </x:c>
      <x:c r="B1195" s="2" t="str">
        <x:v>income_ppp</x:v>
      </x:c>
      <x:c r="C1195" s="2" t="n">
        <x:v>25066.5215296486</x:v>
      </x:c>
      <x:c r="D1195" s="2" t="n">
        <x:v>2025</x:v>
      </x:c>
      <x:c r="E1195" s="2" t="str">
        <x:v>WB_income_ppp</x:v>
      </x:c>
      <x:c r="F1195" s="2" t="str">
        <x:v>GDP per capita, PPP (constant 2021 international $)</x:v>
      </x:c>
    </x:row>
    <x:row r="1196" ht="44" customHeight="1">
      <x:c r="A1196" s="2" t="str">
        <x:v>CHN</x:v>
      </x:c>
      <x:c r="B1196" s="2" t="str">
        <x:v>urban</x:v>
      </x:c>
      <x:c r="C1196" s="2" t="n">
        <x:v>66.3429910348272</x:v>
      </x:c>
      <x:c r="D1196" s="2" t="n">
        <x:v>2025</x:v>
      </x:c>
      <x:c r="E1196" s="2" t="str">
        <x:v>WB_urban</x:v>
      </x:c>
      <x:c r="F1196" s="2" t="str">
        <x:v>Urban population (% of total population)</x:v>
      </x:c>
    </x:row>
    <x:row r="1197" ht="44" customHeight="1">
      <x:c r="A1197" s="2" t="str">
        <x:v>CHN</x:v>
      </x:c>
      <x:c r="B1197" s="2" t="str">
        <x:v>inflation</x:v>
      </x:c>
      <x:c r="C1197" s="2" t="n">
        <x:v>0.0595646916565403</x:v>
      </x:c>
      <x:c r="D1197" s="2" t="n">
        <x:v>2025</x:v>
      </x:c>
      <x:c r="E1197" s="2" t="str">
        <x:v>WB_inflation</x:v>
      </x:c>
      <x:c r="F1197" s="2" t="str">
        <x:v>Inflation, consumer prices (annual %)</x:v>
      </x:c>
    </x:row>
    <x:row r="1198" ht="44" customHeight="1">
      <x:c r="A1198" s="2" t="str">
        <x:v>CHN</x:v>
      </x:c>
      <x:c r="B1198" s="2" t="str">
        <x:v>food_index</x:v>
      </x:c>
      <x:c r="C1198" s="2" t="n">
        <x:v>111.75</x:v>
      </x:c>
      <x:c r="D1198" s="2" t="n">
        <x:v>2022</x:v>
      </x:c>
      <x:c r="E1198" s="2" t="str">
        <x:v>WB_food_index</x:v>
      </x:c>
      <x:c r="F1198" s="2" t="str">
        <x:v>Food production index (2014-2016 = 100)</x:v>
      </x:c>
    </x:row>
    <x:row r="1199" ht="44" customHeight="1">
      <x:c r="A1199" s="2" t="str">
        <x:v>CHN</x:v>
      </x:c>
      <x:c r="B1199" s="2" t="str">
        <x:v>food_import_share</x:v>
      </x:c>
      <x:c r="C1199" s="2" t="n">
        <x:v>8.10751053290446</x:v>
      </x:c>
      <x:c r="D1199" s="2" t="n">
        <x:v>2024</x:v>
      </x:c>
      <x:c r="E1199" s="2" t="str">
        <x:v>WB_food_import_share</x:v>
      </x:c>
      <x:c r="F1199" s="2" t="str">
        <x:v>Food imports (% of merchandise imports)</x:v>
      </x:c>
    </x:row>
    <x:row r="1200" ht="44" customHeight="1">
      <x:c r="A1200" s="2" t="str">
        <x:v>CHN</x:v>
      </x:c>
      <x:c r="B1200" s="2" t="str">
        <x:v>food_export_share</x:v>
      </x:c>
      <x:c r="C1200" s="2" t="n">
        <x:v>2.42684855512431</x:v>
      </x:c>
      <x:c r="D1200" s="2" t="n">
        <x:v>2024</x:v>
      </x:c>
      <x:c r="E1200" s="2" t="str">
        <x:v>WB_food_export_share</x:v>
      </x:c>
      <x:c r="F1200" s="2" t="str">
        <x:v>Food exports (% of merchandise exports)</x:v>
      </x:c>
    </x:row>
    <x:row r="1201" ht="44" customHeight="1">
      <x:c r="A1201" s="2" t="str">
        <x:v>CHN</x:v>
      </x:c>
      <x:c r="B1201" s="2" t="str">
        <x:v>imports_usd</x:v>
      </x:c>
      <x:c r="C1201" s="2" t="n">
        <x:v>2582896000000</x:v>
      </x:c>
      <x:c r="D1201" s="2" t="n">
        <x:v>2025</x:v>
      </x:c>
      <x:c r="E1201" s="2" t="str">
        <x:v>WB_imports_usd</x:v>
      </x:c>
      <x:c r="F1201" s="2" t="str">
        <x:v>Merchandise imports (current US$)</x:v>
      </x:c>
    </x:row>
    <x:row r="1202" ht="44" customHeight="1">
      <x:c r="A1202" s="2" t="str">
        <x:v>CHN</x:v>
      </x:c>
      <x:c r="B1202" s="2" t="str">
        <x:v>exports_usd</x:v>
      </x:c>
      <x:c r="C1202" s="2" t="n">
        <x:v>3771842000000</x:v>
      </x:c>
      <x:c r="D1202" s="2" t="n">
        <x:v>2025</x:v>
      </x:c>
      <x:c r="E1202" s="2" t="str">
        <x:v>WB_exports_usd</x:v>
      </x:c>
      <x:c r="F1202" s="2" t="str">
        <x:v>Merchandise exports (current US$)</x:v>
      </x:c>
    </x:row>
    <x:row r="1203" ht="44" customHeight="1">
      <x:c r="A1203" s="2" t="str">
        <x:v>CHN</x:v>
      </x:c>
      <x:c r="B1203" s="2" t="str">
        <x:v>cereal_yield</x:v>
      </x:c>
      <x:c r="C1203" s="2" t="n">
        <x:v>6418.1</x:v>
      </x:c>
      <x:c r="D1203" s="2" t="n">
        <x:v>2023</x:v>
      </x:c>
      <x:c r="E1203" s="2" t="str">
        <x:v>WB_cereal_yield</x:v>
      </x:c>
      <x:c r="F1203" s="2" t="str">
        <x:v>Cereal yield (kg per hectare)</x:v>
      </x:c>
    </x:row>
    <x:row r="1204" ht="44" customHeight="1">
      <x:c r="A1204" s="2" t="str">
        <x:v>CHN</x:v>
      </x:c>
      <x:c r="B1204" s="2" t="str">
        <x:v>water_stress</x:v>
      </x:c>
      <x:c r="C1204" s="2" t="n">
        <x:v>41.5185288</x:v>
      </x:c>
      <x:c r="D1204" s="2" t="n">
        <x:v>2022</x:v>
      </x:c>
      <x:c r="E1204" s="2" t="str">
        <x:v>WB_water_stress</x:v>
      </x:c>
      <x:c r="F1204" s="2" t="str">
        <x:v>Level of water stress: freshwater withdrawal as a proportion of available freshwater resources</x:v>
      </x:c>
    </x:row>
    <x:row r="1205" ht="44" customHeight="1">
      <x:c r="A1205" s="2" t="str">
        <x:v>CHN</x:v>
      </x:c>
      <x:c r="B1205" s="2" t="str">
        <x:v>fertility</x:v>
      </x:c>
      <x:c r="C1205" s="2" t="n">
        <x:v>1.013</x:v>
      </x:c>
      <x:c r="D1205" s="2" t="n">
        <x:v>2024</x:v>
      </x:c>
      <x:c r="E1205" s="2" t="str">
        <x:v>WB_fertility</x:v>
      </x:c>
      <x:c r="F1205" s="2" t="str">
        <x:v>Fertility rate, total (births per woman)</x:v>
      </x:c>
    </x:row>
    <x:row r="1206" ht="44" customHeight="1">
      <x:c r="A1206" s="2" t="str">
        <x:v>CHN</x:v>
      </x:c>
      <x:c r="B1206" s="2" t="str">
        <x:v>life_expectancy</x:v>
      </x:c>
      <x:c r="C1206" s="2" t="n">
        <x:v>78.017</x:v>
      </x:c>
      <x:c r="D1206" s="2" t="n">
        <x:v>2024</x:v>
      </x:c>
      <x:c r="E1206" s="2" t="str">
        <x:v>WB_life_expectancy</x:v>
      </x:c>
      <x:c r="F1206" s="2" t="str">
        <x:v>Life expectancy at birth, total (years)</x:v>
      </x:c>
    </x:row>
    <x:row r="1207" ht="44" customHeight="1">
      <x:c r="A1207" s="2" t="str">
        <x:v>CHN</x:v>
      </x:c>
      <x:c r="B1207" s="2" t="str">
        <x:v>age_under15</x:v>
      </x:c>
      <x:c r="C1207" s="2" t="n">
        <x:v>15.4072909264023</x:v>
      </x:c>
      <x:c r="D1207" s="2" t="n">
        <x:v>2025</x:v>
      </x:c>
      <x:c r="E1207" s="2" t="str">
        <x:v>WB_age_under15</x:v>
      </x:c>
      <x:c r="F1207" s="2" t="str">
        <x:v>Population ages 0-14 (% of total population)</x:v>
      </x:c>
    </x:row>
    <x:row r="1208" ht="44" customHeight="1">
      <x:c r="A1208" s="2" t="str">
        <x:v>CHN</x:v>
      </x:c>
      <x:c r="B1208" s="2" t="str">
        <x:v>age_over65</x:v>
      </x:c>
      <x:c r="C1208" s="2" t="n">
        <x:v>14.9114314271952</x:v>
      </x:c>
      <x:c r="D1208" s="2" t="n">
        <x:v>2025</x:v>
      </x:c>
      <x:c r="E1208" s="2" t="str">
        <x:v>WB_age_over65</x:v>
      </x:c>
      <x:c r="F1208" s="2" t="str">
        <x:v>Population ages 65 and above (% of total population)</x:v>
      </x:c>
    </x:row>
    <x:row r="1209" ht="44" customHeight="1">
      <x:c r="A1209" s="2" t="str">
        <x:v>CHN</x:v>
      </x:c>
      <x:c r="B1209" s="2" t="str">
        <x:v>dependency_ratio</x:v>
      </x:c>
      <x:c r="C1209" s="2" t="n">
        <x:v>43.5105718441117</x:v>
      </x:c>
      <x:c r="D1209" s="2" t="n">
        <x:v>2025</x:v>
      </x:c>
      <x:c r="E1209" s="2" t="str">
        <x:v>WB_dependency_ratio</x:v>
      </x:c>
      <x:c r="F1209" s="2" t="str">
        <x:v>Age dependency ratio (% of working-age population)</x:v>
      </x:c>
    </x:row>
    <x:row r="1210" ht="44" customHeight="1">
      <x:c r="A1210" s="2" t="str">
        <x:v>CHN</x:v>
      </x:c>
      <x:c r="B1210" s="2" t="str">
        <x:v>net_migration</x:v>
      </x:c>
      <x:c r="C1210" s="2" t="n">
        <x:v>-268126</x:v>
      </x:c>
      <x:c r="D1210" s="2" t="n">
        <x:v>2025</x:v>
      </x:c>
      <x:c r="E1210" s="2" t="str">
        <x:v>WB_net_migration</x:v>
      </x:c>
      <x:c r="F1210" s="2" t="str">
        <x:v>Net migration</x:v>
      </x:c>
    </x:row>
    <x:row r="1211" ht="44" customHeight="1">
      <x:c r="A1211" s="2" t="str">
        <x:v>CHN</x:v>
      </x:c>
      <x:c r="B1211" s="2" t="str">
        <x:v>real_gdp</x:v>
      </x:c>
      <x:c r="C1211" s="2" t="n">
        <x:v>19401316126585.1</x:v>
      </x:c>
      <x:c r="D1211" s="2" t="n">
        <x:v>2025</x:v>
      </x:c>
      <x:c r="E1211" s="2" t="str">
        <x:v>WB_real_gdp</x:v>
      </x:c>
      <x:c r="F1211" s="2" t="str">
        <x:v>GDP (constant 2015 US$)</x:v>
      </x:c>
    </x:row>
    <x:row r="1212" ht="44" customHeight="1">
      <x:c r="A1212" s="2" t="str">
        <x:v>CHN</x:v>
      </x:c>
      <x:c r="B1212" s="2" t="str">
        <x:v>gdp_growth</x:v>
      </x:c>
      <x:c r="C1212" s="2" t="n">
        <x:v>4.95994886240992</x:v>
      </x:c>
      <x:c r="D1212" s="2" t="n">
        <x:v>2025</x:v>
      </x:c>
      <x:c r="E1212" s="2" t="str">
        <x:v>WB_gdp_growth</x:v>
      </x:c>
      <x:c r="F1212" s="2" t="str">
        <x:v>GDP growth (annual %)</x:v>
      </x:c>
    </x:row>
    <x:row r="1213" ht="44" customHeight="1">
      <x:c r="A1213" s="2" t="str">
        <x:v>CHN</x:v>
      </x:c>
      <x:c r="B1213" s="2" t="str">
        <x:v>real_income</x:v>
      </x:c>
      <x:c r="C1213" s="2" t="n">
        <x:v>13793.2056196996</x:v>
      </x:c>
      <x:c r="D1213" s="2" t="n">
        <x:v>2025</x:v>
      </x:c>
      <x:c r="E1213" s="2" t="str">
        <x:v>WB_real_income</x:v>
      </x:c>
      <x:c r="F1213" s="2" t="str">
        <x:v>GDP per capita (constant 2015 US$)</x:v>
      </x:c>
    </x:row>
    <x:row r="1214" ht="44" customHeight="1">
      <x:c r="A1214" s="2" t="str">
        <x:v>CHN</x:v>
      </x:c>
      <x:c r="B1214" s="2" t="str">
        <x:v>agriculture_gdp</x:v>
      </x:c>
      <x:c r="C1214" s="2" t="n">
        <x:v>6.65869070601804</x:v>
      </x:c>
      <x:c r="D1214" s="2" t="n">
        <x:v>2025</x:v>
      </x:c>
      <x:c r="E1214" s="2" t="str">
        <x:v>WB_agriculture_gdp</x:v>
      </x:c>
      <x:c r="F1214" s="2" t="str">
        <x:v>Agriculture, forestry, and fishing, value added (% of GDP)</x:v>
      </x:c>
    </x:row>
    <x:row r="1215" ht="44" customHeight="1">
      <x:c r="A1215" s="2" t="str">
        <x:v>CHN</x:v>
      </x:c>
      <x:c r="B1215" s="2" t="str">
        <x:v>poverty</x:v>
      </x:c>
      <x:c r="C1215" s="2" t="n">
        <x:v>0</x:v>
      </x:c>
      <x:c r="D1215" s="2" t="n">
        <x:v>2022</x:v>
      </x:c>
      <x:c r="E1215" s="2" t="str">
        <x:v>WB_poverty</x:v>
      </x:c>
      <x:c r="F1215" s="2" t="str">
        <x:v>Poverty headcount ratio at $3.00 a day (2021 PPP) (% of population)</x:v>
      </x:c>
    </x:row>
    <x:row r="1216" ht="44" customHeight="1">
      <x:c r="A1216" s="2" t="str">
        <x:v>CHN</x:v>
      </x:c>
      <x:c r="B1216" s="2" t="str">
        <x:v>gini</x:v>
      </x:c>
      <x:c r="C1216" s="2" t="n">
        <x:v>36</x:v>
      </x:c>
      <x:c r="D1216" s="2" t="n">
        <x:v>2022</x:v>
      </x:c>
      <x:c r="E1216" s="2" t="str">
        <x:v>WB_gini</x:v>
      </x:c>
      <x:c r="F1216" s="2" t="str">
        <x:v>Gini index</x:v>
      </x:c>
    </x:row>
    <x:row r="1217" ht="44" customHeight="1">
      <x:c r="A1217" s="2" t="str">
        <x:v>CHN</x:v>
      </x:c>
      <x:c r="B1217" s="2" t="str">
        <x:v>unemployment</x:v>
      </x:c>
      <x:c r="C1217" s="2" t="n">
        <x:v>4.615</x:v>
      </x:c>
      <x:c r="D1217" s="2" t="n">
        <x:v>2025</x:v>
      </x:c>
      <x:c r="E1217" s="2" t="str">
        <x:v>WB_unemployment</x:v>
      </x:c>
      <x:c r="F1217" s="2" t="str">
        <x:v>Unemployment, total (% of total labor force) (modeled ILO estimate)</x:v>
      </x:c>
    </x:row>
    <x:row r="1218" ht="44" customHeight="1">
      <x:c r="A1218" s="2" t="str">
        <x:v>CHN</x:v>
      </x:c>
      <x:c r="B1218" s="2" t="str">
        <x:v>private_credit</x:v>
      </x:c>
      <x:c r="C1218" s="2" t="n">
        <x:v>194.312528264561</x:v>
      </x:c>
      <x:c r="D1218" s="2" t="n">
        <x:v>2024</x:v>
      </x:c>
      <x:c r="E1218" s="2" t="str">
        <x:v>WB_private_credit</x:v>
      </x:c>
      <x:c r="F1218" s="2" t="str">
        <x:v>Domestic credit to private sector (% of GDP)</x:v>
      </x:c>
    </x:row>
    <x:row r="1219" ht="44" customHeight="1">
      <x:c r="A1219" s="2" t="str">
        <x:v>CHN</x:v>
      </x:c>
      <x:c r="B1219" s="2" t="str">
        <x:v>lending_rate</x:v>
      </x:c>
      <x:c r="C1219" s="2" t="n">
        <x:v>4.35</x:v>
      </x:c>
      <x:c r="D1219" s="2" t="n">
        <x:v>2024</x:v>
      </x:c>
      <x:c r="E1219" s="2" t="str">
        <x:v>WB_lending_rate</x:v>
      </x:c>
      <x:c r="F1219" s="2" t="str">
        <x:v>Lending interest rate (%)</x:v>
      </x:c>
    </x:row>
    <x:row r="1220" ht="44" customHeight="1">
      <x:c r="A1220" s="2" t="str">
        <x:v>CHN</x:v>
      </x:c>
      <x:c r="B1220" s="2" t="str">
        <x:v>real_interest</x:v>
      </x:c>
      <x:c r="C1220" s="2" t="n">
        <x:v>5.15344182022933</x:v>
      </x:c>
      <x:c r="D1220" s="2" t="n">
        <x:v>2024</x:v>
      </x:c>
      <x:c r="E1220" s="2" t="str">
        <x:v>WB_real_interest</x:v>
      </x:c>
      <x:c r="F1220" s="2" t="str">
        <x:v>Real interest rate (%)</x:v>
      </x:c>
    </x:row>
    <x:row r="1221" ht="44" customHeight="1">
      <x:c r="A1221" s="2" t="str">
        <x:v>CHN</x:v>
      </x:c>
      <x:c r="B1221" s="2" t="str">
        <x:v>government_debt</x:v>
      </x:c>
      <x:c r="C1221" s="2"/>
      <x:c r="D1221" s="2"/>
      <x:c r="E1221" s="2" t="str">
        <x:v>Missing</x:v>
      </x:c>
      <x:c r="F1221" s="2" t="str">
        <x:v>Central government debt, total (% of GDP)</x:v>
      </x:c>
    </x:row>
    <x:row r="1222" ht="44" customHeight="1">
      <x:c r="A1222" s="2" t="str">
        <x:v>CHN</x:v>
      </x:c>
      <x:c r="B1222" s="2" t="str">
        <x:v>electricity_access</x:v>
      </x:c>
      <x:c r="C1222" s="2" t="n">
        <x:v>100</x:v>
      </x:c>
      <x:c r="D1222" s="2" t="n">
        <x:v>2024</x:v>
      </x:c>
      <x:c r="E1222" s="2" t="str">
        <x:v>WB_electricity_access</x:v>
      </x:c>
      <x:c r="F1222" s="2" t="str">
        <x:v>Access to electricity (% of population)</x:v>
      </x:c>
    </x:row>
    <x:row r="1223" ht="44" customHeight="1">
      <x:c r="A1223" s="2" t="str">
        <x:v>CHN</x:v>
      </x:c>
      <x:c r="B1223" s="2" t="str">
        <x:v>irrigated_land</x:v>
      </x:c>
      <x:c r="C1223" s="2"/>
      <x:c r="D1223" s="2"/>
      <x:c r="E1223" s="2" t="str">
        <x:v>Missing</x:v>
      </x:c>
      <x:c r="F1223" s="2" t="str">
        <x:v>Agricultural irrigated land (% of total agricultural land)</x:v>
      </x:c>
    </x:row>
    <x:row r="1224" ht="44" customHeight="1">
      <x:c r="A1224" s="2" t="str">
        <x:v>CHN</x:v>
      </x:c>
      <x:c r="B1224" s="2" t="str">
        <x:v>cereal_area</x:v>
      </x:c>
      <x:c r="C1224" s="2" t="n">
        <x:v>99987255</x:v>
      </x:c>
      <x:c r="D1224" s="2" t="n">
        <x:v>2023</x:v>
      </x:c>
      <x:c r="E1224" s="2" t="str">
        <x:v>WB_cereal_area</x:v>
      </x:c>
      <x:c r="F1224" s="2" t="str">
        <x:v>Land under cereal production (hectares)</x:v>
      </x:c>
    </x:row>
    <x:row r="1225" ht="44" customHeight="1">
      <x:c r="A1225" s="2" t="str">
        <x:v>CHN</x:v>
      </x:c>
      <x:c r="B1225" s="2" t="str">
        <x:v>undernourishment</x:v>
      </x:c>
      <x:c r="C1225" s="2" t="n">
        <x:v>2.5</x:v>
      </x:c>
      <x:c r="D1225" s="2" t="n">
        <x:v>2023</x:v>
      </x:c>
      <x:c r="E1225" s="2" t="str">
        <x:v>WB_undernourishment</x:v>
      </x:c>
      <x:c r="F1225" s="2" t="str">
        <x:v>Prevalence of undernourishment (% of population)</x:v>
      </x:c>
    </x:row>
    <x:row r="1226" ht="44" customHeight="1">
      <x:c r="A1226" s="2" t="str">
        <x:v>CHN</x:v>
      </x:c>
      <x:c r="B1226" s="2" t="str">
        <x:v>agriculture_employment</x:v>
      </x:c>
      <x:c r="C1226" s="2" t="n">
        <x:v>21.6768623336956</x:v>
      </x:c>
      <x:c r="D1226" s="2" t="n">
        <x:v>2025</x:v>
      </x:c>
      <x:c r="E1226" s="2" t="str">
        <x:v>WB_agriculture_employment</x:v>
      </x:c>
      <x:c r="F1226" s="2" t="str">
        <x:v>Employment in agriculture (% of total employment) (modeled ILO estimate)</x:v>
      </x:c>
    </x:row>
    <x:row r="1227" ht="44" customHeight="1">
      <x:c r="A1227" s="2" t="str">
        <x:v>CHN</x:v>
      </x:c>
      <x:c r="B1227" s="2" t="str">
        <x:v>water_withdrawal</x:v>
      </x:c>
      <x:c r="C1227" s="2" t="n">
        <x:v>20.2097479469587</x:v>
      </x:c>
      <x:c r="D1227" s="2" t="n">
        <x:v>2022</x:v>
      </x:c>
      <x:c r="E1227" s="2" t="str">
        <x:v>WB_water_withdrawal</x:v>
      </x:c>
      <x:c r="F1227" s="2" t="str">
        <x:v>Annual freshwater withdrawals, total (% of internal resources)</x:v>
      </x:c>
    </x:row>
    <x:row r="1228" ht="44" customHeight="1">
      <x:c r="A1228" s="2" t="str">
        <x:v>COL</x:v>
      </x:c>
      <x:c r="B1228" s="2" t="str">
        <x:v>population</x:v>
      </x:c>
      <x:c r="C1228" s="2" t="n">
        <x:v>53425635</x:v>
      </x:c>
      <x:c r="D1228" s="2" t="n">
        <x:v>2025</x:v>
      </x:c>
      <x:c r="E1228" s="2" t="str">
        <x:v>WB_population</x:v>
      </x:c>
      <x:c r="F1228" s="2" t="str">
        <x:v>Population, total</x:v>
      </x:c>
    </x:row>
    <x:row r="1229" ht="44" customHeight="1">
      <x:c r="A1229" s="2" t="str">
        <x:v>COL</x:v>
      </x:c>
      <x:c r="B1229" s="2" t="str">
        <x:v>income_ppp</x:v>
      </x:c>
      <x:c r="C1229" s="2" t="n">
        <x:v>18778.6482631901</x:v>
      </x:c>
      <x:c r="D1229" s="2" t="n">
        <x:v>2025</x:v>
      </x:c>
      <x:c r="E1229" s="2" t="str">
        <x:v>WB_income_ppp</x:v>
      </x:c>
      <x:c r="F1229" s="2" t="str">
        <x:v>GDP per capita, PPP (constant 2021 international $)</x:v>
      </x:c>
    </x:row>
    <x:row r="1230" ht="44" customHeight="1">
      <x:c r="A1230" s="2" t="str">
        <x:v>COL</x:v>
      </x:c>
      <x:c r="B1230" s="2" t="str">
        <x:v>urban</x:v>
      </x:c>
      <x:c r="C1230" s="2" t="n">
        <x:v>78.7827914751151</x:v>
      </x:c>
      <x:c r="D1230" s="2" t="n">
        <x:v>2025</x:v>
      </x:c>
      <x:c r="E1230" s="2" t="str">
        <x:v>WB_urban</x:v>
      </x:c>
      <x:c r="F1230" s="2" t="str">
        <x:v>Urban population (% of total population)</x:v>
      </x:c>
    </x:row>
    <x:row r="1231" ht="44" customHeight="1">
      <x:c r="A1231" s="2" t="str">
        <x:v>COL</x:v>
      </x:c>
      <x:c r="B1231" s="2" t="str">
        <x:v>inflation</x:v>
      </x:c>
      <x:c r="C1231" s="2" t="n">
        <x:v>5.14222911946201</x:v>
      </x:c>
      <x:c r="D1231" s="2" t="n">
        <x:v>2025</x:v>
      </x:c>
      <x:c r="E1231" s="2" t="str">
        <x:v>WB_inflation</x:v>
      </x:c>
      <x:c r="F1231" s="2" t="str">
        <x:v>Inflation, consumer prices (annual %)</x:v>
      </x:c>
    </x:row>
    <x:row r="1232" ht="44" customHeight="1">
      <x:c r="A1232" s="2" t="str">
        <x:v>COL</x:v>
      </x:c>
      <x:c r="B1232" s="2" t="str">
        <x:v>food_index</x:v>
      </x:c>
      <x:c r="C1232" s="2" t="n">
        <x:v>110.64</x:v>
      </x:c>
      <x:c r="D1232" s="2" t="n">
        <x:v>2022</x:v>
      </x:c>
      <x:c r="E1232" s="2" t="str">
        <x:v>WB_food_index</x:v>
      </x:c>
      <x:c r="F1232" s="2" t="str">
        <x:v>Food production index (2014-2016 = 100)</x:v>
      </x:c>
    </x:row>
    <x:row r="1233" ht="44" customHeight="1">
      <x:c r="A1233" s="2" t="str">
        <x:v>COL</x:v>
      </x:c>
      <x:c r="B1233" s="2" t="str">
        <x:v>food_import_share</x:v>
      </x:c>
      <x:c r="C1233" s="2" t="n">
        <x:v>13.7468605688449</x:v>
      </x:c>
      <x:c r="D1233" s="2" t="n">
        <x:v>2024</x:v>
      </x:c>
      <x:c r="E1233" s="2" t="str">
        <x:v>WB_food_import_share</x:v>
      </x:c>
      <x:c r="F1233" s="2" t="str">
        <x:v>Food imports (% of merchandise imports)</x:v>
      </x:c>
    </x:row>
    <x:row r="1234" ht="44" customHeight="1">
      <x:c r="A1234" s="2" t="str">
        <x:v>COL</x:v>
      </x:c>
      <x:c r="B1234" s="2" t="str">
        <x:v>food_export_share</x:v>
      </x:c>
      <x:c r="C1234" s="2" t="n">
        <x:v>18.0896232003945</x:v>
      </x:c>
      <x:c r="D1234" s="2" t="n">
        <x:v>2024</x:v>
      </x:c>
      <x:c r="E1234" s="2" t="str">
        <x:v>WB_food_export_share</x:v>
      </x:c>
      <x:c r="F1234" s="2" t="str">
        <x:v>Food exports (% of merchandise exports)</x:v>
      </x:c>
    </x:row>
    <x:row r="1235" ht="44" customHeight="1">
      <x:c r="A1235" s="2" t="str">
        <x:v>COL</x:v>
      </x:c>
      <x:c r="B1235" s="2" t="str">
        <x:v>imports_usd</x:v>
      </x:c>
      <x:c r="C1235" s="2" t="n">
        <x:v>70502000000</x:v>
      </x:c>
      <x:c r="D1235" s="2" t="n">
        <x:v>2025</x:v>
      </x:c>
      <x:c r="E1235" s="2" t="str">
        <x:v>WB_imports_usd</x:v>
      </x:c>
      <x:c r="F1235" s="2" t="str">
        <x:v>Merchandise imports (current US$)</x:v>
      </x:c>
    </x:row>
    <x:row r="1236" ht="44" customHeight="1">
      <x:c r="A1236" s="2" t="str">
        <x:v>COL</x:v>
      </x:c>
      <x:c r="B1236" s="2" t="str">
        <x:v>exports_usd</x:v>
      </x:c>
      <x:c r="C1236" s="2" t="n">
        <x:v>50086000000</x:v>
      </x:c>
      <x:c r="D1236" s="2" t="n">
        <x:v>2025</x:v>
      </x:c>
      <x:c r="E1236" s="2" t="str">
        <x:v>WB_exports_usd</x:v>
      </x:c>
      <x:c r="F1236" s="2" t="str">
        <x:v>Merchandise exports (current US$)</x:v>
      </x:c>
    </x:row>
    <x:row r="1237" ht="44" customHeight="1">
      <x:c r="A1237" s="2" t="str">
        <x:v>COL</x:v>
      </x:c>
      <x:c r="B1237" s="2" t="str">
        <x:v>cereal_yield</x:v>
      </x:c>
      <x:c r="C1237" s="2" t="n">
        <x:v>4422.2</x:v>
      </x:c>
      <x:c r="D1237" s="2" t="n">
        <x:v>2024</x:v>
      </x:c>
      <x:c r="E1237" s="2" t="str">
        <x:v>WB_cereal_yield</x:v>
      </x:c>
      <x:c r="F1237" s="2" t="str">
        <x:v>Cereal yield (kg per hectare)</x:v>
      </x:c>
    </x:row>
    <x:row r="1238" ht="44" customHeight="1">
      <x:c r="A1238" s="2" t="str">
        <x:v>COL</x:v>
      </x:c>
      <x:c r="B1238" s="2" t="str">
        <x:v>water_stress</x:v>
      </x:c>
      <x:c r="C1238" s="2" t="n">
        <x:v>3.632281437</x:v>
      </x:c>
      <x:c r="D1238" s="2" t="n">
        <x:v>2022</x:v>
      </x:c>
      <x:c r="E1238" s="2" t="str">
        <x:v>WB_water_stress</x:v>
      </x:c>
      <x:c r="F1238" s="2" t="str">
        <x:v>Level of water stress: freshwater withdrawal as a proportion of available freshwater resources</x:v>
      </x:c>
    </x:row>
    <x:row r="1239" ht="44" customHeight="1">
      <x:c r="A1239" s="2" t="str">
        <x:v>COL</x:v>
      </x:c>
      <x:c r="B1239" s="2" t="str">
        <x:v>fertility</x:v>
      </x:c>
      <x:c r="C1239" s="2" t="n">
        <x:v>1.634</x:v>
      </x:c>
      <x:c r="D1239" s="2" t="n">
        <x:v>2024</x:v>
      </x:c>
      <x:c r="E1239" s="2" t="str">
        <x:v>WB_fertility</x:v>
      </x:c>
      <x:c r="F1239" s="2" t="str">
        <x:v>Fertility rate, total (births per woman)</x:v>
      </x:c>
    </x:row>
    <x:row r="1240" ht="44" customHeight="1">
      <x:c r="A1240" s="2" t="str">
        <x:v>COL</x:v>
      </x:c>
      <x:c r="B1240" s="2" t="str">
        <x:v>life_expectancy</x:v>
      </x:c>
      <x:c r="C1240" s="2" t="n">
        <x:v>77.913</x:v>
      </x:c>
      <x:c r="D1240" s="2" t="n">
        <x:v>2024</x:v>
      </x:c>
      <x:c r="E1240" s="2" t="str">
        <x:v>WB_life_expectancy</x:v>
      </x:c>
      <x:c r="F1240" s="2" t="str">
        <x:v>Life expectancy at birth, total (years)</x:v>
      </x:c>
    </x:row>
    <x:row r="1241" ht="44" customHeight="1">
      <x:c r="A1241" s="2" t="str">
        <x:v>COL</x:v>
      </x:c>
      <x:c r="B1241" s="2" t="str">
        <x:v>age_under15</x:v>
      </x:c>
      <x:c r="C1241" s="2" t="n">
        <x:v>19.9929217500838</x:v>
      </x:c>
      <x:c r="D1241" s="2" t="n">
        <x:v>2025</x:v>
      </x:c>
      <x:c r="E1241" s="2" t="str">
        <x:v>WB_age_under15</x:v>
      </x:c>
      <x:c r="F1241" s="2" t="str">
        <x:v>Population ages 0-14 (% of total population)</x:v>
      </x:c>
    </x:row>
    <x:row r="1242" ht="44" customHeight="1">
      <x:c r="A1242" s="2" t="str">
        <x:v>COL</x:v>
      </x:c>
      <x:c r="B1242" s="2" t="str">
        <x:v>age_over65</x:v>
      </x:c>
      <x:c r="C1242" s="2" t="n">
        <x:v>10.2001032818786</x:v>
      </x:c>
      <x:c r="D1242" s="2" t="n">
        <x:v>2025</x:v>
      </x:c>
      <x:c r="E1242" s="2" t="str">
        <x:v>WB_age_over65</x:v>
      </x:c>
      <x:c r="F1242" s="2" t="str">
        <x:v>Population ages 65 and above (% of total population)</x:v>
      </x:c>
    </x:row>
    <x:row r="1243" ht="44" customHeight="1">
      <x:c r="A1243" s="2" t="str">
        <x:v>COL</x:v>
      </x:c>
      <x:c r="B1243" s="2" t="str">
        <x:v>dependency_ratio</x:v>
      </x:c>
      <x:c r="C1243" s="2" t="n">
        <x:v>43.2521594151681</x:v>
      </x:c>
      <x:c r="D1243" s="2" t="n">
        <x:v>2025</x:v>
      </x:c>
      <x:c r="E1243" s="2" t="str">
        <x:v>WB_dependency_ratio</x:v>
      </x:c>
      <x:c r="F1243" s="2" t="str">
        <x:v>Age dependency ratio (% of working-age population)</x:v>
      </x:c>
    </x:row>
    <x:row r="1244" ht="44" customHeight="1">
      <x:c r="A1244" s="2" t="str">
        <x:v>COL</x:v>
      </x:c>
      <x:c r="B1244" s="2" t="str">
        <x:v>net_migration</x:v>
      </x:c>
      <x:c r="C1244" s="2" t="n">
        <x:v>129139</x:v>
      </x:c>
      <x:c r="D1244" s="2" t="n">
        <x:v>2025</x:v>
      </x:c>
      <x:c r="E1244" s="2" t="str">
        <x:v>WB_net_migration</x:v>
      </x:c>
      <x:c r="F1244" s="2" t="str">
        <x:v>Net migration</x:v>
      </x:c>
    </x:row>
    <x:row r="1245" ht="44" customHeight="1">
      <x:c r="A1245" s="2" t="str">
        <x:v>COL</x:v>
      </x:c>
      <x:c r="B1245" s="2" t="str">
        <x:v>real_gdp</x:v>
      </x:c>
      <x:c r="C1245" s="2" t="n">
        <x:v>372674094475.955</x:v>
      </x:c>
      <x:c r="D1245" s="2" t="n">
        <x:v>2025</x:v>
      </x:c>
      <x:c r="E1245" s="2" t="str">
        <x:v>WB_real_gdp</x:v>
      </x:c>
      <x:c r="F1245" s="2" t="str">
        <x:v>GDP (constant 2015 US$)</x:v>
      </x:c>
    </x:row>
    <x:row r="1246" ht="44" customHeight="1">
      <x:c r="A1246" s="2" t="str">
        <x:v>COL</x:v>
      </x:c>
      <x:c r="B1246" s="2" t="str">
        <x:v>gdp_growth</x:v>
      </x:c>
      <x:c r="C1246" s="2" t="n">
        <x:v>2.64201548985928</x:v>
      </x:c>
      <x:c r="D1246" s="2" t="n">
        <x:v>2025</x:v>
      </x:c>
      <x:c r="E1246" s="2" t="str">
        <x:v>WB_gdp_growth</x:v>
      </x:c>
      <x:c r="F1246" s="2" t="str">
        <x:v>GDP growth (annual %)</x:v>
      </x:c>
    </x:row>
    <x:row r="1247" ht="44" customHeight="1">
      <x:c r="A1247" s="2" t="str">
        <x:v>COL</x:v>
      </x:c>
      <x:c r="B1247" s="2" t="str">
        <x:v>real_income</x:v>
      </x:c>
      <x:c r="C1247" s="2" t="n">
        <x:v>6975.56696286259</x:v>
      </x:c>
      <x:c r="D1247" s="2" t="n">
        <x:v>2025</x:v>
      </x:c>
      <x:c r="E1247" s="2" t="str">
        <x:v>WB_real_income</x:v>
      </x:c>
      <x:c r="F1247" s="2" t="str">
        <x:v>GDP per capita (constant 2015 US$)</x:v>
      </x:c>
    </x:row>
    <x:row r="1248" ht="44" customHeight="1">
      <x:c r="A1248" s="2" t="str">
        <x:v>COL</x:v>
      </x:c>
      <x:c r="B1248" s="2" t="str">
        <x:v>agriculture_gdp</x:v>
      </x:c>
      <x:c r="C1248" s="2" t="n">
        <x:v>9.94576430260876</x:v>
      </x:c>
      <x:c r="D1248" s="2" t="n">
        <x:v>2025</x:v>
      </x:c>
      <x:c r="E1248" s="2" t="str">
        <x:v>WB_agriculture_gdp</x:v>
      </x:c>
      <x:c r="F1248" s="2" t="str">
        <x:v>Agriculture, forestry, and fishing, value added (% of GDP)</x:v>
      </x:c>
    </x:row>
    <x:row r="1249" ht="44" customHeight="1">
      <x:c r="A1249" s="2" t="str">
        <x:v>COL</x:v>
      </x:c>
      <x:c r="B1249" s="2" t="str">
        <x:v>poverty</x:v>
      </x:c>
      <x:c r="C1249" s="2" t="n">
        <x:v>8.5</x:v>
      </x:c>
      <x:c r="D1249" s="2" t="n">
        <x:v>2024</x:v>
      </x:c>
      <x:c r="E1249" s="2" t="str">
        <x:v>WB_poverty</x:v>
      </x:c>
      <x:c r="F1249" s="2" t="str">
        <x:v>Poverty headcount ratio at $3.00 a day (2021 PPP) (% of population)</x:v>
      </x:c>
    </x:row>
    <x:row r="1250" ht="44" customHeight="1">
      <x:c r="A1250" s="2" t="str">
        <x:v>COL</x:v>
      </x:c>
      <x:c r="B1250" s="2" t="str">
        <x:v>gini</x:v>
      </x:c>
      <x:c r="C1250" s="2" t="n">
        <x:v>54.4</x:v>
      </x:c>
      <x:c r="D1250" s="2" t="n">
        <x:v>2024</x:v>
      </x:c>
      <x:c r="E1250" s="2" t="str">
        <x:v>WB_gini</x:v>
      </x:c>
      <x:c r="F1250" s="2" t="str">
        <x:v>Gini index</x:v>
      </x:c>
    </x:row>
    <x:row r="1251" ht="44" customHeight="1">
      <x:c r="A1251" s="2" t="str">
        <x:v>COL</x:v>
      </x:c>
      <x:c r="B1251" s="2" t="str">
        <x:v>unemployment</x:v>
      </x:c>
      <x:c r="C1251" s="2" t="n">
        <x:v>8.29</x:v>
      </x:c>
      <x:c r="D1251" s="2" t="n">
        <x:v>2025</x:v>
      </x:c>
      <x:c r="E1251" s="2" t="str">
        <x:v>WB_unemployment</x:v>
      </x:c>
      <x:c r="F1251" s="2" t="str">
        <x:v>Unemployment, total (% of total labor force) (modeled ILO estimate)</x:v>
      </x:c>
    </x:row>
    <x:row r="1252" ht="44" customHeight="1">
      <x:c r="A1252" s="2" t="str">
        <x:v>COL</x:v>
      </x:c>
      <x:c r="B1252" s="2" t="str">
        <x:v>private_credit</x:v>
      </x:c>
      <x:c r="C1252" s="2" t="n">
        <x:v>39.8565281134651</x:v>
      </x:c>
      <x:c r="D1252" s="2" t="n">
        <x:v>2025</x:v>
      </x:c>
      <x:c r="E1252" s="2" t="str">
        <x:v>WB_private_credit</x:v>
      </x:c>
      <x:c r="F1252" s="2" t="str">
        <x:v>Domestic credit to private sector (% of GDP)</x:v>
      </x:c>
    </x:row>
    <x:row r="1253" ht="44" customHeight="1">
      <x:c r="A1253" s="2" t="str">
        <x:v>COL</x:v>
      </x:c>
      <x:c r="B1253" s="2" t="str">
        <x:v>lending_rate</x:v>
      </x:c>
      <x:c r="C1253" s="2" t="n">
        <x:v>14.3114389316572</x:v>
      </x:c>
      <x:c r="D1253" s="2" t="n">
        <x:v>2025</x:v>
      </x:c>
      <x:c r="E1253" s="2" t="str">
        <x:v>WB_lending_rate</x:v>
      </x:c>
      <x:c r="F1253" s="2" t="str">
        <x:v>Lending interest rate (%)</x:v>
      </x:c>
    </x:row>
    <x:row r="1254" ht="44" customHeight="1">
      <x:c r="A1254" s="2" t="str">
        <x:v>COL</x:v>
      </x:c>
      <x:c r="B1254" s="2" t="str">
        <x:v>real_interest</x:v>
      </x:c>
      <x:c r="C1254" s="2" t="n">
        <x:v>8.43150544970828</x:v>
      </x:c>
      <x:c r="D1254" s="2" t="n">
        <x:v>2025</x:v>
      </x:c>
      <x:c r="E1254" s="2" t="str">
        <x:v>WB_real_interest</x:v>
      </x:c>
      <x:c r="F1254" s="2" t="str">
        <x:v>Real interest rate (%)</x:v>
      </x:c>
    </x:row>
    <x:row r="1255" ht="44" customHeight="1">
      <x:c r="A1255" s="2" t="str">
        <x:v>COL</x:v>
      </x:c>
      <x:c r="B1255" s="2" t="str">
        <x:v>government_debt</x:v>
      </x:c>
      <x:c r="C1255" s="2" t="n">
        <x:v>71.1965371181288</x:v>
      </x:c>
      <x:c r="D1255" s="2" t="n">
        <x:v>2024</x:v>
      </x:c>
      <x:c r="E1255" s="2" t="str">
        <x:v>WB_government_debt</x:v>
      </x:c>
      <x:c r="F1255" s="2" t="str">
        <x:v>Central government debt, total (% of GDP)</x:v>
      </x:c>
    </x:row>
    <x:row r="1256" ht="44" customHeight="1">
      <x:c r="A1256" s="2" t="str">
        <x:v>COL</x:v>
      </x:c>
      <x:c r="B1256" s="2" t="str">
        <x:v>electricity_access</x:v>
      </x:c>
      <x:c r="C1256" s="2" t="n">
        <x:v>98.9</x:v>
      </x:c>
      <x:c r="D1256" s="2" t="n">
        <x:v>2024</x:v>
      </x:c>
      <x:c r="E1256" s="2" t="str">
        <x:v>WB_electricity_access</x:v>
      </x:c>
      <x:c r="F1256" s="2" t="str">
        <x:v>Access to electricity (% of population)</x:v>
      </x:c>
    </x:row>
    <x:row r="1257" ht="44" customHeight="1">
      <x:c r="A1257" s="2" t="str">
        <x:v>COL</x:v>
      </x:c>
      <x:c r="B1257" s="2" t="str">
        <x:v>irrigated_land</x:v>
      </x:c>
      <x:c r="C1257" s="2" t="n">
        <x:v>1.45172663090531</x:v>
      </x:c>
      <x:c r="D1257" s="2" t="n">
        <x:v>2013</x:v>
      </x:c>
      <x:c r="E1257" s="2" t="str">
        <x:v>WB_irrigated_land</x:v>
      </x:c>
      <x:c r="F1257" s="2" t="str">
        <x:v>Agricultural irrigated land (% of total agricultural land)</x:v>
      </x:c>
    </x:row>
    <x:row r="1258" ht="44" customHeight="1">
      <x:c r="A1258" s="2" t="str">
        <x:v>COL</x:v>
      </x:c>
      <x:c r="B1258" s="2" t="str">
        <x:v>cereal_area</x:v>
      </x:c>
      <x:c r="C1258" s="2" t="n">
        <x:v>981981</x:v>
      </x:c>
      <x:c r="D1258" s="2" t="n">
        <x:v>2024</x:v>
      </x:c>
      <x:c r="E1258" s="2" t="str">
        <x:v>WB_cereal_area</x:v>
      </x:c>
      <x:c r="F1258" s="2" t="str">
        <x:v>Land under cereal production (hectares)</x:v>
      </x:c>
    </x:row>
    <x:row r="1259" ht="44" customHeight="1">
      <x:c r="A1259" s="2" t="str">
        <x:v>COL</x:v>
      </x:c>
      <x:c r="B1259" s="2" t="str">
        <x:v>undernourishment</x:v>
      </x:c>
      <x:c r="C1259" s="2" t="n">
        <x:v>3.9</x:v>
      </x:c>
      <x:c r="D1259" s="2" t="n">
        <x:v>2023</x:v>
      </x:c>
      <x:c r="E1259" s="2" t="str">
        <x:v>WB_undernourishment</x:v>
      </x:c>
      <x:c r="F1259" s="2" t="str">
        <x:v>Prevalence of undernourishment (% of population)</x:v>
      </x:c>
    </x:row>
    <x:row r="1260" ht="44" customHeight="1">
      <x:c r="A1260" s="2" t="str">
        <x:v>COL</x:v>
      </x:c>
      <x:c r="B1260" s="2" t="str">
        <x:v>agriculture_employment</x:v>
      </x:c>
      <x:c r="C1260" s="2" t="n">
        <x:v>14.1575818404901</x:v>
      </x:c>
      <x:c r="D1260" s="2" t="n">
        <x:v>2025</x:v>
      </x:c>
      <x:c r="E1260" s="2" t="str">
        <x:v>WB_agriculture_employment</x:v>
      </x:c>
      <x:c r="F1260" s="2" t="str">
        <x:v>Employment in agriculture (% of total employment) (modeled ILO estimate)</x:v>
      </x:c>
    </x:row>
    <x:row r="1261" ht="44" customHeight="1">
      <x:c r="A1261" s="2" t="str">
        <x:v>COL</x:v>
      </x:c>
      <x:c r="B1261" s="2" t="str">
        <x:v>water_withdrawal</x:v>
      </x:c>
      <x:c r="C1261" s="2" t="n">
        <x:v>1.13117202797203</x:v>
      </x:c>
      <x:c r="D1261" s="2" t="n">
        <x:v>2022</x:v>
      </x:c>
      <x:c r="E1261" s="2" t="str">
        <x:v>WB_water_withdrawal</x:v>
      </x:c>
      <x:c r="F1261" s="2" t="str">
        <x:v>Annual freshwater withdrawals, total (% of internal resources)</x:v>
      </x:c>
    </x:row>
    <x:row r="1262" ht="44" customHeight="1">
      <x:c r="A1262" s="2" t="str">
        <x:v>COM</x:v>
      </x:c>
      <x:c r="B1262" s="2" t="str">
        <x:v>population</x:v>
      </x:c>
      <x:c r="C1262" s="2" t="n">
        <x:v>882847</x:v>
      </x:c>
      <x:c r="D1262" s="2" t="n">
        <x:v>2025</x:v>
      </x:c>
      <x:c r="E1262" s="2" t="str">
        <x:v>WB_population</x:v>
      </x:c>
      <x:c r="F1262" s="2" t="str">
        <x:v>Population, total</x:v>
      </x:c>
    </x:row>
    <x:row r="1263" ht="44" customHeight="1">
      <x:c r="A1263" s="2" t="str">
        <x:v>COM</x:v>
      </x:c>
      <x:c r="B1263" s="2" t="str">
        <x:v>income_ppp</x:v>
      </x:c>
      <x:c r="C1263" s="2" t="n">
        <x:v>3621.76626304343</x:v>
      </x:c>
      <x:c r="D1263" s="2" t="n">
        <x:v>2025</x:v>
      </x:c>
      <x:c r="E1263" s="2" t="str">
        <x:v>WB_income_ppp</x:v>
      </x:c>
      <x:c r="F1263" s="2" t="str">
        <x:v>GDP per capita, PPP (constant 2021 international $)</x:v>
      </x:c>
    </x:row>
    <x:row r="1264" ht="44" customHeight="1">
      <x:c r="A1264" s="2" t="str">
        <x:v>COM</x:v>
      </x:c>
      <x:c r="B1264" s="2" t="str">
        <x:v>urban</x:v>
      </x:c>
      <x:c r="C1264" s="2" t="n">
        <x:v>33.941547481361</x:v>
      </x:c>
      <x:c r="D1264" s="2" t="n">
        <x:v>2025</x:v>
      </x:c>
      <x:c r="E1264" s="2" t="str">
        <x:v>WB_urban</x:v>
      </x:c>
      <x:c r="F1264" s="2" t="str">
        <x:v>Urban population (% of total population)</x:v>
      </x:c>
    </x:row>
    <x:row r="1265" ht="44" customHeight="1">
      <x:c r="A1265" s="2" t="str">
        <x:v>COM</x:v>
      </x:c>
      <x:c r="B1265" s="2" t="str">
        <x:v>inflation</x:v>
      </x:c>
      <x:c r="C1265" s="2" t="n">
        <x:v>3.24909332306433</x:v>
      </x:c>
      <x:c r="D1265" s="2" t="n">
        <x:v>2025</x:v>
      </x:c>
      <x:c r="E1265" s="2" t="str">
        <x:v>WB_inflation</x:v>
      </x:c>
      <x:c r="F1265" s="2" t="str">
        <x:v>Inflation, consumer prices (annual %)</x:v>
      </x:c>
    </x:row>
    <x:row r="1266" ht="44" customHeight="1">
      <x:c r="A1266" s="2" t="str">
        <x:v>COM</x:v>
      </x:c>
      <x:c r="B1266" s="2" t="str">
        <x:v>food_index</x:v>
      </x:c>
      <x:c r="C1266" s="2" t="n">
        <x:v>106.65</x:v>
      </x:c>
      <x:c r="D1266" s="2" t="n">
        <x:v>2022</x:v>
      </x:c>
      <x:c r="E1266" s="2" t="str">
        <x:v>WB_food_index</x:v>
      </x:c>
      <x:c r="F1266" s="2" t="str">
        <x:v>Food production index (2014-2016 = 100)</x:v>
      </x:c>
    </x:row>
    <x:row r="1267" ht="44" customHeight="1">
      <x:c r="A1267" s="2" t="str">
        <x:v>COM</x:v>
      </x:c>
      <x:c r="B1267" s="2" t="str">
        <x:v>food_import_share</x:v>
      </x:c>
      <x:c r="C1267" s="2" t="n">
        <x:v>42.0679880779038</x:v>
      </x:c>
      <x:c r="D1267" s="2" t="n">
        <x:v>2023</x:v>
      </x:c>
      <x:c r="E1267" s="2" t="str">
        <x:v>WB_food_import_share</x:v>
      </x:c>
      <x:c r="F1267" s="2" t="str">
        <x:v>Food imports (% of merchandise imports)</x:v>
      </x:c>
    </x:row>
    <x:row r="1268" ht="44" customHeight="1">
      <x:c r="A1268" s="2" t="str">
        <x:v>COM</x:v>
      </x:c>
      <x:c r="B1268" s="2" t="str">
        <x:v>food_export_share</x:v>
      </x:c>
      <x:c r="C1268" s="2" t="n">
        <x:v>88.5424530520686</x:v>
      </x:c>
      <x:c r="D1268" s="2" t="n">
        <x:v>2023</x:v>
      </x:c>
      <x:c r="E1268" s="2" t="str">
        <x:v>WB_food_export_share</x:v>
      </x:c>
      <x:c r="F1268" s="2" t="str">
        <x:v>Food exports (% of merchandise exports)</x:v>
      </x:c>
    </x:row>
    <x:row r="1269" ht="44" customHeight="1">
      <x:c r="A1269" s="2" t="str">
        <x:v>COM</x:v>
      </x:c>
      <x:c r="B1269" s="2" t="str">
        <x:v>imports_usd</x:v>
      </x:c>
      <x:c r="C1269" s="2" t="n">
        <x:v>371000000</x:v>
      </x:c>
      <x:c r="D1269" s="2" t="n">
        <x:v>2025</x:v>
      </x:c>
      <x:c r="E1269" s="2" t="str">
        <x:v>WB_imports_usd</x:v>
      </x:c>
      <x:c r="F1269" s="2" t="str">
        <x:v>Merchandise imports (current US$)</x:v>
      </x:c>
    </x:row>
    <x:row r="1270" ht="44" customHeight="1">
      <x:c r="A1270" s="2" t="str">
        <x:v>COM</x:v>
      </x:c>
      <x:c r="B1270" s="2" t="str">
        <x:v>exports_usd</x:v>
      </x:c>
      <x:c r="C1270" s="2" t="n">
        <x:v>48000000</x:v>
      </x:c>
      <x:c r="D1270" s="2" t="n">
        <x:v>2025</x:v>
      </x:c>
      <x:c r="E1270" s="2" t="str">
        <x:v>WB_exports_usd</x:v>
      </x:c>
      <x:c r="F1270" s="2" t="str">
        <x:v>Merchandise exports (current US$)</x:v>
      </x:c>
    </x:row>
    <x:row r="1271" ht="44" customHeight="1">
      <x:c r="A1271" s="2" t="str">
        <x:v>COM</x:v>
      </x:c>
      <x:c r="B1271" s="2" t="str">
        <x:v>cereal_yield</x:v>
      </x:c>
      <x:c r="C1271" s="2" t="n">
        <x:v>1734.4</x:v>
      </x:c>
      <x:c r="D1271" s="2" t="n">
        <x:v>2023</x:v>
      </x:c>
      <x:c r="E1271" s="2" t="str">
        <x:v>WB_cereal_yield</x:v>
      </x:c>
      <x:c r="F1271" s="2" t="str">
        <x:v>Cereal yield (kg per hectare)</x:v>
      </x:c>
    </x:row>
    <x:row r="1272" ht="44" customHeight="1">
      <x:c r="A1272" s="2" t="str">
        <x:v>COM</x:v>
      </x:c>
      <x:c r="B1272" s="2" t="str">
        <x:v>water_stress</x:v>
      </x:c>
      <x:c r="C1272" s="2" t="n">
        <x:v>0.833333333</x:v>
      </x:c>
      <x:c r="D1272" s="2" t="n">
        <x:v>2022</x:v>
      </x:c>
      <x:c r="E1272" s="2" t="str">
        <x:v>WB_water_stress</x:v>
      </x:c>
      <x:c r="F1272" s="2" t="str">
        <x:v>Level of water stress: freshwater withdrawal as a proportion of available freshwater resources</x:v>
      </x:c>
    </x:row>
    <x:row r="1273" ht="44" customHeight="1">
      <x:c r="A1273" s="2" t="str">
        <x:v>COM</x:v>
      </x:c>
      <x:c r="B1273" s="2" t="str">
        <x:v>fertility</x:v>
      </x:c>
      <x:c r="C1273" s="2" t="n">
        <x:v>3.822</x:v>
      </x:c>
      <x:c r="D1273" s="2" t="n">
        <x:v>2024</x:v>
      </x:c>
      <x:c r="E1273" s="2" t="str">
        <x:v>WB_fertility</x:v>
      </x:c>
      <x:c r="F1273" s="2" t="str">
        <x:v>Fertility rate, total (births per woman)</x:v>
      </x:c>
    </x:row>
    <x:row r="1274" ht="44" customHeight="1">
      <x:c r="A1274" s="2" t="str">
        <x:v>COM</x:v>
      </x:c>
      <x:c r="B1274" s="2" t="str">
        <x:v>life_expectancy</x:v>
      </x:c>
      <x:c r="C1274" s="2" t="n">
        <x:v>67.023</x:v>
      </x:c>
      <x:c r="D1274" s="2" t="n">
        <x:v>2024</x:v>
      </x:c>
      <x:c r="E1274" s="2" t="str">
        <x:v>WB_life_expectancy</x:v>
      </x:c>
      <x:c r="F1274" s="2" t="str">
        <x:v>Life expectancy at birth, total (years)</x:v>
      </x:c>
    </x:row>
    <x:row r="1275" ht="44" customHeight="1">
      <x:c r="A1275" s="2" t="str">
        <x:v>COM</x:v>
      </x:c>
      <x:c r="B1275" s="2" t="str">
        <x:v>age_under15</x:v>
      </x:c>
      <x:c r="C1275" s="2" t="n">
        <x:v>36.8698444521846</x:v>
      </x:c>
      <x:c r="D1275" s="2" t="n">
        <x:v>2025</x:v>
      </x:c>
      <x:c r="E1275" s="2" t="str">
        <x:v>WB_age_under15</x:v>
      </x:c>
      <x:c r="F1275" s="2" t="str">
        <x:v>Population ages 0-14 (% of total population)</x:v>
      </x:c>
    </x:row>
    <x:row r="1276" ht="44" customHeight="1">
      <x:c r="A1276" s="2" t="str">
        <x:v>COM</x:v>
      </x:c>
      <x:c r="B1276" s="2" t="str">
        <x:v>age_over65</x:v>
      </x:c>
      <x:c r="C1276" s="2" t="n">
        <x:v>4.45428004270273</x:v>
      </x:c>
      <x:c r="D1276" s="2" t="n">
        <x:v>2025</x:v>
      </x:c>
      <x:c r="E1276" s="2" t="str">
        <x:v>WB_age_over65</x:v>
      </x:c>
      <x:c r="F1276" s="2" t="str">
        <x:v>Population ages 65 and above (% of total population)</x:v>
      </x:c>
    </x:row>
    <x:row r="1277" ht="44" customHeight="1">
      <x:c r="A1277" s="2" t="str">
        <x:v>COM</x:v>
      </x:c>
      <x:c r="B1277" s="2" t="str">
        <x:v>dependency_ratio</x:v>
      </x:c>
      <x:c r="C1277" s="2" t="n">
        <x:v>70.4276685366146</x:v>
      </x:c>
      <x:c r="D1277" s="2" t="n">
        <x:v>2025</x:v>
      </x:c>
      <x:c r="E1277" s="2" t="str">
        <x:v>WB_dependency_ratio</x:v>
      </x:c>
      <x:c r="F1277" s="2" t="str">
        <x:v>Age dependency ratio (% of working-age population)</x:v>
      </x:c>
    </x:row>
    <x:row r="1278" ht="44" customHeight="1">
      <x:c r="A1278" s="2" t="str">
        <x:v>COM</x:v>
      </x:c>
      <x:c r="B1278" s="2" t="str">
        <x:v>net_migration</x:v>
      </x:c>
      <x:c r="C1278" s="2" t="n">
        <x:v>-2127</x:v>
      </x:c>
      <x:c r="D1278" s="2" t="n">
        <x:v>2025</x:v>
      </x:c>
      <x:c r="E1278" s="2" t="str">
        <x:v>WB_net_migration</x:v>
      </x:c>
      <x:c r="F1278" s="2" t="str">
        <x:v>Net migration</x:v>
      </x:c>
    </x:row>
    <x:row r="1279" ht="44" customHeight="1">
      <x:c r="A1279" s="2" t="str">
        <x:v>COM</x:v>
      </x:c>
      <x:c r="B1279" s="2" t="str">
        <x:v>real_gdp</x:v>
      </x:c>
      <x:c r="C1279" s="2" t="n">
        <x:v>1261102493.64924</x:v>
      </x:c>
      <x:c r="D1279" s="2" t="n">
        <x:v>2025</x:v>
      </x:c>
      <x:c r="E1279" s="2" t="str">
        <x:v>WB_real_gdp</x:v>
      </x:c>
      <x:c r="F1279" s="2" t="str">
        <x:v>GDP (constant 2015 US$)</x:v>
      </x:c>
    </x:row>
    <x:row r="1280" ht="44" customHeight="1">
      <x:c r="A1280" s="2" t="str">
        <x:v>COM</x:v>
      </x:c>
      <x:c r="B1280" s="2" t="str">
        <x:v>gdp_growth</x:v>
      </x:c>
      <x:c r="C1280" s="2" t="n">
        <x:v>3.7544428489181</x:v>
      </x:c>
      <x:c r="D1280" s="2" t="n">
        <x:v>2025</x:v>
      </x:c>
      <x:c r="E1280" s="2" t="str">
        <x:v>WB_gdp_growth</x:v>
      </x:c>
      <x:c r="F1280" s="2" t="str">
        <x:v>GDP growth (annual %)</x:v>
      </x:c>
    </x:row>
    <x:row r="1281" ht="44" customHeight="1">
      <x:c r="A1281" s="2" t="str">
        <x:v>COM</x:v>
      </x:c>
      <x:c r="B1281" s="2" t="str">
        <x:v>real_income</x:v>
      </x:c>
      <x:c r="C1281" s="2" t="n">
        <x:v>1428.44965622497</x:v>
      </x:c>
      <x:c r="D1281" s="2" t="n">
        <x:v>2025</x:v>
      </x:c>
      <x:c r="E1281" s="2" t="str">
        <x:v>WB_real_income</x:v>
      </x:c>
      <x:c r="F1281" s="2" t="str">
        <x:v>GDP per capita (constant 2015 US$)</x:v>
      </x:c>
    </x:row>
    <x:row r="1282" ht="44" customHeight="1">
      <x:c r="A1282" s="2" t="str">
        <x:v>COM</x:v>
      </x:c>
      <x:c r="B1282" s="2" t="str">
        <x:v>agriculture_gdp</x:v>
      </x:c>
      <x:c r="C1282" s="2" t="n">
        <x:v>36.5776219773036</x:v>
      </x:c>
      <x:c r="D1282" s="2" t="n">
        <x:v>2025</x:v>
      </x:c>
      <x:c r="E1282" s="2" t="str">
        <x:v>WB_agriculture_gdp</x:v>
      </x:c>
      <x:c r="F1282" s="2" t="str">
        <x:v>Agriculture, forestry, and fishing, value added (% of GDP)</x:v>
      </x:c>
    </x:row>
    <x:row r="1283" ht="44" customHeight="1">
      <x:c r="A1283" s="2" t="str">
        <x:v>COM</x:v>
      </x:c>
      <x:c r="B1283" s="2" t="str">
        <x:v>poverty</x:v>
      </x:c>
      <x:c r="C1283" s="2" t="n">
        <x:v>5.1</x:v>
      </x:c>
      <x:c r="D1283" s="2" t="n">
        <x:v>2024</x:v>
      </x:c>
      <x:c r="E1283" s="2" t="str">
        <x:v>WB_poverty</x:v>
      </x:c>
      <x:c r="F1283" s="2" t="str">
        <x:v>Poverty headcount ratio at $3.00 a day (2021 PPP) (% of population)</x:v>
      </x:c>
    </x:row>
    <x:row r="1284" ht="44" customHeight="1">
      <x:c r="A1284" s="2" t="str">
        <x:v>COM</x:v>
      </x:c>
      <x:c r="B1284" s="2" t="str">
        <x:v>gini</x:v>
      </x:c>
      <x:c r="C1284" s="2" t="n">
        <x:v>30.3</x:v>
      </x:c>
      <x:c r="D1284" s="2" t="n">
        <x:v>2024</x:v>
      </x:c>
      <x:c r="E1284" s="2" t="str">
        <x:v>WB_gini</x:v>
      </x:c>
      <x:c r="F1284" s="2" t="str">
        <x:v>Gini index</x:v>
      </x:c>
    </x:row>
    <x:row r="1285" ht="44" customHeight="1">
      <x:c r="A1285" s="2" t="str">
        <x:v>COM</x:v>
      </x:c>
      <x:c r="B1285" s="2" t="str">
        <x:v>unemployment</x:v>
      </x:c>
      <x:c r="C1285" s="2" t="n">
        <x:v>3.819</x:v>
      </x:c>
      <x:c r="D1285" s="2" t="n">
        <x:v>2025</x:v>
      </x:c>
      <x:c r="E1285" s="2" t="str">
        <x:v>WB_unemployment</x:v>
      </x:c>
      <x:c r="F1285" s="2" t="str">
        <x:v>Unemployment, total (% of total labor force) (modeled ILO estimate)</x:v>
      </x:c>
    </x:row>
    <x:row r="1286" ht="44" customHeight="1">
      <x:c r="A1286" s="2" t="str">
        <x:v>COM</x:v>
      </x:c>
      <x:c r="B1286" s="2" t="str">
        <x:v>private_credit</x:v>
      </x:c>
      <x:c r="C1286" s="2" t="n">
        <x:v>15.3194009591458</x:v>
      </x:c>
      <x:c r="D1286" s="2" t="n">
        <x:v>2024</x:v>
      </x:c>
      <x:c r="E1286" s="2" t="str">
        <x:v>WB_private_credit</x:v>
      </x:c>
      <x:c r="F1286" s="2" t="str">
        <x:v>Domestic credit to private sector (% of GDP)</x:v>
      </x:c>
    </x:row>
    <x:row r="1287" ht="44" customHeight="1">
      <x:c r="A1287" s="2" t="str">
        <x:v>COM</x:v>
      </x:c>
      <x:c r="B1287" s="2" t="str">
        <x:v>lending_rate</x:v>
      </x:c>
      <x:c r="C1287" s="2" t="n">
        <x:v>8.03375</x:v>
      </x:c>
      <x:c r="D1287" s="2" t="n">
        <x:v>2022</x:v>
      </x:c>
      <x:c r="E1287" s="2" t="str">
        <x:v>WB_lending_rate</x:v>
      </x:c>
      <x:c r="F1287" s="2" t="str">
        <x:v>Lending interest rate (%)</x:v>
      </x:c>
    </x:row>
    <x:row r="1288" ht="44" customHeight="1">
      <x:c r="A1288" s="2" t="str">
        <x:v>COM</x:v>
      </x:c>
      <x:c r="B1288" s="2" t="str">
        <x:v>real_interest</x:v>
      </x:c>
      <x:c r="C1288" s="2" t="n">
        <x:v>0.0493492067344252</x:v>
      </x:c>
      <x:c r="D1288" s="2" t="n">
        <x:v>2022</x:v>
      </x:c>
      <x:c r="E1288" s="2" t="str">
        <x:v>WB_real_interest</x:v>
      </x:c>
      <x:c r="F1288" s="2" t="str">
        <x:v>Real interest rate (%)</x:v>
      </x:c>
    </x:row>
    <x:row r="1289" ht="44" customHeight="1">
      <x:c r="A1289" s="2" t="str">
        <x:v>COM</x:v>
      </x:c>
      <x:c r="B1289" s="2" t="str">
        <x:v>government_debt</x:v>
      </x:c>
      <x:c r="C1289" s="2"/>
      <x:c r="D1289" s="2"/>
      <x:c r="E1289" s="2" t="str">
        <x:v>Missing</x:v>
      </x:c>
      <x:c r="F1289" s="2" t="str">
        <x:v>Central government debt, total (% of GDP)</x:v>
      </x:c>
    </x:row>
    <x:row r="1290" ht="44" customHeight="1">
      <x:c r="A1290" s="2" t="str">
        <x:v>COM</x:v>
      </x:c>
      <x:c r="B1290" s="2" t="str">
        <x:v>electricity_access</x:v>
      </x:c>
      <x:c r="C1290" s="2" t="n">
        <x:v>91.7</x:v>
      </x:c>
      <x:c r="D1290" s="2" t="n">
        <x:v>2024</x:v>
      </x:c>
      <x:c r="E1290" s="2" t="str">
        <x:v>WB_electricity_access</x:v>
      </x:c>
      <x:c r="F1290" s="2" t="str">
        <x:v>Access to electricity (% of population)</x:v>
      </x:c>
    </x:row>
    <x:row r="1291" ht="44" customHeight="1">
      <x:c r="A1291" s="2" t="str">
        <x:v>COM</x:v>
      </x:c>
      <x:c r="B1291" s="2" t="str">
        <x:v>irrigated_land</x:v>
      </x:c>
      <x:c r="C1291" s="2"/>
      <x:c r="D1291" s="2"/>
      <x:c r="E1291" s="2" t="str">
        <x:v>Missing</x:v>
      </x:c>
      <x:c r="F1291" s="2" t="str">
        <x:v>Agricultural irrigated land (% of total agricultural land)</x:v>
      </x:c>
    </x:row>
    <x:row r="1292" ht="44" customHeight="1">
      <x:c r="A1292" s="2" t="str">
        <x:v>COM</x:v>
      </x:c>
      <x:c r="B1292" s="2" t="str">
        <x:v>cereal_area</x:v>
      </x:c>
      <x:c r="C1292" s="2" t="n">
        <x:v>11361</x:v>
      </x:c>
      <x:c r="D1292" s="2" t="n">
        <x:v>2023</x:v>
      </x:c>
      <x:c r="E1292" s="2" t="str">
        <x:v>WB_cereal_area</x:v>
      </x:c>
      <x:c r="F1292" s="2" t="str">
        <x:v>Land under cereal production (hectares)</x:v>
      </x:c>
    </x:row>
    <x:row r="1293" ht="44" customHeight="1">
      <x:c r="A1293" s="2" t="str">
        <x:v>COM</x:v>
      </x:c>
      <x:c r="B1293" s="2" t="str">
        <x:v>undernourishment</x:v>
      </x:c>
      <x:c r="C1293" s="2" t="n">
        <x:v>15.4</x:v>
      </x:c>
      <x:c r="D1293" s="2" t="n">
        <x:v>2023</x:v>
      </x:c>
      <x:c r="E1293" s="2" t="str">
        <x:v>WB_undernourishment</x:v>
      </x:c>
      <x:c r="F1293" s="2" t="str">
        <x:v>Prevalence of undernourishment (% of population)</x:v>
      </x:c>
    </x:row>
    <x:row r="1294" ht="44" customHeight="1">
      <x:c r="A1294" s="2" t="str">
        <x:v>COM</x:v>
      </x:c>
      <x:c r="B1294" s="2" t="str">
        <x:v>agriculture_employment</x:v>
      </x:c>
      <x:c r="C1294" s="2" t="n">
        <x:v>33.5566541348354</x:v>
      </x:c>
      <x:c r="D1294" s="2" t="n">
        <x:v>2025</x:v>
      </x:c>
      <x:c r="E1294" s="2" t="str">
        <x:v>WB_agriculture_employment</x:v>
      </x:c>
      <x:c r="F1294" s="2" t="str">
        <x:v>Employment in agriculture (% of total employment) (modeled ILO estimate)</x:v>
      </x:c>
    </x:row>
    <x:row r="1295" ht="44" customHeight="1">
      <x:c r="A1295" s="2" t="str">
        <x:v>COM</x:v>
      </x:c>
      <x:c r="B1295" s="2" t="str">
        <x:v>water_withdrawal</x:v>
      </x:c>
      <x:c r="C1295" s="2" t="n">
        <x:v>0.833333333333333</x:v>
      </x:c>
      <x:c r="D1295" s="2" t="n">
        <x:v>2022</x:v>
      </x:c>
      <x:c r="E1295" s="2" t="str">
        <x:v>WB_water_withdrawal</x:v>
      </x:c>
      <x:c r="F1295" s="2" t="str">
        <x:v>Annual freshwater withdrawals, total (% of internal resources)</x:v>
      </x:c>
    </x:row>
    <x:row r="1296" ht="44" customHeight="1">
      <x:c r="A1296" s="2" t="str">
        <x:v>COG</x:v>
      </x:c>
      <x:c r="B1296" s="2" t="str">
        <x:v>population</x:v>
      </x:c>
      <x:c r="C1296" s="2" t="n">
        <x:v>6484437</x:v>
      </x:c>
      <x:c r="D1296" s="2" t="n">
        <x:v>2025</x:v>
      </x:c>
      <x:c r="E1296" s="2" t="str">
        <x:v>WB_population</x:v>
      </x:c>
      <x:c r="F1296" s="2" t="str">
        <x:v>Population, total</x:v>
      </x:c>
    </x:row>
    <x:row r="1297" ht="44" customHeight="1">
      <x:c r="A1297" s="2" t="str">
        <x:v>COG</x:v>
      </x:c>
      <x:c r="B1297" s="2" t="str">
        <x:v>income_ppp</x:v>
      </x:c>
      <x:c r="C1297" s="2" t="n">
        <x:v>6194.08981287756</x:v>
      </x:c>
      <x:c r="D1297" s="2" t="n">
        <x:v>2025</x:v>
      </x:c>
      <x:c r="E1297" s="2" t="str">
        <x:v>WB_income_ppp</x:v>
      </x:c>
      <x:c r="F1297" s="2" t="str">
        <x:v>GDP per capita, PPP (constant 2021 international $)</x:v>
      </x:c>
    </x:row>
    <x:row r="1298" ht="44" customHeight="1">
      <x:c r="A1298" s="2" t="str">
        <x:v>COG</x:v>
      </x:c>
      <x:c r="B1298" s="2" t="str">
        <x:v>urban</x:v>
      </x:c>
      <x:c r="C1298" s="2" t="n">
        <x:v>64.1236534817412</x:v>
      </x:c>
      <x:c r="D1298" s="2" t="n">
        <x:v>2025</x:v>
      </x:c>
      <x:c r="E1298" s="2" t="str">
        <x:v>WB_urban</x:v>
      </x:c>
      <x:c r="F1298" s="2" t="str">
        <x:v>Urban population (% of total population)</x:v>
      </x:c>
    </x:row>
    <x:row r="1299" ht="44" customHeight="1">
      <x:c r="A1299" s="2" t="str">
        <x:v>COG</x:v>
      </x:c>
      <x:c r="B1299" s="2" t="str">
        <x:v>inflation</x:v>
      </x:c>
      <x:c r="C1299" s="2" t="n">
        <x:v>2.40069559361747</x:v>
      </x:c>
      <x:c r="D1299" s="2" t="n">
        <x:v>2025</x:v>
      </x:c>
      <x:c r="E1299" s="2" t="str">
        <x:v>WB_inflation</x:v>
      </x:c>
      <x:c r="F1299" s="2" t="str">
        <x:v>Inflation, consumer prices (annual %)</x:v>
      </x:c>
    </x:row>
    <x:row r="1300" ht="44" customHeight="1">
      <x:c r="A1300" s="2" t="str">
        <x:v>COG</x:v>
      </x:c>
      <x:c r="B1300" s="2" t="str">
        <x:v>food_index</x:v>
      </x:c>
      <x:c r="C1300" s="2" t="n">
        <x:v>106.13</x:v>
      </x:c>
      <x:c r="D1300" s="2" t="n">
        <x:v>2022</x:v>
      </x:c>
      <x:c r="E1300" s="2" t="str">
        <x:v>WB_food_index</x:v>
      </x:c>
      <x:c r="F1300" s="2" t="str">
        <x:v>Food production index (2014-2016 = 100)</x:v>
      </x:c>
    </x:row>
    <x:row r="1301" ht="44" customHeight="1">
      <x:c r="A1301" s="2" t="str">
        <x:v>COG</x:v>
      </x:c>
      <x:c r="B1301" s="2" t="str">
        <x:v>food_import_share</x:v>
      </x:c>
      <x:c r="C1301" s="2" t="n">
        <x:v>21.2405849167454</x:v>
      </x:c>
      <x:c r="D1301" s="2" t="n">
        <x:v>2023</x:v>
      </x:c>
      <x:c r="E1301" s="2" t="str">
        <x:v>WB_food_import_share</x:v>
      </x:c>
      <x:c r="F1301" s="2" t="str">
        <x:v>Food imports (% of merchandise imports)</x:v>
      </x:c>
    </x:row>
    <x:row r="1302" ht="44" customHeight="1">
      <x:c r="A1302" s="2" t="str">
        <x:v>COG</x:v>
      </x:c>
      <x:c r="B1302" s="2" t="str">
        <x:v>food_export_share</x:v>
      </x:c>
      <x:c r="C1302" s="2" t="n">
        <x:v>0.173192941619293</x:v>
      </x:c>
      <x:c r="D1302" s="2" t="n">
        <x:v>2023</x:v>
      </x:c>
      <x:c r="E1302" s="2" t="str">
        <x:v>WB_food_export_share</x:v>
      </x:c>
      <x:c r="F1302" s="2" t="str">
        <x:v>Food exports (% of merchandise exports)</x:v>
      </x:c>
    </x:row>
    <x:row r="1303" ht="44" customHeight="1">
      <x:c r="A1303" s="2" t="str">
        <x:v>COG</x:v>
      </x:c>
      <x:c r="B1303" s="2" t="str">
        <x:v>imports_usd</x:v>
      </x:c>
      <x:c r="C1303" s="2" t="n">
        <x:v>7900000000</x:v>
      </x:c>
      <x:c r="D1303" s="2" t="n">
        <x:v>2025</x:v>
      </x:c>
      <x:c r="E1303" s="2" t="str">
        <x:v>WB_imports_usd</x:v>
      </x:c>
      <x:c r="F1303" s="2" t="str">
        <x:v>Merchandise imports (current US$)</x:v>
      </x:c>
    </x:row>
    <x:row r="1304" ht="44" customHeight="1">
      <x:c r="A1304" s="2" t="str">
        <x:v>COG</x:v>
      </x:c>
      <x:c r="B1304" s="2" t="str">
        <x:v>exports_usd</x:v>
      </x:c>
      <x:c r="C1304" s="2" t="n">
        <x:v>7500000000</x:v>
      </x:c>
      <x:c r="D1304" s="2" t="n">
        <x:v>2025</x:v>
      </x:c>
      <x:c r="E1304" s="2" t="str">
        <x:v>WB_exports_usd</x:v>
      </x:c>
      <x:c r="F1304" s="2" t="str">
        <x:v>Merchandise exports (current US$)</x:v>
      </x:c>
    </x:row>
    <x:row r="1305" ht="44" customHeight="1">
      <x:c r="A1305" s="2" t="str">
        <x:v>COG</x:v>
      </x:c>
      <x:c r="B1305" s="2" t="str">
        <x:v>cereal_yield</x:v>
      </x:c>
      <x:c r="C1305" s="2" t="n">
        <x:v>877.7</x:v>
      </x:c>
      <x:c r="D1305" s="2" t="n">
        <x:v>2023</x:v>
      </x:c>
      <x:c r="E1305" s="2" t="str">
        <x:v>WB_cereal_yield</x:v>
      </x:c>
      <x:c r="F1305" s="2" t="str">
        <x:v>Cereal yield (kg per hectare)</x:v>
      </x:c>
    </x:row>
    <x:row r="1306" ht="44" customHeight="1">
      <x:c r="A1306" s="2" t="str">
        <x:v>COG</x:v>
      </x:c>
      <x:c r="B1306" s="2" t="str">
        <x:v>water_stress</x:v>
      </x:c>
      <x:c r="C1306" s="2" t="n">
        <x:v>0.027446301</x:v>
      </x:c>
      <x:c r="D1306" s="2" t="n">
        <x:v>2022</x:v>
      </x:c>
      <x:c r="E1306" s="2" t="str">
        <x:v>WB_water_stress</x:v>
      </x:c>
      <x:c r="F1306" s="2" t="str">
        <x:v>Level of water stress: freshwater withdrawal as a proportion of available freshwater resources</x:v>
      </x:c>
    </x:row>
    <x:row r="1307" ht="44" customHeight="1">
      <x:c r="A1307" s="2" t="str">
        <x:v>COG</x:v>
      </x:c>
      <x:c r="B1307" s="2" t="str">
        <x:v>fertility</x:v>
      </x:c>
      <x:c r="C1307" s="2" t="n">
        <x:v>4.109</x:v>
      </x:c>
      <x:c r="D1307" s="2" t="n">
        <x:v>2024</x:v>
      </x:c>
      <x:c r="E1307" s="2" t="str">
        <x:v>WB_fertility</x:v>
      </x:c>
      <x:c r="F1307" s="2" t="str">
        <x:v>Fertility rate, total (births per woman)</x:v>
      </x:c>
    </x:row>
    <x:row r="1308" ht="44" customHeight="1">
      <x:c r="A1308" s="2" t="str">
        <x:v>COG</x:v>
      </x:c>
      <x:c r="B1308" s="2" t="str">
        <x:v>life_expectancy</x:v>
      </x:c>
      <x:c r="C1308" s="2" t="n">
        <x:v>66.001</x:v>
      </x:c>
      <x:c r="D1308" s="2" t="n">
        <x:v>2024</x:v>
      </x:c>
      <x:c r="E1308" s="2" t="str">
        <x:v>WB_life_expectancy</x:v>
      </x:c>
      <x:c r="F1308" s="2" t="str">
        <x:v>Life expectancy at birth, total (years)</x:v>
      </x:c>
    </x:row>
    <x:row r="1309" ht="44" customHeight="1">
      <x:c r="A1309" s="2" t="str">
        <x:v>COG</x:v>
      </x:c>
      <x:c r="B1309" s="2" t="str">
        <x:v>age_under15</x:v>
      </x:c>
      <x:c r="C1309" s="2" t="n">
        <x:v>39.9430436289226</x:v>
      </x:c>
      <x:c r="D1309" s="2" t="n">
        <x:v>2025</x:v>
      </x:c>
      <x:c r="E1309" s="2" t="str">
        <x:v>WB_age_under15</x:v>
      </x:c>
      <x:c r="F1309" s="2" t="str">
        <x:v>Population ages 0-14 (% of total population)</x:v>
      </x:c>
    </x:row>
    <x:row r="1310" ht="44" customHeight="1">
      <x:c r="A1310" s="2" t="str">
        <x:v>COG</x:v>
      </x:c>
      <x:c r="B1310" s="2" t="str">
        <x:v>age_over65</x:v>
      </x:c>
      <x:c r="C1310" s="2" t="n">
        <x:v>3.06138374079353</x:v>
      </x:c>
      <x:c r="D1310" s="2" t="n">
        <x:v>2025</x:v>
      </x:c>
      <x:c r="E1310" s="2" t="str">
        <x:v>WB_age_over65</x:v>
      </x:c>
      <x:c r="F1310" s="2" t="str">
        <x:v>Population ages 65 and above (% of total population)</x:v>
      </x:c>
    </x:row>
    <x:row r="1311" ht="44" customHeight="1">
      <x:c r="A1311" s="2" t="str">
        <x:v>COG</x:v>
      </x:c>
      <x:c r="B1311" s="2" t="str">
        <x:v>dependency_ratio</x:v>
      </x:c>
      <x:c r="C1311" s="2" t="n">
        <x:v>75.4522244186846</x:v>
      </x:c>
      <x:c r="D1311" s="2" t="n">
        <x:v>2025</x:v>
      </x:c>
      <x:c r="E1311" s="2" t="str">
        <x:v>WB_dependency_ratio</x:v>
      </x:c>
      <x:c r="F1311" s="2" t="str">
        <x:v>Age dependency ratio (% of working-age population)</x:v>
      </x:c>
    </x:row>
    <x:row r="1312" ht="44" customHeight="1">
      <x:c r="A1312" s="2" t="str">
        <x:v>COG</x:v>
      </x:c>
      <x:c r="B1312" s="2" t="str">
        <x:v>net_migration</x:v>
      </x:c>
      <x:c r="C1312" s="2" t="n">
        <x:v>-2999</x:v>
      </x:c>
      <x:c r="D1312" s="2" t="n">
        <x:v>2025</x:v>
      </x:c>
      <x:c r="E1312" s="2" t="str">
        <x:v>WB_net_migration</x:v>
      </x:c>
      <x:c r="F1312" s="2" t="str">
        <x:v>Net migration</x:v>
      </x:c>
    </x:row>
    <x:row r="1313" ht="44" customHeight="1">
      <x:c r="A1313" s="2" t="str">
        <x:v>COG</x:v>
      </x:c>
      <x:c r="B1313" s="2" t="str">
        <x:v>real_gdp</x:v>
      </x:c>
      <x:c r="C1313" s="2" t="n">
        <x:v>10913368247.3216</x:v>
      </x:c>
      <x:c r="D1313" s="2" t="n">
        <x:v>2025</x:v>
      </x:c>
      <x:c r="E1313" s="2" t="str">
        <x:v>WB_real_gdp</x:v>
      </x:c>
      <x:c r="F1313" s="2" t="str">
        <x:v>GDP (constant 2015 US$)</x:v>
      </x:c>
    </x:row>
    <x:row r="1314" ht="44" customHeight="1">
      <x:c r="A1314" s="2" t="str">
        <x:v>COG</x:v>
      </x:c>
      <x:c r="B1314" s="2" t="str">
        <x:v>gdp_growth</x:v>
      </x:c>
      <x:c r="C1314" s="2" t="n">
        <x:v>3.08292728120063</x:v>
      </x:c>
      <x:c r="D1314" s="2" t="n">
        <x:v>2025</x:v>
      </x:c>
      <x:c r="E1314" s="2" t="str">
        <x:v>WB_gdp_growth</x:v>
      </x:c>
      <x:c r="F1314" s="2" t="str">
        <x:v>GDP growth (annual %)</x:v>
      </x:c>
    </x:row>
    <x:row r="1315" ht="44" customHeight="1">
      <x:c r="A1315" s="2" t="str">
        <x:v>COG</x:v>
      </x:c>
      <x:c r="B1315" s="2" t="str">
        <x:v>real_income</x:v>
      </x:c>
      <x:c r="C1315" s="2" t="n">
        <x:v>1683.00937264433</x:v>
      </x:c>
      <x:c r="D1315" s="2" t="n">
        <x:v>2025</x:v>
      </x:c>
      <x:c r="E1315" s="2" t="str">
        <x:v>WB_real_income</x:v>
      </x:c>
      <x:c r="F1315" s="2" t="str">
        <x:v>GDP per capita (constant 2015 US$)</x:v>
      </x:c>
    </x:row>
    <x:row r="1316" ht="44" customHeight="1">
      <x:c r="A1316" s="2" t="str">
        <x:v>COG</x:v>
      </x:c>
      <x:c r="B1316" s="2" t="str">
        <x:v>agriculture_gdp</x:v>
      </x:c>
      <x:c r="C1316" s="2" t="n">
        <x:v>10.1087564987465</x:v>
      </x:c>
      <x:c r="D1316" s="2" t="n">
        <x:v>2025</x:v>
      </x:c>
      <x:c r="E1316" s="2" t="str">
        <x:v>WB_agriculture_gdp</x:v>
      </x:c>
      <x:c r="F1316" s="2" t="str">
        <x:v>Agriculture, forestry, and fishing, value added (% of GDP)</x:v>
      </x:c>
    </x:row>
    <x:row r="1317" ht="44" customHeight="1">
      <x:c r="A1317" s="2" t="str">
        <x:v>COG</x:v>
      </x:c>
      <x:c r="B1317" s="2" t="str">
        <x:v>poverty</x:v>
      </x:c>
      <x:c r="C1317" s="2" t="n">
        <x:v>39.2</x:v>
      </x:c>
      <x:c r="D1317" s="2" t="n">
        <x:v>2011</x:v>
      </x:c>
      <x:c r="E1317" s="2" t="str">
        <x:v>WB_poverty</x:v>
      </x:c>
      <x:c r="F1317" s="2" t="str">
        <x:v>Poverty headcount ratio at $3.00 a day (2021 PPP) (% of population)</x:v>
      </x:c>
    </x:row>
    <x:row r="1318" ht="44" customHeight="1">
      <x:c r="A1318" s="2" t="str">
        <x:v>COG</x:v>
      </x:c>
      <x:c r="B1318" s="2" t="str">
        <x:v>gini</x:v>
      </x:c>
      <x:c r="C1318" s="2" t="n">
        <x:v>48.9</x:v>
      </x:c>
      <x:c r="D1318" s="2" t="n">
        <x:v>2011</x:v>
      </x:c>
      <x:c r="E1318" s="2" t="str">
        <x:v>WB_gini</x:v>
      </x:c>
      <x:c r="F1318" s="2" t="str">
        <x:v>Gini index</x:v>
      </x:c>
    </x:row>
    <x:row r="1319" ht="44" customHeight="1">
      <x:c r="A1319" s="2" t="str">
        <x:v>COG</x:v>
      </x:c>
      <x:c r="B1319" s="2" t="str">
        <x:v>unemployment</x:v>
      </x:c>
      <x:c r="C1319" s="2" t="n">
        <x:v>19.876</x:v>
      </x:c>
      <x:c r="D1319" s="2" t="n">
        <x:v>2025</x:v>
      </x:c>
      <x:c r="E1319" s="2" t="str">
        <x:v>WB_unemployment</x:v>
      </x:c>
      <x:c r="F1319" s="2" t="str">
        <x:v>Unemployment, total (% of total labor force) (modeled ILO estimate)</x:v>
      </x:c>
    </x:row>
    <x:row r="1320" ht="44" customHeight="1">
      <x:c r="A1320" s="2" t="str">
        <x:v>COG</x:v>
      </x:c>
      <x:c r="B1320" s="2" t="str">
        <x:v>private_credit</x:v>
      </x:c>
      <x:c r="C1320" s="2" t="n">
        <x:v>13.7900478506587</x:v>
      </x:c>
      <x:c r="D1320" s="2" t="n">
        <x:v>2023</x:v>
      </x:c>
      <x:c r="E1320" s="2" t="str">
        <x:v>WB_private_credit</x:v>
      </x:c>
      <x:c r="F1320" s="2" t="str">
        <x:v>Domestic credit to private sector (% of GDP)</x:v>
      </x:c>
    </x:row>
    <x:row r="1321" ht="44" customHeight="1">
      <x:c r="A1321" s="2" t="str">
        <x:v>COG</x:v>
      </x:c>
      <x:c r="B1321" s="2" t="str">
        <x:v>lending_rate</x:v>
      </x:c>
      <x:c r="C1321" s="2"/>
      <x:c r="D1321" s="2"/>
      <x:c r="E1321" s="2" t="str">
        <x:v>Missing</x:v>
      </x:c>
      <x:c r="F1321" s="2" t="str">
        <x:v>Lending interest rate (%)</x:v>
      </x:c>
    </x:row>
    <x:row r="1322" ht="44" customHeight="1">
      <x:c r="A1322" s="2" t="str">
        <x:v>COG</x:v>
      </x:c>
      <x:c r="B1322" s="2" t="str">
        <x:v>real_interest</x:v>
      </x:c>
      <x:c r="C1322" s="2"/>
      <x:c r="D1322" s="2"/>
      <x:c r="E1322" s="2" t="str">
        <x:v>Missing</x:v>
      </x:c>
      <x:c r="F1322" s="2" t="str">
        <x:v>Real interest rate (%)</x:v>
      </x:c>
    </x:row>
    <x:row r="1323" ht="44" customHeight="1">
      <x:c r="A1323" s="2" t="str">
        <x:v>COG</x:v>
      </x:c>
      <x:c r="B1323" s="2" t="str">
        <x:v>government_debt</x:v>
      </x:c>
      <x:c r="C1323" s="2" t="n">
        <x:v>25.4826844740907</x:v>
      </x:c>
      <x:c r="D1323" s="2" t="n">
        <x:v>2010</x:v>
      </x:c>
      <x:c r="E1323" s="2" t="str">
        <x:v>WB_government_debt</x:v>
      </x:c>
      <x:c r="F1323" s="2" t="str">
        <x:v>Central government debt, total (% of GDP)</x:v>
      </x:c>
    </x:row>
    <x:row r="1324" ht="44" customHeight="1">
      <x:c r="A1324" s="2" t="str">
        <x:v>COG</x:v>
      </x:c>
      <x:c r="B1324" s="2" t="str">
        <x:v>electricity_access</x:v>
      </x:c>
      <x:c r="C1324" s="2" t="n">
        <x:v>53</x:v>
      </x:c>
      <x:c r="D1324" s="2" t="n">
        <x:v>2024</x:v>
      </x:c>
      <x:c r="E1324" s="2" t="str">
        <x:v>WB_electricity_access</x:v>
      </x:c>
      <x:c r="F1324" s="2" t="str">
        <x:v>Access to electricity (% of population)</x:v>
      </x:c>
    </x:row>
    <x:row r="1325" ht="44" customHeight="1">
      <x:c r="A1325" s="2" t="str">
        <x:v>COG</x:v>
      </x:c>
      <x:c r="B1325" s="2" t="str">
        <x:v>irrigated_land</x:v>
      </x:c>
      <x:c r="C1325" s="2"/>
      <x:c r="D1325" s="2"/>
      <x:c r="E1325" s="2" t="str">
        <x:v>Missing</x:v>
      </x:c>
      <x:c r="F1325" s="2" t="str">
        <x:v>Agricultural irrigated land (% of total agricultural land)</x:v>
      </x:c>
    </x:row>
    <x:row r="1326" ht="44" customHeight="1">
      <x:c r="A1326" s="2" t="str">
        <x:v>COG</x:v>
      </x:c>
      <x:c r="B1326" s="2" t="str">
        <x:v>cereal_area</x:v>
      </x:c>
      <x:c r="C1326" s="2" t="n">
        <x:v>34588</x:v>
      </x:c>
      <x:c r="D1326" s="2" t="n">
        <x:v>2023</x:v>
      </x:c>
      <x:c r="E1326" s="2" t="str">
        <x:v>WB_cereal_area</x:v>
      </x:c>
      <x:c r="F1326" s="2" t="str">
        <x:v>Land under cereal production (hectares)</x:v>
      </x:c>
    </x:row>
    <x:row r="1327" ht="44" customHeight="1">
      <x:c r="A1327" s="2" t="str">
        <x:v>COG</x:v>
      </x:c>
      <x:c r="B1327" s="2" t="str">
        <x:v>undernourishment</x:v>
      </x:c>
      <x:c r="C1327" s="2" t="n">
        <x:v>26.4</x:v>
      </x:c>
      <x:c r="D1327" s="2" t="n">
        <x:v>2023</x:v>
      </x:c>
      <x:c r="E1327" s="2" t="str">
        <x:v>WB_undernourishment</x:v>
      </x:c>
      <x:c r="F1327" s="2" t="str">
        <x:v>Prevalence of undernourishment (% of population)</x:v>
      </x:c>
    </x:row>
    <x:row r="1328" ht="44" customHeight="1">
      <x:c r="A1328" s="2" t="str">
        <x:v>COG</x:v>
      </x:c>
      <x:c r="B1328" s="2" t="str">
        <x:v>agriculture_employment</x:v>
      </x:c>
      <x:c r="C1328" s="2" t="n">
        <x:v>36.3523519266662</x:v>
      </x:c>
      <x:c r="D1328" s="2" t="n">
        <x:v>2025</x:v>
      </x:c>
      <x:c r="E1328" s="2" t="str">
        <x:v>WB_agriculture_employment</x:v>
      </x:c>
      <x:c r="F1328" s="2" t="str">
        <x:v>Employment in agriculture (% of total employment) (modeled ILO estimate)</x:v>
      </x:c>
    </x:row>
    <x:row r="1329" ht="44" customHeight="1">
      <x:c r="A1329" s="2" t="str">
        <x:v>COG</x:v>
      </x:c>
      <x:c r="B1329" s="2" t="str">
        <x:v>water_withdrawal</x:v>
      </x:c>
      <x:c r="C1329" s="2" t="n">
        <x:v>0.0207207207207207</x:v>
      </x:c>
      <x:c r="D1329" s="2" t="n">
        <x:v>2022</x:v>
      </x:c>
      <x:c r="E1329" s="2" t="str">
        <x:v>WB_water_withdrawal</x:v>
      </x:c>
      <x:c r="F1329" s="2" t="str">
        <x:v>Annual freshwater withdrawals, total (% of internal resources)</x:v>
      </x:c>
    </x:row>
    <x:row r="1330" ht="44" customHeight="1">
      <x:c r="A1330" s="2" t="str">
        <x:v>CRI</x:v>
      </x:c>
      <x:c r="B1330" s="2" t="str">
        <x:v>population</x:v>
      </x:c>
      <x:c r="C1330" s="2" t="n">
        <x:v>5152950</x:v>
      </x:c>
      <x:c r="D1330" s="2" t="n">
        <x:v>2025</x:v>
      </x:c>
      <x:c r="E1330" s="2" t="str">
        <x:v>WB_population</x:v>
      </x:c>
      <x:c r="F1330" s="2" t="str">
        <x:v>Population, total</x:v>
      </x:c>
    </x:row>
    <x:row r="1331" ht="44" customHeight="1">
      <x:c r="A1331" s="2" t="str">
        <x:v>CRI</x:v>
      </x:c>
      <x:c r="B1331" s="2" t="str">
        <x:v>income_ppp</x:v>
      </x:c>
      <x:c r="C1331" s="2" t="n">
        <x:v>28443.4127676388</x:v>
      </x:c>
      <x:c r="D1331" s="2" t="n">
        <x:v>2025</x:v>
      </x:c>
      <x:c r="E1331" s="2" t="str">
        <x:v>WB_income_ppp</x:v>
      </x:c>
      <x:c r="F1331" s="2" t="str">
        <x:v>GDP per capita, PPP (constant 2021 international $)</x:v>
      </x:c>
    </x:row>
    <x:row r="1332" ht="44" customHeight="1">
      <x:c r="A1332" s="2" t="str">
        <x:v>CRI</x:v>
      </x:c>
      <x:c r="B1332" s="2" t="str">
        <x:v>urban</x:v>
      </x:c>
      <x:c r="C1332" s="2" t="n">
        <x:v>79.7268137993004</x:v>
      </x:c>
      <x:c r="D1332" s="2" t="n">
        <x:v>2025</x:v>
      </x:c>
      <x:c r="E1332" s="2" t="str">
        <x:v>WB_urban</x:v>
      </x:c>
      <x:c r="F1332" s="2" t="str">
        <x:v>Urban population (% of total population)</x:v>
      </x:c>
    </x:row>
    <x:row r="1333" ht="44" customHeight="1">
      <x:c r="A1333" s="2" t="str">
        <x:v>CRI</x:v>
      </x:c>
      <x:c r="B1333" s="2" t="str">
        <x:v>inflation</x:v>
      </x:c>
      <x:c r="C1333" s="2" t="n">
        <x:v>-0.073671440596217</x:v>
      </x:c>
      <x:c r="D1333" s="2" t="n">
        <x:v>2025</x:v>
      </x:c>
      <x:c r="E1333" s="2" t="str">
        <x:v>WB_inflation</x:v>
      </x:c>
      <x:c r="F1333" s="2" t="str">
        <x:v>Inflation, consumer prices (annual %)</x:v>
      </x:c>
    </x:row>
    <x:row r="1334" ht="44" customHeight="1">
      <x:c r="A1334" s="2" t="str">
        <x:v>CRI</x:v>
      </x:c>
      <x:c r="B1334" s="2" t="str">
        <x:v>food_index</x:v>
      </x:c>
      <x:c r="C1334" s="2" t="n">
        <x:v>100.36</x:v>
      </x:c>
      <x:c r="D1334" s="2" t="n">
        <x:v>2022</x:v>
      </x:c>
      <x:c r="E1334" s="2" t="str">
        <x:v>WB_food_index</x:v>
      </x:c>
      <x:c r="F1334" s="2" t="str">
        <x:v>Food production index (2014-2016 = 100)</x:v>
      </x:c>
    </x:row>
    <x:row r="1335" ht="44" customHeight="1">
      <x:c r="A1335" s="2" t="str">
        <x:v>CRI</x:v>
      </x:c>
      <x:c r="B1335" s="2" t="str">
        <x:v>food_import_share</x:v>
      </x:c>
      <x:c r="C1335" s="2" t="n">
        <x:v>13.2437000786422</x:v>
      </x:c>
      <x:c r="D1335" s="2" t="n">
        <x:v>2024</x:v>
      </x:c>
      <x:c r="E1335" s="2" t="str">
        <x:v>WB_food_import_share</x:v>
      </x:c>
      <x:c r="F1335" s="2" t="str">
        <x:v>Food imports (% of merchandise imports)</x:v>
      </x:c>
    </x:row>
    <x:row r="1336" ht="44" customHeight="1">
      <x:c r="A1336" s="2" t="str">
        <x:v>CRI</x:v>
      </x:c>
      <x:c r="B1336" s="2" t="str">
        <x:v>food_export_share</x:v>
      </x:c>
      <x:c r="C1336" s="2" t="n">
        <x:v>32.325336667143</x:v>
      </x:c>
      <x:c r="D1336" s="2" t="n">
        <x:v>2024</x:v>
      </x:c>
      <x:c r="E1336" s="2" t="str">
        <x:v>WB_food_export_share</x:v>
      </x:c>
      <x:c r="F1336" s="2" t="str">
        <x:v>Food exports (% of merchandise exports)</x:v>
      </x:c>
    </x:row>
    <x:row r="1337" ht="44" customHeight="1">
      <x:c r="A1337" s="2" t="str">
        <x:v>CRI</x:v>
      </x:c>
      <x:c r="B1337" s="2" t="str">
        <x:v>imports_usd</x:v>
      </x:c>
      <x:c r="C1337" s="2" t="n">
        <x:v>27482000000</x:v>
      </x:c>
      <x:c r="D1337" s="2" t="n">
        <x:v>2025</x:v>
      </x:c>
      <x:c r="E1337" s="2" t="str">
        <x:v>WB_imports_usd</x:v>
      </x:c>
      <x:c r="F1337" s="2" t="str">
        <x:v>Merchandise imports (current US$)</x:v>
      </x:c>
    </x:row>
    <x:row r="1338" ht="44" customHeight="1">
      <x:c r="A1338" s="2" t="str">
        <x:v>CRI</x:v>
      </x:c>
      <x:c r="B1338" s="2" t="str">
        <x:v>exports_usd</x:v>
      </x:c>
      <x:c r="C1338" s="2" t="n">
        <x:v>26431000000</x:v>
      </x:c>
      <x:c r="D1338" s="2" t="n">
        <x:v>2025</x:v>
      </x:c>
      <x:c r="E1338" s="2" t="str">
        <x:v>WB_exports_usd</x:v>
      </x:c>
      <x:c r="F1338" s="2" t="str">
        <x:v>Merchandise exports (current US$)</x:v>
      </x:c>
    </x:row>
    <x:row r="1339" ht="44" customHeight="1">
      <x:c r="A1339" s="2" t="str">
        <x:v>CRI</x:v>
      </x:c>
      <x:c r="B1339" s="2" t="str">
        <x:v>cereal_yield</x:v>
      </x:c>
      <x:c r="C1339" s="2" t="n">
        <x:v>3807</x:v>
      </x:c>
      <x:c r="D1339" s="2" t="n">
        <x:v>2024</x:v>
      </x:c>
      <x:c r="E1339" s="2" t="str">
        <x:v>WB_cereal_yield</x:v>
      </x:c>
      <x:c r="F1339" s="2" t="str">
        <x:v>Cereal yield (kg per hectare)</x:v>
      </x:c>
    </x:row>
    <x:row r="1340" ht="44" customHeight="1">
      <x:c r="A1340" s="2" t="str">
        <x:v>CRI</x:v>
      </x:c>
      <x:c r="B1340" s="2" t="str">
        <x:v>water_stress</x:v>
      </x:c>
      <x:c r="C1340" s="2" t="n">
        <x:v>5.881962457</x:v>
      </x:c>
      <x:c r="D1340" s="2" t="n">
        <x:v>2022</x:v>
      </x:c>
      <x:c r="E1340" s="2" t="str">
        <x:v>WB_water_stress</x:v>
      </x:c>
      <x:c r="F1340" s="2" t="str">
        <x:v>Level of water stress: freshwater withdrawal as a proportion of available freshwater resources</x:v>
      </x:c>
    </x:row>
    <x:row r="1341" ht="44" customHeight="1">
      <x:c r="A1341" s="2" t="str">
        <x:v>CRI</x:v>
      </x:c>
      <x:c r="B1341" s="2" t="str">
        <x:v>fertility</x:v>
      </x:c>
      <x:c r="C1341" s="2" t="n">
        <x:v>1.318</x:v>
      </x:c>
      <x:c r="D1341" s="2" t="n">
        <x:v>2024</x:v>
      </x:c>
      <x:c r="E1341" s="2" t="str">
        <x:v>WB_fertility</x:v>
      </x:c>
      <x:c r="F1341" s="2" t="str">
        <x:v>Fertility rate, total (births per woman)</x:v>
      </x:c>
    </x:row>
    <x:row r="1342" ht="44" customHeight="1">
      <x:c r="A1342" s="2" t="str">
        <x:v>CRI</x:v>
      </x:c>
      <x:c r="B1342" s="2" t="str">
        <x:v>life_expectancy</x:v>
      </x:c>
      <x:c r="C1342" s="2" t="n">
        <x:v>80.996</x:v>
      </x:c>
      <x:c r="D1342" s="2" t="n">
        <x:v>2024</x:v>
      </x:c>
      <x:c r="E1342" s="2" t="str">
        <x:v>WB_life_expectancy</x:v>
      </x:c>
      <x:c r="F1342" s="2" t="str">
        <x:v>Life expectancy at birth, total (years)</x:v>
      </x:c>
    </x:row>
    <x:row r="1343" ht="44" customHeight="1">
      <x:c r="A1343" s="2" t="str">
        <x:v>CRI</x:v>
      </x:c>
      <x:c r="B1343" s="2" t="str">
        <x:v>age_under15</x:v>
      </x:c>
      <x:c r="C1343" s="2" t="n">
        <x:v>18.308580521837</x:v>
      </x:c>
      <x:c r="D1343" s="2" t="n">
        <x:v>2025</x:v>
      </x:c>
      <x:c r="E1343" s="2" t="str">
        <x:v>WB_age_under15</x:v>
      </x:c>
      <x:c r="F1343" s="2" t="str">
        <x:v>Population ages 0-14 (% of total population)</x:v>
      </x:c>
    </x:row>
    <x:row r="1344" ht="44" customHeight="1">
      <x:c r="A1344" s="2" t="str">
        <x:v>CRI</x:v>
      </x:c>
      <x:c r="B1344" s="2" t="str">
        <x:v>age_over65</x:v>
      </x:c>
      <x:c r="C1344" s="2" t="n">
        <x:v>12.7519673196907</x:v>
      </x:c>
      <x:c r="D1344" s="2" t="n">
        <x:v>2025</x:v>
      </x:c>
      <x:c r="E1344" s="2" t="str">
        <x:v>WB_age_over65</x:v>
      </x:c>
      <x:c r="F1344" s="2" t="str">
        <x:v>Population ages 65 and above (% of total population)</x:v>
      </x:c>
    </x:row>
    <x:row r="1345" ht="44" customHeight="1">
      <x:c r="A1345" s="2" t="str">
        <x:v>CRI</x:v>
      </x:c>
      <x:c r="B1345" s="2" t="str">
        <x:v>dependency_ratio</x:v>
      </x:c>
      <x:c r="C1345" s="2" t="n">
        <x:v>45.0548429730198</x:v>
      </x:c>
      <x:c r="D1345" s="2" t="n">
        <x:v>2025</x:v>
      </x:c>
      <x:c r="E1345" s="2" t="str">
        <x:v>WB_dependency_ratio</x:v>
      </x:c>
      <x:c r="F1345" s="2" t="str">
        <x:v>Age dependency ratio (% of working-age population)</x:v>
      </x:c>
    </x:row>
    <x:row r="1346" ht="44" customHeight="1">
      <x:c r="A1346" s="2" t="str">
        <x:v>CRI</x:v>
      </x:c>
      <x:c r="B1346" s="2" t="str">
        <x:v>net_migration</x:v>
      </x:c>
      <x:c r="C1346" s="2" t="n">
        <x:v>1000</x:v>
      </x:c>
      <x:c r="D1346" s="2" t="n">
        <x:v>2025</x:v>
      </x:c>
      <x:c r="E1346" s="2" t="str">
        <x:v>WB_net_migration</x:v>
      </x:c>
      <x:c r="F1346" s="2" t="str">
        <x:v>Net migration</x:v>
      </x:c>
    </x:row>
    <x:row r="1347" ht="44" customHeight="1">
      <x:c r="A1347" s="2" t="str">
        <x:v>CRI</x:v>
      </x:c>
      <x:c r="B1347" s="2" t="str">
        <x:v>real_gdp</x:v>
      </x:c>
      <x:c r="C1347" s="2" t="n">
        <x:v>80741594727.0308</x:v>
      </x:c>
      <x:c r="D1347" s="2" t="n">
        <x:v>2025</x:v>
      </x:c>
      <x:c r="E1347" s="2" t="str">
        <x:v>WB_real_gdp</x:v>
      </x:c>
      <x:c r="F1347" s="2" t="str">
        <x:v>GDP (constant 2015 US$)</x:v>
      </x:c>
    </x:row>
    <x:row r="1348" ht="44" customHeight="1">
      <x:c r="A1348" s="2" t="str">
        <x:v>CRI</x:v>
      </x:c>
      <x:c r="B1348" s="2" t="str">
        <x:v>gdp_growth</x:v>
      </x:c>
      <x:c r="C1348" s="2" t="n">
        <x:v>4.56033547844829</x:v>
      </x:c>
      <x:c r="D1348" s="2" t="n">
        <x:v>2025</x:v>
      </x:c>
      <x:c r="E1348" s="2" t="str">
        <x:v>WB_gdp_growth</x:v>
      </x:c>
      <x:c r="F1348" s="2" t="str">
        <x:v>GDP growth (annual %)</x:v>
      </x:c>
    </x:row>
    <x:row r="1349" ht="44" customHeight="1">
      <x:c r="A1349" s="2" t="str">
        <x:v>CRI</x:v>
      </x:c>
      <x:c r="B1349" s="2" t="str">
        <x:v>real_income</x:v>
      </x:c>
      <x:c r="C1349" s="2" t="n">
        <x:v>15669.0041096907</x:v>
      </x:c>
      <x:c r="D1349" s="2" t="n">
        <x:v>2025</x:v>
      </x:c>
      <x:c r="E1349" s="2" t="str">
        <x:v>WB_real_income</x:v>
      </x:c>
      <x:c r="F1349" s="2" t="str">
        <x:v>GDP per capita (constant 2015 US$)</x:v>
      </x:c>
    </x:row>
    <x:row r="1350" ht="44" customHeight="1">
      <x:c r="A1350" s="2" t="str">
        <x:v>CRI</x:v>
      </x:c>
      <x:c r="B1350" s="2" t="str">
        <x:v>agriculture_gdp</x:v>
      </x:c>
      <x:c r="C1350" s="2" t="n">
        <x:v>3.36580665096026</x:v>
      </x:c>
      <x:c r="D1350" s="2" t="n">
        <x:v>2025</x:v>
      </x:c>
      <x:c r="E1350" s="2" t="str">
        <x:v>WB_agriculture_gdp</x:v>
      </x:c>
      <x:c r="F1350" s="2" t="str">
        <x:v>Agriculture, forestry, and fishing, value added (% of GDP)</x:v>
      </x:c>
    </x:row>
    <x:row r="1351" ht="44" customHeight="1">
      <x:c r="A1351" s="2" t="str">
        <x:v>CRI</x:v>
      </x:c>
      <x:c r="B1351" s="2" t="str">
        <x:v>poverty</x:v>
      </x:c>
      <x:c r="C1351" s="2" t="n">
        <x:v>0.8</x:v>
      </x:c>
      <x:c r="D1351" s="2" t="n">
        <x:v>2025</x:v>
      </x:c>
      <x:c r="E1351" s="2" t="str">
        <x:v>WB_poverty</x:v>
      </x:c>
      <x:c r="F1351" s="2" t="str">
        <x:v>Poverty headcount ratio at $3.00 a day (2021 PPP) (% of population)</x:v>
      </x:c>
    </x:row>
    <x:row r="1352" ht="44" customHeight="1">
      <x:c r="A1352" s="2" t="str">
        <x:v>CRI</x:v>
      </x:c>
      <x:c r="B1352" s="2" t="str">
        <x:v>gini</x:v>
      </x:c>
      <x:c r="C1352" s="2" t="n">
        <x:v>45.5</x:v>
      </x:c>
      <x:c r="D1352" s="2" t="n">
        <x:v>2025</x:v>
      </x:c>
      <x:c r="E1352" s="2" t="str">
        <x:v>WB_gini</x:v>
      </x:c>
      <x:c r="F1352" s="2" t="str">
        <x:v>Gini index</x:v>
      </x:c>
    </x:row>
    <x:row r="1353" ht="44" customHeight="1">
      <x:c r="A1353" s="2" t="str">
        <x:v>CRI</x:v>
      </x:c>
      <x:c r="B1353" s="2" t="str">
        <x:v>unemployment</x:v>
      </x:c>
      <x:c r="C1353" s="2" t="n">
        <x:v>6.843</x:v>
      </x:c>
      <x:c r="D1353" s="2" t="n">
        <x:v>2025</x:v>
      </x:c>
      <x:c r="E1353" s="2" t="str">
        <x:v>WB_unemployment</x:v>
      </x:c>
      <x:c r="F1353" s="2" t="str">
        <x:v>Unemployment, total (% of total labor force) (modeled ILO estimate)</x:v>
      </x:c>
    </x:row>
    <x:row r="1354" ht="44" customHeight="1">
      <x:c r="A1354" s="2" t="str">
        <x:v>CRI</x:v>
      </x:c>
      <x:c r="B1354" s="2" t="str">
        <x:v>private_credit</x:v>
      </x:c>
      <x:c r="C1354" s="2" t="n">
        <x:v>51.0306836568544</x:v>
      </x:c>
      <x:c r="D1354" s="2" t="n">
        <x:v>2025</x:v>
      </x:c>
      <x:c r="E1354" s="2" t="str">
        <x:v>WB_private_credit</x:v>
      </x:c>
      <x:c r="F1354" s="2" t="str">
        <x:v>Domestic credit to private sector (% of GDP)</x:v>
      </x:c>
    </x:row>
    <x:row r="1355" ht="44" customHeight="1">
      <x:c r="A1355" s="2" t="str">
        <x:v>CRI</x:v>
      </x:c>
      <x:c r="B1355" s="2" t="str">
        <x:v>lending_rate</x:v>
      </x:c>
      <x:c r="C1355" s="2" t="n">
        <x:v>6.87789508</x:v>
      </x:c>
      <x:c r="D1355" s="2" t="n">
        <x:v>2025</x:v>
      </x:c>
      <x:c r="E1355" s="2" t="str">
        <x:v>WB_lending_rate</x:v>
      </x:c>
      <x:c r="F1355" s="2" t="str">
        <x:v>Lending interest rate (%)</x:v>
      </x:c>
    </x:row>
    <x:row r="1356" ht="44" customHeight="1">
      <x:c r="A1356" s="2" t="str">
        <x:v>CRI</x:v>
      </x:c>
      <x:c r="B1356" s="2" t="str">
        <x:v>real_interest</x:v>
      </x:c>
      <x:c r="C1356" s="2" t="n">
        <x:v>7.45298677403057</x:v>
      </x:c>
      <x:c r="D1356" s="2" t="n">
        <x:v>2025</x:v>
      </x:c>
      <x:c r="E1356" s="2" t="str">
        <x:v>WB_real_interest</x:v>
      </x:c>
      <x:c r="F1356" s="2" t="str">
        <x:v>Real interest rate (%)</x:v>
      </x:c>
    </x:row>
    <x:row r="1357" ht="44" customHeight="1">
      <x:c r="A1357" s="2" t="str">
        <x:v>CRI</x:v>
      </x:c>
      <x:c r="B1357" s="2" t="str">
        <x:v>government_debt</x:v>
      </x:c>
      <x:c r="C1357" s="2" t="n">
        <x:v>39.3351115689137</x:v>
      </x:c>
      <x:c r="D1357" s="2" t="n">
        <x:v>2001</x:v>
      </x:c>
      <x:c r="E1357" s="2" t="str">
        <x:v>WB_government_debt</x:v>
      </x:c>
      <x:c r="F1357" s="2" t="str">
        <x:v>Central government debt, total (% of GDP)</x:v>
      </x:c>
    </x:row>
    <x:row r="1358" ht="44" customHeight="1">
      <x:c r="A1358" s="2" t="str">
        <x:v>CRI</x:v>
      </x:c>
      <x:c r="B1358" s="2" t="str">
        <x:v>electricity_access</x:v>
      </x:c>
      <x:c r="C1358" s="2" t="n">
        <x:v>99.8</x:v>
      </x:c>
      <x:c r="D1358" s="2" t="n">
        <x:v>2024</x:v>
      </x:c>
      <x:c r="E1358" s="2" t="str">
        <x:v>WB_electricity_access</x:v>
      </x:c>
      <x:c r="F1358" s="2" t="str">
        <x:v>Access to electricity (% of population)</x:v>
      </x:c>
    </x:row>
    <x:row r="1359" ht="44" customHeight="1">
      <x:c r="A1359" s="2" t="str">
        <x:v>CRI</x:v>
      </x:c>
      <x:c r="B1359" s="2" t="str">
        <x:v>irrigated_land</x:v>
      </x:c>
      <x:c r="C1359" s="2"/>
      <x:c r="D1359" s="2"/>
      <x:c r="E1359" s="2" t="str">
        <x:v>Missing</x:v>
      </x:c>
      <x:c r="F1359" s="2" t="str">
        <x:v>Agricultural irrigated land (% of total agricultural land)</x:v>
      </x:c>
    </x:row>
    <x:row r="1360" ht="44" customHeight="1">
      <x:c r="A1360" s="2" t="str">
        <x:v>CRI</x:v>
      </x:c>
      <x:c r="B1360" s="2" t="str">
        <x:v>cereal_area</x:v>
      </x:c>
      <x:c r="C1360" s="2" t="n">
        <x:v>18980</x:v>
      </x:c>
      <x:c r="D1360" s="2" t="n">
        <x:v>2024</x:v>
      </x:c>
      <x:c r="E1360" s="2" t="str">
        <x:v>WB_cereal_area</x:v>
      </x:c>
      <x:c r="F1360" s="2" t="str">
        <x:v>Land under cereal production (hectares)</x:v>
      </x:c>
    </x:row>
    <x:row r="1361" ht="44" customHeight="1">
      <x:c r="A1361" s="2" t="str">
        <x:v>CRI</x:v>
      </x:c>
      <x:c r="B1361" s="2" t="str">
        <x:v>undernourishment</x:v>
      </x:c>
      <x:c r="C1361" s="2" t="n">
        <x:v>2.5</x:v>
      </x:c>
      <x:c r="D1361" s="2" t="n">
        <x:v>2023</x:v>
      </x:c>
      <x:c r="E1361" s="2" t="str">
        <x:v>WB_undernourishment</x:v>
      </x:c>
      <x:c r="F1361" s="2" t="str">
        <x:v>Prevalence of undernourishment (% of population)</x:v>
      </x:c>
    </x:row>
    <x:row r="1362" ht="44" customHeight="1">
      <x:c r="A1362" s="2" t="str">
        <x:v>CRI</x:v>
      </x:c>
      <x:c r="B1362" s="2" t="str">
        <x:v>agriculture_employment</x:v>
      </x:c>
      <x:c r="C1362" s="2" t="n">
        <x:v>11.4892745659806</x:v>
      </x:c>
      <x:c r="D1362" s="2" t="n">
        <x:v>2025</x:v>
      </x:c>
      <x:c r="E1362" s="2" t="str">
        <x:v>WB_agriculture_employment</x:v>
      </x:c>
      <x:c r="F1362" s="2" t="str">
        <x:v>Employment in agriculture (% of total employment) (modeled ILO estimate)</x:v>
      </x:c>
    </x:row>
    <x:row r="1363" ht="44" customHeight="1">
      <x:c r="A1363" s="2" t="str">
        <x:v>CRI</x:v>
      </x:c>
      <x:c r="B1363" s="2" t="str">
        <x:v>water_withdrawal</x:v>
      </x:c>
      <x:c r="C1363" s="2" t="n">
        <x:v>3.05029203539823</x:v>
      </x:c>
      <x:c r="D1363" s="2" t="n">
        <x:v>2022</x:v>
      </x:c>
      <x:c r="E1363" s="2" t="str">
        <x:v>WB_water_withdrawal</x:v>
      </x:c>
      <x:c r="F1363" s="2" t="str">
        <x:v>Annual freshwater withdrawals, total (% of internal resources)</x:v>
      </x:c>
    </x:row>
    <x:row r="1364" ht="44" customHeight="1">
      <x:c r="A1364" s="2" t="str">
        <x:v>HRV</x:v>
      </x:c>
      <x:c r="B1364" s="2" t="str">
        <x:v>population</x:v>
      </x:c>
      <x:c r="C1364" s="2" t="n">
        <x:v>3876200</x:v>
      </x:c>
      <x:c r="D1364" s="2" t="n">
        <x:v>2025</x:v>
      </x:c>
      <x:c r="E1364" s="2" t="str">
        <x:v>WB_population</x:v>
      </x:c>
      <x:c r="F1364" s="2" t="str">
        <x:v>Population, total</x:v>
      </x:c>
    </x:row>
    <x:row r="1365" ht="44" customHeight="1">
      <x:c r="A1365" s="2" t="str">
        <x:v>HRV</x:v>
      </x:c>
      <x:c r="B1365" s="2" t="str">
        <x:v>income_ppp</x:v>
      </x:c>
      <x:c r="C1365" s="2" t="n">
        <x:v>44172.0442284906</x:v>
      </x:c>
      <x:c r="D1365" s="2" t="n">
        <x:v>2025</x:v>
      </x:c>
      <x:c r="E1365" s="2" t="str">
        <x:v>WB_income_ppp</x:v>
      </x:c>
      <x:c r="F1365" s="2" t="str">
        <x:v>GDP per capita, PPP (constant 2021 international $)</x:v>
      </x:c>
    </x:row>
    <x:row r="1366" ht="44" customHeight="1">
      <x:c r="A1366" s="2" t="str">
        <x:v>HRV</x:v>
      </x:c>
      <x:c r="B1366" s="2" t="str">
        <x:v>urban</x:v>
      </x:c>
      <x:c r="C1366" s="2" t="n">
        <x:v>57.8144543604143</x:v>
      </x:c>
      <x:c r="D1366" s="2" t="n">
        <x:v>2025</x:v>
      </x:c>
      <x:c r="E1366" s="2" t="str">
        <x:v>WB_urban</x:v>
      </x:c>
      <x:c r="F1366" s="2" t="str">
        <x:v>Urban population (% of total population)</x:v>
      </x:c>
    </x:row>
    <x:row r="1367" ht="44" customHeight="1">
      <x:c r="A1367" s="2" t="str">
        <x:v>HRV</x:v>
      </x:c>
      <x:c r="B1367" s="2" t="str">
        <x:v>inflation</x:v>
      </x:c>
      <x:c r="C1367" s="2" t="n">
        <x:v>3.69153459605729</x:v>
      </x:c>
      <x:c r="D1367" s="2" t="n">
        <x:v>2025</x:v>
      </x:c>
      <x:c r="E1367" s="2" t="str">
        <x:v>WB_inflation</x:v>
      </x:c>
      <x:c r="F1367" s="2" t="str">
        <x:v>Inflation, consumer prices (annual %)</x:v>
      </x:c>
    </x:row>
    <x:row r="1368" ht="44" customHeight="1">
      <x:c r="A1368" s="2" t="str">
        <x:v>HRV</x:v>
      </x:c>
      <x:c r="B1368" s="2" t="str">
        <x:v>food_index</x:v>
      </x:c>
      <x:c r="C1368" s="2" t="n">
        <x:v>89.5</x:v>
      </x:c>
      <x:c r="D1368" s="2" t="n">
        <x:v>2022</x:v>
      </x:c>
      <x:c r="E1368" s="2" t="str">
        <x:v>WB_food_index</x:v>
      </x:c>
      <x:c r="F1368" s="2" t="str">
        <x:v>Food production index (2014-2016 = 100)</x:v>
      </x:c>
    </x:row>
    <x:row r="1369" ht="44" customHeight="1">
      <x:c r="A1369" s="2" t="str">
        <x:v>HRV</x:v>
      </x:c>
      <x:c r="B1369" s="2" t="str">
        <x:v>food_import_share</x:v>
      </x:c>
      <x:c r="C1369" s="2" t="n">
        <x:v>14.3214509997313</x:v>
      </x:c>
      <x:c r="D1369" s="2" t="n">
        <x:v>2024</x:v>
      </x:c>
      <x:c r="E1369" s="2" t="str">
        <x:v>WB_food_import_share</x:v>
      </x:c>
      <x:c r="F1369" s="2" t="str">
        <x:v>Food imports (% of merchandise imports)</x:v>
      </x:c>
    </x:row>
    <x:row r="1370" ht="44" customHeight="1">
      <x:c r="A1370" s="2" t="str">
        <x:v>HRV</x:v>
      </x:c>
      <x:c r="B1370" s="2" t="str">
        <x:v>food_export_share</x:v>
      </x:c>
      <x:c r="C1370" s="2" t="n">
        <x:v>15.2060821389238</x:v>
      </x:c>
      <x:c r="D1370" s="2" t="n">
        <x:v>2024</x:v>
      </x:c>
      <x:c r="E1370" s="2" t="str">
        <x:v>WB_food_export_share</x:v>
      </x:c>
      <x:c r="F1370" s="2" t="str">
        <x:v>Food exports (% of merchandise exports)</x:v>
      </x:c>
    </x:row>
    <x:row r="1371" ht="44" customHeight="1">
      <x:c r="A1371" s="2" t="str">
        <x:v>HRV</x:v>
      </x:c>
      <x:c r="B1371" s="2" t="str">
        <x:v>imports_usd</x:v>
      </x:c>
      <x:c r="C1371" s="2" t="n">
        <x:v>50611000000</x:v>
      </x:c>
      <x:c r="D1371" s="2" t="n">
        <x:v>2025</x:v>
      </x:c>
      <x:c r="E1371" s="2" t="str">
        <x:v>WB_imports_usd</x:v>
      </x:c>
      <x:c r="F1371" s="2" t="str">
        <x:v>Merchandise imports (current US$)</x:v>
      </x:c>
    </x:row>
    <x:row r="1372" ht="44" customHeight="1">
      <x:c r="A1372" s="2" t="str">
        <x:v>HRV</x:v>
      </x:c>
      <x:c r="B1372" s="2" t="str">
        <x:v>exports_usd</x:v>
      </x:c>
      <x:c r="C1372" s="2" t="n">
        <x:v>28386000000</x:v>
      </x:c>
      <x:c r="D1372" s="2" t="n">
        <x:v>2025</x:v>
      </x:c>
      <x:c r="E1372" s="2" t="str">
        <x:v>WB_exports_usd</x:v>
      </x:c>
      <x:c r="F1372" s="2" t="str">
        <x:v>Merchandise exports (current US$)</x:v>
      </x:c>
    </x:row>
    <x:row r="1373" ht="44" customHeight="1">
      <x:c r="A1373" s="2" t="str">
        <x:v>HRV</x:v>
      </x:c>
      <x:c r="B1373" s="2" t="str">
        <x:v>cereal_yield</x:v>
      </x:c>
      <x:c r="C1373" s="2" t="n">
        <x:v>5913.8</x:v>
      </x:c>
      <x:c r="D1373" s="2" t="n">
        <x:v>2023</x:v>
      </x:c>
      <x:c r="E1373" s="2" t="str">
        <x:v>WB_cereal_yield</x:v>
      </x:c>
      <x:c r="F1373" s="2" t="str">
        <x:v>Cereal yield (kg per hectare)</x:v>
      </x:c>
    </x:row>
    <x:row r="1374" ht="44" customHeight="1">
      <x:c r="A1374" s="2" t="str">
        <x:v>HRV</x:v>
      </x:c>
      <x:c r="B1374" s="2" t="str">
        <x:v>water_stress</x:v>
      </x:c>
      <x:c r="C1374" s="2" t="n">
        <x:v>1.509559804</x:v>
      </x:c>
      <x:c r="D1374" s="2" t="n">
        <x:v>2022</x:v>
      </x:c>
      <x:c r="E1374" s="2" t="str">
        <x:v>WB_water_stress</x:v>
      </x:c>
      <x:c r="F1374" s="2" t="str">
        <x:v>Level of water stress: freshwater withdrawal as a proportion of available freshwater resources</x:v>
      </x:c>
    </x:row>
    <x:row r="1375" ht="44" customHeight="1">
      <x:c r="A1375" s="2" t="str">
        <x:v>HRV</x:v>
      </x:c>
      <x:c r="B1375" s="2" t="str">
        <x:v>fertility</x:v>
      </x:c>
      <x:c r="C1375" s="2" t="n">
        <x:v>1.46</x:v>
      </x:c>
      <x:c r="D1375" s="2" t="n">
        <x:v>2024</x:v>
      </x:c>
      <x:c r="E1375" s="2" t="str">
        <x:v>WB_fertility</x:v>
      </x:c>
      <x:c r="F1375" s="2" t="str">
        <x:v>Fertility rate, total (births per woman)</x:v>
      </x:c>
    </x:row>
    <x:row r="1376" ht="44" customHeight="1">
      <x:c r="A1376" s="2" t="str">
        <x:v>HRV</x:v>
      </x:c>
      <x:c r="B1376" s="2" t="str">
        <x:v>life_expectancy</x:v>
      </x:c>
      <x:c r="C1376" s="2" t="n">
        <x:v>78.9292682926829</x:v>
      </x:c>
      <x:c r="D1376" s="2" t="n">
        <x:v>2024</x:v>
      </x:c>
      <x:c r="E1376" s="2" t="str">
        <x:v>WB_life_expectancy</x:v>
      </x:c>
      <x:c r="F1376" s="2" t="str">
        <x:v>Life expectancy at birth, total (years)</x:v>
      </x:c>
    </x:row>
    <x:row r="1377" ht="44" customHeight="1">
      <x:c r="A1377" s="2" t="str">
        <x:v>HRV</x:v>
      </x:c>
      <x:c r="B1377" s="2" t="str">
        <x:v>age_under15</x:v>
      </x:c>
      <x:c r="C1377" s="2" t="n">
        <x:v>13.7024318115671</x:v>
      </x:c>
      <x:c r="D1377" s="2" t="n">
        <x:v>2025</x:v>
      </x:c>
      <x:c r="E1377" s="2" t="str">
        <x:v>WB_age_under15</x:v>
      </x:c>
      <x:c r="F1377" s="2" t="str">
        <x:v>Population ages 0-14 (% of total population)</x:v>
      </x:c>
    </x:row>
    <x:row r="1378" ht="44" customHeight="1">
      <x:c r="A1378" s="2" t="str">
        <x:v>HRV</x:v>
      </x:c>
      <x:c r="B1378" s="2" t="str">
        <x:v>age_over65</x:v>
      </x:c>
      <x:c r="C1378" s="2" t="n">
        <x:v>23.6095692486799</x:v>
      </x:c>
      <x:c r="D1378" s="2" t="n">
        <x:v>2025</x:v>
      </x:c>
      <x:c r="E1378" s="2" t="str">
        <x:v>WB_age_over65</x:v>
      </x:c>
      <x:c r="F1378" s="2" t="str">
        <x:v>Population ages 65 and above (% of total population)</x:v>
      </x:c>
    </x:row>
    <x:row r="1379" ht="44" customHeight="1">
      <x:c r="A1379" s="2" t="str">
        <x:v>HRV</x:v>
      </x:c>
      <x:c r="B1379" s="2" t="str">
        <x:v>dependency_ratio</x:v>
      </x:c>
      <x:c r="C1379" s="2" t="n">
        <x:v>59.5201801546723</x:v>
      </x:c>
      <x:c r="D1379" s="2" t="n">
        <x:v>2025</x:v>
      </x:c>
      <x:c r="E1379" s="2" t="str">
        <x:v>WB_dependency_ratio</x:v>
      </x:c>
      <x:c r="F1379" s="2" t="str">
        <x:v>Age dependency ratio (% of working-age population)</x:v>
      </x:c>
    </x:row>
    <x:row r="1380" ht="44" customHeight="1">
      <x:c r="A1380" s="2" t="str">
        <x:v>HRV</x:v>
      </x:c>
      <x:c r="B1380" s="2" t="str">
        <x:v>net_migration</x:v>
      </x:c>
      <x:c r="C1380" s="2" t="n">
        <x:v>-3481</x:v>
      </x:c>
      <x:c r="D1380" s="2" t="n">
        <x:v>2025</x:v>
      </x:c>
      <x:c r="E1380" s="2" t="str">
        <x:v>WB_net_migration</x:v>
      </x:c>
      <x:c r="F1380" s="2" t="str">
        <x:v>Net migration</x:v>
      </x:c>
    </x:row>
    <x:row r="1381" ht="44" customHeight="1">
      <x:c r="A1381" s="2" t="str">
        <x:v>HRV</x:v>
      </x:c>
      <x:c r="B1381" s="2" t="str">
        <x:v>real_gdp</x:v>
      </x:c>
      <x:c r="C1381" s="2" t="n">
        <x:v>71377484555.933</x:v>
      </x:c>
      <x:c r="D1381" s="2" t="n">
        <x:v>2025</x:v>
      </x:c>
      <x:c r="E1381" s="2" t="str">
        <x:v>WB_real_gdp</x:v>
      </x:c>
      <x:c r="F1381" s="2" t="str">
        <x:v>GDP (constant 2015 US$)</x:v>
      </x:c>
    </x:row>
    <x:row r="1382" ht="44" customHeight="1">
      <x:c r="A1382" s="2" t="str">
        <x:v>HRV</x:v>
      </x:c>
      <x:c r="B1382" s="2" t="str">
        <x:v>gdp_growth</x:v>
      </x:c>
      <x:c r="C1382" s="2" t="n">
        <x:v>3.40307537181749</x:v>
      </x:c>
      <x:c r="D1382" s="2" t="n">
        <x:v>2025</x:v>
      </x:c>
      <x:c r="E1382" s="2" t="str">
        <x:v>WB_gdp_growth</x:v>
      </x:c>
      <x:c r="F1382" s="2" t="str">
        <x:v>GDP growth (annual %)</x:v>
      </x:c>
    </x:row>
    <x:row r="1383" ht="44" customHeight="1">
      <x:c r="A1383" s="2" t="str">
        <x:v>HRV</x:v>
      </x:c>
      <x:c r="B1383" s="2" t="str">
        <x:v>real_income</x:v>
      </x:c>
      <x:c r="C1383" s="2" t="n">
        <x:v>18414.2935235367</x:v>
      </x:c>
      <x:c r="D1383" s="2" t="n">
        <x:v>2025</x:v>
      </x:c>
      <x:c r="E1383" s="2" t="str">
        <x:v>WB_real_income</x:v>
      </x:c>
      <x:c r="F1383" s="2" t="str">
        <x:v>GDP per capita (constant 2015 US$)</x:v>
      </x:c>
    </x:row>
    <x:row r="1384" ht="44" customHeight="1">
      <x:c r="A1384" s="2" t="str">
        <x:v>HRV</x:v>
      </x:c>
      <x:c r="B1384" s="2" t="str">
        <x:v>agriculture_gdp</x:v>
      </x:c>
      <x:c r="C1384" s="2" t="n">
        <x:v>2.83194407098682</x:v>
      </x:c>
      <x:c r="D1384" s="2" t="n">
        <x:v>2025</x:v>
      </x:c>
      <x:c r="E1384" s="2" t="str">
        <x:v>WB_agriculture_gdp</x:v>
      </x:c>
      <x:c r="F1384" s="2" t="str">
        <x:v>Agriculture, forestry, and fishing, value added (% of GDP)</x:v>
      </x:c>
    </x:row>
    <x:row r="1385" ht="44" customHeight="1">
      <x:c r="A1385" s="2" t="str">
        <x:v>HRV</x:v>
      </x:c>
      <x:c r="B1385" s="2" t="str">
        <x:v>poverty</x:v>
      </x:c>
      <x:c r="C1385" s="2" t="n">
        <x:v>0.3</x:v>
      </x:c>
      <x:c r="D1385" s="2" t="n">
        <x:v>2023</x:v>
      </x:c>
      <x:c r="E1385" s="2" t="str">
        <x:v>WB_poverty</x:v>
      </x:c>
      <x:c r="F1385" s="2" t="str">
        <x:v>Poverty headcount ratio at $3.00 a day (2021 PPP) (% of population)</x:v>
      </x:c>
    </x:row>
    <x:row r="1386" ht="44" customHeight="1">
      <x:c r="A1386" s="2" t="str">
        <x:v>HRV</x:v>
      </x:c>
      <x:c r="B1386" s="2" t="str">
        <x:v>gini</x:v>
      </x:c>
      <x:c r="C1386" s="2" t="n">
        <x:v>30.1</x:v>
      </x:c>
      <x:c r="D1386" s="2" t="n">
        <x:v>2023</x:v>
      </x:c>
      <x:c r="E1386" s="2" t="str">
        <x:v>WB_gini</x:v>
      </x:c>
      <x:c r="F1386" s="2" t="str">
        <x:v>Gini index</x:v>
      </x:c>
    </x:row>
    <x:row r="1387" ht="44" customHeight="1">
      <x:c r="A1387" s="2" t="str">
        <x:v>HRV</x:v>
      </x:c>
      <x:c r="B1387" s="2" t="str">
        <x:v>unemployment</x:v>
      </x:c>
      <x:c r="C1387" s="2" t="n">
        <x:v>5.002</x:v>
      </x:c>
      <x:c r="D1387" s="2" t="n">
        <x:v>2025</x:v>
      </x:c>
      <x:c r="E1387" s="2" t="str">
        <x:v>WB_unemployment</x:v>
      </x:c>
      <x:c r="F1387" s="2" t="str">
        <x:v>Unemployment, total (% of total labor force) (modeled ILO estimate)</x:v>
      </x:c>
    </x:row>
    <x:row r="1388" ht="44" customHeight="1">
      <x:c r="A1388" s="2" t="str">
        <x:v>HRV</x:v>
      </x:c>
      <x:c r="B1388" s="2" t="str">
        <x:v>private_credit</x:v>
      </x:c>
      <x:c r="C1388" s="2" t="n">
        <x:v>46.8610674582388</x:v>
      </x:c>
      <x:c r="D1388" s="2" t="n">
        <x:v>2024</x:v>
      </x:c>
      <x:c r="E1388" s="2" t="str">
        <x:v>WB_private_credit</x:v>
      </x:c>
      <x:c r="F1388" s="2" t="str">
        <x:v>Domestic credit to private sector (% of GDP)</x:v>
      </x:c>
    </x:row>
    <x:row r="1389" ht="44" customHeight="1">
      <x:c r="A1389" s="2" t="str">
        <x:v>HRV</x:v>
      </x:c>
      <x:c r="B1389" s="2" t="str">
        <x:v>lending_rate</x:v>
      </x:c>
      <x:c r="C1389" s="2" t="n">
        <x:v>8.58</x:v>
      </x:c>
      <x:c r="D1389" s="2" t="n">
        <x:v>2014</x:v>
      </x:c>
      <x:c r="E1389" s="2" t="str">
        <x:v>WB_lending_rate</x:v>
      </x:c>
      <x:c r="F1389" s="2" t="str">
        <x:v>Lending interest rate (%)</x:v>
      </x:c>
    </x:row>
    <x:row r="1390" ht="44" customHeight="1">
      <x:c r="A1390" s="2" t="str">
        <x:v>HRV</x:v>
      </x:c>
      <x:c r="B1390" s="2" t="str">
        <x:v>real_interest</x:v>
      </x:c>
      <x:c r="C1390" s="2" t="n">
        <x:v>8.43930467629705</x:v>
      </x:c>
      <x:c r="D1390" s="2" t="n">
        <x:v>2014</x:v>
      </x:c>
      <x:c r="E1390" s="2" t="str">
        <x:v>WB_real_interest</x:v>
      </x:c>
      <x:c r="F1390" s="2" t="str">
        <x:v>Real interest rate (%)</x:v>
      </x:c>
    </x:row>
    <x:row r="1391" ht="44" customHeight="1">
      <x:c r="A1391" s="2" t="str">
        <x:v>HRV</x:v>
      </x:c>
      <x:c r="B1391" s="2" t="str">
        <x:v>government_debt</x:v>
      </x:c>
      <x:c r="C1391" s="2"/>
      <x:c r="D1391" s="2"/>
      <x:c r="E1391" s="2" t="str">
        <x:v>Missing</x:v>
      </x:c>
      <x:c r="F1391" s="2" t="str">
        <x:v>Central government debt, total (% of GDP)</x:v>
      </x:c>
    </x:row>
    <x:row r="1392" ht="44" customHeight="1">
      <x:c r="A1392" s="2" t="str">
        <x:v>HRV</x:v>
      </x:c>
      <x:c r="B1392" s="2" t="str">
        <x:v>electricity_access</x:v>
      </x:c>
      <x:c r="C1392" s="2" t="n">
        <x:v>100</x:v>
      </x:c>
      <x:c r="D1392" s="2" t="n">
        <x:v>2024</x:v>
      </x:c>
      <x:c r="E1392" s="2" t="str">
        <x:v>WB_electricity_access</x:v>
      </x:c>
      <x:c r="F1392" s="2" t="str">
        <x:v>Access to electricity (% of population)</x:v>
      </x:c>
    </x:row>
    <x:row r="1393" ht="44" customHeight="1">
      <x:c r="A1393" s="2" t="str">
        <x:v>HRV</x:v>
      </x:c>
      <x:c r="B1393" s="2" t="str">
        <x:v>irrigated_land</x:v>
      </x:c>
      <x:c r="C1393" s="2" t="n">
        <x:v>1.61507402422611</x:v>
      </x:c>
      <x:c r="D1393" s="2" t="n">
        <x:v>2023</x:v>
      </x:c>
      <x:c r="E1393" s="2" t="str">
        <x:v>WB_irrigated_land</x:v>
      </x:c>
      <x:c r="F1393" s="2" t="str">
        <x:v>Agricultural irrigated land (% of total agricultural land)</x:v>
      </x:c>
    </x:row>
    <x:row r="1394" ht="44" customHeight="1">
      <x:c r="A1394" s="2" t="str">
        <x:v>HRV</x:v>
      </x:c>
      <x:c r="B1394" s="2" t="str">
        <x:v>cereal_area</x:v>
      </x:c>
      <x:c r="C1394" s="2" t="n">
        <x:v>539590</x:v>
      </x:c>
      <x:c r="D1394" s="2" t="n">
        <x:v>2023</x:v>
      </x:c>
      <x:c r="E1394" s="2" t="str">
        <x:v>WB_cereal_area</x:v>
      </x:c>
      <x:c r="F1394" s="2" t="str">
        <x:v>Land under cereal production (hectares)</x:v>
      </x:c>
    </x:row>
    <x:row r="1395" ht="44" customHeight="1">
      <x:c r="A1395" s="2" t="str">
        <x:v>HRV</x:v>
      </x:c>
      <x:c r="B1395" s="2" t="str">
        <x:v>undernourishment</x:v>
      </x:c>
      <x:c r="C1395" s="2" t="n">
        <x:v>2.5</x:v>
      </x:c>
      <x:c r="D1395" s="2" t="n">
        <x:v>2023</x:v>
      </x:c>
      <x:c r="E1395" s="2" t="str">
        <x:v>WB_undernourishment</x:v>
      </x:c>
      <x:c r="F1395" s="2" t="str">
        <x:v>Prevalence of undernourishment (% of population)</x:v>
      </x:c>
    </x:row>
    <x:row r="1396" ht="44" customHeight="1">
      <x:c r="A1396" s="2" t="str">
        <x:v>HRV</x:v>
      </x:c>
      <x:c r="B1396" s="2" t="str">
        <x:v>agriculture_employment</x:v>
      </x:c>
      <x:c r="C1396" s="2" t="n">
        <x:v>4.32773351894687</x:v>
      </x:c>
      <x:c r="D1396" s="2" t="n">
        <x:v>2025</x:v>
      </x:c>
      <x:c r="E1396" s="2" t="str">
        <x:v>WB_agriculture_employment</x:v>
      </x:c>
      <x:c r="F1396" s="2" t="str">
        <x:v>Employment in agriculture (% of total employment) (modeled ILO estimate)</x:v>
      </x:c>
    </x:row>
    <x:row r="1397" ht="44" customHeight="1">
      <x:c r="A1397" s="2" t="str">
        <x:v>HRV</x:v>
      </x:c>
      <x:c r="B1397" s="2" t="str">
        <x:v>water_withdrawal</x:v>
      </x:c>
      <x:c r="C1397" s="2" t="n">
        <x:v>1.80106100795756</x:v>
      </x:c>
      <x:c r="D1397" s="2" t="n">
        <x:v>2022</x:v>
      </x:c>
      <x:c r="E1397" s="2" t="str">
        <x:v>WB_water_withdrawal</x:v>
      </x:c>
      <x:c r="F1397" s="2" t="str">
        <x:v>Annual freshwater withdrawals, total (% of internal resources)</x:v>
      </x:c>
    </x:row>
    <x:row r="1398" ht="44" customHeight="1">
      <x:c r="A1398" s="2" t="str">
        <x:v>CUB</x:v>
      </x:c>
      <x:c r="B1398" s="2" t="str">
        <x:v>population</x:v>
      </x:c>
      <x:c r="C1398" s="2" t="n">
        <x:v>10937203</x:v>
      </x:c>
      <x:c r="D1398" s="2" t="n">
        <x:v>2025</x:v>
      </x:c>
      <x:c r="E1398" s="2" t="str">
        <x:v>WB_population</x:v>
      </x:c>
      <x:c r="F1398" s="2" t="str">
        <x:v>Population, total</x:v>
      </x:c>
    </x:row>
    <x:row r="1399" ht="44" customHeight="1">
      <x:c r="A1399" s="2" t="str">
        <x:v>CUB</x:v>
      </x:c>
      <x:c r="B1399" s="2" t="str">
        <x:v>income_ppp</x:v>
      </x:c>
      <x:c r="C1399" s="2"/>
      <x:c r="D1399" s="2"/>
      <x:c r="E1399" s="2" t="str">
        <x:v>Missing</x:v>
      </x:c>
      <x:c r="F1399" s="2" t="str">
        <x:v>GDP per capita, PPP (constant 2021 international $)</x:v>
      </x:c>
    </x:row>
    <x:row r="1400" ht="44" customHeight="1">
      <x:c r="A1400" s="2" t="str">
        <x:v>CUB</x:v>
      </x:c>
      <x:c r="B1400" s="2" t="str">
        <x:v>urban</x:v>
      </x:c>
      <x:c r="C1400" s="2" t="n">
        <x:v>77.2270774821152</x:v>
      </x:c>
      <x:c r="D1400" s="2" t="n">
        <x:v>2025</x:v>
      </x:c>
      <x:c r="E1400" s="2" t="str">
        <x:v>WB_urban</x:v>
      </x:c>
      <x:c r="F1400" s="2" t="str">
        <x:v>Urban population (% of total population)</x:v>
      </x:c>
    </x:row>
    <x:row r="1401" ht="44" customHeight="1">
      <x:c r="A1401" s="2" t="str">
        <x:v>CUB</x:v>
      </x:c>
      <x:c r="B1401" s="2" t="str">
        <x:v>inflation</x:v>
      </x:c>
      <x:c r="C1401" s="2"/>
      <x:c r="D1401" s="2"/>
      <x:c r="E1401" s="2" t="str">
        <x:v>Missing</x:v>
      </x:c>
      <x:c r="F1401" s="2" t="str">
        <x:v>Inflation, consumer prices (annual %)</x:v>
      </x:c>
    </x:row>
    <x:row r="1402" ht="44" customHeight="1">
      <x:c r="A1402" s="2" t="str">
        <x:v>CUB</x:v>
      </x:c>
      <x:c r="B1402" s="2" t="str">
        <x:v>food_index</x:v>
      </x:c>
      <x:c r="C1402" s="2" t="n">
        <x:v>71.39</x:v>
      </x:c>
      <x:c r="D1402" s="2" t="n">
        <x:v>2022</x:v>
      </x:c>
      <x:c r="E1402" s="2" t="str">
        <x:v>WB_food_index</x:v>
      </x:c>
      <x:c r="F1402" s="2" t="str">
        <x:v>Food production index (2014-2016 = 100)</x:v>
      </x:c>
    </x:row>
    <x:row r="1403" ht="44" customHeight="1">
      <x:c r="A1403" s="2" t="str">
        <x:v>CUB</x:v>
      </x:c>
      <x:c r="B1403" s="2" t="str">
        <x:v>food_import_share</x:v>
      </x:c>
      <x:c r="C1403" s="2" t="n">
        <x:v>25.2112885827776</x:v>
      </x:c>
      <x:c r="D1403" s="2" t="n">
        <x:v>2022</x:v>
      </x:c>
      <x:c r="E1403" s="2" t="str">
        <x:v>WB_food_import_share</x:v>
      </x:c>
      <x:c r="F1403" s="2" t="str">
        <x:v>Food imports (% of merchandise imports)</x:v>
      </x:c>
    </x:row>
    <x:row r="1404" ht="44" customHeight="1">
      <x:c r="A1404" s="2" t="str">
        <x:v>CUB</x:v>
      </x:c>
      <x:c r="B1404" s="2" t="str">
        <x:v>food_export_share</x:v>
      </x:c>
      <x:c r="C1404" s="2" t="n">
        <x:v>30.7320723377019</x:v>
      </x:c>
      <x:c r="D1404" s="2" t="n">
        <x:v>2022</x:v>
      </x:c>
      <x:c r="E1404" s="2" t="str">
        <x:v>WB_food_export_share</x:v>
      </x:c>
      <x:c r="F1404" s="2" t="str">
        <x:v>Food exports (% of merchandise exports)</x:v>
      </x:c>
    </x:row>
    <x:row r="1405" ht="44" customHeight="1">
      <x:c r="A1405" s="2" t="str">
        <x:v>CUB</x:v>
      </x:c>
      <x:c r="B1405" s="2" t="str">
        <x:v>imports_usd</x:v>
      </x:c>
      <x:c r="C1405" s="2" t="n">
        <x:v>8746000000</x:v>
      </x:c>
      <x:c r="D1405" s="2" t="n">
        <x:v>2025</x:v>
      </x:c>
      <x:c r="E1405" s="2" t="str">
        <x:v>WB_imports_usd</x:v>
      </x:c>
      <x:c r="F1405" s="2" t="str">
        <x:v>Merchandise imports (current US$)</x:v>
      </x:c>
    </x:row>
    <x:row r="1406" ht="44" customHeight="1">
      <x:c r="A1406" s="2" t="str">
        <x:v>CUB</x:v>
      </x:c>
      <x:c r="B1406" s="2" t="str">
        <x:v>exports_usd</x:v>
      </x:c>
      <x:c r="C1406" s="2" t="n">
        <x:v>1620000000</x:v>
      </x:c>
      <x:c r="D1406" s="2" t="n">
        <x:v>2025</x:v>
      </x:c>
      <x:c r="E1406" s="2" t="str">
        <x:v>WB_exports_usd</x:v>
      </x:c>
      <x:c r="F1406" s="2" t="str">
        <x:v>Merchandise exports (current US$)</x:v>
      </x:c>
    </x:row>
    <x:row r="1407" ht="44" customHeight="1">
      <x:c r="A1407" s="2" t="str">
        <x:v>CUB</x:v>
      </x:c>
      <x:c r="B1407" s="2" t="str">
        <x:v>cereal_yield</x:v>
      </x:c>
      <x:c r="C1407" s="2" t="n">
        <x:v>2070</x:v>
      </x:c>
      <x:c r="D1407" s="2" t="n">
        <x:v>2023</x:v>
      </x:c>
      <x:c r="E1407" s="2" t="str">
        <x:v>WB_cereal_yield</x:v>
      </x:c>
      <x:c r="F1407" s="2" t="str">
        <x:v>Cereal yield (kg per hectare)</x:v>
      </x:c>
    </x:row>
    <x:row r="1408" ht="44" customHeight="1">
      <x:c r="A1408" s="2" t="str">
        <x:v>CUB</x:v>
      </x:c>
      <x:c r="B1408" s="2" t="str">
        <x:v>water_stress</x:v>
      </x:c>
      <x:c r="C1408" s="2" t="n">
        <x:v>23.93944607</x:v>
      </x:c>
      <x:c r="D1408" s="2" t="n">
        <x:v>2022</x:v>
      </x:c>
      <x:c r="E1408" s="2" t="str">
        <x:v>WB_water_stress</x:v>
      </x:c>
      <x:c r="F1408" s="2" t="str">
        <x:v>Level of water stress: freshwater withdrawal as a proportion of available freshwater resources</x:v>
      </x:c>
    </x:row>
    <x:row r="1409" ht="44" customHeight="1">
      <x:c r="A1409" s="2" t="str">
        <x:v>CUB</x:v>
      </x:c>
      <x:c r="B1409" s="2" t="str">
        <x:v>fertility</x:v>
      </x:c>
      <x:c r="C1409" s="2" t="n">
        <x:v>1.445</x:v>
      </x:c>
      <x:c r="D1409" s="2" t="n">
        <x:v>2024</x:v>
      </x:c>
      <x:c r="E1409" s="2" t="str">
        <x:v>WB_fertility</x:v>
      </x:c>
      <x:c r="F1409" s="2" t="str">
        <x:v>Fertility rate, total (births per woman)</x:v>
      </x:c>
    </x:row>
    <x:row r="1410" ht="44" customHeight="1">
      <x:c r="A1410" s="2" t="str">
        <x:v>CUB</x:v>
      </x:c>
      <x:c r="B1410" s="2" t="str">
        <x:v>life_expectancy</x:v>
      </x:c>
      <x:c r="C1410" s="2" t="n">
        <x:v>78.264</x:v>
      </x:c>
      <x:c r="D1410" s="2" t="n">
        <x:v>2024</x:v>
      </x:c>
      <x:c r="E1410" s="2" t="str">
        <x:v>WB_life_expectancy</x:v>
      </x:c>
      <x:c r="F1410" s="2" t="str">
        <x:v>Life expectancy at birth, total (years)</x:v>
      </x:c>
    </x:row>
    <x:row r="1411" ht="44" customHeight="1">
      <x:c r="A1411" s="2" t="str">
        <x:v>CUB</x:v>
      </x:c>
      <x:c r="B1411" s="2" t="str">
        <x:v>age_under15</x:v>
      </x:c>
      <x:c r="C1411" s="2" t="n">
        <x:v>15.0237672728682</x:v>
      </x:c>
      <x:c r="D1411" s="2" t="n">
        <x:v>2025</x:v>
      </x:c>
      <x:c r="E1411" s="2" t="str">
        <x:v>WB_age_under15</x:v>
      </x:c>
      <x:c r="F1411" s="2" t="str">
        <x:v>Population ages 0-14 (% of total population)</x:v>
      </x:c>
    </x:row>
    <x:row r="1412" ht="44" customHeight="1">
      <x:c r="A1412" s="2" t="str">
        <x:v>CUB</x:v>
      </x:c>
      <x:c r="B1412" s="2" t="str">
        <x:v>age_over65</x:v>
      </x:c>
      <x:c r="C1412" s="2" t="n">
        <x:v>17.0350080804476</x:v>
      </x:c>
      <x:c r="D1412" s="2" t="n">
        <x:v>2025</x:v>
      </x:c>
      <x:c r="E1412" s="2" t="str">
        <x:v>WB_age_over65</x:v>
      </x:c>
      <x:c r="F1412" s="2" t="str">
        <x:v>Population ages 65 and above (% of total population)</x:v>
      </x:c>
    </x:row>
    <x:row r="1413" ht="44" customHeight="1">
      <x:c r="A1413" s="2" t="str">
        <x:v>CUB</x:v>
      </x:c>
      <x:c r="B1413" s="2" t="str">
        <x:v>dependency_ratio</x:v>
      </x:c>
      <x:c r="C1413" s="2" t="n">
        <x:v>47.1860360899868</x:v>
      </x:c>
      <x:c r="D1413" s="2" t="n">
        <x:v>2025</x:v>
      </x:c>
      <x:c r="E1413" s="2" t="str">
        <x:v>WB_dependency_ratio</x:v>
      </x:c>
      <x:c r="F1413" s="2" t="str">
        <x:v>Age dependency ratio (% of working-age population)</x:v>
      </x:c>
    </x:row>
    <x:row r="1414" ht="44" customHeight="1">
      <x:c r="A1414" s="2" t="str">
        <x:v>CUB</x:v>
      </x:c>
      <x:c r="B1414" s="2" t="str">
        <x:v>net_migration</x:v>
      </x:c>
      <x:c r="C1414" s="2" t="n">
        <x:v>-22244</x:v>
      </x:c>
      <x:c r="D1414" s="2" t="n">
        <x:v>2025</x:v>
      </x:c>
      <x:c r="E1414" s="2" t="str">
        <x:v>WB_net_migration</x:v>
      </x:c>
      <x:c r="F1414" s="2" t="str">
        <x:v>Net migration</x:v>
      </x:c>
    </x:row>
    <x:row r="1415" ht="44" customHeight="1">
      <x:c r="A1415" s="2" t="str">
        <x:v>CUB</x:v>
      </x:c>
      <x:c r="B1415" s="2" t="str">
        <x:v>real_gdp</x:v>
      </x:c>
      <x:c r="C1415" s="2" t="n">
        <x:v>81046145427.2561</x:v>
      </x:c>
      <x:c r="D1415" s="2" t="n">
        <x:v>2024</x:v>
      </x:c>
      <x:c r="E1415" s="2" t="str">
        <x:v>WB_real_gdp</x:v>
      </x:c>
      <x:c r="F1415" s="2" t="str">
        <x:v>GDP (constant 2015 US$)</x:v>
      </x:c>
    </x:row>
    <x:row r="1416" ht="44" customHeight="1">
      <x:c r="A1416" s="2" t="str">
        <x:v>CUB</x:v>
      </x:c>
      <x:c r="B1416" s="2" t="str">
        <x:v>gdp_growth</x:v>
      </x:c>
      <x:c r="C1416" s="2" t="n">
        <x:v>-1.06173273220524</x:v>
      </x:c>
      <x:c r="D1416" s="2" t="n">
        <x:v>2024</x:v>
      </x:c>
      <x:c r="E1416" s="2" t="str">
        <x:v>WB_gdp_growth</x:v>
      </x:c>
      <x:c r="F1416" s="2" t="str">
        <x:v>GDP growth (annual %)</x:v>
      </x:c>
    </x:row>
    <x:row r="1417" ht="44" customHeight="1">
      <x:c r="A1417" s="2" t="str">
        <x:v>CUB</x:v>
      </x:c>
      <x:c r="B1417" s="2" t="str">
        <x:v>real_income</x:v>
      </x:c>
      <x:c r="C1417" s="2" t="n">
        <x:v>7381.39774048869</x:v>
      </x:c>
      <x:c r="D1417" s="2" t="n">
        <x:v>2024</x:v>
      </x:c>
      <x:c r="E1417" s="2" t="str">
        <x:v>WB_real_income</x:v>
      </x:c>
      <x:c r="F1417" s="2" t="str">
        <x:v>GDP per capita (constant 2015 US$)</x:v>
      </x:c>
    </x:row>
    <x:row r="1418" ht="44" customHeight="1">
      <x:c r="A1418" s="2" t="str">
        <x:v>CUB</x:v>
      </x:c>
      <x:c r="B1418" s="2" t="str">
        <x:v>agriculture_gdp</x:v>
      </x:c>
      <x:c r="C1418" s="2" t="n">
        <x:v>1.23974637193497</x:v>
      </x:c>
      <x:c r="D1418" s="2" t="n">
        <x:v>2024</x:v>
      </x:c>
      <x:c r="E1418" s="2" t="str">
        <x:v>WB_agriculture_gdp</x:v>
      </x:c>
      <x:c r="F1418" s="2" t="str">
        <x:v>Agriculture, forestry, and fishing, value added (% of GDP)</x:v>
      </x:c>
    </x:row>
    <x:row r="1419" ht="44" customHeight="1">
      <x:c r="A1419" s="2" t="str">
        <x:v>CUB</x:v>
      </x:c>
      <x:c r="B1419" s="2" t="str">
        <x:v>poverty</x:v>
      </x:c>
      <x:c r="C1419" s="2"/>
      <x:c r="D1419" s="2"/>
      <x:c r="E1419" s="2" t="str">
        <x:v>Missing</x:v>
      </x:c>
      <x:c r="F1419" s="2" t="str">
        <x:v>Poverty headcount ratio at $3.00 a day (2021 PPP) (% of population)</x:v>
      </x:c>
    </x:row>
    <x:row r="1420" ht="44" customHeight="1">
      <x:c r="A1420" s="2" t="str">
        <x:v>CUB</x:v>
      </x:c>
      <x:c r="B1420" s="2" t="str">
        <x:v>gini</x:v>
      </x:c>
      <x:c r="C1420" s="2"/>
      <x:c r="D1420" s="2"/>
      <x:c r="E1420" s="2" t="str">
        <x:v>Missing</x:v>
      </x:c>
      <x:c r="F1420" s="2" t="str">
        <x:v>Gini index</x:v>
      </x:c>
    </x:row>
    <x:row r="1421" ht="44" customHeight="1">
      <x:c r="A1421" s="2" t="str">
        <x:v>CUB</x:v>
      </x:c>
      <x:c r="B1421" s="2" t="str">
        <x:v>unemployment</x:v>
      </x:c>
      <x:c r="C1421" s="2" t="n">
        <x:v>1.746</x:v>
      </x:c>
      <x:c r="D1421" s="2" t="n">
        <x:v>2025</x:v>
      </x:c>
      <x:c r="E1421" s="2" t="str">
        <x:v>WB_unemployment</x:v>
      </x:c>
      <x:c r="F1421" s="2" t="str">
        <x:v>Unemployment, total (% of total labor force) (modeled ILO estimate)</x:v>
      </x:c>
    </x:row>
    <x:row r="1422" ht="44" customHeight="1">
      <x:c r="A1422" s="2" t="str">
        <x:v>CUB</x:v>
      </x:c>
      <x:c r="B1422" s="2" t="str">
        <x:v>private_credit</x:v>
      </x:c>
      <x:c r="C1422" s="2"/>
      <x:c r="D1422" s="2"/>
      <x:c r="E1422" s="2" t="str">
        <x:v>Missing</x:v>
      </x:c>
      <x:c r="F1422" s="2" t="str">
        <x:v>Domestic credit to private sector (% of GDP)</x:v>
      </x:c>
    </x:row>
    <x:row r="1423" ht="44" customHeight="1">
      <x:c r="A1423" s="2" t="str">
        <x:v>CUB</x:v>
      </x:c>
      <x:c r="B1423" s="2" t="str">
        <x:v>lending_rate</x:v>
      </x:c>
      <x:c r="C1423" s="2"/>
      <x:c r="D1423" s="2"/>
      <x:c r="E1423" s="2" t="str">
        <x:v>Missing</x:v>
      </x:c>
      <x:c r="F1423" s="2" t="str">
        <x:v>Lending interest rate (%)</x:v>
      </x:c>
    </x:row>
    <x:row r="1424" ht="44" customHeight="1">
      <x:c r="A1424" s="2" t="str">
        <x:v>CUB</x:v>
      </x:c>
      <x:c r="B1424" s="2" t="str">
        <x:v>real_interest</x:v>
      </x:c>
      <x:c r="C1424" s="2"/>
      <x:c r="D1424" s="2"/>
      <x:c r="E1424" s="2" t="str">
        <x:v>Missing</x:v>
      </x:c>
      <x:c r="F1424" s="2" t="str">
        <x:v>Real interest rate (%)</x:v>
      </x:c>
    </x:row>
    <x:row r="1425" ht="44" customHeight="1">
      <x:c r="A1425" s="2" t="str">
        <x:v>CUB</x:v>
      </x:c>
      <x:c r="B1425" s="2" t="str">
        <x:v>government_debt</x:v>
      </x:c>
      <x:c r="C1425" s="2"/>
      <x:c r="D1425" s="2"/>
      <x:c r="E1425" s="2" t="str">
        <x:v>Missing</x:v>
      </x:c>
      <x:c r="F1425" s="2" t="str">
        <x:v>Central government debt, total (% of GDP)</x:v>
      </x:c>
    </x:row>
    <x:row r="1426" ht="44" customHeight="1">
      <x:c r="A1426" s="2" t="str">
        <x:v>CUB</x:v>
      </x:c>
      <x:c r="B1426" s="2" t="str">
        <x:v>electricity_access</x:v>
      </x:c>
      <x:c r="C1426" s="2" t="n">
        <x:v>100</x:v>
      </x:c>
      <x:c r="D1426" s="2" t="n">
        <x:v>2024</x:v>
      </x:c>
      <x:c r="E1426" s="2" t="str">
        <x:v>WB_electricity_access</x:v>
      </x:c>
      <x:c r="F1426" s="2" t="str">
        <x:v>Access to electricity (% of population)</x:v>
      </x:c>
    </x:row>
    <x:row r="1427" ht="44" customHeight="1">
      <x:c r="A1427" s="2" t="str">
        <x:v>CUB</x:v>
      </x:c>
      <x:c r="B1427" s="2" t="str">
        <x:v>irrigated_land</x:v>
      </x:c>
      <x:c r="C1427" s="2"/>
      <x:c r="D1427" s="2"/>
      <x:c r="E1427" s="2" t="str">
        <x:v>Missing</x:v>
      </x:c>
      <x:c r="F1427" s="2" t="str">
        <x:v>Agricultural irrigated land (% of total agricultural land)</x:v>
      </x:c>
    </x:row>
    <x:row r="1428" ht="44" customHeight="1">
      <x:c r="A1428" s="2" t="str">
        <x:v>CUB</x:v>
      </x:c>
      <x:c r="B1428" s="2" t="str">
        <x:v>cereal_area</x:v>
      </x:c>
      <x:c r="C1428" s="2" t="n">
        <x:v>142254</x:v>
      </x:c>
      <x:c r="D1428" s="2" t="n">
        <x:v>2023</x:v>
      </x:c>
      <x:c r="E1428" s="2" t="str">
        <x:v>WB_cereal_area</x:v>
      </x:c>
      <x:c r="F1428" s="2" t="str">
        <x:v>Land under cereal production (hectares)</x:v>
      </x:c>
    </x:row>
    <x:row r="1429" ht="44" customHeight="1">
      <x:c r="A1429" s="2" t="str">
        <x:v>CUB</x:v>
      </x:c>
      <x:c r="B1429" s="2" t="str">
        <x:v>undernourishment</x:v>
      </x:c>
      <x:c r="C1429" s="2" t="n">
        <x:v>2.5</x:v>
      </x:c>
      <x:c r="D1429" s="2" t="n">
        <x:v>2006</x:v>
      </x:c>
      <x:c r="E1429" s="2" t="str">
        <x:v>WB_undernourishment</x:v>
      </x:c>
      <x:c r="F1429" s="2" t="str">
        <x:v>Prevalence of undernourishment (% of population)</x:v>
      </x:c>
    </x:row>
    <x:row r="1430" ht="44" customHeight="1">
      <x:c r="A1430" s="2" t="str">
        <x:v>CUB</x:v>
      </x:c>
      <x:c r="B1430" s="2" t="str">
        <x:v>agriculture_employment</x:v>
      </x:c>
      <x:c r="C1430" s="2" t="n">
        <x:v>15.5279603346471</x:v>
      </x:c>
      <x:c r="D1430" s="2" t="n">
        <x:v>2025</x:v>
      </x:c>
      <x:c r="E1430" s="2" t="str">
        <x:v>WB_agriculture_employment</x:v>
      </x:c>
      <x:c r="F1430" s="2" t="str">
        <x:v>Employment in agriculture (% of total employment) (modeled ILO estimate)</x:v>
      </x:c>
    </x:row>
    <x:row r="1431" ht="44" customHeight="1">
      <x:c r="A1431" s="2" t="str">
        <x:v>CUB</x:v>
      </x:c>
      <x:c r="B1431" s="2" t="str">
        <x:v>water_withdrawal</x:v>
      </x:c>
      <x:c r="C1431" s="2" t="n">
        <x:v>18.2528856243442</x:v>
      </x:c>
      <x:c r="D1431" s="2" t="n">
        <x:v>2022</x:v>
      </x:c>
      <x:c r="E1431" s="2" t="str">
        <x:v>WB_water_withdrawal</x:v>
      </x:c>
      <x:c r="F1431" s="2" t="str">
        <x:v>Annual freshwater withdrawals, total (% of internal resources)</x:v>
      </x:c>
    </x:row>
    <x:row r="1432" ht="44" customHeight="1">
      <x:c r="A1432" s="2" t="str">
        <x:v>CYP</x:v>
      </x:c>
      <x:c r="B1432" s="2" t="str">
        <x:v>population</x:v>
      </x:c>
      <x:c r="C1432" s="2" t="n">
        <x:v>1370754</x:v>
      </x:c>
      <x:c r="D1432" s="2" t="n">
        <x:v>2025</x:v>
      </x:c>
      <x:c r="E1432" s="2" t="str">
        <x:v>WB_population</x:v>
      </x:c>
      <x:c r="F1432" s="2" t="str">
        <x:v>Population, total</x:v>
      </x:c>
    </x:row>
    <x:row r="1433" ht="44" customHeight="1">
      <x:c r="A1433" s="2" t="str">
        <x:v>CYP</x:v>
      </x:c>
      <x:c r="B1433" s="2" t="str">
        <x:v>income_ppp</x:v>
      </x:c>
      <x:c r="C1433" s="2" t="n">
        <x:v>54103.26171875</x:v>
      </x:c>
      <x:c r="D1433" s="2" t="n">
        <x:v>2025</x:v>
      </x:c>
      <x:c r="E1433" s="2" t="str">
        <x:v>WB_income_ppp</x:v>
      </x:c>
      <x:c r="F1433" s="2" t="str">
        <x:v>GDP per capita, PPP (constant 2021 international $)</x:v>
      </x:c>
    </x:row>
    <x:row r="1434" ht="44" customHeight="1">
      <x:c r="A1434" s="2" t="str">
        <x:v>CYP</x:v>
      </x:c>
      <x:c r="B1434" s="2" t="str">
        <x:v>urban</x:v>
      </x:c>
      <x:c r="C1434" s="2" t="n">
        <x:v>66.6950270703775</x:v>
      </x:c>
      <x:c r="D1434" s="2" t="n">
        <x:v>2025</x:v>
      </x:c>
      <x:c r="E1434" s="2" t="str">
        <x:v>WB_urban</x:v>
      </x:c>
      <x:c r="F1434" s="2" t="str">
        <x:v>Urban population (% of total population)</x:v>
      </x:c>
    </x:row>
    <x:row r="1435" ht="44" customHeight="1">
      <x:c r="A1435" s="2" t="str">
        <x:v>CYP</x:v>
      </x:c>
      <x:c r="B1435" s="2" t="str">
        <x:v>inflation</x:v>
      </x:c>
      <x:c r="C1435" s="2" t="n">
        <x:v>0.126528851920189</x:v>
      </x:c>
      <x:c r="D1435" s="2" t="n">
        <x:v>2025</x:v>
      </x:c>
      <x:c r="E1435" s="2" t="str">
        <x:v>WB_inflation</x:v>
      </x:c>
      <x:c r="F1435" s="2" t="str">
        <x:v>Inflation, consumer prices (annual %)</x:v>
      </x:c>
    </x:row>
    <x:row r="1436" ht="44" customHeight="1">
      <x:c r="A1436" s="2" t="str">
        <x:v>CYP</x:v>
      </x:c>
      <x:c r="B1436" s="2" t="str">
        <x:v>food_index</x:v>
      </x:c>
      <x:c r="C1436" s="2" t="n">
        <x:v>108.71</x:v>
      </x:c>
      <x:c r="D1436" s="2" t="n">
        <x:v>2022</x:v>
      </x:c>
      <x:c r="E1436" s="2" t="str">
        <x:v>WB_food_index</x:v>
      </x:c>
      <x:c r="F1436" s="2" t="str">
        <x:v>Food production index (2014-2016 = 100)</x:v>
      </x:c>
    </x:row>
    <x:row r="1437" ht="44" customHeight="1">
      <x:c r="A1437" s="2" t="str">
        <x:v>CYP</x:v>
      </x:c>
      <x:c r="B1437" s="2" t="str">
        <x:v>food_import_share</x:v>
      </x:c>
      <x:c r="C1437" s="2" t="n">
        <x:v>15.266196005332</x:v>
      </x:c>
      <x:c r="D1437" s="2" t="n">
        <x:v>2024</x:v>
      </x:c>
      <x:c r="E1437" s="2" t="str">
        <x:v>WB_food_import_share</x:v>
      </x:c>
      <x:c r="F1437" s="2" t="str">
        <x:v>Food imports (% of merchandise imports)</x:v>
      </x:c>
    </x:row>
    <x:row r="1438" ht="44" customHeight="1">
      <x:c r="A1438" s="2" t="str">
        <x:v>CYP</x:v>
      </x:c>
      <x:c r="B1438" s="2" t="str">
        <x:v>food_export_share</x:v>
      </x:c>
      <x:c r="C1438" s="2" t="n">
        <x:v>22.4815736718776</x:v>
      </x:c>
      <x:c r="D1438" s="2" t="n">
        <x:v>2024</x:v>
      </x:c>
      <x:c r="E1438" s="2" t="str">
        <x:v>WB_food_export_share</x:v>
      </x:c>
      <x:c r="F1438" s="2" t="str">
        <x:v>Food exports (% of merchandise exports)</x:v>
      </x:c>
    </x:row>
    <x:row r="1439" ht="44" customHeight="1">
      <x:c r="A1439" s="2" t="str">
        <x:v>CYP</x:v>
      </x:c>
      <x:c r="B1439" s="2" t="str">
        <x:v>imports_usd</x:v>
      </x:c>
      <x:c r="C1439" s="2" t="n">
        <x:v>15290000000</x:v>
      </x:c>
      <x:c r="D1439" s="2" t="n">
        <x:v>2025</x:v>
      </x:c>
      <x:c r="E1439" s="2" t="str">
        <x:v>WB_imports_usd</x:v>
      </x:c>
      <x:c r="F1439" s="2" t="str">
        <x:v>Merchandise imports (current US$)</x:v>
      </x:c>
    </x:row>
    <x:row r="1440" ht="44" customHeight="1">
      <x:c r="A1440" s="2" t="str">
        <x:v>CYP</x:v>
      </x:c>
      <x:c r="B1440" s="2" t="str">
        <x:v>exports_usd</x:v>
      </x:c>
      <x:c r="C1440" s="2" t="n">
        <x:v>6186000000</x:v>
      </x:c>
      <x:c r="D1440" s="2" t="n">
        <x:v>2025</x:v>
      </x:c>
      <x:c r="E1440" s="2" t="str">
        <x:v>WB_exports_usd</x:v>
      </x:c>
      <x:c r="F1440" s="2" t="str">
        <x:v>Merchandise exports (current US$)</x:v>
      </x:c>
    </x:row>
    <x:row r="1441" ht="44" customHeight="1">
      <x:c r="A1441" s="2" t="str">
        <x:v>CYP</x:v>
      </x:c>
      <x:c r="B1441" s="2" t="str">
        <x:v>cereal_yield</x:v>
      </x:c>
      <x:c r="C1441" s="2" t="n">
        <x:v>1439.5</x:v>
      </x:c>
      <x:c r="D1441" s="2" t="n">
        <x:v>2024</x:v>
      </x:c>
      <x:c r="E1441" s="2" t="str">
        <x:v>WB_cereal_yield</x:v>
      </x:c>
      <x:c r="F1441" s="2" t="str">
        <x:v>Cereal yield (kg per hectare)</x:v>
      </x:c>
    </x:row>
    <x:row r="1442" ht="44" customHeight="1">
      <x:c r="A1442" s="2" t="str">
        <x:v>CYP</x:v>
      </x:c>
      <x:c r="B1442" s="2" t="str">
        <x:v>water_stress</x:v>
      </x:c>
      <x:c r="C1442" s="2" t="n">
        <x:v>30.48113723</x:v>
      </x:c>
      <x:c r="D1442" s="2" t="n">
        <x:v>2022</x:v>
      </x:c>
      <x:c r="E1442" s="2" t="str">
        <x:v>WB_water_stress</x:v>
      </x:c>
      <x:c r="F1442" s="2" t="str">
        <x:v>Level of water stress: freshwater withdrawal as a proportion of available freshwater resources</x:v>
      </x:c>
    </x:row>
    <x:row r="1443" ht="44" customHeight="1">
      <x:c r="A1443" s="2" t="str">
        <x:v>CYP</x:v>
      </x:c>
      <x:c r="B1443" s="2" t="str">
        <x:v>fertility</x:v>
      </x:c>
      <x:c r="C1443" s="2" t="n">
        <x:v>1.38</x:v>
      </x:c>
      <x:c r="D1443" s="2" t="n">
        <x:v>2024</x:v>
      </x:c>
      <x:c r="E1443" s="2" t="str">
        <x:v>WB_fertility</x:v>
      </x:c>
      <x:c r="F1443" s="2" t="str">
        <x:v>Fertility rate, total (births per woman)</x:v>
      </x:c>
    </x:row>
    <x:row r="1444" ht="44" customHeight="1">
      <x:c r="A1444" s="2" t="str">
        <x:v>CYP</x:v>
      </x:c>
      <x:c r="B1444" s="2" t="str">
        <x:v>life_expectancy</x:v>
      </x:c>
      <x:c r="C1444" s="2" t="n">
        <x:v>81.821</x:v>
      </x:c>
      <x:c r="D1444" s="2" t="n">
        <x:v>2024</x:v>
      </x:c>
      <x:c r="E1444" s="2" t="str">
        <x:v>WB_life_expectancy</x:v>
      </x:c>
      <x:c r="F1444" s="2" t="str">
        <x:v>Life expectancy at birth, total (years)</x:v>
      </x:c>
    </x:row>
    <x:row r="1445" ht="44" customHeight="1">
      <x:c r="A1445" s="2" t="str">
        <x:v>CYP</x:v>
      </x:c>
      <x:c r="B1445" s="2" t="str">
        <x:v>age_under15</x:v>
      </x:c>
      <x:c r="C1445" s="2" t="n">
        <x:v>16.0809671173675</x:v>
      </x:c>
      <x:c r="D1445" s="2" t="n">
        <x:v>2025</x:v>
      </x:c>
      <x:c r="E1445" s="2" t="str">
        <x:v>WB_age_under15</x:v>
      </x:c>
      <x:c r="F1445" s="2" t="str">
        <x:v>Population ages 0-14 (% of total population)</x:v>
      </x:c>
    </x:row>
    <x:row r="1446" ht="44" customHeight="1">
      <x:c r="A1446" s="2" t="str">
        <x:v>CYP</x:v>
      </x:c>
      <x:c r="B1446" s="2" t="str">
        <x:v>age_over65</x:v>
      </x:c>
      <x:c r="C1446" s="2" t="n">
        <x:v>14.9323292144324</x:v>
      </x:c>
      <x:c r="D1446" s="2" t="n">
        <x:v>2025</x:v>
      </x:c>
      <x:c r="E1446" s="2" t="str">
        <x:v>WB_age_over65</x:v>
      </x:c>
      <x:c r="F1446" s="2" t="str">
        <x:v>Population ages 65 and above (% of total population)</x:v>
      </x:c>
    </x:row>
    <x:row r="1447" ht="44" customHeight="1">
      <x:c r="A1447" s="2" t="str">
        <x:v>CYP</x:v>
      </x:c>
      <x:c r="B1447" s="2" t="str">
        <x:v>dependency_ratio</x:v>
      </x:c>
      <x:c r="C1447" s="2" t="n">
        <x:v>44.9554692176076</x:v>
      </x:c>
      <x:c r="D1447" s="2" t="n">
        <x:v>2025</x:v>
      </x:c>
      <x:c r="E1447" s="2" t="str">
        <x:v>WB_dependency_ratio</x:v>
      </x:c>
      <x:c r="F1447" s="2" t="str">
        <x:v>Age dependency ratio (% of working-age population)</x:v>
      </x:c>
    </x:row>
    <x:row r="1448" ht="44" customHeight="1">
      <x:c r="A1448" s="2" t="str">
        <x:v>CYP</x:v>
      </x:c>
      <x:c r="B1448" s="2" t="str">
        <x:v>net_migration</x:v>
      </x:c>
      <x:c r="C1448" s="2" t="n">
        <x:v>7749</x:v>
      </x:c>
      <x:c r="D1448" s="2" t="n">
        <x:v>2025</x:v>
      </x:c>
      <x:c r="E1448" s="2" t="str">
        <x:v>WB_net_migration</x:v>
      </x:c>
      <x:c r="F1448" s="2" t="str">
        <x:v>Net migration</x:v>
      </x:c>
    </x:row>
    <x:row r="1449" ht="44" customHeight="1">
      <x:c r="A1449" s="2" t="str">
        <x:v>CYP</x:v>
      </x:c>
      <x:c r="B1449" s="2" t="str">
        <x:v>real_gdp</x:v>
      </x:c>
      <x:c r="C1449" s="2" t="n">
        <x:v>33079649143.5759</x:v>
      </x:c>
      <x:c r="D1449" s="2" t="n">
        <x:v>2025</x:v>
      </x:c>
      <x:c r="E1449" s="2" t="str">
        <x:v>WB_real_gdp</x:v>
      </x:c>
      <x:c r="F1449" s="2" t="str">
        <x:v>GDP (constant 2015 US$)</x:v>
      </x:c>
    </x:row>
    <x:row r="1450" ht="44" customHeight="1">
      <x:c r="A1450" s="2" t="str">
        <x:v>CYP</x:v>
      </x:c>
      <x:c r="B1450" s="2" t="str">
        <x:v>gdp_growth</x:v>
      </x:c>
      <x:c r="C1450" s="2" t="n">
        <x:v>3.77325347982725</x:v>
      </x:c>
      <x:c r="D1450" s="2" t="n">
        <x:v>2025</x:v>
      </x:c>
      <x:c r="E1450" s="2" t="str">
        <x:v>WB_gdp_growth</x:v>
      </x:c>
      <x:c r="F1450" s="2" t="str">
        <x:v>GDP growth (annual %)</x:v>
      </x:c>
    </x:row>
    <x:row r="1451" ht="44" customHeight="1">
      <x:c r="A1451" s="2" t="str">
        <x:v>CYP</x:v>
      </x:c>
      <x:c r="B1451" s="2" t="str">
        <x:v>real_income</x:v>
      </x:c>
      <x:c r="C1451" s="2" t="n">
        <x:v>33526.828125</x:v>
      </x:c>
      <x:c r="D1451" s="2" t="n">
        <x:v>2025</x:v>
      </x:c>
      <x:c r="E1451" s="2" t="str">
        <x:v>WB_real_income</x:v>
      </x:c>
      <x:c r="F1451" s="2" t="str">
        <x:v>GDP per capita (constant 2015 US$)</x:v>
      </x:c>
    </x:row>
    <x:row r="1452" ht="44" customHeight="1">
      <x:c r="A1452" s="2" t="str">
        <x:v>CYP</x:v>
      </x:c>
      <x:c r="B1452" s="2" t="str">
        <x:v>agriculture_gdp</x:v>
      </x:c>
      <x:c r="C1452" s="2" t="n">
        <x:v>1.11541253313617</x:v>
      </x:c>
      <x:c r="D1452" s="2" t="n">
        <x:v>2025</x:v>
      </x:c>
      <x:c r="E1452" s="2" t="str">
        <x:v>WB_agriculture_gdp</x:v>
      </x:c>
      <x:c r="F1452" s="2" t="str">
        <x:v>Agriculture, forestry, and fishing, value added (% of GDP)</x:v>
      </x:c>
    </x:row>
    <x:row r="1453" ht="44" customHeight="1">
      <x:c r="A1453" s="2" t="str">
        <x:v>CYP</x:v>
      </x:c>
      <x:c r="B1453" s="2" t="str">
        <x:v>poverty</x:v>
      </x:c>
      <x:c r="C1453" s="2" t="n">
        <x:v>0</x:v>
      </x:c>
      <x:c r="D1453" s="2" t="n">
        <x:v>2023</x:v>
      </x:c>
      <x:c r="E1453" s="2" t="str">
        <x:v>WB_poverty</x:v>
      </x:c>
      <x:c r="F1453" s="2" t="str">
        <x:v>Poverty headcount ratio at $3.00 a day (2021 PPP) (% of population)</x:v>
      </x:c>
    </x:row>
    <x:row r="1454" ht="44" customHeight="1">
      <x:c r="A1454" s="2" t="str">
        <x:v>CYP</x:v>
      </x:c>
      <x:c r="B1454" s="2" t="str">
        <x:v>gini</x:v>
      </x:c>
      <x:c r="C1454" s="2" t="n">
        <x:v>31.8</x:v>
      </x:c>
      <x:c r="D1454" s="2" t="n">
        <x:v>2023</x:v>
      </x:c>
      <x:c r="E1454" s="2" t="str">
        <x:v>WB_gini</x:v>
      </x:c>
      <x:c r="F1454" s="2" t="str">
        <x:v>Gini index</x:v>
      </x:c>
    </x:row>
    <x:row r="1455" ht="44" customHeight="1">
      <x:c r="A1455" s="2" t="str">
        <x:v>CYP</x:v>
      </x:c>
      <x:c r="B1455" s="2" t="str">
        <x:v>unemployment</x:v>
      </x:c>
      <x:c r="C1455" s="2" t="n">
        <x:v>4.924</x:v>
      </x:c>
      <x:c r="D1455" s="2" t="n">
        <x:v>2025</x:v>
      </x:c>
      <x:c r="E1455" s="2" t="str">
        <x:v>WB_unemployment</x:v>
      </x:c>
      <x:c r="F1455" s="2" t="str">
        <x:v>Unemployment, total (% of total labor force) (modeled ILO estimate)</x:v>
      </x:c>
    </x:row>
    <x:row r="1456" ht="44" customHeight="1">
      <x:c r="A1456" s="2" t="str">
        <x:v>CYP</x:v>
      </x:c>
      <x:c r="B1456" s="2" t="str">
        <x:v>private_credit</x:v>
      </x:c>
      <x:c r="C1456" s="2" t="n">
        <x:v>56.6577631532363</x:v>
      </x:c>
      <x:c r="D1456" s="2" t="n">
        <x:v>2024</x:v>
      </x:c>
      <x:c r="E1456" s="2" t="str">
        <x:v>WB_private_credit</x:v>
      </x:c>
      <x:c r="F1456" s="2" t="str">
        <x:v>Domestic credit to private sector (% of GDP)</x:v>
      </x:c>
    </x:row>
    <x:row r="1457" ht="44" customHeight="1">
      <x:c r="A1457" s="2" t="str">
        <x:v>CYP</x:v>
      </x:c>
      <x:c r="B1457" s="2" t="str">
        <x:v>lending_rate</x:v>
      </x:c>
      <x:c r="C1457" s="2"/>
      <x:c r="D1457" s="2"/>
      <x:c r="E1457" s="2" t="str">
        <x:v>Missing</x:v>
      </x:c>
      <x:c r="F1457" s="2" t="str">
        <x:v>Lending interest rate (%)</x:v>
      </x:c>
    </x:row>
    <x:row r="1458" ht="44" customHeight="1">
      <x:c r="A1458" s="2" t="str">
        <x:v>CYP</x:v>
      </x:c>
      <x:c r="B1458" s="2" t="str">
        <x:v>real_interest</x:v>
      </x:c>
      <x:c r="C1458" s="2"/>
      <x:c r="D1458" s="2"/>
      <x:c r="E1458" s="2" t="str">
        <x:v>Missing</x:v>
      </x:c>
      <x:c r="F1458" s="2" t="str">
        <x:v>Real interest rate (%)</x:v>
      </x:c>
    </x:row>
    <x:row r="1459" ht="44" customHeight="1">
      <x:c r="A1459" s="2" t="str">
        <x:v>CYP</x:v>
      </x:c>
      <x:c r="B1459" s="2" t="str">
        <x:v>government_debt</x:v>
      </x:c>
      <x:c r="C1459" s="2"/>
      <x:c r="D1459" s="2"/>
      <x:c r="E1459" s="2" t="str">
        <x:v>Missing</x:v>
      </x:c>
      <x:c r="F1459" s="2" t="str">
        <x:v>Central government debt, total (% of GDP)</x:v>
      </x:c>
    </x:row>
    <x:row r="1460" ht="44" customHeight="1">
      <x:c r="A1460" s="2" t="str">
        <x:v>CYP</x:v>
      </x:c>
      <x:c r="B1460" s="2" t="str">
        <x:v>electricity_access</x:v>
      </x:c>
      <x:c r="C1460" s="2" t="n">
        <x:v>100</x:v>
      </x:c>
      <x:c r="D1460" s="2" t="n">
        <x:v>2024</x:v>
      </x:c>
      <x:c r="E1460" s="2" t="str">
        <x:v>WB_electricity_access</x:v>
      </x:c>
      <x:c r="F1460" s="2" t="str">
        <x:v>Access to electricity (% of population)</x:v>
      </x:c>
    </x:row>
    <x:row r="1461" ht="44" customHeight="1">
      <x:c r="A1461" s="2" t="str">
        <x:v>CYP</x:v>
      </x:c>
      <x:c r="B1461" s="2" t="str">
        <x:v>irrigated_land</x:v>
      </x:c>
      <x:c r="C1461" s="2" t="n">
        <x:v>19.0224835906146</x:v>
      </x:c>
      <x:c r="D1461" s="2" t="n">
        <x:v>2023</x:v>
      </x:c>
      <x:c r="E1461" s="2" t="str">
        <x:v>WB_irrigated_land</x:v>
      </x:c>
      <x:c r="F1461" s="2" t="str">
        <x:v>Agricultural irrigated land (% of total agricultural land)</x:v>
      </x:c>
    </x:row>
    <x:row r="1462" ht="44" customHeight="1">
      <x:c r="A1462" s="2" t="str">
        <x:v>CYP</x:v>
      </x:c>
      <x:c r="B1462" s="2" t="str">
        <x:v>cereal_area</x:v>
      </x:c>
      <x:c r="C1462" s="2" t="n">
        <x:v>20070</x:v>
      </x:c>
      <x:c r="D1462" s="2" t="n">
        <x:v>2024</x:v>
      </x:c>
      <x:c r="E1462" s="2" t="str">
        <x:v>WB_cereal_area</x:v>
      </x:c>
      <x:c r="F1462" s="2" t="str">
        <x:v>Land under cereal production (hectares)</x:v>
      </x:c>
    </x:row>
    <x:row r="1463" ht="44" customHeight="1">
      <x:c r="A1463" s="2" t="str">
        <x:v>CYP</x:v>
      </x:c>
      <x:c r="B1463" s="2" t="str">
        <x:v>undernourishment</x:v>
      </x:c>
      <x:c r="C1463" s="2" t="n">
        <x:v>2.5</x:v>
      </x:c>
      <x:c r="D1463" s="2" t="n">
        <x:v>2023</x:v>
      </x:c>
      <x:c r="E1463" s="2" t="str">
        <x:v>WB_undernourishment</x:v>
      </x:c>
      <x:c r="F1463" s="2" t="str">
        <x:v>Prevalence of undernourishment (% of population)</x:v>
      </x:c>
    </x:row>
    <x:row r="1464" ht="44" customHeight="1">
      <x:c r="A1464" s="2" t="str">
        <x:v>CYP</x:v>
      </x:c>
      <x:c r="B1464" s="2" t="str">
        <x:v>agriculture_employment</x:v>
      </x:c>
      <x:c r="C1464" s="2" t="n">
        <x:v>2.15460914852042</x:v>
      </x:c>
      <x:c r="D1464" s="2" t="n">
        <x:v>2025</x:v>
      </x:c>
      <x:c r="E1464" s="2" t="str">
        <x:v>WB_agriculture_employment</x:v>
      </x:c>
      <x:c r="F1464" s="2" t="str">
        <x:v>Employment in agriculture (% of total employment) (modeled ILO estimate)</x:v>
      </x:c>
    </x:row>
    <x:row r="1465" ht="44" customHeight="1">
      <x:c r="A1465" s="2" t="str">
        <x:v>CYP</x:v>
      </x:c>
      <x:c r="B1465" s="2" t="str">
        <x:v>water_withdrawal</x:v>
      </x:c>
      <x:c r="C1465" s="2" t="n">
        <x:v>28.5897435897436</x:v>
      </x:c>
      <x:c r="D1465" s="2" t="n">
        <x:v>2022</x:v>
      </x:c>
      <x:c r="E1465" s="2" t="str">
        <x:v>WB_water_withdrawal</x:v>
      </x:c>
      <x:c r="F1465" s="2" t="str">
        <x:v>Annual freshwater withdrawals, total (% of internal resources)</x:v>
      </x:c>
    </x:row>
    <x:row r="1466" ht="44" customHeight="1">
      <x:c r="A1466" s="2" t="str">
        <x:v>CZE</x:v>
      </x:c>
      <x:c r="B1466" s="2" t="str">
        <x:v>population</x:v>
      </x:c>
      <x:c r="C1466" s="2" t="n">
        <x:v>10886878</x:v>
      </x:c>
      <x:c r="D1466" s="2" t="n">
        <x:v>2025</x:v>
      </x:c>
      <x:c r="E1466" s="2" t="str">
        <x:v>WB_population</x:v>
      </x:c>
      <x:c r="F1466" s="2" t="str">
        <x:v>Population, total</x:v>
      </x:c>
    </x:row>
    <x:row r="1467" ht="44" customHeight="1">
      <x:c r="A1467" s="2" t="str">
        <x:v>CZE</x:v>
      </x:c>
      <x:c r="B1467" s="2" t="str">
        <x:v>income_ppp</x:v>
      </x:c>
      <x:c r="C1467" s="2" t="n">
        <x:v>49292.4878713208</x:v>
      </x:c>
      <x:c r="D1467" s="2" t="n">
        <x:v>2025</x:v>
      </x:c>
      <x:c r="E1467" s="2" t="str">
        <x:v>WB_income_ppp</x:v>
      </x:c>
      <x:c r="F1467" s="2" t="str">
        <x:v>GDP per capita, PPP (constant 2021 international $)</x:v>
      </x:c>
    </x:row>
    <x:row r="1468" ht="44" customHeight="1">
      <x:c r="A1468" s="2" t="str">
        <x:v>CZE</x:v>
      </x:c>
      <x:c r="B1468" s="2" t="str">
        <x:v>urban</x:v>
      </x:c>
      <x:c r="C1468" s="2" t="n">
        <x:v>72.8754367116112</x:v>
      </x:c>
      <x:c r="D1468" s="2" t="n">
        <x:v>2025</x:v>
      </x:c>
      <x:c r="E1468" s="2" t="str">
        <x:v>WB_urban</x:v>
      </x:c>
      <x:c r="F1468" s="2" t="str">
        <x:v>Urban population (% of total population)</x:v>
      </x:c>
    </x:row>
    <x:row r="1469" ht="44" customHeight="1">
      <x:c r="A1469" s="2" t="str">
        <x:v>CZE</x:v>
      </x:c>
      <x:c r="B1469" s="2" t="str">
        <x:v>inflation</x:v>
      </x:c>
      <x:c r="C1469" s="2" t="n">
        <x:v>2.45996367838865</x:v>
      </x:c>
      <x:c r="D1469" s="2" t="n">
        <x:v>2025</x:v>
      </x:c>
      <x:c r="E1469" s="2" t="str">
        <x:v>WB_inflation</x:v>
      </x:c>
      <x:c r="F1469" s="2" t="str">
        <x:v>Inflation, consumer prices (annual %)</x:v>
      </x:c>
    </x:row>
    <x:row r="1470" ht="44" customHeight="1">
      <x:c r="A1470" s="2" t="str">
        <x:v>CZE</x:v>
      </x:c>
      <x:c r="B1470" s="2" t="str">
        <x:v>food_index</x:v>
      </x:c>
      <x:c r="C1470" s="2" t="n">
        <x:v>97.66</x:v>
      </x:c>
      <x:c r="D1470" s="2" t="n">
        <x:v>2022</x:v>
      </x:c>
      <x:c r="E1470" s="2" t="str">
        <x:v>WB_food_index</x:v>
      </x:c>
      <x:c r="F1470" s="2" t="str">
        <x:v>Food production index (2014-2016 = 100)</x:v>
      </x:c>
    </x:row>
    <x:row r="1471" ht="44" customHeight="1">
      <x:c r="A1471" s="2" t="str">
        <x:v>CZE</x:v>
      </x:c>
      <x:c r="B1471" s="2" t="str">
        <x:v>food_import_share</x:v>
      </x:c>
      <x:c r="C1471" s="2" t="n">
        <x:v>6.74643451260105</x:v>
      </x:c>
      <x:c r="D1471" s="2" t="n">
        <x:v>2024</x:v>
      </x:c>
      <x:c r="E1471" s="2" t="str">
        <x:v>WB_food_import_share</x:v>
      </x:c>
      <x:c r="F1471" s="2" t="str">
        <x:v>Food imports (% of merchandise imports)</x:v>
      </x:c>
    </x:row>
    <x:row r="1472" ht="44" customHeight="1">
      <x:c r="A1472" s="2" t="str">
        <x:v>CZE</x:v>
      </x:c>
      <x:c r="B1472" s="2" t="str">
        <x:v>food_export_share</x:v>
      </x:c>
      <x:c r="C1472" s="2" t="n">
        <x:v>5.4367265797432</x:v>
      </x:c>
      <x:c r="D1472" s="2" t="n">
        <x:v>2024</x:v>
      </x:c>
      <x:c r="E1472" s="2" t="str">
        <x:v>WB_food_export_share</x:v>
      </x:c>
      <x:c r="F1472" s="2" t="str">
        <x:v>Food exports (% of merchandise exports)</x:v>
      </x:c>
    </x:row>
    <x:row r="1473" ht="44" customHeight="1">
      <x:c r="A1473" s="2" t="str">
        <x:v>CZE</x:v>
      </x:c>
      <x:c r="B1473" s="2" t="str">
        <x:v>imports_usd</x:v>
      </x:c>
      <x:c r="C1473" s="2" t="n">
        <x:v>253343000000</x:v>
      </x:c>
      <x:c r="D1473" s="2" t="n">
        <x:v>2025</x:v>
      </x:c>
      <x:c r="E1473" s="2" t="str">
        <x:v>WB_imports_usd</x:v>
      </x:c>
      <x:c r="F1473" s="2" t="str">
        <x:v>Merchandise imports (current US$)</x:v>
      </x:c>
    </x:row>
    <x:row r="1474" ht="44" customHeight="1">
      <x:c r="A1474" s="2" t="str">
        <x:v>CZE</x:v>
      </x:c>
      <x:c r="B1474" s="2" t="str">
        <x:v>exports_usd</x:v>
      </x:c>
      <x:c r="C1474" s="2" t="n">
        <x:v>283617000000</x:v>
      </x:c>
      <x:c r="D1474" s="2" t="n">
        <x:v>2025</x:v>
      </x:c>
      <x:c r="E1474" s="2" t="str">
        <x:v>WB_exports_usd</x:v>
      </x:c>
      <x:c r="F1474" s="2" t="str">
        <x:v>Merchandise exports (current US$)</x:v>
      </x:c>
    </x:row>
    <x:row r="1475" ht="44" customHeight="1">
      <x:c r="A1475" s="2" t="str">
        <x:v>CZE</x:v>
      </x:c>
      <x:c r="B1475" s="2" t="str">
        <x:v>cereal_yield</x:v>
      </x:c>
      <x:c r="C1475" s="2" t="n">
        <x:v>6070.1</x:v>
      </x:c>
      <x:c r="D1475" s="2" t="n">
        <x:v>2023</x:v>
      </x:c>
      <x:c r="E1475" s="2" t="str">
        <x:v>WB_cereal_yield</x:v>
      </x:c>
      <x:c r="F1475" s="2" t="str">
        <x:v>Cereal yield (kg per hectare)</x:v>
      </x:c>
    </x:row>
    <x:row r="1476" ht="44" customHeight="1">
      <x:c r="A1476" s="2" t="str">
        <x:v>CZE</x:v>
      </x:c>
      <x:c r="B1476" s="2" t="str">
        <x:v>water_stress</x:v>
      </x:c>
      <x:c r="C1476" s="2" t="n">
        <x:v>21.97384428</x:v>
      </x:c>
      <x:c r="D1476" s="2" t="n">
        <x:v>2022</x:v>
      </x:c>
      <x:c r="E1476" s="2" t="str">
        <x:v>WB_water_stress</x:v>
      </x:c>
      <x:c r="F1476" s="2" t="str">
        <x:v>Level of water stress: freshwater withdrawal as a proportion of available freshwater resources</x:v>
      </x:c>
    </x:row>
    <x:row r="1477" ht="44" customHeight="1">
      <x:c r="A1477" s="2" t="str">
        <x:v>CZE</x:v>
      </x:c>
      <x:c r="B1477" s="2" t="str">
        <x:v>fertility</x:v>
      </x:c>
      <x:c r="C1477" s="2" t="n">
        <x:v>1.36</x:v>
      </x:c>
      <x:c r="D1477" s="2" t="n">
        <x:v>2024</x:v>
      </x:c>
      <x:c r="E1477" s="2" t="str">
        <x:v>WB_fertility</x:v>
      </x:c>
      <x:c r="F1477" s="2" t="str">
        <x:v>Fertility rate, total (births per woman)</x:v>
      </x:c>
    </x:row>
    <x:row r="1478" ht="44" customHeight="1">
      <x:c r="A1478" s="2" t="str">
        <x:v>CZE</x:v>
      </x:c>
      <x:c r="B1478" s="2" t="str">
        <x:v>life_expectancy</x:v>
      </x:c>
      <x:c r="C1478" s="2" t="n">
        <x:v>79.9780487804878</x:v>
      </x:c>
      <x:c r="D1478" s="2" t="n">
        <x:v>2024</x:v>
      </x:c>
      <x:c r="E1478" s="2" t="str">
        <x:v>WB_life_expectancy</x:v>
      </x:c>
      <x:c r="F1478" s="2" t="str">
        <x:v>Life expectancy at birth, total (years)</x:v>
      </x:c>
    </x:row>
    <x:row r="1479" ht="44" customHeight="1">
      <x:c r="A1479" s="2" t="str">
        <x:v>CZE</x:v>
      </x:c>
      <x:c r="B1479" s="2" t="str">
        <x:v>age_under15</x:v>
      </x:c>
      <x:c r="C1479" s="2" t="n">
        <x:v>15.085690166576</x:v>
      </x:c>
      <x:c r="D1479" s="2" t="n">
        <x:v>2025</x:v>
      </x:c>
      <x:c r="E1479" s="2" t="str">
        <x:v>WB_age_under15</x:v>
      </x:c>
      <x:c r="F1479" s="2" t="str">
        <x:v>Population ages 0-14 (% of total population)</x:v>
      </x:c>
    </x:row>
    <x:row r="1480" ht="44" customHeight="1">
      <x:c r="A1480" s="2" t="str">
        <x:v>CZE</x:v>
      </x:c>
      <x:c r="B1480" s="2" t="str">
        <x:v>age_over65</x:v>
      </x:c>
      <x:c r="C1480" s="2" t="n">
        <x:v>21.1800713896599</x:v>
      </x:c>
      <x:c r="D1480" s="2" t="n">
        <x:v>2025</x:v>
      </x:c>
      <x:c r="E1480" s="2" t="str">
        <x:v>WB_age_over65</x:v>
      </x:c>
      <x:c r="F1480" s="2" t="str">
        <x:v>Population ages 65 and above (% of total population)</x:v>
      </x:c>
    </x:row>
    <x:row r="1481" ht="44" customHeight="1">
      <x:c r="A1481" s="2" t="str">
        <x:v>CZE</x:v>
      </x:c>
      <x:c r="B1481" s="2" t="str">
        <x:v>dependency_ratio</x:v>
      </x:c>
      <x:c r="C1481" s="2" t="n">
        <x:v>56.9015469681577</x:v>
      </x:c>
      <x:c r="D1481" s="2" t="n">
        <x:v>2025</x:v>
      </x:c>
      <x:c r="E1481" s="2" t="str">
        <x:v>WB_dependency_ratio</x:v>
      </x:c>
      <x:c r="F1481" s="2" t="str">
        <x:v>Age dependency ratio (% of working-age population)</x:v>
      </x:c>
    </x:row>
    <x:row r="1482" ht="44" customHeight="1">
      <x:c r="A1482" s="2" t="str">
        <x:v>CZE</x:v>
      </x:c>
      <x:c r="B1482" s="2" t="str">
        <x:v>net_migration</x:v>
      </x:c>
      <x:c r="C1482" s="2" t="n">
        <x:v>-112188</x:v>
      </x:c>
      <x:c r="D1482" s="2" t="n">
        <x:v>2025</x:v>
      </x:c>
      <x:c r="E1482" s="2" t="str">
        <x:v>WB_net_migration</x:v>
      </x:c>
      <x:c r="F1482" s="2" t="str">
        <x:v>Net migration</x:v>
      </x:c>
    </x:row>
    <x:row r="1483" ht="44" customHeight="1">
      <x:c r="A1483" s="2" t="str">
        <x:v>CZE</x:v>
      </x:c>
      <x:c r="B1483" s="2" t="str">
        <x:v>real_gdp</x:v>
      </x:c>
      <x:c r="C1483" s="2" t="n">
        <x:v>228752549524.494</x:v>
      </x:c>
      <x:c r="D1483" s="2" t="n">
        <x:v>2025</x:v>
      </x:c>
      <x:c r="E1483" s="2" t="str">
        <x:v>WB_real_gdp</x:v>
      </x:c>
      <x:c r="F1483" s="2" t="str">
        <x:v>GDP (constant 2015 US$)</x:v>
      </x:c>
    </x:row>
    <x:row r="1484" ht="44" customHeight="1">
      <x:c r="A1484" s="2" t="str">
        <x:v>CZE</x:v>
      </x:c>
      <x:c r="B1484" s="2" t="str">
        <x:v>gdp_growth</x:v>
      </x:c>
      <x:c r="C1484" s="2" t="n">
        <x:v>2.58046673293437</x:v>
      </x:c>
      <x:c r="D1484" s="2" t="n">
        <x:v>2025</x:v>
      </x:c>
      <x:c r="E1484" s="2" t="str">
        <x:v>WB_gdp_growth</x:v>
      </x:c>
      <x:c r="F1484" s="2" t="str">
        <x:v>GDP growth (annual %)</x:v>
      </x:c>
    </x:row>
    <x:row r="1485" ht="44" customHeight="1">
      <x:c r="A1485" s="2" t="str">
        <x:v>CZE</x:v>
      </x:c>
      <x:c r="B1485" s="2" t="str">
        <x:v>real_income</x:v>
      </x:c>
      <x:c r="C1485" s="2" t="n">
        <x:v>21011.7675172345</x:v>
      </x:c>
      <x:c r="D1485" s="2" t="n">
        <x:v>2025</x:v>
      </x:c>
      <x:c r="E1485" s="2" t="str">
        <x:v>WB_real_income</x:v>
      </x:c>
      <x:c r="F1485" s="2" t="str">
        <x:v>GDP per capita (constant 2015 US$)</x:v>
      </x:c>
    </x:row>
    <x:row r="1486" ht="44" customHeight="1">
      <x:c r="A1486" s="2" t="str">
        <x:v>CZE</x:v>
      </x:c>
      <x:c r="B1486" s="2" t="str">
        <x:v>agriculture_gdp</x:v>
      </x:c>
      <x:c r="C1486" s="2" t="n">
        <x:v>1.94982686749134</x:v>
      </x:c>
      <x:c r="D1486" s="2" t="n">
        <x:v>2025</x:v>
      </x:c>
      <x:c r="E1486" s="2" t="str">
        <x:v>WB_agriculture_gdp</x:v>
      </x:c>
      <x:c r="F1486" s="2" t="str">
        <x:v>Agriculture, forestry, and fishing, value added (% of GDP)</x:v>
      </x:c>
    </x:row>
    <x:row r="1487" ht="44" customHeight="1">
      <x:c r="A1487" s="2" t="str">
        <x:v>CZE</x:v>
      </x:c>
      <x:c r="B1487" s="2" t="str">
        <x:v>poverty</x:v>
      </x:c>
      <x:c r="C1487" s="2" t="n">
        <x:v>0</x:v>
      </x:c>
      <x:c r="D1487" s="2" t="n">
        <x:v>2023</x:v>
      </x:c>
      <x:c r="E1487" s="2" t="str">
        <x:v>WB_poverty</x:v>
      </x:c>
      <x:c r="F1487" s="2" t="str">
        <x:v>Poverty headcount ratio at $3.00 a day (2021 PPP) (% of population)</x:v>
      </x:c>
    </x:row>
    <x:row r="1488" ht="44" customHeight="1">
      <x:c r="A1488" s="2" t="str">
        <x:v>CZE</x:v>
      </x:c>
      <x:c r="B1488" s="2" t="str">
        <x:v>gini</x:v>
      </x:c>
      <x:c r="C1488" s="2" t="n">
        <x:v>25.7</x:v>
      </x:c>
      <x:c r="D1488" s="2" t="n">
        <x:v>2023</x:v>
      </x:c>
      <x:c r="E1488" s="2" t="str">
        <x:v>WB_gini</x:v>
      </x:c>
      <x:c r="F1488" s="2" t="str">
        <x:v>Gini index</x:v>
      </x:c>
    </x:row>
    <x:row r="1489" ht="44" customHeight="1">
      <x:c r="A1489" s="2" t="str">
        <x:v>CZE</x:v>
      </x:c>
      <x:c r="B1489" s="2" t="str">
        <x:v>unemployment</x:v>
      </x:c>
      <x:c r="C1489" s="2" t="n">
        <x:v>2.825</x:v>
      </x:c>
      <x:c r="D1489" s="2" t="n">
        <x:v>2025</x:v>
      </x:c>
      <x:c r="E1489" s="2" t="str">
        <x:v>WB_unemployment</x:v>
      </x:c>
      <x:c r="F1489" s="2" t="str">
        <x:v>Unemployment, total (% of total labor force) (modeled ILO estimate)</x:v>
      </x:c>
    </x:row>
    <x:row r="1490" ht="44" customHeight="1">
      <x:c r="A1490" s="2" t="str">
        <x:v>CZE</x:v>
      </x:c>
      <x:c r="B1490" s="2" t="str">
        <x:v>private_credit</x:v>
      </x:c>
      <x:c r="C1490" s="2" t="n">
        <x:v>48.0206642758804</x:v>
      </x:c>
      <x:c r="D1490" s="2" t="n">
        <x:v>2024</x:v>
      </x:c>
      <x:c r="E1490" s="2" t="str">
        <x:v>WB_private_credit</x:v>
      </x:c>
      <x:c r="F1490" s="2" t="str">
        <x:v>Domestic credit to private sector (% of GDP)</x:v>
      </x:c>
    </x:row>
    <x:row r="1491" ht="44" customHeight="1">
      <x:c r="A1491" s="2" t="str">
        <x:v>CZE</x:v>
      </x:c>
      <x:c r="B1491" s="2" t="str">
        <x:v>lending_rate</x:v>
      </x:c>
      <x:c r="C1491" s="2" t="n">
        <x:v>4.66837231799845</x:v>
      </x:c>
      <x:c r="D1491" s="2" t="n">
        <x:v>2025</x:v>
      </x:c>
      <x:c r="E1491" s="2" t="str">
        <x:v>WB_lending_rate</x:v>
      </x:c>
      <x:c r="F1491" s="2" t="str">
        <x:v>Lending interest rate (%)</x:v>
      </x:c>
    </x:row>
    <x:row r="1492" ht="44" customHeight="1">
      <x:c r="A1492" s="2" t="str">
        <x:v>CZE</x:v>
      </x:c>
      <x:c r="B1492" s="2" t="str">
        <x:v>real_interest</x:v>
      </x:c>
      <x:c r="C1492" s="2" t="n">
        <x:v>1.11654021967923</x:v>
      </x:c>
      <x:c r="D1492" s="2" t="n">
        <x:v>2025</x:v>
      </x:c>
      <x:c r="E1492" s="2" t="str">
        <x:v>WB_real_interest</x:v>
      </x:c>
      <x:c r="F1492" s="2" t="str">
        <x:v>Real interest rate (%)</x:v>
      </x:c>
    </x:row>
    <x:row r="1493" ht="44" customHeight="1">
      <x:c r="A1493" s="2" t="str">
        <x:v>CZE</x:v>
      </x:c>
      <x:c r="B1493" s="2" t="str">
        <x:v>government_debt</x:v>
      </x:c>
      <x:c r="C1493" s="2"/>
      <x:c r="D1493" s="2"/>
      <x:c r="E1493" s="2" t="str">
        <x:v>Missing</x:v>
      </x:c>
      <x:c r="F1493" s="2" t="str">
        <x:v>Central government debt, total (% of GDP)</x:v>
      </x:c>
    </x:row>
    <x:row r="1494" ht="44" customHeight="1">
      <x:c r="A1494" s="2" t="str">
        <x:v>CZE</x:v>
      </x:c>
      <x:c r="B1494" s="2" t="str">
        <x:v>electricity_access</x:v>
      </x:c>
      <x:c r="C1494" s="2" t="n">
        <x:v>100</x:v>
      </x:c>
      <x:c r="D1494" s="2" t="n">
        <x:v>2024</x:v>
      </x:c>
      <x:c r="E1494" s="2" t="str">
        <x:v>WB_electricity_access</x:v>
      </x:c>
      <x:c r="F1494" s="2" t="str">
        <x:v>Access to electricity (% of population)</x:v>
      </x:c>
    </x:row>
    <x:row r="1495" ht="44" customHeight="1">
      <x:c r="A1495" s="2" t="str">
        <x:v>CZE</x:v>
      </x:c>
      <x:c r="B1495" s="2" t="str">
        <x:v>irrigated_land</x:v>
      </x:c>
      <x:c r="C1495" s="2" t="n">
        <x:v>0.670379870609385</x:v>
      </x:c>
      <x:c r="D1495" s="2" t="n">
        <x:v>2023</x:v>
      </x:c>
      <x:c r="E1495" s="2" t="str">
        <x:v>WB_irrigated_land</x:v>
      </x:c>
      <x:c r="F1495" s="2" t="str">
        <x:v>Agricultural irrigated land (% of total agricultural land)</x:v>
      </x:c>
    </x:row>
    <x:row r="1496" ht="44" customHeight="1">
      <x:c r="A1496" s="2" t="str">
        <x:v>CZE</x:v>
      </x:c>
      <x:c r="B1496" s="2" t="str">
        <x:v>cereal_area</x:v>
      </x:c>
      <x:c r="C1496" s="2" t="n">
        <x:v>1317200</x:v>
      </x:c>
      <x:c r="D1496" s="2" t="n">
        <x:v>2023</x:v>
      </x:c>
      <x:c r="E1496" s="2" t="str">
        <x:v>WB_cereal_area</x:v>
      </x:c>
      <x:c r="F1496" s="2" t="str">
        <x:v>Land under cereal production (hectares)</x:v>
      </x:c>
    </x:row>
    <x:row r="1497" ht="44" customHeight="1">
      <x:c r="A1497" s="2" t="str">
        <x:v>CZE</x:v>
      </x:c>
      <x:c r="B1497" s="2" t="str">
        <x:v>undernourishment</x:v>
      </x:c>
      <x:c r="C1497" s="2" t="n">
        <x:v>2.5</x:v>
      </x:c>
      <x:c r="D1497" s="2" t="n">
        <x:v>2023</x:v>
      </x:c>
      <x:c r="E1497" s="2" t="str">
        <x:v>WB_undernourishment</x:v>
      </x:c>
      <x:c r="F1497" s="2" t="str">
        <x:v>Prevalence of undernourishment (% of population)</x:v>
      </x:c>
    </x:row>
    <x:row r="1498" ht="44" customHeight="1">
      <x:c r="A1498" s="2" t="str">
        <x:v>CZE</x:v>
      </x:c>
      <x:c r="B1498" s="2" t="str">
        <x:v>agriculture_employment</x:v>
      </x:c>
      <x:c r="C1498" s="2" t="n">
        <x:v>2.70894317746628</x:v>
      </x:c>
      <x:c r="D1498" s="2" t="n">
        <x:v>2025</x:v>
      </x:c>
      <x:c r="E1498" s="2" t="str">
        <x:v>WB_agriculture_employment</x:v>
      </x:c>
      <x:c r="F1498" s="2" t="str">
        <x:v>Employment in agriculture (% of total employment) (modeled ILO estimate)</x:v>
      </x:c>
    </x:row>
    <x:row r="1499" ht="44" customHeight="1">
      <x:c r="A1499" s="2" t="str">
        <x:v>CZE</x:v>
      </x:c>
      <x:c r="B1499" s="2" t="str">
        <x:v>water_withdrawal</x:v>
      </x:c>
      <x:c r="C1499" s="2" t="n">
        <x:v>10.9885931558935</x:v>
      </x:c>
      <x:c r="D1499" s="2" t="n">
        <x:v>2022</x:v>
      </x:c>
      <x:c r="E1499" s="2" t="str">
        <x:v>WB_water_withdrawal</x:v>
      </x:c>
      <x:c r="F1499" s="2" t="str">
        <x:v>Annual freshwater withdrawals, total (% of internal resources)</x:v>
      </x:c>
    </x:row>
    <x:row r="1500" ht="44" customHeight="1">
      <x:c r="A1500" s="2" t="str">
        <x:v>CIV</x:v>
      </x:c>
      <x:c r="B1500" s="2" t="str">
        <x:v>population</x:v>
      </x:c>
      <x:c r="C1500" s="2" t="n">
        <x:v>32711547</x:v>
      </x:c>
      <x:c r="D1500" s="2" t="n">
        <x:v>2025</x:v>
      </x:c>
      <x:c r="E1500" s="2" t="str">
        <x:v>WB_population</x:v>
      </x:c>
      <x:c r="F1500" s="2" t="str">
        <x:v>Population, total</x:v>
      </x:c>
    </x:row>
    <x:row r="1501" ht="44" customHeight="1">
      <x:c r="A1501" s="2" t="str">
        <x:v>CIV</x:v>
      </x:c>
      <x:c r="B1501" s="2" t="str">
        <x:v>income_ppp</x:v>
      </x:c>
      <x:c r="C1501" s="2" t="n">
        <x:v>7014.84577693062</x:v>
      </x:c>
      <x:c r="D1501" s="2" t="n">
        <x:v>2025</x:v>
      </x:c>
      <x:c r="E1501" s="2" t="str">
        <x:v>WB_income_ppp</x:v>
      </x:c>
      <x:c r="F1501" s="2" t="str">
        <x:v>GDP per capita, PPP (constant 2021 international $)</x:v>
      </x:c>
    </x:row>
    <x:row r="1502" ht="44" customHeight="1">
      <x:c r="A1502" s="2" t="str">
        <x:v>CIV</x:v>
      </x:c>
      <x:c r="B1502" s="2" t="str">
        <x:v>urban</x:v>
      </x:c>
      <x:c r="C1502" s="2" t="n">
        <x:v>54.5489501450761</x:v>
      </x:c>
      <x:c r="D1502" s="2" t="n">
        <x:v>2025</x:v>
      </x:c>
      <x:c r="E1502" s="2" t="str">
        <x:v>WB_urban</x:v>
      </x:c>
      <x:c r="F1502" s="2" t="str">
        <x:v>Urban population (% of total population)</x:v>
      </x:c>
    </x:row>
    <x:row r="1503" ht="44" customHeight="1">
      <x:c r="A1503" s="2" t="str">
        <x:v>CIV</x:v>
      </x:c>
      <x:c r="B1503" s="2" t="str">
        <x:v>inflation</x:v>
      </x:c>
      <x:c r="C1503" s="2" t="n">
        <x:v>0.125038772593104</x:v>
      </x:c>
      <x:c r="D1503" s="2" t="n">
        <x:v>2025</x:v>
      </x:c>
      <x:c r="E1503" s="2" t="str">
        <x:v>WB_inflation</x:v>
      </x:c>
      <x:c r="F1503" s="2" t="str">
        <x:v>Inflation, consumer prices (annual %)</x:v>
      </x:c>
    </x:row>
    <x:row r="1504" ht="44" customHeight="1">
      <x:c r="A1504" s="2" t="str">
        <x:v>CIV</x:v>
      </x:c>
      <x:c r="B1504" s="2" t="str">
        <x:v>food_index</x:v>
      </x:c>
      <x:c r="C1504" s="2" t="n">
        <x:v>121.86</x:v>
      </x:c>
      <x:c r="D1504" s="2" t="n">
        <x:v>2022</x:v>
      </x:c>
      <x:c r="E1504" s="2" t="str">
        <x:v>WB_food_index</x:v>
      </x:c>
      <x:c r="F1504" s="2" t="str">
        <x:v>Food production index (2014-2016 = 100)</x:v>
      </x:c>
    </x:row>
    <x:row r="1505" ht="44" customHeight="1">
      <x:c r="A1505" s="2" t="str">
        <x:v>CIV</x:v>
      </x:c>
      <x:c r="B1505" s="2" t="str">
        <x:v>food_import_share</x:v>
      </x:c>
      <x:c r="C1505" s="2" t="n">
        <x:v>20.4552406809332</x:v>
      </x:c>
      <x:c r="D1505" s="2" t="n">
        <x:v>2024</x:v>
      </x:c>
      <x:c r="E1505" s="2" t="str">
        <x:v>WB_food_import_share</x:v>
      </x:c>
      <x:c r="F1505" s="2" t="str">
        <x:v>Food imports (% of merchandise imports)</x:v>
      </x:c>
    </x:row>
    <x:row r="1506" ht="44" customHeight="1">
      <x:c r="A1506" s="2" t="str">
        <x:v>CIV</x:v>
      </x:c>
      <x:c r="B1506" s="2" t="str">
        <x:v>food_export_share</x:v>
      </x:c>
      <x:c r="C1506" s="2" t="n">
        <x:v>47.2107271817173</x:v>
      </x:c>
      <x:c r="D1506" s="2" t="n">
        <x:v>2024</x:v>
      </x:c>
      <x:c r="E1506" s="2" t="str">
        <x:v>WB_food_export_share</x:v>
      </x:c>
      <x:c r="F1506" s="2" t="str">
        <x:v>Food exports (% of merchandise exports)</x:v>
      </x:c>
    </x:row>
    <x:row r="1507" ht="44" customHeight="1">
      <x:c r="A1507" s="2" t="str">
        <x:v>CIV</x:v>
      </x:c>
      <x:c r="B1507" s="2" t="str">
        <x:v>imports_usd</x:v>
      </x:c>
      <x:c r="C1507" s="2" t="n">
        <x:v>19275000000</x:v>
      </x:c>
      <x:c r="D1507" s="2" t="n">
        <x:v>2025</x:v>
      </x:c>
      <x:c r="E1507" s="2" t="str">
        <x:v>WB_imports_usd</x:v>
      </x:c>
      <x:c r="F1507" s="2" t="str">
        <x:v>Merchandise imports (current US$)</x:v>
      </x:c>
    </x:row>
    <x:row r="1508" ht="44" customHeight="1">
      <x:c r="A1508" s="2" t="str">
        <x:v>CIV</x:v>
      </x:c>
      <x:c r="B1508" s="2" t="str">
        <x:v>exports_usd</x:v>
      </x:c>
      <x:c r="C1508" s="2" t="n">
        <x:v>28471000000</x:v>
      </x:c>
      <x:c r="D1508" s="2" t="n">
        <x:v>2025</x:v>
      </x:c>
      <x:c r="E1508" s="2" t="str">
        <x:v>WB_exports_usd</x:v>
      </x:c>
      <x:c r="F1508" s="2" t="str">
        <x:v>Merchandise exports (current US$)</x:v>
      </x:c>
    </x:row>
    <x:row r="1509" ht="44" customHeight="1">
      <x:c r="A1509" s="2" t="str">
        <x:v>CIV</x:v>
      </x:c>
      <x:c r="B1509" s="2" t="str">
        <x:v>cereal_yield</x:v>
      </x:c>
      <x:c r="C1509" s="2" t="n">
        <x:v>2397.8</x:v>
      </x:c>
      <x:c r="D1509" s="2" t="n">
        <x:v>2023</x:v>
      </x:c>
      <x:c r="E1509" s="2" t="str">
        <x:v>WB_cereal_yield</x:v>
      </x:c>
      <x:c r="F1509" s="2" t="str">
        <x:v>Cereal yield (kg per hectare)</x:v>
      </x:c>
    </x:row>
    <x:row r="1510" ht="44" customHeight="1">
      <x:c r="A1510" s="2" t="str">
        <x:v>CIV</x:v>
      </x:c>
      <x:c r="B1510" s="2" t="str">
        <x:v>water_stress</x:v>
      </x:c>
      <x:c r="C1510" s="2" t="n">
        <x:v>5.087565674</x:v>
      </x:c>
      <x:c r="D1510" s="2" t="n">
        <x:v>2022</x:v>
      </x:c>
      <x:c r="E1510" s="2" t="str">
        <x:v>WB_water_stress</x:v>
      </x:c>
      <x:c r="F1510" s="2" t="str">
        <x:v>Level of water stress: freshwater withdrawal as a proportion of available freshwater resources</x:v>
      </x:c>
    </x:row>
    <x:row r="1511" ht="44" customHeight="1">
      <x:c r="A1511" s="2" t="str">
        <x:v>CIV</x:v>
      </x:c>
      <x:c r="B1511" s="2" t="str">
        <x:v>fertility</x:v>
      </x:c>
      <x:c r="C1511" s="2" t="n">
        <x:v>4.23</x:v>
      </x:c>
      <x:c r="D1511" s="2" t="n">
        <x:v>2024</x:v>
      </x:c>
      <x:c r="E1511" s="2" t="str">
        <x:v>WB_fertility</x:v>
      </x:c>
      <x:c r="F1511" s="2" t="str">
        <x:v>Fertility rate, total (births per woman)</x:v>
      </x:c>
    </x:row>
    <x:row r="1512" ht="44" customHeight="1">
      <x:c r="A1512" s="2" t="str">
        <x:v>CIV</x:v>
      </x:c>
      <x:c r="B1512" s="2" t="str">
        <x:v>life_expectancy</x:v>
      </x:c>
      <x:c r="C1512" s="2" t="n">
        <x:v>62.11</x:v>
      </x:c>
      <x:c r="D1512" s="2" t="n">
        <x:v>2024</x:v>
      </x:c>
      <x:c r="E1512" s="2" t="str">
        <x:v>WB_life_expectancy</x:v>
      </x:c>
      <x:c r="F1512" s="2" t="str">
        <x:v>Life expectancy at birth, total (years)</x:v>
      </x:c>
    </x:row>
    <x:row r="1513" ht="44" customHeight="1">
      <x:c r="A1513" s="2" t="str">
        <x:v>CIV</x:v>
      </x:c>
      <x:c r="B1513" s="2" t="str">
        <x:v>age_under15</x:v>
      </x:c>
      <x:c r="C1513" s="2" t="n">
        <x:v>40.4553985241878</x:v>
      </x:c>
      <x:c r="D1513" s="2" t="n">
        <x:v>2025</x:v>
      </x:c>
      <x:c r="E1513" s="2" t="str">
        <x:v>WB_age_under15</x:v>
      </x:c>
      <x:c r="F1513" s="2" t="str">
        <x:v>Population ages 0-14 (% of total population)</x:v>
      </x:c>
    </x:row>
    <x:row r="1514" ht="44" customHeight="1">
      <x:c r="A1514" s="2" t="str">
        <x:v>CIV</x:v>
      </x:c>
      <x:c r="B1514" s="2" t="str">
        <x:v>age_over65</x:v>
      </x:c>
      <x:c r="C1514" s="2" t="n">
        <x:v>2.65345754900338</x:v>
      </x:c>
      <x:c r="D1514" s="2" t="n">
        <x:v>2025</x:v>
      </x:c>
      <x:c r="E1514" s="2" t="str">
        <x:v>WB_age_over65</x:v>
      </x:c>
      <x:c r="F1514" s="2" t="str">
        <x:v>Population ages 65 and above (% of total population)</x:v>
      </x:c>
    </x:row>
    <x:row r="1515" ht="44" customHeight="1">
      <x:c r="A1515" s="2" t="str">
        <x:v>CIV</x:v>
      </x:c>
      <x:c r="B1515" s="2" t="str">
        <x:v>dependency_ratio</x:v>
      </x:c>
      <x:c r="C1515" s="2" t="n">
        <x:v>75.774285110462</x:v>
      </x:c>
      <x:c r="D1515" s="2" t="n">
        <x:v>2025</x:v>
      </x:c>
      <x:c r="E1515" s="2" t="str">
        <x:v>WB_dependency_ratio</x:v>
      </x:c>
      <x:c r="F1515" s="2" t="str">
        <x:v>Age dependency ratio (% of working-age population)</x:v>
      </x:c>
    </x:row>
    <x:row r="1516" ht="44" customHeight="1">
      <x:c r="A1516" s="2" t="str">
        <x:v>CIV</x:v>
      </x:c>
      <x:c r="B1516" s="2" t="str">
        <x:v>net_migration</x:v>
      </x:c>
      <x:c r="C1516" s="2" t="n">
        <x:v>11305</x:v>
      </x:c>
      <x:c r="D1516" s="2" t="n">
        <x:v>2025</x:v>
      </x:c>
      <x:c r="E1516" s="2" t="str">
        <x:v>WB_net_migration</x:v>
      </x:c>
      <x:c r="F1516" s="2" t="str">
        <x:v>Net migration</x:v>
      </x:c>
    </x:row>
    <x:row r="1517" ht="44" customHeight="1">
      <x:c r="A1517" s="2" t="str">
        <x:v>CIV</x:v>
      </x:c>
      <x:c r="B1517" s="2" t="str">
        <x:v>real_gdp</x:v>
      </x:c>
      <x:c r="C1517" s="2" t="n">
        <x:v>81476260434.278</x:v>
      </x:c>
      <x:c r="D1517" s="2" t="n">
        <x:v>2025</x:v>
      </x:c>
      <x:c r="E1517" s="2" t="str">
        <x:v>WB_real_gdp</x:v>
      </x:c>
      <x:c r="F1517" s="2" t="str">
        <x:v>GDP (constant 2015 US$)</x:v>
      </x:c>
    </x:row>
    <x:row r="1518" ht="44" customHeight="1">
      <x:c r="A1518" s="2" t="str">
        <x:v>CIV</x:v>
      </x:c>
      <x:c r="B1518" s="2" t="str">
        <x:v>gdp_growth</x:v>
      </x:c>
      <x:c r="C1518" s="2" t="n">
        <x:v>6.4999999999999</x:v>
      </x:c>
      <x:c r="D1518" s="2" t="n">
        <x:v>2025</x:v>
      </x:c>
      <x:c r="E1518" s="2" t="str">
        <x:v>WB_gdp_growth</x:v>
      </x:c>
      <x:c r="F1518" s="2" t="str">
        <x:v>GDP growth (annual %)</x:v>
      </x:c>
    </x:row>
    <x:row r="1519" ht="44" customHeight="1">
      <x:c r="A1519" s="2" t="str">
        <x:v>CIV</x:v>
      </x:c>
      <x:c r="B1519" s="2" t="str">
        <x:v>real_income</x:v>
      </x:c>
      <x:c r="C1519" s="2" t="n">
        <x:v>2490.74922791875</x:v>
      </x:c>
      <x:c r="D1519" s="2" t="n">
        <x:v>2025</x:v>
      </x:c>
      <x:c r="E1519" s="2" t="str">
        <x:v>WB_real_income</x:v>
      </x:c>
      <x:c r="F1519" s="2" t="str">
        <x:v>GDP per capita (constant 2015 US$)</x:v>
      </x:c>
    </x:row>
    <x:row r="1520" ht="44" customHeight="1">
      <x:c r="A1520" s="2" t="str">
        <x:v>CIV</x:v>
      </x:c>
      <x:c r="B1520" s="2" t="str">
        <x:v>agriculture_gdp</x:v>
      </x:c>
      <x:c r="C1520" s="2" t="n">
        <x:v>16.7636825512357</x:v>
      </x:c>
      <x:c r="D1520" s="2" t="n">
        <x:v>2025</x:v>
      </x:c>
      <x:c r="E1520" s="2" t="str">
        <x:v>WB_agriculture_gdp</x:v>
      </x:c>
      <x:c r="F1520" s="2" t="str">
        <x:v>Agriculture, forestry, and fishing, value added (% of GDP)</x:v>
      </x:c>
    </x:row>
    <x:row r="1521" ht="44" customHeight="1">
      <x:c r="A1521" s="2" t="str">
        <x:v>CIV</x:v>
      </x:c>
      <x:c r="B1521" s="2" t="str">
        <x:v>poverty</x:v>
      </x:c>
      <x:c r="C1521" s="2" t="n">
        <x:v>20.8</x:v>
      </x:c>
      <x:c r="D1521" s="2" t="n">
        <x:v>2021</x:v>
      </x:c>
      <x:c r="E1521" s="2" t="str">
        <x:v>WB_poverty</x:v>
      </x:c>
      <x:c r="F1521" s="2" t="str">
        <x:v>Poverty headcount ratio at $3.00 a day (2021 PPP) (% of population)</x:v>
      </x:c>
    </x:row>
    <x:row r="1522" ht="44" customHeight="1">
      <x:c r="A1522" s="2" t="str">
        <x:v>CIV</x:v>
      </x:c>
      <x:c r="B1522" s="2" t="str">
        <x:v>gini</x:v>
      </x:c>
      <x:c r="C1522" s="2" t="n">
        <x:v>35.3</x:v>
      </x:c>
      <x:c r="D1522" s="2" t="n">
        <x:v>2021</x:v>
      </x:c>
      <x:c r="E1522" s="2" t="str">
        <x:v>WB_gini</x:v>
      </x:c>
      <x:c r="F1522" s="2" t="str">
        <x:v>Gini index</x:v>
      </x:c>
    </x:row>
    <x:row r="1523" ht="44" customHeight="1">
      <x:c r="A1523" s="2" t="str">
        <x:v>CIV</x:v>
      </x:c>
      <x:c r="B1523" s="2" t="str">
        <x:v>unemployment</x:v>
      </x:c>
      <x:c r="C1523" s="2" t="n">
        <x:v>2.323</x:v>
      </x:c>
      <x:c r="D1523" s="2" t="n">
        <x:v>2025</x:v>
      </x:c>
      <x:c r="E1523" s="2" t="str">
        <x:v>WB_unemployment</x:v>
      </x:c>
      <x:c r="F1523" s="2" t="str">
        <x:v>Unemployment, total (% of total labor force) (modeled ILO estimate)</x:v>
      </x:c>
    </x:row>
    <x:row r="1524" ht="44" customHeight="1">
      <x:c r="A1524" s="2" t="str">
        <x:v>CIV</x:v>
      </x:c>
      <x:c r="B1524" s="2" t="str">
        <x:v>private_credit</x:v>
      </x:c>
      <x:c r="C1524" s="2" t="n">
        <x:v>22.6767007239408</x:v>
      </x:c>
      <x:c r="D1524" s="2" t="n">
        <x:v>2025</x:v>
      </x:c>
      <x:c r="E1524" s="2" t="str">
        <x:v>WB_private_credit</x:v>
      </x:c>
      <x:c r="F1524" s="2" t="str">
        <x:v>Domestic credit to private sector (% of GDP)</x:v>
      </x:c>
    </x:row>
    <x:row r="1525" ht="44" customHeight="1">
      <x:c r="A1525" s="2" t="str">
        <x:v>CIV</x:v>
      </x:c>
      <x:c r="B1525" s="2" t="str">
        <x:v>lending_rate</x:v>
      </x:c>
      <x:c r="C1525" s="2" t="n">
        <x:v>5.295</x:v>
      </x:c>
      <x:c r="D1525" s="2" t="n">
        <x:v>2016</x:v>
      </x:c>
      <x:c r="E1525" s="2" t="str">
        <x:v>WB_lending_rate</x:v>
      </x:c>
      <x:c r="F1525" s="2" t="str">
        <x:v>Lending interest rate (%)</x:v>
      </x:c>
    </x:row>
    <x:row r="1526" ht="44" customHeight="1">
      <x:c r="A1526" s="2" t="str">
        <x:v>CIV</x:v>
      </x:c>
      <x:c r="B1526" s="2" t="str">
        <x:v>real_interest</x:v>
      </x:c>
      <x:c r="C1526" s="2" t="n">
        <x:v>6.55213666931005</x:v>
      </x:c>
      <x:c r="D1526" s="2" t="n">
        <x:v>2016</x:v>
      </x:c>
      <x:c r="E1526" s="2" t="str">
        <x:v>WB_real_interest</x:v>
      </x:c>
      <x:c r="F1526" s="2" t="str">
        <x:v>Real interest rate (%)</x:v>
      </x:c>
    </x:row>
    <x:row r="1527" ht="44" customHeight="1">
      <x:c r="A1527" s="2" t="str">
        <x:v>CIV</x:v>
      </x:c>
      <x:c r="B1527" s="2" t="str">
        <x:v>government_debt</x:v>
      </x:c>
      <x:c r="C1527" s="2"/>
      <x:c r="D1527" s="2"/>
      <x:c r="E1527" s="2" t="str">
        <x:v>Missing</x:v>
      </x:c>
      <x:c r="F1527" s="2" t="str">
        <x:v>Central government debt, total (% of GDP)</x:v>
      </x:c>
    </x:row>
    <x:row r="1528" ht="44" customHeight="1">
      <x:c r="A1528" s="2" t="str">
        <x:v>CIV</x:v>
      </x:c>
      <x:c r="B1528" s="2" t="str">
        <x:v>electricity_access</x:v>
      </x:c>
      <x:c r="C1528" s="2" t="n">
        <x:v>72.9</x:v>
      </x:c>
      <x:c r="D1528" s="2" t="n">
        <x:v>2024</x:v>
      </x:c>
      <x:c r="E1528" s="2" t="str">
        <x:v>WB_electricity_access</x:v>
      </x:c>
      <x:c r="F1528" s="2" t="str">
        <x:v>Access to electricity (% of population)</x:v>
      </x:c>
    </x:row>
    <x:row r="1529" ht="44" customHeight="1">
      <x:c r="A1529" s="2" t="str">
        <x:v>CIV</x:v>
      </x:c>
      <x:c r="B1529" s="2" t="str">
        <x:v>irrigated_land</x:v>
      </x:c>
      <x:c r="C1529" s="2"/>
      <x:c r="D1529" s="2"/>
      <x:c r="E1529" s="2" t="str">
        <x:v>Missing</x:v>
      </x:c>
      <x:c r="F1529" s="2" t="str">
        <x:v>Agricultural irrigated land (% of total agricultural land)</x:v>
      </x:c>
    </x:row>
    <x:row r="1530" ht="44" customHeight="1">
      <x:c r="A1530" s="2" t="str">
        <x:v>CIV</x:v>
      </x:c>
      <x:c r="B1530" s="2" t="str">
        <x:v>cereal_area</x:v>
      </x:c>
      <x:c r="C1530" s="2" t="n">
        <x:v>1413839</x:v>
      </x:c>
      <x:c r="D1530" s="2" t="n">
        <x:v>2023</x:v>
      </x:c>
      <x:c r="E1530" s="2" t="str">
        <x:v>WB_cereal_area</x:v>
      </x:c>
      <x:c r="F1530" s="2" t="str">
        <x:v>Land under cereal production (hectares)</x:v>
      </x:c>
    </x:row>
    <x:row r="1531" ht="44" customHeight="1">
      <x:c r="A1531" s="2" t="str">
        <x:v>CIV</x:v>
      </x:c>
      <x:c r="B1531" s="2" t="str">
        <x:v>undernourishment</x:v>
      </x:c>
      <x:c r="C1531" s="2" t="n">
        <x:v>11.1</x:v>
      </x:c>
      <x:c r="D1531" s="2" t="n">
        <x:v>2023</x:v>
      </x:c>
      <x:c r="E1531" s="2" t="str">
        <x:v>WB_undernourishment</x:v>
      </x:c>
      <x:c r="F1531" s="2" t="str">
        <x:v>Prevalence of undernourishment (% of population)</x:v>
      </x:c>
    </x:row>
    <x:row r="1532" ht="44" customHeight="1">
      <x:c r="A1532" s="2" t="str">
        <x:v>CIV</x:v>
      </x:c>
      <x:c r="B1532" s="2" t="str">
        <x:v>agriculture_employment</x:v>
      </x:c>
      <x:c r="C1532" s="2" t="n">
        <x:v>45.3665059778073</x:v>
      </x:c>
      <x:c r="D1532" s="2" t="n">
        <x:v>2025</x:v>
      </x:c>
      <x:c r="E1532" s="2" t="str">
        <x:v>WB_agriculture_employment</x:v>
      </x:c>
      <x:c r="F1532" s="2" t="str">
        <x:v>Employment in agriculture (% of total employment) (modeled ILO estimate)</x:v>
      </x:c>
    </x:row>
    <x:row r="1533" ht="44" customHeight="1">
      <x:c r="A1533" s="2" t="str">
        <x:v>CIV</x:v>
      </x:c>
      <x:c r="B1533" s="2" t="str">
        <x:v>water_withdrawal</x:v>
      </x:c>
      <x:c r="C1533" s="2" t="n">
        <x:v>1.51223321186882</x:v>
      </x:c>
      <x:c r="D1533" s="2" t="n">
        <x:v>2022</x:v>
      </x:c>
      <x:c r="E1533" s="2" t="str">
        <x:v>WB_water_withdrawal</x:v>
      </x:c>
      <x:c r="F1533" s="2" t="str">
        <x:v>Annual freshwater withdrawals, total (% of internal resources)</x:v>
      </x:c>
    </x:row>
    <x:row r="1534" ht="44" customHeight="1">
      <x:c r="A1534" s="2" t="str">
        <x:v>PRK</x:v>
      </x:c>
      <x:c r="B1534" s="2" t="str">
        <x:v>population</x:v>
      </x:c>
      <x:c r="C1534" s="2" t="n">
        <x:v>26571036</x:v>
      </x:c>
      <x:c r="D1534" s="2" t="n">
        <x:v>2025</x:v>
      </x:c>
      <x:c r="E1534" s="2" t="str">
        <x:v>WB_population</x:v>
      </x:c>
      <x:c r="F1534" s="2" t="str">
        <x:v>Population, total</x:v>
      </x:c>
    </x:row>
    <x:row r="1535" ht="44" customHeight="1">
      <x:c r="A1535" s="2" t="str">
        <x:v>PRK</x:v>
      </x:c>
      <x:c r="B1535" s="2" t="str">
        <x:v>income_ppp</x:v>
      </x:c>
      <x:c r="C1535" s="2"/>
      <x:c r="D1535" s="2"/>
      <x:c r="E1535" s="2" t="str">
        <x:v>Missing</x:v>
      </x:c>
      <x:c r="F1535" s="2" t="str">
        <x:v>GDP per capita, PPP (constant 2021 international $)</x:v>
      </x:c>
    </x:row>
    <x:row r="1536" ht="44" customHeight="1">
      <x:c r="A1536" s="2" t="str">
        <x:v>PRK</x:v>
      </x:c>
      <x:c r="B1536" s="2" t="str">
        <x:v>urban</x:v>
      </x:c>
      <x:c r="C1536" s="2" t="n">
        <x:v>64.1897858311258</x:v>
      </x:c>
      <x:c r="D1536" s="2" t="n">
        <x:v>2025</x:v>
      </x:c>
      <x:c r="E1536" s="2" t="str">
        <x:v>WB_urban</x:v>
      </x:c>
      <x:c r="F1536" s="2" t="str">
        <x:v>Urban population (% of total population)</x:v>
      </x:c>
    </x:row>
    <x:row r="1537" ht="44" customHeight="1">
      <x:c r="A1537" s="2" t="str">
        <x:v>PRK</x:v>
      </x:c>
      <x:c r="B1537" s="2" t="str">
        <x:v>inflation</x:v>
      </x:c>
      <x:c r="C1537" s="2"/>
      <x:c r="D1537" s="2"/>
      <x:c r="E1537" s="2" t="str">
        <x:v>Missing</x:v>
      </x:c>
      <x:c r="F1537" s="2" t="str">
        <x:v>Inflation, consumer prices (annual %)</x:v>
      </x:c>
    </x:row>
    <x:row r="1538" ht="44" customHeight="1">
      <x:c r="A1538" s="2" t="str">
        <x:v>PRK</x:v>
      </x:c>
      <x:c r="B1538" s="2" t="str">
        <x:v>food_index</x:v>
      </x:c>
      <x:c r="C1538" s="2" t="n">
        <x:v>92.69</x:v>
      </x:c>
      <x:c r="D1538" s="2" t="n">
        <x:v>2022</x:v>
      </x:c>
      <x:c r="E1538" s="2" t="str">
        <x:v>WB_food_index</x:v>
      </x:c>
      <x:c r="F1538" s="2" t="str">
        <x:v>Food production index (2014-2016 = 100)</x:v>
      </x:c>
    </x:row>
    <x:row r="1539" ht="44" customHeight="1">
      <x:c r="A1539" s="2" t="str">
        <x:v>PRK</x:v>
      </x:c>
      <x:c r="B1539" s="2" t="str">
        <x:v>food_import_share</x:v>
      </x:c>
      <x:c r="C1539" s="2"/>
      <x:c r="D1539" s="2"/>
      <x:c r="E1539" s="2" t="str">
        <x:v>Missing</x:v>
      </x:c>
      <x:c r="F1539" s="2" t="str">
        <x:v>Food imports (% of merchandise imports)</x:v>
      </x:c>
    </x:row>
    <x:row r="1540" ht="44" customHeight="1">
      <x:c r="A1540" s="2" t="str">
        <x:v>PRK</x:v>
      </x:c>
      <x:c r="B1540" s="2" t="str">
        <x:v>food_export_share</x:v>
      </x:c>
      <x:c r="C1540" s="2"/>
      <x:c r="D1540" s="2"/>
      <x:c r="E1540" s="2" t="str">
        <x:v>Missing</x:v>
      </x:c>
      <x:c r="F1540" s="2" t="str">
        <x:v>Food exports (% of merchandise exports)</x:v>
      </x:c>
    </x:row>
    <x:row r="1541" ht="44" customHeight="1">
      <x:c r="A1541" s="2" t="str">
        <x:v>PRK</x:v>
      </x:c>
      <x:c r="B1541" s="2" t="str">
        <x:v>imports_usd</x:v>
      </x:c>
      <x:c r="C1541" s="2" t="n">
        <x:v>2869000000</x:v>
      </x:c>
      <x:c r="D1541" s="2" t="n">
        <x:v>2025</x:v>
      </x:c>
      <x:c r="E1541" s="2" t="str">
        <x:v>WB_imports_usd</x:v>
      </x:c>
      <x:c r="F1541" s="2" t="str">
        <x:v>Merchandise imports (current US$)</x:v>
      </x:c>
    </x:row>
    <x:row r="1542" ht="44" customHeight="1">
      <x:c r="A1542" s="2" t="str">
        <x:v>PRK</x:v>
      </x:c>
      <x:c r="B1542" s="2" t="str">
        <x:v>exports_usd</x:v>
      </x:c>
      <x:c r="C1542" s="2" t="n">
        <x:v>611000000</x:v>
      </x:c>
      <x:c r="D1542" s="2" t="n">
        <x:v>2025</x:v>
      </x:c>
      <x:c r="E1542" s="2" t="str">
        <x:v>WB_exports_usd</x:v>
      </x:c>
      <x:c r="F1542" s="2" t="str">
        <x:v>Merchandise exports (current US$)</x:v>
      </x:c>
    </x:row>
    <x:row r="1543" ht="44" customHeight="1">
      <x:c r="A1543" s="2" t="str">
        <x:v>PRK</x:v>
      </x:c>
      <x:c r="B1543" s="2" t="str">
        <x:v>cereal_yield</x:v>
      </x:c>
      <x:c r="C1543" s="2" t="n">
        <x:v>3609.8</x:v>
      </x:c>
      <x:c r="D1543" s="2" t="n">
        <x:v>2024</x:v>
      </x:c>
      <x:c r="E1543" s="2" t="str">
        <x:v>WB_cereal_yield</x:v>
      </x:c>
      <x:c r="F1543" s="2" t="str">
        <x:v>Cereal yield (kg per hectare)</x:v>
      </x:c>
    </x:row>
    <x:row r="1544" ht="44" customHeight="1">
      <x:c r="A1544" s="2" t="str">
        <x:v>PRK</x:v>
      </x:c>
      <x:c r="B1544" s="2" t="str">
        <x:v>water_stress</x:v>
      </x:c>
      <x:c r="C1544" s="2" t="n">
        <x:v>27.7404678</x:v>
      </x:c>
      <x:c r="D1544" s="2" t="n">
        <x:v>2022</x:v>
      </x:c>
      <x:c r="E1544" s="2" t="str">
        <x:v>WB_water_stress</x:v>
      </x:c>
      <x:c r="F1544" s="2" t="str">
        <x:v>Level of water stress: freshwater withdrawal as a proportion of available freshwater resources</x:v>
      </x:c>
    </x:row>
    <x:row r="1545" ht="44" customHeight="1">
      <x:c r="A1545" s="2" t="str">
        <x:v>PRK</x:v>
      </x:c>
      <x:c r="B1545" s="2" t="str">
        <x:v>fertility</x:v>
      </x:c>
      <x:c r="C1545" s="2" t="n">
        <x:v>1.784</x:v>
      </x:c>
      <x:c r="D1545" s="2" t="n">
        <x:v>2024</x:v>
      </x:c>
      <x:c r="E1545" s="2" t="str">
        <x:v>WB_fertility</x:v>
      </x:c>
      <x:c r="F1545" s="2" t="str">
        <x:v>Fertility rate, total (births per woman)</x:v>
      </x:c>
    </x:row>
    <x:row r="1546" ht="44" customHeight="1">
      <x:c r="A1546" s="2" t="str">
        <x:v>PRK</x:v>
      </x:c>
      <x:c r="B1546" s="2" t="str">
        <x:v>life_expectancy</x:v>
      </x:c>
      <x:c r="C1546" s="2" t="n">
        <x:v>73.743</x:v>
      </x:c>
      <x:c r="D1546" s="2" t="n">
        <x:v>2024</x:v>
      </x:c>
      <x:c r="E1546" s="2" t="str">
        <x:v>WB_life_expectancy</x:v>
      </x:c>
      <x:c r="F1546" s="2" t="str">
        <x:v>Life expectancy at birth, total (years)</x:v>
      </x:c>
    </x:row>
    <x:row r="1547" ht="44" customHeight="1">
      <x:c r="A1547" s="2" t="str">
        <x:v>PRK</x:v>
      </x:c>
      <x:c r="B1547" s="2" t="str">
        <x:v>age_under15</x:v>
      </x:c>
      <x:c r="C1547" s="2" t="n">
        <x:v>18.9282698851435</x:v>
      </x:c>
      <x:c r="D1547" s="2" t="n">
        <x:v>2025</x:v>
      </x:c>
      <x:c r="E1547" s="2" t="str">
        <x:v>WB_age_under15</x:v>
      </x:c>
      <x:c r="F1547" s="2" t="str">
        <x:v>Population ages 0-14 (% of total population)</x:v>
      </x:c>
    </x:row>
    <x:row r="1548" ht="44" customHeight="1">
      <x:c r="A1548" s="2" t="str">
        <x:v>PRK</x:v>
      </x:c>
      <x:c r="B1548" s="2" t="str">
        <x:v>age_over65</x:v>
      </x:c>
      <x:c r="C1548" s="2" t="n">
        <x:v>12.7100800151323</x:v>
      </x:c>
      <x:c r="D1548" s="2" t="n">
        <x:v>2025</x:v>
      </x:c>
      <x:c r="E1548" s="2" t="str">
        <x:v>WB_age_over65</x:v>
      </x:c>
      <x:c r="F1548" s="2" t="str">
        <x:v>Population ages 65 and above (% of total population)</x:v>
      </x:c>
    </x:row>
    <x:row r="1549" ht="44" customHeight="1">
      <x:c r="A1549" s="2" t="str">
        <x:v>PRK</x:v>
      </x:c>
      <x:c r="B1549" s="2" t="str">
        <x:v>dependency_ratio</x:v>
      </x:c>
      <x:c r="C1549" s="2" t="n">
        <x:v>46.2808430931296</x:v>
      </x:c>
      <x:c r="D1549" s="2" t="n">
        <x:v>2025</x:v>
      </x:c>
      <x:c r="E1549" s="2" t="str">
        <x:v>WB_dependency_ratio</x:v>
      </x:c>
      <x:c r="F1549" s="2" t="str">
        <x:v>Age dependency ratio (% of working-age population)</x:v>
      </x:c>
    </x:row>
    <x:row r="1550" ht="44" customHeight="1">
      <x:c r="A1550" s="2" t="str">
        <x:v>PRK</x:v>
      </x:c>
      <x:c r="B1550" s="2" t="str">
        <x:v>net_migration</x:v>
      </x:c>
      <x:c r="C1550" s="2" t="n">
        <x:v>-2787</x:v>
      </x:c>
      <x:c r="D1550" s="2" t="n">
        <x:v>2025</x:v>
      </x:c>
      <x:c r="E1550" s="2" t="str">
        <x:v>WB_net_migration</x:v>
      </x:c>
      <x:c r="F1550" s="2" t="str">
        <x:v>Net migration</x:v>
      </x:c>
    </x:row>
    <x:row r="1551" ht="44" customHeight="1">
      <x:c r="A1551" s="2" t="str">
        <x:v>PRK</x:v>
      </x:c>
      <x:c r="B1551" s="2" t="str">
        <x:v>real_gdp</x:v>
      </x:c>
      <x:c r="C1551" s="2"/>
      <x:c r="D1551" s="2"/>
      <x:c r="E1551" s="2" t="str">
        <x:v>Missing</x:v>
      </x:c>
      <x:c r="F1551" s="2" t="str">
        <x:v>GDP (constant 2015 US$)</x:v>
      </x:c>
    </x:row>
    <x:row r="1552" ht="44" customHeight="1">
      <x:c r="A1552" s="2" t="str">
        <x:v>PRK</x:v>
      </x:c>
      <x:c r="B1552" s="2" t="str">
        <x:v>gdp_growth</x:v>
      </x:c>
      <x:c r="C1552" s="2"/>
      <x:c r="D1552" s="2"/>
      <x:c r="E1552" s="2" t="str">
        <x:v>Missing</x:v>
      </x:c>
      <x:c r="F1552" s="2" t="str">
        <x:v>GDP growth (annual %)</x:v>
      </x:c>
    </x:row>
    <x:row r="1553" ht="44" customHeight="1">
      <x:c r="A1553" s="2" t="str">
        <x:v>PRK</x:v>
      </x:c>
      <x:c r="B1553" s="2" t="str">
        <x:v>real_income</x:v>
      </x:c>
      <x:c r="C1553" s="2"/>
      <x:c r="D1553" s="2"/>
      <x:c r="E1553" s="2" t="str">
        <x:v>Missing</x:v>
      </x:c>
      <x:c r="F1553" s="2" t="str">
        <x:v>GDP per capita (constant 2015 US$)</x:v>
      </x:c>
    </x:row>
    <x:row r="1554" ht="44" customHeight="1">
      <x:c r="A1554" s="2" t="str">
        <x:v>PRK</x:v>
      </x:c>
      <x:c r="B1554" s="2" t="str">
        <x:v>agriculture_gdp</x:v>
      </x:c>
      <x:c r="C1554" s="2"/>
      <x:c r="D1554" s="2"/>
      <x:c r="E1554" s="2" t="str">
        <x:v>Missing</x:v>
      </x:c>
      <x:c r="F1554" s="2" t="str">
        <x:v>Agriculture, forestry, and fishing, value added (% of GDP)</x:v>
      </x:c>
    </x:row>
    <x:row r="1555" ht="44" customHeight="1">
      <x:c r="A1555" s="2" t="str">
        <x:v>PRK</x:v>
      </x:c>
      <x:c r="B1555" s="2" t="str">
        <x:v>poverty</x:v>
      </x:c>
      <x:c r="C1555" s="2"/>
      <x:c r="D1555" s="2"/>
      <x:c r="E1555" s="2" t="str">
        <x:v>Missing</x:v>
      </x:c>
      <x:c r="F1555" s="2" t="str">
        <x:v>Poverty headcount ratio at $3.00 a day (2021 PPP) (% of population)</x:v>
      </x:c>
    </x:row>
    <x:row r="1556" ht="44" customHeight="1">
      <x:c r="A1556" s="2" t="str">
        <x:v>PRK</x:v>
      </x:c>
      <x:c r="B1556" s="2" t="str">
        <x:v>gini</x:v>
      </x:c>
      <x:c r="C1556" s="2"/>
      <x:c r="D1556" s="2"/>
      <x:c r="E1556" s="2" t="str">
        <x:v>Missing</x:v>
      </x:c>
      <x:c r="F1556" s="2" t="str">
        <x:v>Gini index</x:v>
      </x:c>
    </x:row>
    <x:row r="1557" ht="44" customHeight="1">
      <x:c r="A1557" s="2" t="str">
        <x:v>PRK</x:v>
      </x:c>
      <x:c r="B1557" s="2" t="str">
        <x:v>unemployment</x:v>
      </x:c>
      <x:c r="C1557" s="2" t="n">
        <x:v>3.545</x:v>
      </x:c>
      <x:c r="D1557" s="2" t="n">
        <x:v>2025</x:v>
      </x:c>
      <x:c r="E1557" s="2" t="str">
        <x:v>WB_unemployment</x:v>
      </x:c>
      <x:c r="F1557" s="2" t="str">
        <x:v>Unemployment, total (% of total labor force) (modeled ILO estimate)</x:v>
      </x:c>
    </x:row>
    <x:row r="1558" ht="44" customHeight="1">
      <x:c r="A1558" s="2" t="str">
        <x:v>PRK</x:v>
      </x:c>
      <x:c r="B1558" s="2" t="str">
        <x:v>private_credit</x:v>
      </x:c>
      <x:c r="C1558" s="2"/>
      <x:c r="D1558" s="2"/>
      <x:c r="E1558" s="2" t="str">
        <x:v>Missing</x:v>
      </x:c>
      <x:c r="F1558" s="2" t="str">
        <x:v>Domestic credit to private sector (% of GDP)</x:v>
      </x:c>
    </x:row>
    <x:row r="1559" ht="44" customHeight="1">
      <x:c r="A1559" s="2" t="str">
        <x:v>PRK</x:v>
      </x:c>
      <x:c r="B1559" s="2" t="str">
        <x:v>lending_rate</x:v>
      </x:c>
      <x:c r="C1559" s="2"/>
      <x:c r="D1559" s="2"/>
      <x:c r="E1559" s="2" t="str">
        <x:v>Missing</x:v>
      </x:c>
      <x:c r="F1559" s="2" t="str">
        <x:v>Lending interest rate (%)</x:v>
      </x:c>
    </x:row>
    <x:row r="1560" ht="44" customHeight="1">
      <x:c r="A1560" s="2" t="str">
        <x:v>PRK</x:v>
      </x:c>
      <x:c r="B1560" s="2" t="str">
        <x:v>real_interest</x:v>
      </x:c>
      <x:c r="C1560" s="2"/>
      <x:c r="D1560" s="2"/>
      <x:c r="E1560" s="2" t="str">
        <x:v>Missing</x:v>
      </x:c>
      <x:c r="F1560" s="2" t="str">
        <x:v>Real interest rate (%)</x:v>
      </x:c>
    </x:row>
    <x:row r="1561" ht="44" customHeight="1">
      <x:c r="A1561" s="2" t="str">
        <x:v>PRK</x:v>
      </x:c>
      <x:c r="B1561" s="2" t="str">
        <x:v>government_debt</x:v>
      </x:c>
      <x:c r="C1561" s="2"/>
      <x:c r="D1561" s="2"/>
      <x:c r="E1561" s="2" t="str">
        <x:v>Missing</x:v>
      </x:c>
      <x:c r="F1561" s="2" t="str">
        <x:v>Central government debt, total (% of GDP)</x:v>
      </x:c>
    </x:row>
    <x:row r="1562" ht="44" customHeight="1">
      <x:c r="A1562" s="2" t="str">
        <x:v>PRK</x:v>
      </x:c>
      <x:c r="B1562" s="2" t="str">
        <x:v>electricity_access</x:v>
      </x:c>
      <x:c r="C1562" s="2" t="n">
        <x:v>61.4</x:v>
      </x:c>
      <x:c r="D1562" s="2" t="n">
        <x:v>2024</x:v>
      </x:c>
      <x:c r="E1562" s="2" t="str">
        <x:v>WB_electricity_access</x:v>
      </x:c>
      <x:c r="F1562" s="2" t="str">
        <x:v>Access to electricity (% of population)</x:v>
      </x:c>
    </x:row>
    <x:row r="1563" ht="44" customHeight="1">
      <x:c r="A1563" s="2" t="str">
        <x:v>PRK</x:v>
      </x:c>
      <x:c r="B1563" s="2" t="str">
        <x:v>irrigated_land</x:v>
      </x:c>
      <x:c r="C1563" s="2"/>
      <x:c r="D1563" s="2"/>
      <x:c r="E1563" s="2" t="str">
        <x:v>Missing</x:v>
      </x:c>
      <x:c r="F1563" s="2" t="str">
        <x:v>Agricultural irrigated land (% of total agricultural land)</x:v>
      </x:c>
    </x:row>
    <x:row r="1564" ht="44" customHeight="1">
      <x:c r="A1564" s="2" t="str">
        <x:v>PRK</x:v>
      </x:c>
      <x:c r="B1564" s="2" t="str">
        <x:v>cereal_area</x:v>
      </x:c>
      <x:c r="C1564" s="2" t="n">
        <x:v>1353402</x:v>
      </x:c>
      <x:c r="D1564" s="2" t="n">
        <x:v>2024</x:v>
      </x:c>
      <x:c r="E1564" s="2" t="str">
        <x:v>WB_cereal_area</x:v>
      </x:c>
      <x:c r="F1564" s="2" t="str">
        <x:v>Land under cereal production (hectares)</x:v>
      </x:c>
    </x:row>
    <x:row r="1565" ht="44" customHeight="1">
      <x:c r="A1565" s="2" t="str">
        <x:v>PRK</x:v>
      </x:c>
      <x:c r="B1565" s="2" t="str">
        <x:v>undernourishment</x:v>
      </x:c>
      <x:c r="C1565" s="2" t="n">
        <x:v>47</x:v>
      </x:c>
      <x:c r="D1565" s="2" t="n">
        <x:v>2018</x:v>
      </x:c>
      <x:c r="E1565" s="2" t="str">
        <x:v>WB_undernourishment</x:v>
      </x:c>
      <x:c r="F1565" s="2" t="str">
        <x:v>Prevalence of undernourishment (% of population)</x:v>
      </x:c>
    </x:row>
    <x:row r="1566" ht="44" customHeight="1">
      <x:c r="A1566" s="2" t="str">
        <x:v>PRK</x:v>
      </x:c>
      <x:c r="B1566" s="2" t="str">
        <x:v>agriculture_employment</x:v>
      </x:c>
      <x:c r="C1566" s="2" t="n">
        <x:v>54.0792644304348</x:v>
      </x:c>
      <x:c r="D1566" s="2" t="n">
        <x:v>2025</x:v>
      </x:c>
      <x:c r="E1566" s="2" t="str">
        <x:v>WB_agriculture_employment</x:v>
      </x:c>
      <x:c r="F1566" s="2" t="str">
        <x:v>Employment in agriculture (% of total employment) (modeled ILO estimate)</x:v>
      </x:c>
    </x:row>
    <x:row r="1567" ht="44" customHeight="1">
      <x:c r="A1567" s="2" t="str">
        <x:v>PRK</x:v>
      </x:c>
      <x:c r="B1567" s="2" t="str">
        <x:v>water_withdrawal</x:v>
      </x:c>
      <x:c r="C1567" s="2" t="n">
        <x:v>12.9220895522388</x:v>
      </x:c>
      <x:c r="D1567" s="2" t="n">
        <x:v>2022</x:v>
      </x:c>
      <x:c r="E1567" s="2" t="str">
        <x:v>WB_water_withdrawal</x:v>
      </x:c>
      <x:c r="F1567" s="2" t="str">
        <x:v>Annual freshwater withdrawals, total (% of internal resources)</x:v>
      </x:c>
    </x:row>
    <x:row r="1568" ht="44" customHeight="1">
      <x:c r="A1568" s="2" t="str">
        <x:v>COD</x:v>
      </x:c>
      <x:c r="B1568" s="2" t="str">
        <x:v>population</x:v>
      </x:c>
      <x:c r="C1568" s="2" t="n">
        <x:v>112832473</x:v>
      </x:c>
      <x:c r="D1568" s="2" t="n">
        <x:v>2025</x:v>
      </x:c>
      <x:c r="E1568" s="2" t="str">
        <x:v>WB_population</x:v>
      </x:c>
      <x:c r="F1568" s="2" t="str">
        <x:v>Population, total</x:v>
      </x:c>
    </x:row>
    <x:row r="1569" ht="44" customHeight="1">
      <x:c r="A1569" s="2" t="str">
        <x:v>COD</x:v>
      </x:c>
      <x:c r="B1569" s="2" t="str">
        <x:v>income_ppp</x:v>
      </x:c>
      <x:c r="C1569" s="2" t="n">
        <x:v>1640.56621824278</x:v>
      </x:c>
      <x:c r="D1569" s="2" t="n">
        <x:v>2025</x:v>
      </x:c>
      <x:c r="E1569" s="2" t="str">
        <x:v>WB_income_ppp</x:v>
      </x:c>
      <x:c r="F1569" s="2" t="str">
        <x:v>GDP per capita, PPP (constant 2021 international $)</x:v>
      </x:c>
    </x:row>
    <x:row r="1570" ht="44" customHeight="1">
      <x:c r="A1570" s="2" t="str">
        <x:v>COD</x:v>
      </x:c>
      <x:c r="B1570" s="2" t="str">
        <x:v>urban</x:v>
      </x:c>
      <x:c r="C1570" s="2" t="n">
        <x:v>45.1135633042151</x:v>
      </x:c>
      <x:c r="D1570" s="2" t="n">
        <x:v>2025</x:v>
      </x:c>
      <x:c r="E1570" s="2" t="str">
        <x:v>WB_urban</x:v>
      </x:c>
      <x:c r="F1570" s="2" t="str">
        <x:v>Urban population (% of total population)</x:v>
      </x:c>
    </x:row>
    <x:row r="1571" ht="44" customHeight="1">
      <x:c r="A1571" s="2" t="str">
        <x:v>COD</x:v>
      </x:c>
      <x:c r="B1571" s="2" t="str">
        <x:v>inflation</x:v>
      </x:c>
      <x:c r="C1571" s="2" t="n">
        <x:v>2.88585107289988</x:v>
      </x:c>
      <x:c r="D1571" s="2" t="n">
        <x:v>2016</x:v>
      </x:c>
      <x:c r="E1571" s="2" t="str">
        <x:v>WB_inflation</x:v>
      </x:c>
      <x:c r="F1571" s="2" t="str">
        <x:v>Inflation, consumer prices (annual %)</x:v>
      </x:c>
    </x:row>
    <x:row r="1572" ht="44" customHeight="1">
      <x:c r="A1572" s="2" t="str">
        <x:v>COD</x:v>
      </x:c>
      <x:c r="B1572" s="2" t="str">
        <x:v>food_index</x:v>
      </x:c>
      <x:c r="C1572" s="2" t="n">
        <x:v>122.79</x:v>
      </x:c>
      <x:c r="D1572" s="2" t="n">
        <x:v>2022</x:v>
      </x:c>
      <x:c r="E1572" s="2" t="str">
        <x:v>WB_food_index</x:v>
      </x:c>
      <x:c r="F1572" s="2" t="str">
        <x:v>Food production index (2014-2016 = 100)</x:v>
      </x:c>
    </x:row>
    <x:row r="1573" ht="44" customHeight="1">
      <x:c r="A1573" s="2" t="str">
        <x:v>COD</x:v>
      </x:c>
      <x:c r="B1573" s="2" t="str">
        <x:v>food_import_share</x:v>
      </x:c>
      <x:c r="C1573" s="2" t="n">
        <x:v>4.76738036029683</x:v>
      </x:c>
      <x:c r="D1573" s="2" t="n">
        <x:v>2023</x:v>
      </x:c>
      <x:c r="E1573" s="2" t="str">
        <x:v>WB_food_import_share</x:v>
      </x:c>
      <x:c r="F1573" s="2" t="str">
        <x:v>Food imports (% of merchandise imports)</x:v>
      </x:c>
    </x:row>
    <x:row r="1574" ht="44" customHeight="1">
      <x:c r="A1574" s="2" t="str">
        <x:v>COD</x:v>
      </x:c>
      <x:c r="B1574" s="2" t="str">
        <x:v>food_export_share</x:v>
      </x:c>
      <x:c r="C1574" s="2" t="n">
        <x:v>0.631252576879563</x:v>
      </x:c>
      <x:c r="D1574" s="2" t="n">
        <x:v>2023</x:v>
      </x:c>
      <x:c r="E1574" s="2" t="str">
        <x:v>WB_food_export_share</x:v>
      </x:c>
      <x:c r="F1574" s="2" t="str">
        <x:v>Food exports (% of merchandise exports)</x:v>
      </x:c>
    </x:row>
    <x:row r="1575" ht="44" customHeight="1">
      <x:c r="A1575" s="2" t="str">
        <x:v>COD</x:v>
      </x:c>
      <x:c r="B1575" s="2" t="str">
        <x:v>imports_usd</x:v>
      </x:c>
      <x:c r="C1575" s="2" t="n">
        <x:v>28100000000</x:v>
      </x:c>
      <x:c r="D1575" s="2" t="n">
        <x:v>2025</x:v>
      </x:c>
      <x:c r="E1575" s="2" t="str">
        <x:v>WB_imports_usd</x:v>
      </x:c>
      <x:c r="F1575" s="2" t="str">
        <x:v>Merchandise imports (current US$)</x:v>
      </x:c>
    </x:row>
    <x:row r="1576" ht="44" customHeight="1">
      <x:c r="A1576" s="2" t="str">
        <x:v>COD</x:v>
      </x:c>
      <x:c r="B1576" s="2" t="str">
        <x:v>exports_usd</x:v>
      </x:c>
      <x:c r="C1576" s="2" t="n">
        <x:v>32100000000</x:v>
      </x:c>
      <x:c r="D1576" s="2" t="n">
        <x:v>2025</x:v>
      </x:c>
      <x:c r="E1576" s="2" t="str">
        <x:v>WB_exports_usd</x:v>
      </x:c>
      <x:c r="F1576" s="2" t="str">
        <x:v>Merchandise exports (current US$)</x:v>
      </x:c>
    </x:row>
    <x:row r="1577" ht="44" customHeight="1">
      <x:c r="A1577" s="2" t="str">
        <x:v>COD</x:v>
      </x:c>
      <x:c r="B1577" s="2" t="str">
        <x:v>cereal_yield</x:v>
      </x:c>
      <x:c r="C1577" s="2" t="n">
        <x:v>871.8</x:v>
      </x:c>
      <x:c r="D1577" s="2" t="n">
        <x:v>2024</x:v>
      </x:c>
      <x:c r="E1577" s="2" t="str">
        <x:v>WB_cereal_yield</x:v>
      </x:c>
      <x:c r="F1577" s="2" t="str">
        <x:v>Cereal yield (kg per hectare)</x:v>
      </x:c>
    </x:row>
    <x:row r="1578" ht="44" customHeight="1">
      <x:c r="A1578" s="2" t="str">
        <x:v>COD</x:v>
      </x:c>
      <x:c r="B1578" s="2" t="str">
        <x:v>water_stress</x:v>
      </x:c>
      <x:c r="C1578" s="2" t="n">
        <x:v>0.226883505</x:v>
      </x:c>
      <x:c r="D1578" s="2" t="n">
        <x:v>2022</x:v>
      </x:c>
      <x:c r="E1578" s="2" t="str">
        <x:v>WB_water_stress</x:v>
      </x:c>
      <x:c r="F1578" s="2" t="str">
        <x:v>Level of water stress: freshwater withdrawal as a proportion of available freshwater resources</x:v>
      </x:c>
    </x:row>
    <x:row r="1579" ht="44" customHeight="1">
      <x:c r="A1579" s="2" t="str">
        <x:v>COD</x:v>
      </x:c>
      <x:c r="B1579" s="2" t="str">
        <x:v>fertility</x:v>
      </x:c>
      <x:c r="C1579" s="2" t="n">
        <x:v>5.981</x:v>
      </x:c>
      <x:c r="D1579" s="2" t="n">
        <x:v>2024</x:v>
      </x:c>
      <x:c r="E1579" s="2" t="str">
        <x:v>WB_fertility</x:v>
      </x:c>
      <x:c r="F1579" s="2" t="str">
        <x:v>Fertility rate, total (births per woman)</x:v>
      </x:c>
    </x:row>
    <x:row r="1580" ht="44" customHeight="1">
      <x:c r="A1580" s="2" t="str">
        <x:v>COD</x:v>
      </x:c>
      <x:c r="B1580" s="2" t="str">
        <x:v>life_expectancy</x:v>
      </x:c>
      <x:c r="C1580" s="2" t="n">
        <x:v>62.074</x:v>
      </x:c>
      <x:c r="D1580" s="2" t="n">
        <x:v>2024</x:v>
      </x:c>
      <x:c r="E1580" s="2" t="str">
        <x:v>WB_life_expectancy</x:v>
      </x:c>
      <x:c r="F1580" s="2" t="str">
        <x:v>Life expectancy at birth, total (years)</x:v>
      </x:c>
    </x:row>
    <x:row r="1581" ht="44" customHeight="1">
      <x:c r="A1581" s="2" t="str">
        <x:v>COD</x:v>
      </x:c>
      <x:c r="B1581" s="2" t="str">
        <x:v>age_under15</x:v>
      </x:c>
      <x:c r="C1581" s="2" t="n">
        <x:v>45.9497905359213</x:v>
      </x:c>
      <x:c r="D1581" s="2" t="n">
        <x:v>2025</x:v>
      </x:c>
      <x:c r="E1581" s="2" t="str">
        <x:v>WB_age_under15</x:v>
      </x:c>
      <x:c r="F1581" s="2" t="str">
        <x:v>Population ages 0-14 (% of total population)</x:v>
      </x:c>
    </x:row>
    <x:row r="1582" ht="44" customHeight="1">
      <x:c r="A1582" s="2" t="str">
        <x:v>COD</x:v>
      </x:c>
      <x:c r="B1582" s="2" t="str">
        <x:v>age_over65</x:v>
      </x:c>
      <x:c r="C1582" s="2" t="n">
        <x:v>3.08388348450007</x:v>
      </x:c>
      <x:c r="D1582" s="2" t="n">
        <x:v>2025</x:v>
      </x:c>
      <x:c r="E1582" s="2" t="str">
        <x:v>WB_age_over65</x:v>
      </x:c>
      <x:c r="F1582" s="2" t="str">
        <x:v>Population ages 65 and above (% of total population)</x:v>
      </x:c>
    </x:row>
    <x:row r="1583" ht="44" customHeight="1">
      <x:c r="A1583" s="2" t="str">
        <x:v>COD</x:v>
      </x:c>
      <x:c r="B1583" s="2" t="str">
        <x:v>dependency_ratio</x:v>
      </x:c>
      <x:c r="C1583" s="2" t="n">
        <x:v>96.2079825806326</x:v>
      </x:c>
      <x:c r="D1583" s="2" t="n">
        <x:v>2025</x:v>
      </x:c>
      <x:c r="E1583" s="2" t="str">
        <x:v>WB_dependency_ratio</x:v>
      </x:c>
      <x:c r="F1583" s="2" t="str">
        <x:v>Age dependency ratio (% of working-age population)</x:v>
      </x:c>
    </x:row>
    <x:row r="1584" ht="44" customHeight="1">
      <x:c r="A1584" s="2" t="str">
        <x:v>COD</x:v>
      </x:c>
      <x:c r="B1584" s="2" t="str">
        <x:v>net_migration</x:v>
      </x:c>
      <x:c r="C1584" s="2" t="n">
        <x:v>-27309</x:v>
      </x:c>
      <x:c r="D1584" s="2" t="n">
        <x:v>2025</x:v>
      </x:c>
      <x:c r="E1584" s="2" t="str">
        <x:v>WB_net_migration</x:v>
      </x:c>
      <x:c r="F1584" s="2" t="str">
        <x:v>Net migration</x:v>
      </x:c>
    </x:row>
    <x:row r="1585" ht="44" customHeight="1">
      <x:c r="A1585" s="2" t="str">
        <x:v>COD</x:v>
      </x:c>
      <x:c r="B1585" s="2" t="str">
        <x:v>real_gdp</x:v>
      </x:c>
      <x:c r="C1585" s="2" t="n">
        <x:v>64039235049.4082</x:v>
      </x:c>
      <x:c r="D1585" s="2" t="n">
        <x:v>2025</x:v>
      </x:c>
      <x:c r="E1585" s="2" t="str">
        <x:v>WB_real_gdp</x:v>
      </x:c>
      <x:c r="F1585" s="2" t="str">
        <x:v>GDP (constant 2015 US$)</x:v>
      </x:c>
    </x:row>
    <x:row r="1586" ht="44" customHeight="1">
      <x:c r="A1586" s="2" t="str">
        <x:v>COD</x:v>
      </x:c>
      <x:c r="B1586" s="2" t="str">
        <x:v>gdp_growth</x:v>
      </x:c>
      <x:c r="C1586" s="2" t="n">
        <x:v>5.75924471639999</x:v>
      </x:c>
      <x:c r="D1586" s="2" t="n">
        <x:v>2025</x:v>
      </x:c>
      <x:c r="E1586" s="2" t="str">
        <x:v>WB_gdp_growth</x:v>
      </x:c>
      <x:c r="F1586" s="2" t="str">
        <x:v>GDP growth (annual %)</x:v>
      </x:c>
    </x:row>
    <x:row r="1587" ht="44" customHeight="1">
      <x:c r="A1587" s="2" t="str">
        <x:v>COD</x:v>
      </x:c>
      <x:c r="B1587" s="2" t="str">
        <x:v>real_income</x:v>
      </x:c>
      <x:c r="C1587" s="2" t="n">
        <x:v>567.560325026362</x:v>
      </x:c>
      <x:c r="D1587" s="2" t="n">
        <x:v>2025</x:v>
      </x:c>
      <x:c r="E1587" s="2" t="str">
        <x:v>WB_real_income</x:v>
      </x:c>
      <x:c r="F1587" s="2" t="str">
        <x:v>GDP per capita (constant 2015 US$)</x:v>
      </x:c>
    </x:row>
    <x:row r="1588" ht="44" customHeight="1">
      <x:c r="A1588" s="2" t="str">
        <x:v>COD</x:v>
      </x:c>
      <x:c r="B1588" s="2" t="str">
        <x:v>agriculture_gdp</x:v>
      </x:c>
      <x:c r="C1588" s="2" t="n">
        <x:v>8.92986514046357</x:v>
      </x:c>
      <x:c r="D1588" s="2" t="n">
        <x:v>2025</x:v>
      </x:c>
      <x:c r="E1588" s="2" t="str">
        <x:v>WB_agriculture_gdp</x:v>
      </x:c>
      <x:c r="F1588" s="2" t="str">
        <x:v>Agriculture, forestry, and fishing, value added (% of GDP)</x:v>
      </x:c>
    </x:row>
    <x:row r="1589" ht="44" customHeight="1">
      <x:c r="A1589" s="2" t="str">
        <x:v>COD</x:v>
      </x:c>
      <x:c r="B1589" s="2" t="str">
        <x:v>poverty</x:v>
      </x:c>
      <x:c r="C1589" s="2" t="n">
        <x:v>85.3</x:v>
      </x:c>
      <x:c r="D1589" s="2" t="n">
        <x:v>2020</x:v>
      </x:c>
      <x:c r="E1589" s="2" t="str">
        <x:v>WB_poverty</x:v>
      </x:c>
      <x:c r="F1589" s="2" t="str">
        <x:v>Poverty headcount ratio at $3.00 a day (2021 PPP) (% of population)</x:v>
      </x:c>
    </x:row>
    <x:row r="1590" ht="44" customHeight="1">
      <x:c r="A1590" s="2" t="str">
        <x:v>COD</x:v>
      </x:c>
      <x:c r="B1590" s="2" t="str">
        <x:v>gini</x:v>
      </x:c>
      <x:c r="C1590" s="2" t="n">
        <x:v>44.7</x:v>
      </x:c>
      <x:c r="D1590" s="2" t="n">
        <x:v>2020</x:v>
      </x:c>
      <x:c r="E1590" s="2" t="str">
        <x:v>WB_gini</x:v>
      </x:c>
      <x:c r="F1590" s="2" t="str">
        <x:v>Gini index</x:v>
      </x:c>
    </x:row>
    <x:row r="1591" ht="44" customHeight="1">
      <x:c r="A1591" s="2" t="str">
        <x:v>COD</x:v>
      </x:c>
      <x:c r="B1591" s="2" t="str">
        <x:v>unemployment</x:v>
      </x:c>
      <x:c r="C1591" s="2" t="n">
        <x:v>4.434</x:v>
      </x:c>
      <x:c r="D1591" s="2" t="n">
        <x:v>2025</x:v>
      </x:c>
      <x:c r="E1591" s="2" t="str">
        <x:v>WB_unemployment</x:v>
      </x:c>
      <x:c r="F1591" s="2" t="str">
        <x:v>Unemployment, total (% of total labor force) (modeled ILO estimate)</x:v>
      </x:c>
    </x:row>
    <x:row r="1592" ht="44" customHeight="1">
      <x:c r="A1592" s="2" t="str">
        <x:v>COD</x:v>
      </x:c>
      <x:c r="B1592" s="2" t="str">
        <x:v>private_credit</x:v>
      </x:c>
      <x:c r="C1592" s="2" t="n">
        <x:v>11.2863136949009</x:v>
      </x:c>
      <x:c r="D1592" s="2" t="n">
        <x:v>2023</x:v>
      </x:c>
      <x:c r="E1592" s="2" t="str">
        <x:v>WB_private_credit</x:v>
      </x:c>
      <x:c r="F1592" s="2" t="str">
        <x:v>Domestic credit to private sector (% of GDP)</x:v>
      </x:c>
    </x:row>
    <x:row r="1593" ht="44" customHeight="1">
      <x:c r="A1593" s="2" t="str">
        <x:v>COD</x:v>
      </x:c>
      <x:c r="B1593" s="2" t="str">
        <x:v>lending_rate</x:v>
      </x:c>
      <x:c r="C1593" s="2" t="n">
        <x:v>23.2857241932595</x:v>
      </x:c>
      <x:c r="D1593" s="2" t="n">
        <x:v>2021</x:v>
      </x:c>
      <x:c r="E1593" s="2" t="str">
        <x:v>WB_lending_rate</x:v>
      </x:c>
      <x:c r="F1593" s="2" t="str">
        <x:v>Lending interest rate (%)</x:v>
      </x:c>
    </x:row>
    <x:row r="1594" ht="44" customHeight="1">
      <x:c r="A1594" s="2" t="str">
        <x:v>COD</x:v>
      </x:c>
      <x:c r="B1594" s="2" t="str">
        <x:v>real_interest</x:v>
      </x:c>
      <x:c r="C1594" s="2" t="n">
        <x:v>-3.52629476314924</x:v>
      </x:c>
      <x:c r="D1594" s="2" t="n">
        <x:v>2021</x:v>
      </x:c>
      <x:c r="E1594" s="2" t="str">
        <x:v>WB_real_interest</x:v>
      </x:c>
      <x:c r="F1594" s="2" t="str">
        <x:v>Real interest rate (%)</x:v>
      </x:c>
    </x:row>
    <x:row r="1595" ht="44" customHeight="1">
      <x:c r="A1595" s="2" t="str">
        <x:v>COD</x:v>
      </x:c>
      <x:c r="B1595" s="2" t="str">
        <x:v>government_debt</x:v>
      </x:c>
      <x:c r="C1595" s="2" t="n">
        <x:v>14.9405246182608</x:v>
      </x:c>
      <x:c r="D1595" s="2" t="n">
        <x:v>2022</x:v>
      </x:c>
      <x:c r="E1595" s="2" t="str">
        <x:v>WB_government_debt</x:v>
      </x:c>
      <x:c r="F1595" s="2" t="str">
        <x:v>Central government debt, total (% of GDP)</x:v>
      </x:c>
    </x:row>
    <x:row r="1596" ht="44" customHeight="1">
      <x:c r="A1596" s="2" t="str">
        <x:v>COD</x:v>
      </x:c>
      <x:c r="B1596" s="2" t="str">
        <x:v>electricity_access</x:v>
      </x:c>
      <x:c r="C1596" s="2" t="n">
        <x:v>22.5</x:v>
      </x:c>
      <x:c r="D1596" s="2" t="n">
        <x:v>2024</x:v>
      </x:c>
      <x:c r="E1596" s="2" t="str">
        <x:v>WB_electricity_access</x:v>
      </x:c>
      <x:c r="F1596" s="2" t="str">
        <x:v>Access to electricity (% of population)</x:v>
      </x:c>
    </x:row>
    <x:row r="1597" ht="44" customHeight="1">
      <x:c r="A1597" s="2" t="str">
        <x:v>COD</x:v>
      </x:c>
      <x:c r="B1597" s="2" t="str">
        <x:v>irrigated_land</x:v>
      </x:c>
      <x:c r="C1597" s="2"/>
      <x:c r="D1597" s="2"/>
      <x:c r="E1597" s="2" t="str">
        <x:v>Missing</x:v>
      </x:c>
      <x:c r="F1597" s="2" t="str">
        <x:v>Agricultural irrigated land (% of total agricultural land)</x:v>
      </x:c>
    </x:row>
    <x:row r="1598" ht="44" customHeight="1">
      <x:c r="A1598" s="2" t="str">
        <x:v>COD</x:v>
      </x:c>
      <x:c r="B1598" s="2" t="str">
        <x:v>cereal_area</x:v>
      </x:c>
      <x:c r="C1598" s="2" t="n">
        <x:v>5033816</x:v>
      </x:c>
      <x:c r="D1598" s="2" t="n">
        <x:v>2024</x:v>
      </x:c>
      <x:c r="E1598" s="2" t="str">
        <x:v>WB_cereal_area</x:v>
      </x:c>
      <x:c r="F1598" s="2" t="str">
        <x:v>Land under cereal production (hectares)</x:v>
      </x:c>
    </x:row>
    <x:row r="1599" ht="44" customHeight="1">
      <x:c r="A1599" s="2" t="str">
        <x:v>COD</x:v>
      </x:c>
      <x:c r="B1599" s="2" t="str">
        <x:v>undernourishment</x:v>
      </x:c>
      <x:c r="C1599" s="2" t="n">
        <x:v>38.5</x:v>
      </x:c>
      <x:c r="D1599" s="2" t="n">
        <x:v>2023</x:v>
      </x:c>
      <x:c r="E1599" s="2" t="str">
        <x:v>WB_undernourishment</x:v>
      </x:c>
      <x:c r="F1599" s="2" t="str">
        <x:v>Prevalence of undernourishment (% of population)</x:v>
      </x:c>
    </x:row>
    <x:row r="1600" ht="44" customHeight="1">
      <x:c r="A1600" s="2" t="str">
        <x:v>COD</x:v>
      </x:c>
      <x:c r="B1600" s="2" t="str">
        <x:v>agriculture_employment</x:v>
      </x:c>
      <x:c r="C1600" s="2" t="n">
        <x:v>58.5244697326526</x:v>
      </x:c>
      <x:c r="D1600" s="2" t="n">
        <x:v>2025</x:v>
      </x:c>
      <x:c r="E1600" s="2" t="str">
        <x:v>WB_agriculture_employment</x:v>
      </x:c>
      <x:c r="F1600" s="2" t="str">
        <x:v>Employment in agriculture (% of total employment) (modeled ILO estimate)</x:v>
      </x:c>
    </x:row>
    <x:row r="1601" ht="44" customHeight="1">
      <x:c r="A1601" s="2" t="str">
        <x:v>COD</x:v>
      </x:c>
      <x:c r="B1601" s="2" t="str">
        <x:v>water_withdrawal</x:v>
      </x:c>
      <x:c r="C1601" s="2" t="n">
        <x:v>0.0759555555555556</x:v>
      </x:c>
      <x:c r="D1601" s="2" t="n">
        <x:v>2022</x:v>
      </x:c>
      <x:c r="E1601" s="2" t="str">
        <x:v>WB_water_withdrawal</x:v>
      </x:c>
      <x:c r="F1601" s="2" t="str">
        <x:v>Annual freshwater withdrawals, total (% of internal resources)</x:v>
      </x:c>
    </x:row>
    <x:row r="1602" ht="44" customHeight="1">
      <x:c r="A1602" s="2" t="str">
        <x:v>DNK</x:v>
      </x:c>
      <x:c r="B1602" s="2" t="str">
        <x:v>population</x:v>
      </x:c>
      <x:c r="C1602" s="2" t="n">
        <x:v>6009169</x:v>
      </x:c>
      <x:c r="D1602" s="2" t="n">
        <x:v>2025</x:v>
      </x:c>
      <x:c r="E1602" s="2" t="str">
        <x:v>WB_population</x:v>
      </x:c>
      <x:c r="F1602" s="2" t="str">
        <x:v>Population, total</x:v>
      </x:c>
    </x:row>
    <x:row r="1603" ht="44" customHeight="1">
      <x:c r="A1603" s="2" t="str">
        <x:v>DNK</x:v>
      </x:c>
      <x:c r="B1603" s="2" t="str">
        <x:v>income_ppp</x:v>
      </x:c>
      <x:c r="C1603" s="2" t="n">
        <x:v>72723.2747867992</x:v>
      </x:c>
      <x:c r="D1603" s="2" t="n">
        <x:v>2025</x:v>
      </x:c>
      <x:c r="E1603" s="2" t="str">
        <x:v>WB_income_ppp</x:v>
      </x:c>
      <x:c r="F1603" s="2" t="str">
        <x:v>GDP per capita, PPP (constant 2021 international $)</x:v>
      </x:c>
    </x:row>
    <x:row r="1604" ht="44" customHeight="1">
      <x:c r="A1604" s="2" t="str">
        <x:v>DNK</x:v>
      </x:c>
      <x:c r="B1604" s="2" t="str">
        <x:v>urban</x:v>
      </x:c>
      <x:c r="C1604" s="2" t="n">
        <x:v>88.8458435892689</x:v>
      </x:c>
      <x:c r="D1604" s="2" t="n">
        <x:v>2025</x:v>
      </x:c>
      <x:c r="E1604" s="2" t="str">
        <x:v>WB_urban</x:v>
      </x:c>
      <x:c r="F1604" s="2" t="str">
        <x:v>Urban population (% of total population)</x:v>
      </x:c>
    </x:row>
    <x:row r="1605" ht="44" customHeight="1">
      <x:c r="A1605" s="2" t="str">
        <x:v>DNK</x:v>
      </x:c>
      <x:c r="B1605" s="2" t="str">
        <x:v>inflation</x:v>
      </x:c>
      <x:c r="C1605" s="2" t="n">
        <x:v>1.89367372703044</x:v>
      </x:c>
      <x:c r="D1605" s="2" t="n">
        <x:v>2025</x:v>
      </x:c>
      <x:c r="E1605" s="2" t="str">
        <x:v>WB_inflation</x:v>
      </x:c>
      <x:c r="F1605" s="2" t="str">
        <x:v>Inflation, consumer prices (annual %)</x:v>
      </x:c>
    </x:row>
    <x:row r="1606" ht="44" customHeight="1">
      <x:c r="A1606" s="2" t="str">
        <x:v>DNK</x:v>
      </x:c>
      <x:c r="B1606" s="2" t="str">
        <x:v>food_index</x:v>
      </x:c>
      <x:c r="C1606" s="2" t="n">
        <x:v>103.83</x:v>
      </x:c>
      <x:c r="D1606" s="2" t="n">
        <x:v>2022</x:v>
      </x:c>
      <x:c r="E1606" s="2" t="str">
        <x:v>WB_food_index</x:v>
      </x:c>
      <x:c r="F1606" s="2" t="str">
        <x:v>Food production index (2014-2016 = 100)</x:v>
      </x:c>
    </x:row>
    <x:row r="1607" ht="44" customHeight="1">
      <x:c r="A1607" s="2" t="str">
        <x:v>DNK</x:v>
      </x:c>
      <x:c r="B1607" s="2" t="str">
        <x:v>food_import_share</x:v>
      </x:c>
      <x:c r="C1607" s="2" t="n">
        <x:v>13.5614381085999</x:v>
      </x:c>
      <x:c r="D1607" s="2" t="n">
        <x:v>2025</x:v>
      </x:c>
      <x:c r="E1607" s="2" t="str">
        <x:v>WB_food_import_share</x:v>
      </x:c>
      <x:c r="F1607" s="2" t="str">
        <x:v>Food imports (% of merchandise imports)</x:v>
      </x:c>
    </x:row>
    <x:row r="1608" ht="44" customHeight="1">
      <x:c r="A1608" s="2" t="str">
        <x:v>DNK</x:v>
      </x:c>
      <x:c r="B1608" s="2" t="str">
        <x:v>food_export_share</x:v>
      </x:c>
      <x:c r="C1608" s="2" t="n">
        <x:v>17.0960810768257</x:v>
      </x:c>
      <x:c r="D1608" s="2" t="n">
        <x:v>2025</x:v>
      </x:c>
      <x:c r="E1608" s="2" t="str">
        <x:v>WB_food_export_share</x:v>
      </x:c>
      <x:c r="F1608" s="2" t="str">
        <x:v>Food exports (% of merchandise exports)</x:v>
      </x:c>
    </x:row>
    <x:row r="1609" ht="44" customHeight="1">
      <x:c r="A1609" s="2" t="str">
        <x:v>DNK</x:v>
      </x:c>
      <x:c r="B1609" s="2" t="str">
        <x:v>imports_usd</x:v>
      </x:c>
      <x:c r="C1609" s="2" t="n">
        <x:v>136227000000</x:v>
      </x:c>
      <x:c r="D1609" s="2" t="n">
        <x:v>2025</x:v>
      </x:c>
      <x:c r="E1609" s="2" t="str">
        <x:v>WB_imports_usd</x:v>
      </x:c>
      <x:c r="F1609" s="2" t="str">
        <x:v>Merchandise imports (current US$)</x:v>
      </x:c>
    </x:row>
    <x:row r="1610" ht="44" customHeight="1">
      <x:c r="A1610" s="2" t="str">
        <x:v>DNK</x:v>
      </x:c>
      <x:c r="B1610" s="2" t="str">
        <x:v>exports_usd</x:v>
      </x:c>
      <x:c r="C1610" s="2" t="n">
        <x:v>148379000000</x:v>
      </x:c>
      <x:c r="D1610" s="2" t="n">
        <x:v>2025</x:v>
      </x:c>
      <x:c r="E1610" s="2" t="str">
        <x:v>WB_exports_usd</x:v>
      </x:c>
      <x:c r="F1610" s="2" t="str">
        <x:v>Merchandise exports (current US$)</x:v>
      </x:c>
    </x:row>
    <x:row r="1611" ht="44" customHeight="1">
      <x:c r="A1611" s="2" t="str">
        <x:v>DNK</x:v>
      </x:c>
      <x:c r="B1611" s="2" t="str">
        <x:v>cereal_yield</x:v>
      </x:c>
      <x:c r="C1611" s="2" t="n">
        <x:v>6096.3</x:v>
      </x:c>
      <x:c r="D1611" s="2" t="n">
        <x:v>2024</x:v>
      </x:c>
      <x:c r="E1611" s="2" t="str">
        <x:v>WB_cereal_yield</x:v>
      </x:c>
      <x:c r="F1611" s="2" t="str">
        <x:v>Cereal yield (kg per hectare)</x:v>
      </x:c>
    </x:row>
    <x:row r="1612" ht="44" customHeight="1">
      <x:c r="A1612" s="2" t="str">
        <x:v>DNK</x:v>
      </x:c>
      <x:c r="B1612" s="2" t="str">
        <x:v>water_stress</x:v>
      </x:c>
      <x:c r="C1612" s="2" t="n">
        <x:v>25.26636019</x:v>
      </x:c>
      <x:c r="D1612" s="2" t="n">
        <x:v>2022</x:v>
      </x:c>
      <x:c r="E1612" s="2" t="str">
        <x:v>WB_water_stress</x:v>
      </x:c>
      <x:c r="F1612" s="2" t="str">
        <x:v>Level of water stress: freshwater withdrawal as a proportion of available freshwater resources</x:v>
      </x:c>
    </x:row>
    <x:row r="1613" ht="44" customHeight="1">
      <x:c r="A1613" s="2" t="str">
        <x:v>DNK</x:v>
      </x:c>
      <x:c r="B1613" s="2" t="str">
        <x:v>fertility</x:v>
      </x:c>
      <x:c r="C1613" s="2" t="n">
        <x:v>1.47</x:v>
      </x:c>
      <x:c r="D1613" s="2" t="n">
        <x:v>2024</x:v>
      </x:c>
      <x:c r="E1613" s="2" t="str">
        <x:v>WB_fertility</x:v>
      </x:c>
      <x:c r="F1613" s="2" t="str">
        <x:v>Fertility rate, total (births per woman)</x:v>
      </x:c>
    </x:row>
    <x:row r="1614" ht="44" customHeight="1">
      <x:c r="A1614" s="2" t="str">
        <x:v>DNK</x:v>
      </x:c>
      <x:c r="B1614" s="2" t="str">
        <x:v>life_expectancy</x:v>
      </x:c>
      <x:c r="C1614" s="2" t="n">
        <x:v>82.2536585365854</x:v>
      </x:c>
      <x:c r="D1614" s="2" t="n">
        <x:v>2024</x:v>
      </x:c>
      <x:c r="E1614" s="2" t="str">
        <x:v>WB_life_expectancy</x:v>
      </x:c>
      <x:c r="F1614" s="2" t="str">
        <x:v>Life expectancy at birth, total (years)</x:v>
      </x:c>
    </x:row>
    <x:row r="1615" ht="44" customHeight="1">
      <x:c r="A1615" s="2" t="str">
        <x:v>DNK</x:v>
      </x:c>
      <x:c r="B1615" s="2" t="str">
        <x:v>age_under15</x:v>
      </x:c>
      <x:c r="C1615" s="2" t="n">
        <x:v>15.5619810189309</x:v>
      </x:c>
      <x:c r="D1615" s="2" t="n">
        <x:v>2025</x:v>
      </x:c>
      <x:c r="E1615" s="2" t="str">
        <x:v>WB_age_under15</x:v>
      </x:c>
      <x:c r="F1615" s="2" t="str">
        <x:v>Population ages 0-14 (% of total population)</x:v>
      </x:c>
    </x:row>
    <x:row r="1616" ht="44" customHeight="1">
      <x:c r="A1616" s="2" t="str">
        <x:v>DNK</x:v>
      </x:c>
      <x:c r="B1616" s="2" t="str">
        <x:v>age_over65</x:v>
      </x:c>
      <x:c r="C1616" s="2" t="n">
        <x:v>21.1189674580971</x:v>
      </x:c>
      <x:c r="D1616" s="2" t="n">
        <x:v>2025</x:v>
      </x:c>
      <x:c r="E1616" s="2" t="str">
        <x:v>WB_age_over65</x:v>
      </x:c>
      <x:c r="F1616" s="2" t="str">
        <x:v>Population ages 65 and above (% of total population)</x:v>
      </x:c>
    </x:row>
    <x:row r="1617" ht="44" customHeight="1">
      <x:c r="A1617" s="2" t="str">
        <x:v>DNK</x:v>
      </x:c>
      <x:c r="B1617" s="2" t="str">
        <x:v>dependency_ratio</x:v>
      </x:c>
      <x:c r="C1617" s="2" t="n">
        <x:v>57.9303428245687</x:v>
      </x:c>
      <x:c r="D1617" s="2" t="n">
        <x:v>2025</x:v>
      </x:c>
      <x:c r="E1617" s="2" t="str">
        <x:v>WB_dependency_ratio</x:v>
      </x:c>
      <x:c r="F1617" s="2" t="str">
        <x:v>Age dependency ratio (% of working-age population)</x:v>
      </x:c>
    </x:row>
    <x:row r="1618" ht="44" customHeight="1">
      <x:c r="A1618" s="2" t="str">
        <x:v>DNK</x:v>
      </x:c>
      <x:c r="B1618" s="2" t="str">
        <x:v>net_migration</x:v>
      </x:c>
      <x:c r="C1618" s="2" t="n">
        <x:v>22103</x:v>
      </x:c>
      <x:c r="D1618" s="2" t="n">
        <x:v>2025</x:v>
      </x:c>
      <x:c r="E1618" s="2" t="str">
        <x:v>WB_net_migration</x:v>
      </x:c>
      <x:c r="F1618" s="2" t="str">
        <x:v>Net migration</x:v>
      </x:c>
    </x:row>
    <x:row r="1619" ht="44" customHeight="1">
      <x:c r="A1619" s="2" t="str">
        <x:v>DNK</x:v>
      </x:c>
      <x:c r="B1619" s="2" t="str">
        <x:v>real_gdp</x:v>
      </x:c>
      <x:c r="C1619" s="2" t="n">
        <x:v>373876120004.794</x:v>
      </x:c>
      <x:c r="D1619" s="2" t="n">
        <x:v>2025</x:v>
      </x:c>
      <x:c r="E1619" s="2" t="str">
        <x:v>WB_real_gdp</x:v>
      </x:c>
      <x:c r="F1619" s="2" t="str">
        <x:v>GDP (constant 2015 US$)</x:v>
      </x:c>
    </x:row>
    <x:row r="1620" ht="44" customHeight="1">
      <x:c r="A1620" s="2" t="str">
        <x:v>DNK</x:v>
      </x:c>
      <x:c r="B1620" s="2" t="str">
        <x:v>gdp_growth</x:v>
      </x:c>
      <x:c r="C1620" s="2" t="n">
        <x:v>2.92843280014236</x:v>
      </x:c>
      <x:c r="D1620" s="2" t="n">
        <x:v>2025</x:v>
      </x:c>
      <x:c r="E1620" s="2" t="str">
        <x:v>WB_gdp_growth</x:v>
      </x:c>
      <x:c r="F1620" s="2" t="str">
        <x:v>GDP growth (annual %)</x:v>
      </x:c>
    </x:row>
    <x:row r="1621" ht="44" customHeight="1">
      <x:c r="A1621" s="2" t="str">
        <x:v>DNK</x:v>
      </x:c>
      <x:c r="B1621" s="2" t="str">
        <x:v>real_income</x:v>
      </x:c>
      <x:c r="C1621" s="2" t="n">
        <x:v>62217.6077931564</x:v>
      </x:c>
      <x:c r="D1621" s="2" t="n">
        <x:v>2025</x:v>
      </x:c>
      <x:c r="E1621" s="2" t="str">
        <x:v>WB_real_income</x:v>
      </x:c>
      <x:c r="F1621" s="2" t="str">
        <x:v>GDP per capita (constant 2015 US$)</x:v>
      </x:c>
    </x:row>
    <x:row r="1622" ht="44" customHeight="1">
      <x:c r="A1622" s="2" t="str">
        <x:v>DNK</x:v>
      </x:c>
      <x:c r="B1622" s="2" t="str">
        <x:v>agriculture_gdp</x:v>
      </x:c>
      <x:c r="C1622" s="2" t="n">
        <x:v>1.16938005441414</x:v>
      </x:c>
      <x:c r="D1622" s="2" t="n">
        <x:v>2025</x:v>
      </x:c>
      <x:c r="E1622" s="2" t="str">
        <x:v>WB_agriculture_gdp</x:v>
      </x:c>
      <x:c r="F1622" s="2" t="str">
        <x:v>Agriculture, forestry, and fishing, value added (% of GDP)</x:v>
      </x:c>
    </x:row>
    <x:row r="1623" ht="44" customHeight="1">
      <x:c r="A1623" s="2" t="str">
        <x:v>DNK</x:v>
      </x:c>
      <x:c r="B1623" s="2" t="str">
        <x:v>poverty</x:v>
      </x:c>
      <x:c r="C1623" s="2" t="n">
        <x:v>0.4</x:v>
      </x:c>
      <x:c r="D1623" s="2" t="n">
        <x:v>2023</x:v>
      </x:c>
      <x:c r="E1623" s="2" t="str">
        <x:v>WB_poverty</x:v>
      </x:c>
      <x:c r="F1623" s="2" t="str">
        <x:v>Poverty headcount ratio at $3.00 a day (2021 PPP) (% of population)</x:v>
      </x:c>
    </x:row>
    <x:row r="1624" ht="44" customHeight="1">
      <x:c r="A1624" s="2" t="str">
        <x:v>DNK</x:v>
      </x:c>
      <x:c r="B1624" s="2" t="str">
        <x:v>gini</x:v>
      </x:c>
      <x:c r="C1624" s="2" t="n">
        <x:v>29.9</x:v>
      </x:c>
      <x:c r="D1624" s="2" t="n">
        <x:v>2023</x:v>
      </x:c>
      <x:c r="E1624" s="2" t="str">
        <x:v>WB_gini</x:v>
      </x:c>
      <x:c r="F1624" s="2" t="str">
        <x:v>Gini index</x:v>
      </x:c>
    </x:row>
    <x:row r="1625" ht="44" customHeight="1">
      <x:c r="A1625" s="2" t="str">
        <x:v>DNK</x:v>
      </x:c>
      <x:c r="B1625" s="2" t="str">
        <x:v>unemployment</x:v>
      </x:c>
      <x:c r="C1625" s="2" t="n">
        <x:v>5.529</x:v>
      </x:c>
      <x:c r="D1625" s="2" t="n">
        <x:v>2025</x:v>
      </x:c>
      <x:c r="E1625" s="2" t="str">
        <x:v>WB_unemployment</x:v>
      </x:c>
      <x:c r="F1625" s="2" t="str">
        <x:v>Unemployment, total (% of total labor force) (modeled ILO estimate)</x:v>
      </x:c>
    </x:row>
    <x:row r="1626" ht="44" customHeight="1">
      <x:c r="A1626" s="2" t="str">
        <x:v>DNK</x:v>
      </x:c>
      <x:c r="B1626" s="2" t="str">
        <x:v>private_credit</x:v>
      </x:c>
      <x:c r="C1626" s="2" t="n">
        <x:v>144.062236896793</x:v>
      </x:c>
      <x:c r="D1626" s="2" t="n">
        <x:v>2024</x:v>
      </x:c>
      <x:c r="E1626" s="2" t="str">
        <x:v>WB_private_credit</x:v>
      </x:c>
      <x:c r="F1626" s="2" t="str">
        <x:v>Domestic credit to private sector (% of GDP)</x:v>
      </x:c>
    </x:row>
    <x:row r="1627" ht="44" customHeight="1">
      <x:c r="A1627" s="2" t="str">
        <x:v>DNK</x:v>
      </x:c>
      <x:c r="B1627" s="2" t="str">
        <x:v>lending_rate</x:v>
      </x:c>
      <x:c r="C1627" s="2"/>
      <x:c r="D1627" s="2"/>
      <x:c r="E1627" s="2" t="str">
        <x:v>Missing</x:v>
      </x:c>
      <x:c r="F1627" s="2" t="str">
        <x:v>Lending interest rate (%)</x:v>
      </x:c>
    </x:row>
    <x:row r="1628" ht="44" customHeight="1">
      <x:c r="A1628" s="2" t="str">
        <x:v>DNK</x:v>
      </x:c>
      <x:c r="B1628" s="2" t="str">
        <x:v>real_interest</x:v>
      </x:c>
      <x:c r="C1628" s="2"/>
      <x:c r="D1628" s="2"/>
      <x:c r="E1628" s="2" t="str">
        <x:v>Missing</x:v>
      </x:c>
      <x:c r="F1628" s="2" t="str">
        <x:v>Real interest rate (%)</x:v>
      </x:c>
    </x:row>
    <x:row r="1629" ht="44" customHeight="1">
      <x:c r="A1629" s="2" t="str">
        <x:v>DNK</x:v>
      </x:c>
      <x:c r="B1629" s="2" t="str">
        <x:v>government_debt</x:v>
      </x:c>
      <x:c r="C1629" s="2"/>
      <x:c r="D1629" s="2"/>
      <x:c r="E1629" s="2" t="str">
        <x:v>Missing</x:v>
      </x:c>
      <x:c r="F1629" s="2" t="str">
        <x:v>Central government debt, total (% of GDP)</x:v>
      </x:c>
    </x:row>
    <x:row r="1630" ht="44" customHeight="1">
      <x:c r="A1630" s="2" t="str">
        <x:v>DNK</x:v>
      </x:c>
      <x:c r="B1630" s="2" t="str">
        <x:v>electricity_access</x:v>
      </x:c>
      <x:c r="C1630" s="2" t="n">
        <x:v>100</x:v>
      </x:c>
      <x:c r="D1630" s="2" t="n">
        <x:v>2024</x:v>
      </x:c>
      <x:c r="E1630" s="2" t="str">
        <x:v>WB_electricity_access</x:v>
      </x:c>
      <x:c r="F1630" s="2" t="str">
        <x:v>Access to electricity (% of population)</x:v>
      </x:c>
    </x:row>
    <x:row r="1631" ht="44" customHeight="1">
      <x:c r="A1631" s="2" t="str">
        <x:v>DNK</x:v>
      </x:c>
      <x:c r="B1631" s="2" t="str">
        <x:v>irrigated_land</x:v>
      </x:c>
      <x:c r="C1631" s="2" t="n">
        <x:v>6.86760778328882</x:v>
      </x:c>
      <x:c r="D1631" s="2" t="n">
        <x:v>2023</x:v>
      </x:c>
      <x:c r="E1631" s="2" t="str">
        <x:v>WB_irrigated_land</x:v>
      </x:c>
      <x:c r="F1631" s="2" t="str">
        <x:v>Agricultural irrigated land (% of total agricultural land)</x:v>
      </x:c>
    </x:row>
    <x:row r="1632" ht="44" customHeight="1">
      <x:c r="A1632" s="2" t="str">
        <x:v>DNK</x:v>
      </x:c>
      <x:c r="B1632" s="2" t="str">
        <x:v>cereal_area</x:v>
      </x:c>
      <x:c r="C1632" s="2" t="n">
        <x:v>1229650</x:v>
      </x:c>
      <x:c r="D1632" s="2" t="n">
        <x:v>2024</x:v>
      </x:c>
      <x:c r="E1632" s="2" t="str">
        <x:v>WB_cereal_area</x:v>
      </x:c>
      <x:c r="F1632" s="2" t="str">
        <x:v>Land under cereal production (hectares)</x:v>
      </x:c>
    </x:row>
    <x:row r="1633" ht="44" customHeight="1">
      <x:c r="A1633" s="2" t="str">
        <x:v>DNK</x:v>
      </x:c>
      <x:c r="B1633" s="2" t="str">
        <x:v>undernourishment</x:v>
      </x:c>
      <x:c r="C1633" s="2" t="n">
        <x:v>2.5</x:v>
      </x:c>
      <x:c r="D1633" s="2" t="n">
        <x:v>2023</x:v>
      </x:c>
      <x:c r="E1633" s="2" t="str">
        <x:v>WB_undernourishment</x:v>
      </x:c>
      <x:c r="F1633" s="2" t="str">
        <x:v>Prevalence of undernourishment (% of population)</x:v>
      </x:c>
    </x:row>
    <x:row r="1634" ht="44" customHeight="1">
      <x:c r="A1634" s="2" t="str">
        <x:v>DNK</x:v>
      </x:c>
      <x:c r="B1634" s="2" t="str">
        <x:v>agriculture_employment</x:v>
      </x:c>
      <x:c r="C1634" s="2" t="n">
        <x:v>1.62047541964826</x:v>
      </x:c>
      <x:c r="D1634" s="2" t="n">
        <x:v>2025</x:v>
      </x:c>
      <x:c r="E1634" s="2" t="str">
        <x:v>WB_agriculture_employment</x:v>
      </x:c>
      <x:c r="F1634" s="2" t="str">
        <x:v>Employment in agriculture (% of total employment) (modeled ILO estimate)</x:v>
      </x:c>
    </x:row>
    <x:row r="1635" ht="44" customHeight="1">
      <x:c r="A1635" s="2" t="str">
        <x:v>DNK</x:v>
      </x:c>
      <x:c r="B1635" s="2" t="str">
        <x:v>water_withdrawal</x:v>
      </x:c>
      <x:c r="C1635" s="2" t="n">
        <x:v>15.5725</x:v>
      </x:c>
      <x:c r="D1635" s="2" t="n">
        <x:v>2022</x:v>
      </x:c>
      <x:c r="E1635" s="2" t="str">
        <x:v>WB_water_withdrawal</x:v>
      </x:c>
      <x:c r="F1635" s="2" t="str">
        <x:v>Annual freshwater withdrawals, total (% of internal resources)</x:v>
      </x:c>
    </x:row>
    <x:row r="1636" ht="44" customHeight="1">
      <x:c r="A1636" s="2" t="str">
        <x:v>DJI</x:v>
      </x:c>
      <x:c r="B1636" s="2" t="str">
        <x:v>population</x:v>
      </x:c>
      <x:c r="C1636" s="2" t="n">
        <x:v>1184076</x:v>
      </x:c>
      <x:c r="D1636" s="2" t="n">
        <x:v>2025</x:v>
      </x:c>
      <x:c r="E1636" s="2" t="str">
        <x:v>WB_population</x:v>
      </x:c>
      <x:c r="F1636" s="2" t="str">
        <x:v>Population, total</x:v>
      </x:c>
    </x:row>
    <x:row r="1637" ht="44" customHeight="1">
      <x:c r="A1637" s="2" t="str">
        <x:v>DJI</x:v>
      </x:c>
      <x:c r="B1637" s="2" t="str">
        <x:v>income_ppp</x:v>
      </x:c>
      <x:c r="C1637" s="2" t="n">
        <x:v>7222.5498918753</x:v>
      </x:c>
      <x:c r="D1637" s="2" t="n">
        <x:v>2025</x:v>
      </x:c>
      <x:c r="E1637" s="2" t="str">
        <x:v>WB_income_ppp</x:v>
      </x:c>
      <x:c r="F1637" s="2" t="str">
        <x:v>GDP per capita, PPP (constant 2021 international $)</x:v>
      </x:c>
    </x:row>
    <x:row r="1638" ht="44" customHeight="1">
      <x:c r="A1638" s="2" t="str">
        <x:v>DJI</x:v>
      </x:c>
      <x:c r="B1638" s="2" t="str">
        <x:v>urban</x:v>
      </x:c>
      <x:c r="C1638" s="2" t="n">
        <x:v>72.9758660686475</x:v>
      </x:c>
      <x:c r="D1638" s="2" t="n">
        <x:v>2025</x:v>
      </x:c>
      <x:c r="E1638" s="2" t="str">
        <x:v>WB_urban</x:v>
      </x:c>
      <x:c r="F1638" s="2" t="str">
        <x:v>Urban population (% of total population)</x:v>
      </x:c>
    </x:row>
    <x:row r="1639" ht="44" customHeight="1">
      <x:c r="A1639" s="2" t="str">
        <x:v>DJI</x:v>
      </x:c>
      <x:c r="B1639" s="2" t="str">
        <x:v>inflation</x:v>
      </x:c>
      <x:c r="C1639" s="2" t="n">
        <x:v>-0.313731799533481</x:v>
      </x:c>
      <x:c r="D1639" s="2" t="n">
        <x:v>2025</x:v>
      </x:c>
      <x:c r="E1639" s="2" t="str">
        <x:v>WB_inflation</x:v>
      </x:c>
      <x:c r="F1639" s="2" t="str">
        <x:v>Inflation, consumer prices (annual %)</x:v>
      </x:c>
    </x:row>
    <x:row r="1640" ht="44" customHeight="1">
      <x:c r="A1640" s="2" t="str">
        <x:v>DJI</x:v>
      </x:c>
      <x:c r="B1640" s="2" t="str">
        <x:v>food_index</x:v>
      </x:c>
      <x:c r="C1640" s="2" t="n">
        <x:v>133</x:v>
      </x:c>
      <x:c r="D1640" s="2" t="n">
        <x:v>2022</x:v>
      </x:c>
      <x:c r="E1640" s="2" t="str">
        <x:v>WB_food_index</x:v>
      </x:c>
      <x:c r="F1640" s="2" t="str">
        <x:v>Food production index (2014-2016 = 100)</x:v>
      </x:c>
    </x:row>
    <x:row r="1641" ht="44" customHeight="1">
      <x:c r="A1641" s="2" t="str">
        <x:v>DJI</x:v>
      </x:c>
      <x:c r="B1641" s="2" t="str">
        <x:v>food_import_share</x:v>
      </x:c>
      <x:c r="C1641" s="2" t="n">
        <x:v>38.5612340185621</x:v>
      </x:c>
      <x:c r="D1641" s="2" t="n">
        <x:v>2023</x:v>
      </x:c>
      <x:c r="E1641" s="2" t="str">
        <x:v>WB_food_import_share</x:v>
      </x:c>
      <x:c r="F1641" s="2" t="str">
        <x:v>Food imports (% of merchandise imports)</x:v>
      </x:c>
    </x:row>
    <x:row r="1642" ht="44" customHeight="1">
      <x:c r="A1642" s="2" t="str">
        <x:v>DJI</x:v>
      </x:c>
      <x:c r="B1642" s="2" t="str">
        <x:v>food_export_share</x:v>
      </x:c>
      <x:c r="C1642" s="2" t="n">
        <x:v>41.4702982972354</x:v>
      </x:c>
      <x:c r="D1642" s="2" t="n">
        <x:v>2023</x:v>
      </x:c>
      <x:c r="E1642" s="2" t="str">
        <x:v>WB_food_export_share</x:v>
      </x:c>
      <x:c r="F1642" s="2" t="str">
        <x:v>Food exports (% of merchandise exports)</x:v>
      </x:c>
    </x:row>
    <x:row r="1643" ht="44" customHeight="1">
      <x:c r="A1643" s="2" t="str">
        <x:v>DJI</x:v>
      </x:c>
      <x:c r="B1643" s="2" t="str">
        <x:v>imports_usd</x:v>
      </x:c>
      <x:c r="C1643" s="2" t="n">
        <x:v>6264000000</x:v>
      </x:c>
      <x:c r="D1643" s="2" t="n">
        <x:v>2025</x:v>
      </x:c>
      <x:c r="E1643" s="2" t="str">
        <x:v>WB_imports_usd</x:v>
      </x:c>
      <x:c r="F1643" s="2" t="str">
        <x:v>Merchandise imports (current US$)</x:v>
      </x:c>
    </x:row>
    <x:row r="1644" ht="44" customHeight="1">
      <x:c r="A1644" s="2" t="str">
        <x:v>DJI</x:v>
      </x:c>
      <x:c r="B1644" s="2" t="str">
        <x:v>exports_usd</x:v>
      </x:c>
      <x:c r="C1644" s="2" t="n">
        <x:v>6090000000</x:v>
      </x:c>
      <x:c r="D1644" s="2" t="n">
        <x:v>2025</x:v>
      </x:c>
      <x:c r="E1644" s="2" t="str">
        <x:v>WB_exports_usd</x:v>
      </x:c>
      <x:c r="F1644" s="2" t="str">
        <x:v>Merchandise exports (current US$)</x:v>
      </x:c>
    </x:row>
    <x:row r="1645" ht="44" customHeight="1">
      <x:c r="A1645" s="2" t="str">
        <x:v>DJI</x:v>
      </x:c>
      <x:c r="B1645" s="2" t="str">
        <x:v>cereal_yield</x:v>
      </x:c>
      <x:c r="C1645" s="2" t="n">
        <x:v>2041</x:v>
      </x:c>
      <x:c r="D1645" s="2" t="n">
        <x:v>2024</x:v>
      </x:c>
      <x:c r="E1645" s="2" t="str">
        <x:v>WB_cereal_yield</x:v>
      </x:c>
      <x:c r="F1645" s="2" t="str">
        <x:v>Cereal yield (kg per hectare)</x:v>
      </x:c>
    </x:row>
    <x:row r="1646" ht="44" customHeight="1">
      <x:c r="A1646" s="2" t="str">
        <x:v>DJI</x:v>
      </x:c>
      <x:c r="B1646" s="2" t="str">
        <x:v>water_stress</x:v>
      </x:c>
      <x:c r="C1646" s="2" t="n">
        <x:v>6.333333333</x:v>
      </x:c>
      <x:c r="D1646" s="2" t="n">
        <x:v>2022</x:v>
      </x:c>
      <x:c r="E1646" s="2" t="str">
        <x:v>WB_water_stress</x:v>
      </x:c>
      <x:c r="F1646" s="2" t="str">
        <x:v>Level of water stress: freshwater withdrawal as a proportion of available freshwater resources</x:v>
      </x:c>
    </x:row>
    <x:row r="1647" ht="44" customHeight="1">
      <x:c r="A1647" s="2" t="str">
        <x:v>DJI</x:v>
      </x:c>
      <x:c r="B1647" s="2" t="str">
        <x:v>fertility</x:v>
      </x:c>
      <x:c r="C1647" s="2" t="n">
        <x:v>2.618</x:v>
      </x:c>
      <x:c r="D1647" s="2" t="n">
        <x:v>2024</x:v>
      </x:c>
      <x:c r="E1647" s="2" t="str">
        <x:v>WB_fertility</x:v>
      </x:c>
      <x:c r="F1647" s="2" t="str">
        <x:v>Fertility rate, total (births per woman)</x:v>
      </x:c>
    </x:row>
    <x:row r="1648" ht="44" customHeight="1">
      <x:c r="A1648" s="2" t="str">
        <x:v>DJI</x:v>
      </x:c>
      <x:c r="B1648" s="2" t="str">
        <x:v>life_expectancy</x:v>
      </x:c>
      <x:c r="C1648" s="2" t="n">
        <x:v>66.202</x:v>
      </x:c>
      <x:c r="D1648" s="2" t="n">
        <x:v>2024</x:v>
      </x:c>
      <x:c r="E1648" s="2" t="str">
        <x:v>WB_life_expectancy</x:v>
      </x:c>
      <x:c r="F1648" s="2" t="str">
        <x:v>Life expectancy at birth, total (years)</x:v>
      </x:c>
    </x:row>
    <x:row r="1649" ht="44" customHeight="1">
      <x:c r="A1649" s="2" t="str">
        <x:v>DJI</x:v>
      </x:c>
      <x:c r="B1649" s="2" t="str">
        <x:v>age_under15</x:v>
      </x:c>
      <x:c r="C1649" s="2" t="n">
        <x:v>28.8031220955741</x:v>
      </x:c>
      <x:c r="D1649" s="2" t="n">
        <x:v>2025</x:v>
      </x:c>
      <x:c r="E1649" s="2" t="str">
        <x:v>WB_age_under15</x:v>
      </x:c>
      <x:c r="F1649" s="2" t="str">
        <x:v>Population ages 0-14 (% of total population)</x:v>
      </x:c>
    </x:row>
    <x:row r="1650" ht="44" customHeight="1">
      <x:c r="A1650" s="2" t="str">
        <x:v>DJI</x:v>
      </x:c>
      <x:c r="B1650" s="2" t="str">
        <x:v>age_over65</x:v>
      </x:c>
      <x:c r="C1650" s="2" t="n">
        <x:v>4.97206050453666</x:v>
      </x:c>
      <x:c r="D1650" s="2" t="n">
        <x:v>2025</x:v>
      </x:c>
      <x:c r="E1650" s="2" t="str">
        <x:v>WB_age_over65</x:v>
      </x:c>
      <x:c r="F1650" s="2" t="str">
        <x:v>Population ages 65 and above (% of total population)</x:v>
      </x:c>
    </x:row>
    <x:row r="1651" ht="44" customHeight="1">
      <x:c r="A1651" s="2" t="str">
        <x:v>DJI</x:v>
      </x:c>
      <x:c r="B1651" s="2" t="str">
        <x:v>dependency_ratio</x:v>
      </x:c>
      <x:c r="C1651" s="2" t="n">
        <x:v>51.0008263703976</x:v>
      </x:c>
      <x:c r="D1651" s="2" t="n">
        <x:v>2025</x:v>
      </x:c>
      <x:c r="E1651" s="2" t="str">
        <x:v>WB_dependency_ratio</x:v>
      </x:c>
      <x:c r="F1651" s="2" t="str">
        <x:v>Age dependency ratio (% of working-age population)</x:v>
      </x:c>
    </x:row>
    <x:row r="1652" ht="44" customHeight="1">
      <x:c r="A1652" s="2" t="str">
        <x:v>DJI</x:v>
      </x:c>
      <x:c r="B1652" s="2" t="str">
        <x:v>net_migration</x:v>
      </x:c>
      <x:c r="C1652" s="2" t="n">
        <x:v>-581</x:v>
      </x:c>
      <x:c r="D1652" s="2" t="n">
        <x:v>2025</x:v>
      </x:c>
      <x:c r="E1652" s="2" t="str">
        <x:v>WB_net_migration</x:v>
      </x:c>
      <x:c r="F1652" s="2" t="str">
        <x:v>Net migration</x:v>
      </x:c>
    </x:row>
    <x:row r="1653" ht="44" customHeight="1">
      <x:c r="A1653" s="2" t="str">
        <x:v>DJI</x:v>
      </x:c>
      <x:c r="B1653" s="2" t="str">
        <x:v>real_gdp</x:v>
      </x:c>
      <x:c r="C1653" s="2" t="n">
        <x:v>4095380799.70674</x:v>
      </x:c>
      <x:c r="D1653" s="2" t="n">
        <x:v>2025</x:v>
      </x:c>
      <x:c r="E1653" s="2" t="str">
        <x:v>WB_real_gdp</x:v>
      </x:c>
      <x:c r="F1653" s="2" t="str">
        <x:v>GDP (constant 2015 US$)</x:v>
      </x:c>
    </x:row>
    <x:row r="1654" ht="44" customHeight="1">
      <x:c r="A1654" s="2" t="str">
        <x:v>DJI</x:v>
      </x:c>
      <x:c r="B1654" s="2" t="str">
        <x:v>gdp_growth</x:v>
      </x:c>
      <x:c r="C1654" s="2" t="n">
        <x:v>6.4954610524268</x:v>
      </x:c>
      <x:c r="D1654" s="2" t="n">
        <x:v>2025</x:v>
      </x:c>
      <x:c r="E1654" s="2" t="str">
        <x:v>WB_gdp_growth</x:v>
      </x:c>
      <x:c r="F1654" s="2" t="str">
        <x:v>GDP growth (annual %)</x:v>
      </x:c>
    </x:row>
    <x:row r="1655" ht="44" customHeight="1">
      <x:c r="A1655" s="2" t="str">
        <x:v>DJI</x:v>
      </x:c>
      <x:c r="B1655" s="2" t="str">
        <x:v>real_income</x:v>
      </x:c>
      <x:c r="C1655" s="2" t="n">
        <x:v>3458.71447416107</x:v>
      </x:c>
      <x:c r="D1655" s="2" t="n">
        <x:v>2025</x:v>
      </x:c>
      <x:c r="E1655" s="2" t="str">
        <x:v>WB_real_income</x:v>
      </x:c>
      <x:c r="F1655" s="2" t="str">
        <x:v>GDP per capita (constant 2015 US$)</x:v>
      </x:c>
    </x:row>
    <x:row r="1656" ht="44" customHeight="1">
      <x:c r="A1656" s="2" t="str">
        <x:v>DJI</x:v>
      </x:c>
      <x:c r="B1656" s="2" t="str">
        <x:v>agriculture_gdp</x:v>
      </x:c>
      <x:c r="C1656" s="2" t="n">
        <x:v>2.27199545061851</x:v>
      </x:c>
      <x:c r="D1656" s="2" t="n">
        <x:v>2025</x:v>
      </x:c>
      <x:c r="E1656" s="2" t="str">
        <x:v>WB_agriculture_gdp</x:v>
      </x:c>
      <x:c r="F1656" s="2" t="str">
        <x:v>Agriculture, forestry, and fishing, value added (% of GDP)</x:v>
      </x:c>
    </x:row>
    <x:row r="1657" ht="44" customHeight="1">
      <x:c r="A1657" s="2" t="str">
        <x:v>DJI</x:v>
      </x:c>
      <x:c r="B1657" s="2" t="str">
        <x:v>poverty</x:v>
      </x:c>
      <x:c r="C1657" s="2" t="n">
        <x:v>25.4</x:v>
      </x:c>
      <x:c r="D1657" s="2" t="n">
        <x:v>2017</x:v>
      </x:c>
      <x:c r="E1657" s="2" t="str">
        <x:v>WB_poverty</x:v>
      </x:c>
      <x:c r="F1657" s="2" t="str">
        <x:v>Poverty headcount ratio at $3.00 a day (2021 PPP) (% of population)</x:v>
      </x:c>
    </x:row>
    <x:row r="1658" ht="44" customHeight="1">
      <x:c r="A1658" s="2" t="str">
        <x:v>DJI</x:v>
      </x:c>
      <x:c r="B1658" s="2" t="str">
        <x:v>gini</x:v>
      </x:c>
      <x:c r="C1658" s="2" t="n">
        <x:v>41.6</x:v>
      </x:c>
      <x:c r="D1658" s="2" t="n">
        <x:v>2017</x:v>
      </x:c>
      <x:c r="E1658" s="2" t="str">
        <x:v>WB_gini</x:v>
      </x:c>
      <x:c r="F1658" s="2" t="str">
        <x:v>Gini index</x:v>
      </x:c>
    </x:row>
    <x:row r="1659" ht="44" customHeight="1">
      <x:c r="A1659" s="2" t="str">
        <x:v>DJI</x:v>
      </x:c>
      <x:c r="B1659" s="2" t="str">
        <x:v>unemployment</x:v>
      </x:c>
      <x:c r="C1659" s="2" t="n">
        <x:v>26.015</x:v>
      </x:c>
      <x:c r="D1659" s="2" t="n">
        <x:v>2025</x:v>
      </x:c>
      <x:c r="E1659" s="2" t="str">
        <x:v>WB_unemployment</x:v>
      </x:c>
      <x:c r="F1659" s="2" t="str">
        <x:v>Unemployment, total (% of total labor force) (modeled ILO estimate)</x:v>
      </x:c>
    </x:row>
    <x:row r="1660" ht="44" customHeight="1">
      <x:c r="A1660" s="2" t="str">
        <x:v>DJI</x:v>
      </x:c>
      <x:c r="B1660" s="2" t="str">
        <x:v>private_credit</x:v>
      </x:c>
      <x:c r="C1660" s="2" t="n">
        <x:v>25.1647278808558</x:v>
      </x:c>
      <x:c r="D1660" s="2" t="n">
        <x:v>2025</x:v>
      </x:c>
      <x:c r="E1660" s="2" t="str">
        <x:v>WB_private_credit</x:v>
      </x:c>
      <x:c r="F1660" s="2" t="str">
        <x:v>Domestic credit to private sector (% of GDP)</x:v>
      </x:c>
    </x:row>
    <x:row r="1661" ht="44" customHeight="1">
      <x:c r="A1661" s="2" t="str">
        <x:v>DJI</x:v>
      </x:c>
      <x:c r="B1661" s="2" t="str">
        <x:v>lending_rate</x:v>
      </x:c>
      <x:c r="C1661" s="2"/>
      <x:c r="D1661" s="2"/>
      <x:c r="E1661" s="2" t="str">
        <x:v>Missing</x:v>
      </x:c>
      <x:c r="F1661" s="2" t="str">
        <x:v>Lending interest rate (%)</x:v>
      </x:c>
    </x:row>
    <x:row r="1662" ht="44" customHeight="1">
      <x:c r="A1662" s="2" t="str">
        <x:v>DJI</x:v>
      </x:c>
      <x:c r="B1662" s="2" t="str">
        <x:v>real_interest</x:v>
      </x:c>
      <x:c r="C1662" s="2"/>
      <x:c r="D1662" s="2"/>
      <x:c r="E1662" s="2" t="str">
        <x:v>Missing</x:v>
      </x:c>
      <x:c r="F1662" s="2" t="str">
        <x:v>Real interest rate (%)</x:v>
      </x:c>
    </x:row>
    <x:row r="1663" ht="44" customHeight="1">
      <x:c r="A1663" s="2" t="str">
        <x:v>DJI</x:v>
      </x:c>
      <x:c r="B1663" s="2" t="str">
        <x:v>government_debt</x:v>
      </x:c>
      <x:c r="C1663" s="2"/>
      <x:c r="D1663" s="2"/>
      <x:c r="E1663" s="2" t="str">
        <x:v>Missing</x:v>
      </x:c>
      <x:c r="F1663" s="2" t="str">
        <x:v>Central government debt, total (% of GDP)</x:v>
      </x:c>
    </x:row>
    <x:row r="1664" ht="44" customHeight="1">
      <x:c r="A1664" s="2" t="str">
        <x:v>DJI</x:v>
      </x:c>
      <x:c r="B1664" s="2" t="str">
        <x:v>electricity_access</x:v>
      </x:c>
      <x:c r="C1664" s="2" t="n">
        <x:v>69.2</x:v>
      </x:c>
      <x:c r="D1664" s="2" t="n">
        <x:v>2024</x:v>
      </x:c>
      <x:c r="E1664" s="2" t="str">
        <x:v>WB_electricity_access</x:v>
      </x:c>
      <x:c r="F1664" s="2" t="str">
        <x:v>Access to electricity (% of population)</x:v>
      </x:c>
    </x:row>
    <x:row r="1665" ht="44" customHeight="1">
      <x:c r="A1665" s="2" t="str">
        <x:v>DJI</x:v>
      </x:c>
      <x:c r="B1665" s="2" t="str">
        <x:v>irrigated_land</x:v>
      </x:c>
      <x:c r="C1665" s="2"/>
      <x:c r="D1665" s="2"/>
      <x:c r="E1665" s="2" t="str">
        <x:v>Missing</x:v>
      </x:c>
      <x:c r="F1665" s="2" t="str">
        <x:v>Agricultural irrigated land (% of total agricultural land)</x:v>
      </x:c>
    </x:row>
    <x:row r="1666" ht="44" customHeight="1">
      <x:c r="A1666" s="2" t="str">
        <x:v>DJI</x:v>
      </x:c>
      <x:c r="B1666" s="2" t="str">
        <x:v>cereal_area</x:v>
      </x:c>
      <x:c r="C1666" s="2" t="n">
        <x:v>9</x:v>
      </x:c>
      <x:c r="D1666" s="2" t="n">
        <x:v>2024</x:v>
      </x:c>
      <x:c r="E1666" s="2" t="str">
        <x:v>WB_cereal_area</x:v>
      </x:c>
      <x:c r="F1666" s="2" t="str">
        <x:v>Land under cereal production (hectares)</x:v>
      </x:c>
    </x:row>
    <x:row r="1667" ht="44" customHeight="1">
      <x:c r="A1667" s="2" t="str">
        <x:v>DJI</x:v>
      </x:c>
      <x:c r="B1667" s="2" t="str">
        <x:v>undernourishment</x:v>
      </x:c>
      <x:c r="C1667" s="2" t="n">
        <x:v>12.9</x:v>
      </x:c>
      <x:c r="D1667" s="2" t="n">
        <x:v>2023</x:v>
      </x:c>
      <x:c r="E1667" s="2" t="str">
        <x:v>WB_undernourishment</x:v>
      </x:c>
      <x:c r="F1667" s="2" t="str">
        <x:v>Prevalence of undernourishment (% of population)</x:v>
      </x:c>
    </x:row>
    <x:row r="1668" ht="44" customHeight="1">
      <x:c r="A1668" s="2" t="str">
        <x:v>DJI</x:v>
      </x:c>
      <x:c r="B1668" s="2" t="str">
        <x:v>agriculture_employment</x:v>
      </x:c>
      <x:c r="C1668" s="2" t="n">
        <x:v>1.15106823576948</x:v>
      </x:c>
      <x:c r="D1668" s="2" t="n">
        <x:v>2025</x:v>
      </x:c>
      <x:c r="E1668" s="2" t="str">
        <x:v>WB_agriculture_employment</x:v>
      </x:c>
      <x:c r="F1668" s="2" t="str">
        <x:v>Employment in agriculture (% of total employment) (modeled ILO estimate)</x:v>
      </x:c>
    </x:row>
    <x:row r="1669" ht="44" customHeight="1">
      <x:c r="A1669" s="2" t="str">
        <x:v>DJI</x:v>
      </x:c>
      <x:c r="B1669" s="2" t="str">
        <x:v>water_withdrawal</x:v>
      </x:c>
      <x:c r="C1669" s="2" t="n">
        <x:v>6.33333333333333</x:v>
      </x:c>
      <x:c r="D1669" s="2" t="n">
        <x:v>2022</x:v>
      </x:c>
      <x:c r="E1669" s="2" t="str">
        <x:v>WB_water_withdrawal</x:v>
      </x:c>
      <x:c r="F1669" s="2" t="str">
        <x:v>Annual freshwater withdrawals, total (% of internal resources)</x:v>
      </x:c>
    </x:row>
    <x:row r="1670" ht="44" customHeight="1">
      <x:c r="A1670" s="2" t="str">
        <x:v>DMA</x:v>
      </x:c>
      <x:c r="B1670" s="2" t="str">
        <x:v>population</x:v>
      </x:c>
      <x:c r="C1670" s="2" t="n">
        <x:v>65871</x:v>
      </x:c>
      <x:c r="D1670" s="2" t="n">
        <x:v>2025</x:v>
      </x:c>
      <x:c r="E1670" s="2" t="str">
        <x:v>WB_population</x:v>
      </x:c>
      <x:c r="F1670" s="2" t="str">
        <x:v>Population, total</x:v>
      </x:c>
    </x:row>
    <x:row r="1671" ht="44" customHeight="1">
      <x:c r="A1671" s="2" t="str">
        <x:v>DMA</x:v>
      </x:c>
      <x:c r="B1671" s="2" t="str">
        <x:v>income_ppp</x:v>
      </x:c>
      <x:c r="C1671" s="2" t="n">
        <x:v>19409.2900700194</x:v>
      </x:c>
      <x:c r="D1671" s="2" t="n">
        <x:v>2025</x:v>
      </x:c>
      <x:c r="E1671" s="2" t="str">
        <x:v>WB_income_ppp</x:v>
      </x:c>
      <x:c r="F1671" s="2" t="str">
        <x:v>GDP per capita, PPP (constant 2021 international $)</x:v>
      </x:c>
    </x:row>
    <x:row r="1672" ht="44" customHeight="1">
      <x:c r="A1672" s="2" t="str">
        <x:v>DMA</x:v>
      </x:c>
      <x:c r="B1672" s="2" t="str">
        <x:v>urban</x:v>
      </x:c>
      <x:c r="C1672" s="2" t="n">
        <x:v>73.9861616678942</x:v>
      </x:c>
      <x:c r="D1672" s="2" t="n">
        <x:v>2025</x:v>
      </x:c>
      <x:c r="E1672" s="2" t="str">
        <x:v>WB_urban</x:v>
      </x:c>
      <x:c r="F1672" s="2" t="str">
        <x:v>Urban population (% of total population)</x:v>
      </x:c>
    </x:row>
    <x:row r="1673" ht="44" customHeight="1">
      <x:c r="A1673" s="2" t="str">
        <x:v>DMA</x:v>
      </x:c>
      <x:c r="B1673" s="2" t="str">
        <x:v>inflation</x:v>
      </x:c>
      <x:c r="C1673" s="2" t="n">
        <x:v>2.53385126107135</x:v>
      </x:c>
      <x:c r="D1673" s="2" t="n">
        <x:v>2025</x:v>
      </x:c>
      <x:c r="E1673" s="2" t="str">
        <x:v>WB_inflation</x:v>
      </x:c>
      <x:c r="F1673" s="2" t="str">
        <x:v>Inflation, consumer prices (annual %)</x:v>
      </x:c>
    </x:row>
    <x:row r="1674" ht="44" customHeight="1">
      <x:c r="A1674" s="2" t="str">
        <x:v>DMA</x:v>
      </x:c>
      <x:c r="B1674" s="2" t="str">
        <x:v>food_index</x:v>
      </x:c>
      <x:c r="C1674" s="2" t="n">
        <x:v>100.85</x:v>
      </x:c>
      <x:c r="D1674" s="2" t="n">
        <x:v>2022</x:v>
      </x:c>
      <x:c r="E1674" s="2" t="str">
        <x:v>WB_food_index</x:v>
      </x:c>
      <x:c r="F1674" s="2" t="str">
        <x:v>Food production index (2014-2016 = 100)</x:v>
      </x:c>
    </x:row>
    <x:row r="1675" ht="44" customHeight="1">
      <x:c r="A1675" s="2" t="str">
        <x:v>DMA</x:v>
      </x:c>
      <x:c r="B1675" s="2" t="str">
        <x:v>food_import_share</x:v>
      </x:c>
      <x:c r="C1675" s="2" t="n">
        <x:v>25.1599497894216</x:v>
      </x:c>
      <x:c r="D1675" s="2" t="n">
        <x:v>2023</x:v>
      </x:c>
      <x:c r="E1675" s="2" t="str">
        <x:v>WB_food_import_share</x:v>
      </x:c>
      <x:c r="F1675" s="2" t="str">
        <x:v>Food imports (% of merchandise imports)</x:v>
      </x:c>
    </x:row>
    <x:row r="1676" ht="44" customHeight="1">
      <x:c r="A1676" s="2" t="str">
        <x:v>DMA</x:v>
      </x:c>
      <x:c r="B1676" s="2" t="str">
        <x:v>food_export_share</x:v>
      </x:c>
      <x:c r="C1676" s="2" t="n">
        <x:v>41.2177443026409</x:v>
      </x:c>
      <x:c r="D1676" s="2" t="n">
        <x:v>2023</x:v>
      </x:c>
      <x:c r="E1676" s="2" t="str">
        <x:v>WB_food_export_share</x:v>
      </x:c>
      <x:c r="F1676" s="2" t="str">
        <x:v>Food exports (% of merchandise exports)</x:v>
      </x:c>
    </x:row>
    <x:row r="1677" ht="44" customHeight="1">
      <x:c r="A1677" s="2" t="str">
        <x:v>DMA</x:v>
      </x:c>
      <x:c r="B1677" s="2" t="str">
        <x:v>imports_usd</x:v>
      </x:c>
      <x:c r="C1677" s="2" t="n">
        <x:v>259000000</x:v>
      </x:c>
      <x:c r="D1677" s="2" t="n">
        <x:v>2025</x:v>
      </x:c>
      <x:c r="E1677" s="2" t="str">
        <x:v>WB_imports_usd</x:v>
      </x:c>
      <x:c r="F1677" s="2" t="str">
        <x:v>Merchandise imports (current US$)</x:v>
      </x:c>
    </x:row>
    <x:row r="1678" ht="44" customHeight="1">
      <x:c r="A1678" s="2" t="str">
        <x:v>DMA</x:v>
      </x:c>
      <x:c r="B1678" s="2" t="str">
        <x:v>exports_usd</x:v>
      </x:c>
      <x:c r="C1678" s="2" t="n">
        <x:v>24000000</x:v>
      </x:c>
      <x:c r="D1678" s="2" t="n">
        <x:v>2025</x:v>
      </x:c>
      <x:c r="E1678" s="2" t="str">
        <x:v>WB_exports_usd</x:v>
      </x:c>
      <x:c r="F1678" s="2" t="str">
        <x:v>Merchandise exports (current US$)</x:v>
      </x:c>
    </x:row>
    <x:row r="1679" ht="44" customHeight="1">
      <x:c r="A1679" s="2" t="str">
        <x:v>DMA</x:v>
      </x:c>
      <x:c r="B1679" s="2" t="str">
        <x:v>cereal_yield</x:v>
      </x:c>
      <x:c r="C1679" s="2" t="n">
        <x:v>1682.4</x:v>
      </x:c>
      <x:c r="D1679" s="2" t="n">
        <x:v>2023</x:v>
      </x:c>
      <x:c r="E1679" s="2" t="str">
        <x:v>WB_cereal_yield</x:v>
      </x:c>
      <x:c r="F1679" s="2" t="str">
        <x:v>Cereal yield (kg per hectare)</x:v>
      </x:c>
    </x:row>
    <x:row r="1680" ht="44" customHeight="1">
      <x:c r="A1680" s="2" t="str">
        <x:v>DMA</x:v>
      </x:c>
      <x:c r="B1680" s="2" t="str">
        <x:v>water_stress</x:v>
      </x:c>
      <x:c r="C1680" s="2" t="n">
        <x:v>10</x:v>
      </x:c>
      <x:c r="D1680" s="2" t="n">
        <x:v>2022</x:v>
      </x:c>
      <x:c r="E1680" s="2" t="str">
        <x:v>WB_water_stress</x:v>
      </x:c>
      <x:c r="F1680" s="2" t="str">
        <x:v>Level of water stress: freshwater withdrawal as a proportion of available freshwater resources</x:v>
      </x:c>
    </x:row>
    <x:row r="1681" ht="44" customHeight="1">
      <x:c r="A1681" s="2" t="str">
        <x:v>DMA</x:v>
      </x:c>
      <x:c r="B1681" s="2" t="str">
        <x:v>fertility</x:v>
      </x:c>
      <x:c r="C1681" s="2" t="n">
        <x:v>1.48</x:v>
      </x:c>
      <x:c r="D1681" s="2" t="n">
        <x:v>2024</x:v>
      </x:c>
      <x:c r="E1681" s="2" t="str">
        <x:v>WB_fertility</x:v>
      </x:c>
      <x:c r="F1681" s="2" t="str">
        <x:v>Fertility rate, total (births per woman)</x:v>
      </x:c>
    </x:row>
    <x:row r="1682" ht="44" customHeight="1">
      <x:c r="A1682" s="2" t="str">
        <x:v>DMA</x:v>
      </x:c>
      <x:c r="B1682" s="2" t="str">
        <x:v>life_expectancy</x:v>
      </x:c>
      <x:c r="C1682" s="2" t="n">
        <x:v>71.294</x:v>
      </x:c>
      <x:c r="D1682" s="2" t="n">
        <x:v>2024</x:v>
      </x:c>
      <x:c r="E1682" s="2" t="str">
        <x:v>WB_life_expectancy</x:v>
      </x:c>
      <x:c r="F1682" s="2" t="str">
        <x:v>Life expectancy at birth, total (years)</x:v>
      </x:c>
    </x:row>
    <x:row r="1683" ht="44" customHeight="1">
      <x:c r="A1683" s="2" t="str">
        <x:v>DMA</x:v>
      </x:c>
      <x:c r="B1683" s="2" t="str">
        <x:v>age_under15</x:v>
      </x:c>
      <x:c r="C1683" s="2" t="n">
        <x:v>17.6115619046173</x:v>
      </x:c>
      <x:c r="D1683" s="2" t="n">
        <x:v>2025</x:v>
      </x:c>
      <x:c r="E1683" s="2" t="str">
        <x:v>WB_age_under15</x:v>
      </x:c>
      <x:c r="F1683" s="2" t="str">
        <x:v>Population ages 0-14 (% of total population)</x:v>
      </x:c>
    </x:row>
    <x:row r="1684" ht="44" customHeight="1">
      <x:c r="A1684" s="2" t="str">
        <x:v>DMA</x:v>
      </x:c>
      <x:c r="B1684" s="2" t="str">
        <x:v>age_over65</x:v>
      </x:c>
      <x:c r="C1684" s="2" t="n">
        <x:v>13.1984242047016</x:v>
      </x:c>
      <x:c r="D1684" s="2" t="n">
        <x:v>2025</x:v>
      </x:c>
      <x:c r="E1684" s="2" t="str">
        <x:v>WB_age_over65</x:v>
      </x:c>
      <x:c r="F1684" s="2" t="str">
        <x:v>Population ages 65 and above (% of total population)</x:v>
      </x:c>
    </x:row>
    <x:row r="1685" ht="44" customHeight="1">
      <x:c r="A1685" s="2" t="str">
        <x:v>DMA</x:v>
      </x:c>
      <x:c r="B1685" s="2" t="str">
        <x:v>dependency_ratio</x:v>
      </x:c>
      <x:c r="C1685" s="2" t="n">
        <x:v>44.5300157977883</x:v>
      </x:c>
      <x:c r="D1685" s="2" t="n">
        <x:v>2025</x:v>
      </x:c>
      <x:c r="E1685" s="2" t="str">
        <x:v>WB_dependency_ratio</x:v>
      </x:c>
      <x:c r="F1685" s="2" t="str">
        <x:v>Age dependency ratio (% of working-age population)</x:v>
      </x:c>
    </x:row>
    <x:row r="1686" ht="44" customHeight="1">
      <x:c r="A1686" s="2" t="str">
        <x:v>DMA</x:v>
      </x:c>
      <x:c r="B1686" s="2" t="str">
        <x:v>net_migration</x:v>
      </x:c>
      <x:c r="C1686" s="2" t="n">
        <x:v>-242</x:v>
      </x:c>
      <x:c r="D1686" s="2" t="n">
        <x:v>2025</x:v>
      </x:c>
      <x:c r="E1686" s="2" t="str">
        <x:v>WB_net_migration</x:v>
      </x:c>
      <x:c r="F1686" s="2" t="str">
        <x:v>Net migration</x:v>
      </x:c>
    </x:row>
    <x:row r="1687" ht="44" customHeight="1">
      <x:c r="A1687" s="2" t="str">
        <x:v>DMA</x:v>
      </x:c>
      <x:c r="B1687" s="2" t="str">
        <x:v>real_gdp</x:v>
      </x:c>
      <x:c r="C1687" s="2" t="n">
        <x:v>625816120.233098</x:v>
      </x:c>
      <x:c r="D1687" s="2" t="n">
        <x:v>2025</x:v>
      </x:c>
      <x:c r="E1687" s="2" t="str">
        <x:v>WB_real_gdp</x:v>
      </x:c>
      <x:c r="F1687" s="2" t="str">
        <x:v>GDP (constant 2015 US$)</x:v>
      </x:c>
    </x:row>
    <x:row r="1688" ht="44" customHeight="1">
      <x:c r="A1688" s="2" t="str">
        <x:v>DMA</x:v>
      </x:c>
      <x:c r="B1688" s="2" t="str">
        <x:v>gdp_growth</x:v>
      </x:c>
      <x:c r="C1688" s="2" t="n">
        <x:v>3.05243763087539</x:v>
      </x:c>
      <x:c r="D1688" s="2" t="n">
        <x:v>2025</x:v>
      </x:c>
      <x:c r="E1688" s="2" t="str">
        <x:v>WB_gdp_growth</x:v>
      </x:c>
      <x:c r="F1688" s="2" t="str">
        <x:v>GDP growth (annual %)</x:v>
      </x:c>
    </x:row>
    <x:row r="1689" ht="44" customHeight="1">
      <x:c r="A1689" s="2" t="str">
        <x:v>DMA</x:v>
      </x:c>
      <x:c r="B1689" s="2" t="str">
        <x:v>real_income</x:v>
      </x:c>
      <x:c r="C1689" s="2" t="n">
        <x:v>9500.63184456131</x:v>
      </x:c>
      <x:c r="D1689" s="2" t="n">
        <x:v>2025</x:v>
      </x:c>
      <x:c r="E1689" s="2" t="str">
        <x:v>WB_real_income</x:v>
      </x:c>
      <x:c r="F1689" s="2" t="str">
        <x:v>GDP per capita (constant 2015 US$)</x:v>
      </x:c>
    </x:row>
    <x:row r="1690" ht="44" customHeight="1">
      <x:c r="A1690" s="2" t="str">
        <x:v>DMA</x:v>
      </x:c>
      <x:c r="B1690" s="2" t="str">
        <x:v>agriculture_gdp</x:v>
      </x:c>
      <x:c r="C1690" s="2" t="n">
        <x:v>12.1033350047584</x:v>
      </x:c>
      <x:c r="D1690" s="2" t="n">
        <x:v>2025</x:v>
      </x:c>
      <x:c r="E1690" s="2" t="str">
        <x:v>WB_agriculture_gdp</x:v>
      </x:c>
      <x:c r="F1690" s="2" t="str">
        <x:v>Agriculture, forestry, and fishing, value added (% of GDP)</x:v>
      </x:c>
    </x:row>
    <x:row r="1691" ht="44" customHeight="1">
      <x:c r="A1691" s="2" t="str">
        <x:v>DMA</x:v>
      </x:c>
      <x:c r="B1691" s="2" t="str">
        <x:v>poverty</x:v>
      </x:c>
      <x:c r="C1691" s="2"/>
      <x:c r="D1691" s="2"/>
      <x:c r="E1691" s="2" t="str">
        <x:v>Missing</x:v>
      </x:c>
      <x:c r="F1691" s="2" t="str">
        <x:v>Poverty headcount ratio at $3.00 a day (2021 PPP) (% of population)</x:v>
      </x:c>
    </x:row>
    <x:row r="1692" ht="44" customHeight="1">
      <x:c r="A1692" s="2" t="str">
        <x:v>DMA</x:v>
      </x:c>
      <x:c r="B1692" s="2" t="str">
        <x:v>gini</x:v>
      </x:c>
      <x:c r="C1692" s="2"/>
      <x:c r="D1692" s="2"/>
      <x:c r="E1692" s="2" t="str">
        <x:v>Missing</x:v>
      </x:c>
      <x:c r="F1692" s="2" t="str">
        <x:v>Gini index</x:v>
      </x:c>
    </x:row>
    <x:row r="1693" ht="44" customHeight="1">
      <x:c r="A1693" s="2" t="str">
        <x:v>DMA</x:v>
      </x:c>
      <x:c r="B1693" s="2" t="str">
        <x:v>unemployment</x:v>
      </x:c>
      <x:c r="C1693" s="2"/>
      <x:c r="D1693" s="2"/>
      <x:c r="E1693" s="2" t="str">
        <x:v>Missing</x:v>
      </x:c>
      <x:c r="F1693" s="2" t="str">
        <x:v>Unemployment, total (% of total labor force) (modeled ILO estimate)</x:v>
      </x:c>
    </x:row>
    <x:row r="1694" ht="44" customHeight="1">
      <x:c r="A1694" s="2" t="str">
        <x:v>DMA</x:v>
      </x:c>
      <x:c r="B1694" s="2" t="str">
        <x:v>private_credit</x:v>
      </x:c>
      <x:c r="C1694" s="2" t="n">
        <x:v>38.0930403904995</x:v>
      </x:c>
      <x:c r="D1694" s="2" t="n">
        <x:v>2025</x:v>
      </x:c>
      <x:c r="E1694" s="2" t="str">
        <x:v>WB_private_credit</x:v>
      </x:c>
      <x:c r="F1694" s="2" t="str">
        <x:v>Domestic credit to private sector (% of GDP)</x:v>
      </x:c>
    </x:row>
    <x:row r="1695" ht="44" customHeight="1">
      <x:c r="A1695" s="2" t="str">
        <x:v>DMA</x:v>
      </x:c>
      <x:c r="B1695" s="2" t="str">
        <x:v>lending_rate</x:v>
      </x:c>
      <x:c r="C1695" s="2" t="n">
        <x:v>5.77327125</x:v>
      </x:c>
      <x:c r="D1695" s="2" t="n">
        <x:v>2025</x:v>
      </x:c>
      <x:c r="E1695" s="2" t="str">
        <x:v>WB_lending_rate</x:v>
      </x:c>
      <x:c r="F1695" s="2" t="str">
        <x:v>Lending interest rate (%)</x:v>
      </x:c>
    </x:row>
    <x:row r="1696" ht="44" customHeight="1">
      <x:c r="A1696" s="2" t="str">
        <x:v>DMA</x:v>
      </x:c>
      <x:c r="B1696" s="2" t="str">
        <x:v>real_interest</x:v>
      </x:c>
      <x:c r="C1696" s="2" t="n">
        <x:v>3.73482563496692</x:v>
      </x:c>
      <x:c r="D1696" s="2" t="n">
        <x:v>2025</x:v>
      </x:c>
      <x:c r="E1696" s="2" t="str">
        <x:v>WB_real_interest</x:v>
      </x:c>
      <x:c r="F1696" s="2" t="str">
        <x:v>Real interest rate (%)</x:v>
      </x:c>
    </x:row>
    <x:row r="1697" ht="44" customHeight="1">
      <x:c r="A1697" s="2" t="str">
        <x:v>DMA</x:v>
      </x:c>
      <x:c r="B1697" s="2" t="str">
        <x:v>government_debt</x:v>
      </x:c>
      <x:c r="C1697" s="2"/>
      <x:c r="D1697" s="2"/>
      <x:c r="E1697" s="2" t="str">
        <x:v>Missing</x:v>
      </x:c>
      <x:c r="F1697" s="2" t="str">
        <x:v>Central government debt, total (% of GDP)</x:v>
      </x:c>
    </x:row>
    <x:row r="1698" ht="44" customHeight="1">
      <x:c r="A1698" s="2" t="str">
        <x:v>DMA</x:v>
      </x:c>
      <x:c r="B1698" s="2" t="str">
        <x:v>electricity_access</x:v>
      </x:c>
      <x:c r="C1698" s="2" t="n">
        <x:v>100</x:v>
      </x:c>
      <x:c r="D1698" s="2" t="n">
        <x:v>2024</x:v>
      </x:c>
      <x:c r="E1698" s="2" t="str">
        <x:v>WB_electricity_access</x:v>
      </x:c>
      <x:c r="F1698" s="2" t="str">
        <x:v>Access to electricity (% of population)</x:v>
      </x:c>
    </x:row>
    <x:row r="1699" ht="44" customHeight="1">
      <x:c r="A1699" s="2" t="str">
        <x:v>DMA</x:v>
      </x:c>
      <x:c r="B1699" s="2" t="str">
        <x:v>irrigated_land</x:v>
      </x:c>
      <x:c r="C1699" s="2"/>
      <x:c r="D1699" s="2"/>
      <x:c r="E1699" s="2" t="str">
        <x:v>Missing</x:v>
      </x:c>
      <x:c r="F1699" s="2" t="str">
        <x:v>Agricultural irrigated land (% of total agricultural land)</x:v>
      </x:c>
    </x:row>
    <x:row r="1700" ht="44" customHeight="1">
      <x:c r="A1700" s="2" t="str">
        <x:v>DMA</x:v>
      </x:c>
      <x:c r="B1700" s="2" t="str">
        <x:v>cereal_area</x:v>
      </x:c>
      <x:c r="C1700" s="2" t="n">
        <x:v>115</x:v>
      </x:c>
      <x:c r="D1700" s="2" t="n">
        <x:v>2023</x:v>
      </x:c>
      <x:c r="E1700" s="2" t="str">
        <x:v>WB_cereal_area</x:v>
      </x:c>
      <x:c r="F1700" s="2" t="str">
        <x:v>Land under cereal production (hectares)</x:v>
      </x:c>
    </x:row>
    <x:row r="1701" ht="44" customHeight="1">
      <x:c r="A1701" s="2" t="str">
        <x:v>DMA</x:v>
      </x:c>
      <x:c r="B1701" s="2" t="str">
        <x:v>undernourishment</x:v>
      </x:c>
      <x:c r="C1701" s="2" t="n">
        <x:v>3.6</x:v>
      </x:c>
      <x:c r="D1701" s="2" t="n">
        <x:v>2023</x:v>
      </x:c>
      <x:c r="E1701" s="2" t="str">
        <x:v>WB_undernourishment</x:v>
      </x:c>
      <x:c r="F1701" s="2" t="str">
        <x:v>Prevalence of undernourishment (% of population)</x:v>
      </x:c>
    </x:row>
    <x:row r="1702" ht="44" customHeight="1">
      <x:c r="A1702" s="2" t="str">
        <x:v>DMA</x:v>
      </x:c>
      <x:c r="B1702" s="2" t="str">
        <x:v>agriculture_employment</x:v>
      </x:c>
      <x:c r="C1702" s="2"/>
      <x:c r="D1702" s="2"/>
      <x:c r="E1702" s="2" t="str">
        <x:v>Missing</x:v>
      </x:c>
      <x:c r="F1702" s="2" t="str">
        <x:v>Employment in agriculture (% of total employment) (modeled ILO estimate)</x:v>
      </x:c>
    </x:row>
    <x:row r="1703" ht="44" customHeight="1">
      <x:c r="A1703" s="2" t="str">
        <x:v>DMA</x:v>
      </x:c>
      <x:c r="B1703" s="2" t="str">
        <x:v>water_withdrawal</x:v>
      </x:c>
      <x:c r="C1703" s="2" t="n">
        <x:v>10</x:v>
      </x:c>
      <x:c r="D1703" s="2" t="n">
        <x:v>2022</x:v>
      </x:c>
      <x:c r="E1703" s="2" t="str">
        <x:v>WB_water_withdrawal</x:v>
      </x:c>
      <x:c r="F1703" s="2" t="str">
        <x:v>Annual freshwater withdrawals, total (% of internal resources)</x:v>
      </x:c>
    </x:row>
    <x:row r="1704" ht="44" customHeight="1">
      <x:c r="A1704" s="2" t="str">
        <x:v>DOM</x:v>
      </x:c>
      <x:c r="B1704" s="2" t="str">
        <x:v>population</x:v>
      </x:c>
      <x:c r="C1704" s="2" t="n">
        <x:v>11520487</x:v>
      </x:c>
      <x:c r="D1704" s="2" t="n">
        <x:v>2025</x:v>
      </x:c>
      <x:c r="E1704" s="2" t="str">
        <x:v>WB_population</x:v>
      </x:c>
      <x:c r="F1704" s="2" t="str">
        <x:v>Population, total</x:v>
      </x:c>
    </x:row>
    <x:row r="1705" ht="44" customHeight="1">
      <x:c r="A1705" s="2" t="str">
        <x:v>DOM</x:v>
      </x:c>
      <x:c r="B1705" s="2" t="str">
        <x:v>income_ppp</x:v>
      </x:c>
      <x:c r="C1705" s="2" t="n">
        <x:v>24543.3421843415</x:v>
      </x:c>
      <x:c r="D1705" s="2" t="n">
        <x:v>2025</x:v>
      </x:c>
      <x:c r="E1705" s="2" t="str">
        <x:v>WB_income_ppp</x:v>
      </x:c>
      <x:c r="F1705" s="2" t="str">
        <x:v>GDP per capita, PPP (constant 2021 international $)</x:v>
      </x:c>
    </x:row>
    <x:row r="1706" ht="44" customHeight="1">
      <x:c r="A1706" s="2" t="str">
        <x:v>DOM</x:v>
      </x:c>
      <x:c r="B1706" s="2" t="str">
        <x:v>urban</x:v>
      </x:c>
      <x:c r="C1706" s="2" t="n">
        <x:v>72.517694062591</x:v>
      </x:c>
      <x:c r="D1706" s="2" t="n">
        <x:v>2025</x:v>
      </x:c>
      <x:c r="E1706" s="2" t="str">
        <x:v>WB_urban</x:v>
      </x:c>
      <x:c r="F1706" s="2" t="str">
        <x:v>Urban population (% of total population)</x:v>
      </x:c>
    </x:row>
    <x:row r="1707" ht="44" customHeight="1">
      <x:c r="A1707" s="2" t="str">
        <x:v>DOM</x:v>
      </x:c>
      <x:c r="B1707" s="2" t="str">
        <x:v>inflation</x:v>
      </x:c>
      <x:c r="C1707" s="2" t="n">
        <x:v>3.8731176804813</x:v>
      </x:c>
      <x:c r="D1707" s="2" t="n">
        <x:v>2025</x:v>
      </x:c>
      <x:c r="E1707" s="2" t="str">
        <x:v>WB_inflation</x:v>
      </x:c>
      <x:c r="F1707" s="2" t="str">
        <x:v>Inflation, consumer prices (annual %)</x:v>
      </x:c>
    </x:row>
    <x:row r="1708" ht="44" customHeight="1">
      <x:c r="A1708" s="2" t="str">
        <x:v>DOM</x:v>
      </x:c>
      <x:c r="B1708" s="2" t="str">
        <x:v>food_index</x:v>
      </x:c>
      <x:c r="C1708" s="2" t="n">
        <x:v>127.89</x:v>
      </x:c>
      <x:c r="D1708" s="2" t="n">
        <x:v>2022</x:v>
      </x:c>
      <x:c r="E1708" s="2" t="str">
        <x:v>WB_food_index</x:v>
      </x:c>
      <x:c r="F1708" s="2" t="str">
        <x:v>Food production index (2014-2016 = 100)</x:v>
      </x:c>
    </x:row>
    <x:row r="1709" ht="44" customHeight="1">
      <x:c r="A1709" s="2" t="str">
        <x:v>DOM</x:v>
      </x:c>
      <x:c r="B1709" s="2" t="str">
        <x:v>food_import_share</x:v>
      </x:c>
      <x:c r="C1709" s="2" t="n">
        <x:v>17.2454323990587</x:v>
      </x:c>
      <x:c r="D1709" s="2" t="n">
        <x:v>2024</x:v>
      </x:c>
      <x:c r="E1709" s="2" t="str">
        <x:v>WB_food_import_share</x:v>
      </x:c>
      <x:c r="F1709" s="2" t="str">
        <x:v>Food imports (% of merchandise imports)</x:v>
      </x:c>
    </x:row>
    <x:row r="1710" ht="44" customHeight="1">
      <x:c r="A1710" s="2" t="str">
        <x:v>DOM</x:v>
      </x:c>
      <x:c r="B1710" s="2" t="str">
        <x:v>food_export_share</x:v>
      </x:c>
      <x:c r="C1710" s="2" t="n">
        <x:v>25.0082816838135</x:v>
      </x:c>
      <x:c r="D1710" s="2" t="n">
        <x:v>2024</x:v>
      </x:c>
      <x:c r="E1710" s="2" t="str">
        <x:v>WB_food_export_share</x:v>
      </x:c>
      <x:c r="F1710" s="2" t="str">
        <x:v>Food exports (% of merchandise exports)</x:v>
      </x:c>
    </x:row>
    <x:row r="1711" ht="44" customHeight="1">
      <x:c r="A1711" s="2" t="str">
        <x:v>DOM</x:v>
      </x:c>
      <x:c r="B1711" s="2" t="str">
        <x:v>imports_usd</x:v>
      </x:c>
      <x:c r="C1711" s="2" t="n">
        <x:v>29752000000</x:v>
      </x:c>
      <x:c r="D1711" s="2" t="n">
        <x:v>2025</x:v>
      </x:c>
      <x:c r="E1711" s="2" t="str">
        <x:v>WB_imports_usd</x:v>
      </x:c>
      <x:c r="F1711" s="2" t="str">
        <x:v>Merchandise imports (current US$)</x:v>
      </x:c>
    </x:row>
    <x:row r="1712" ht="44" customHeight="1">
      <x:c r="A1712" s="2" t="str">
        <x:v>DOM</x:v>
      </x:c>
      <x:c r="B1712" s="2" t="str">
        <x:v>exports_usd</x:v>
      </x:c>
      <x:c r="C1712" s="2" t="n">
        <x:v>15579000000</x:v>
      </x:c>
      <x:c r="D1712" s="2" t="n">
        <x:v>2025</x:v>
      </x:c>
      <x:c r="E1712" s="2" t="str">
        <x:v>WB_exports_usd</x:v>
      </x:c>
      <x:c r="F1712" s="2" t="str">
        <x:v>Merchandise exports (current US$)</x:v>
      </x:c>
    </x:row>
    <x:row r="1713" ht="44" customHeight="1">
      <x:c r="A1713" s="2" t="str">
        <x:v>DOM</x:v>
      </x:c>
      <x:c r="B1713" s="2" t="str">
        <x:v>cereal_yield</x:v>
      </x:c>
      <x:c r="C1713" s="2" t="n">
        <x:v>4455.4</x:v>
      </x:c>
      <x:c r="D1713" s="2" t="n">
        <x:v>2024</x:v>
      </x:c>
      <x:c r="E1713" s="2" t="str">
        <x:v>WB_cereal_yield</x:v>
      </x:c>
      <x:c r="F1713" s="2" t="str">
        <x:v>Cereal yield (kg per hectare)</x:v>
      </x:c>
    </x:row>
    <x:row r="1714" ht="44" customHeight="1">
      <x:c r="A1714" s="2" t="str">
        <x:v>DOM</x:v>
      </x:c>
      <x:c r="B1714" s="2" t="str">
        <x:v>water_stress</x:v>
      </x:c>
      <x:c r="C1714" s="2" t="n">
        <x:v>39.55331412</x:v>
      </x:c>
      <x:c r="D1714" s="2" t="n">
        <x:v>2022</x:v>
      </x:c>
      <x:c r="E1714" s="2" t="str">
        <x:v>WB_water_stress</x:v>
      </x:c>
      <x:c r="F1714" s="2" t="str">
        <x:v>Level of water stress: freshwater withdrawal as a proportion of available freshwater resources</x:v>
      </x:c>
    </x:row>
    <x:row r="1715" ht="44" customHeight="1">
      <x:c r="A1715" s="2" t="str">
        <x:v>DOM</x:v>
      </x:c>
      <x:c r="B1715" s="2" t="str">
        <x:v>fertility</x:v>
      </x:c>
      <x:c r="C1715" s="2" t="n">
        <x:v>2.222</x:v>
      </x:c>
      <x:c r="D1715" s="2" t="n">
        <x:v>2024</x:v>
      </x:c>
      <x:c r="E1715" s="2" t="str">
        <x:v>WB_fertility</x:v>
      </x:c>
      <x:c r="F1715" s="2" t="str">
        <x:v>Fertility rate, total (births per woman)</x:v>
      </x:c>
    </x:row>
    <x:row r="1716" ht="44" customHeight="1">
      <x:c r="A1716" s="2" t="str">
        <x:v>DOM</x:v>
      </x:c>
      <x:c r="B1716" s="2" t="str">
        <x:v>life_expectancy</x:v>
      </x:c>
      <x:c r="C1716" s="2" t="n">
        <x:v>73.868</x:v>
      </x:c>
      <x:c r="D1716" s="2" t="n">
        <x:v>2024</x:v>
      </x:c>
      <x:c r="E1716" s="2" t="str">
        <x:v>WB_life_expectancy</x:v>
      </x:c>
      <x:c r="F1716" s="2" t="str">
        <x:v>Life expectancy at birth, total (years)</x:v>
      </x:c>
    </x:row>
    <x:row r="1717" ht="44" customHeight="1">
      <x:c r="A1717" s="2" t="str">
        <x:v>DOM</x:v>
      </x:c>
      <x:c r="B1717" s="2" t="str">
        <x:v>age_under15</x:v>
      </x:c>
      <x:c r="C1717" s="2" t="n">
        <x:v>26.1990877642586</x:v>
      </x:c>
      <x:c r="D1717" s="2" t="n">
        <x:v>2025</x:v>
      </x:c>
      <x:c r="E1717" s="2" t="str">
        <x:v>WB_age_under15</x:v>
      </x:c>
      <x:c r="F1717" s="2" t="str">
        <x:v>Population ages 0-14 (% of total population)</x:v>
      </x:c>
    </x:row>
    <x:row r="1718" ht="44" customHeight="1">
      <x:c r="A1718" s="2" t="str">
        <x:v>DOM</x:v>
      </x:c>
      <x:c r="B1718" s="2" t="str">
        <x:v>age_over65</x:v>
      </x:c>
      <x:c r="C1718" s="2" t="n">
        <x:v>8.1878526489375</x:v>
      </x:c>
      <x:c r="D1718" s="2" t="n">
        <x:v>2025</x:v>
      </x:c>
      <x:c r="E1718" s="2" t="str">
        <x:v>WB_age_over65</x:v>
      </x:c>
      <x:c r="F1718" s="2" t="str">
        <x:v>Population ages 65 and above (% of total population)</x:v>
      </x:c>
    </x:row>
    <x:row r="1719" ht="44" customHeight="1">
      <x:c r="A1719" s="2" t="str">
        <x:v>DOM</x:v>
      </x:c>
      <x:c r="B1719" s="2" t="str">
        <x:v>dependency_ratio</x:v>
      </x:c>
      <x:c r="C1719" s="2" t="n">
        <x:v>52.4086962411681</x:v>
      </x:c>
      <x:c r="D1719" s="2" t="n">
        <x:v>2025</x:v>
      </x:c>
      <x:c r="E1719" s="2" t="str">
        <x:v>WB_dependency_ratio</x:v>
      </x:c>
      <x:c r="F1719" s="2" t="str">
        <x:v>Age dependency ratio (% of working-age population)</x:v>
      </x:c>
    </x:row>
    <x:row r="1720" ht="44" customHeight="1">
      <x:c r="A1720" s="2" t="str">
        <x:v>DOM</x:v>
      </x:c>
      <x:c r="B1720" s="2" t="str">
        <x:v>net_migration</x:v>
      </x:c>
      <x:c r="C1720" s="2" t="n">
        <x:v>-35306</x:v>
      </x:c>
      <x:c r="D1720" s="2" t="n">
        <x:v>2025</x:v>
      </x:c>
      <x:c r="E1720" s="2" t="str">
        <x:v>WB_net_migration</x:v>
      </x:c>
      <x:c r="F1720" s="2" t="str">
        <x:v>Net migration</x:v>
      </x:c>
    </x:row>
    <x:row r="1721" ht="44" customHeight="1">
      <x:c r="A1721" s="2" t="str">
        <x:v>DOM</x:v>
      </x:c>
      <x:c r="B1721" s="2" t="str">
        <x:v>real_gdp</x:v>
      </x:c>
      <x:c r="C1721" s="2" t="n">
        <x:v>106991487756.082</x:v>
      </x:c>
      <x:c r="D1721" s="2" t="n">
        <x:v>2025</x:v>
      </x:c>
      <x:c r="E1721" s="2" t="str">
        <x:v>WB_real_gdp</x:v>
      </x:c>
      <x:c r="F1721" s="2" t="str">
        <x:v>GDP (constant 2015 US$)</x:v>
      </x:c>
    </x:row>
    <x:row r="1722" ht="44" customHeight="1">
      <x:c r="A1722" s="2" t="str">
        <x:v>DOM</x:v>
      </x:c>
      <x:c r="B1722" s="2" t="str">
        <x:v>gdp_growth</x:v>
      </x:c>
      <x:c r="C1722" s="2" t="n">
        <x:v>2.11739113534632</x:v>
      </x:c>
      <x:c r="D1722" s="2" t="n">
        <x:v>2025</x:v>
      </x:c>
      <x:c r="E1722" s="2" t="str">
        <x:v>WB_gdp_growth</x:v>
      </x:c>
      <x:c r="F1722" s="2" t="str">
        <x:v>GDP growth (annual %)</x:v>
      </x:c>
    </x:row>
    <x:row r="1723" ht="44" customHeight="1">
      <x:c r="A1723" s="2" t="str">
        <x:v>DOM</x:v>
      </x:c>
      <x:c r="B1723" s="2" t="str">
        <x:v>real_income</x:v>
      </x:c>
      <x:c r="C1723" s="2" t="n">
        <x:v>9287.06293024608</x:v>
      </x:c>
      <x:c r="D1723" s="2" t="n">
        <x:v>2025</x:v>
      </x:c>
      <x:c r="E1723" s="2" t="str">
        <x:v>WB_real_income</x:v>
      </x:c>
      <x:c r="F1723" s="2" t="str">
        <x:v>GDP per capita (constant 2015 US$)</x:v>
      </x:c>
    </x:row>
    <x:row r="1724" ht="44" customHeight="1">
      <x:c r="A1724" s="2" t="str">
        <x:v>DOM</x:v>
      </x:c>
      <x:c r="B1724" s="2" t="str">
        <x:v>agriculture_gdp</x:v>
      </x:c>
      <x:c r="C1724" s="2" t="n">
        <x:v>4.6027191760655</x:v>
      </x:c>
      <x:c r="D1724" s="2" t="n">
        <x:v>2025</x:v>
      </x:c>
      <x:c r="E1724" s="2" t="str">
        <x:v>WB_agriculture_gdp</x:v>
      </x:c>
      <x:c r="F1724" s="2" t="str">
        <x:v>Agriculture, forestry, and fishing, value added (% of GDP)</x:v>
      </x:c>
    </x:row>
    <x:row r="1725" ht="44" customHeight="1">
      <x:c r="A1725" s="2" t="str">
        <x:v>DOM</x:v>
      </x:c>
      <x:c r="B1725" s="2" t="str">
        <x:v>poverty</x:v>
      </x:c>
      <x:c r="C1725" s="2" t="n">
        <x:v>0.8</x:v>
      </x:c>
      <x:c r="D1725" s="2" t="n">
        <x:v>2024</x:v>
      </x:c>
      <x:c r="E1725" s="2" t="str">
        <x:v>WB_poverty</x:v>
      </x:c>
      <x:c r="F1725" s="2" t="str">
        <x:v>Poverty headcount ratio at $3.00 a day (2021 PPP) (% of population)</x:v>
      </x:c>
    </x:row>
    <x:row r="1726" ht="44" customHeight="1">
      <x:c r="A1726" s="2" t="str">
        <x:v>DOM</x:v>
      </x:c>
      <x:c r="B1726" s="2" t="str">
        <x:v>gini</x:v>
      </x:c>
      <x:c r="C1726" s="2" t="n">
        <x:v>39</x:v>
      </x:c>
      <x:c r="D1726" s="2" t="n">
        <x:v>2024</x:v>
      </x:c>
      <x:c r="E1726" s="2" t="str">
        <x:v>WB_gini</x:v>
      </x:c>
      <x:c r="F1726" s="2" t="str">
        <x:v>Gini index</x:v>
      </x:c>
    </x:row>
    <x:row r="1727" ht="44" customHeight="1">
      <x:c r="A1727" s="2" t="str">
        <x:v>DOM</x:v>
      </x:c>
      <x:c r="B1727" s="2" t="str">
        <x:v>unemployment</x:v>
      </x:c>
      <x:c r="C1727" s="2" t="n">
        <x:v>5.092</x:v>
      </x:c>
      <x:c r="D1727" s="2" t="n">
        <x:v>2025</x:v>
      </x:c>
      <x:c r="E1727" s="2" t="str">
        <x:v>WB_unemployment</x:v>
      </x:c>
      <x:c r="F1727" s="2" t="str">
        <x:v>Unemployment, total (% of total labor force) (modeled ILO estimate)</x:v>
      </x:c>
    </x:row>
    <x:row r="1728" ht="44" customHeight="1">
      <x:c r="A1728" s="2" t="str">
        <x:v>DOM</x:v>
      </x:c>
      <x:c r="B1728" s="2" t="str">
        <x:v>private_credit</x:v>
      </x:c>
      <x:c r="C1728" s="2" t="n">
        <x:v>32.8494013968757</x:v>
      </x:c>
      <x:c r="D1728" s="2" t="n">
        <x:v>2025</x:v>
      </x:c>
      <x:c r="E1728" s="2" t="str">
        <x:v>WB_private_credit</x:v>
      </x:c>
      <x:c r="F1728" s="2" t="str">
        <x:v>Domestic credit to private sector (% of GDP)</x:v>
      </x:c>
    </x:row>
    <x:row r="1729" ht="44" customHeight="1">
      <x:c r="A1729" s="2" t="str">
        <x:v>DOM</x:v>
      </x:c>
      <x:c r="B1729" s="2" t="str">
        <x:v>lending_rate</x:v>
      </x:c>
      <x:c r="C1729" s="2" t="n">
        <x:v>15.2531</x:v>
      </x:c>
      <x:c r="D1729" s="2" t="n">
        <x:v>2024</x:v>
      </x:c>
      <x:c r="E1729" s="2" t="str">
        <x:v>WB_lending_rate</x:v>
      </x:c>
      <x:c r="F1729" s="2" t="str">
        <x:v>Lending interest rate (%)</x:v>
      </x:c>
    </x:row>
    <x:row r="1730" ht="44" customHeight="1">
      <x:c r="A1730" s="2" t="str">
        <x:v>DOM</x:v>
      </x:c>
      <x:c r="B1730" s="2" t="str">
        <x:v>real_interest</x:v>
      </x:c>
      <x:c r="C1730" s="2" t="n">
        <x:v>10.5315509404639</x:v>
      </x:c>
      <x:c r="D1730" s="2" t="n">
        <x:v>2024</x:v>
      </x:c>
      <x:c r="E1730" s="2" t="str">
        <x:v>WB_real_interest</x:v>
      </x:c>
      <x:c r="F1730" s="2" t="str">
        <x:v>Real interest rate (%)</x:v>
      </x:c>
    </x:row>
    <x:row r="1731" ht="44" customHeight="1">
      <x:c r="A1731" s="2" t="str">
        <x:v>DOM</x:v>
      </x:c>
      <x:c r="B1731" s="2" t="str">
        <x:v>government_debt</x:v>
      </x:c>
      <x:c r="C1731" s="2"/>
      <x:c r="D1731" s="2"/>
      <x:c r="E1731" s="2" t="str">
        <x:v>Missing</x:v>
      </x:c>
      <x:c r="F1731" s="2" t="str">
        <x:v>Central government debt, total (% of GDP)</x:v>
      </x:c>
    </x:row>
    <x:row r="1732" ht="44" customHeight="1">
      <x:c r="A1732" s="2" t="str">
        <x:v>DOM</x:v>
      </x:c>
      <x:c r="B1732" s="2" t="str">
        <x:v>electricity_access</x:v>
      </x:c>
      <x:c r="C1732" s="2" t="n">
        <x:v>99.5</x:v>
      </x:c>
      <x:c r="D1732" s="2" t="n">
        <x:v>2024</x:v>
      </x:c>
      <x:c r="E1732" s="2" t="str">
        <x:v>WB_electricity_access</x:v>
      </x:c>
      <x:c r="F1732" s="2" t="str">
        <x:v>Access to electricity (% of population)</x:v>
      </x:c>
    </x:row>
    <x:row r="1733" ht="44" customHeight="1">
      <x:c r="A1733" s="2" t="str">
        <x:v>DOM</x:v>
      </x:c>
      <x:c r="B1733" s="2" t="str">
        <x:v>irrigated_land</x:v>
      </x:c>
      <x:c r="C1733" s="2" t="n">
        <x:v>11.1697966898345</x:v>
      </x:c>
      <x:c r="D1733" s="2" t="n">
        <x:v>2023</x:v>
      </x:c>
      <x:c r="E1733" s="2" t="str">
        <x:v>WB_irrigated_land</x:v>
      </x:c>
      <x:c r="F1733" s="2" t="str">
        <x:v>Agricultural irrigated land (% of total agricultural land)</x:v>
      </x:c>
    </x:row>
    <x:row r="1734" ht="44" customHeight="1">
      <x:c r="A1734" s="2" t="str">
        <x:v>DOM</x:v>
      </x:c>
      <x:c r="B1734" s="2" t="str">
        <x:v>cereal_area</x:v>
      </x:c>
      <x:c r="C1734" s="2" t="n">
        <x:v>235617</x:v>
      </x:c>
      <x:c r="D1734" s="2" t="n">
        <x:v>2024</x:v>
      </x:c>
      <x:c r="E1734" s="2" t="str">
        <x:v>WB_cereal_area</x:v>
      </x:c>
      <x:c r="F1734" s="2" t="str">
        <x:v>Land under cereal production (hectares)</x:v>
      </x:c>
    </x:row>
    <x:row r="1735" ht="44" customHeight="1">
      <x:c r="A1735" s="2" t="str">
        <x:v>DOM</x:v>
      </x:c>
      <x:c r="B1735" s="2" t="str">
        <x:v>undernourishment</x:v>
      </x:c>
      <x:c r="C1735" s="2" t="n">
        <x:v>3.6</x:v>
      </x:c>
      <x:c r="D1735" s="2" t="n">
        <x:v>2023</x:v>
      </x:c>
      <x:c r="E1735" s="2" t="str">
        <x:v>WB_undernourishment</x:v>
      </x:c>
      <x:c r="F1735" s="2" t="str">
        <x:v>Prevalence of undernourishment (% of population)</x:v>
      </x:c>
    </x:row>
    <x:row r="1736" ht="44" customHeight="1">
      <x:c r="A1736" s="2" t="str">
        <x:v>DOM</x:v>
      </x:c>
      <x:c r="B1736" s="2" t="str">
        <x:v>agriculture_employment</x:v>
      </x:c>
      <x:c r="C1736" s="2" t="n">
        <x:v>7.00888333168325</x:v>
      </x:c>
      <x:c r="D1736" s="2" t="n">
        <x:v>2025</x:v>
      </x:c>
      <x:c r="E1736" s="2" t="str">
        <x:v>WB_agriculture_employment</x:v>
      </x:c>
      <x:c r="F1736" s="2" t="str">
        <x:v>Employment in agriculture (% of total employment) (modeled ILO estimate)</x:v>
      </x:c>
    </x:row>
    <x:row r="1737" ht="44" customHeight="1">
      <x:c r="A1737" s="2" t="str">
        <x:v>DOM</x:v>
      </x:c>
      <x:c r="B1737" s="2" t="str">
        <x:v>water_withdrawal</x:v>
      </x:c>
      <x:c r="C1737" s="2" t="n">
        <x:v>30.3702127659574</x:v>
      </x:c>
      <x:c r="D1737" s="2" t="n">
        <x:v>2022</x:v>
      </x:c>
      <x:c r="E1737" s="2" t="str">
        <x:v>WB_water_withdrawal</x:v>
      </x:c>
      <x:c r="F1737" s="2" t="str">
        <x:v>Annual freshwater withdrawals, total (% of internal resources)</x:v>
      </x:c>
    </x:row>
    <x:row r="1738" ht="44" customHeight="1">
      <x:c r="A1738" s="2" t="str">
        <x:v>ECU</x:v>
      </x:c>
      <x:c r="B1738" s="2" t="str">
        <x:v>population</x:v>
      </x:c>
      <x:c r="C1738" s="2" t="n">
        <x:v>18289896</x:v>
      </x:c>
      <x:c r="D1738" s="2" t="n">
        <x:v>2025</x:v>
      </x:c>
      <x:c r="E1738" s="2" t="str">
        <x:v>WB_population</x:v>
      </x:c>
      <x:c r="F1738" s="2" t="str">
        <x:v>Population, total</x:v>
      </x:c>
    </x:row>
    <x:row r="1739" ht="44" customHeight="1">
      <x:c r="A1739" s="2" t="str">
        <x:v>ECU</x:v>
      </x:c>
      <x:c r="B1739" s="2" t="str">
        <x:v>income_ppp</x:v>
      </x:c>
      <x:c r="C1739" s="2" t="n">
        <x:v>14319.2406558299</x:v>
      </x:c>
      <x:c r="D1739" s="2" t="n">
        <x:v>2025</x:v>
      </x:c>
      <x:c r="E1739" s="2" t="str">
        <x:v>WB_income_ppp</x:v>
      </x:c>
      <x:c r="F1739" s="2" t="str">
        <x:v>GDP per capita, PPP (constant 2021 international $)</x:v>
      </x:c>
    </x:row>
    <x:row r="1740" ht="44" customHeight="1">
      <x:c r="A1740" s="2" t="str">
        <x:v>ECU</x:v>
      </x:c>
      <x:c r="B1740" s="2" t="str">
        <x:v>urban</x:v>
      </x:c>
      <x:c r="C1740" s="2" t="n">
        <x:v>63.3918189058262</x:v>
      </x:c>
      <x:c r="D1740" s="2" t="n">
        <x:v>2025</x:v>
      </x:c>
      <x:c r="E1740" s="2" t="str">
        <x:v>WB_urban</x:v>
      </x:c>
      <x:c r="F1740" s="2" t="str">
        <x:v>Urban population (% of total population)</x:v>
      </x:c>
    </x:row>
    <x:row r="1741" ht="44" customHeight="1">
      <x:c r="A1741" s="2" t="str">
        <x:v>ECU</x:v>
      </x:c>
      <x:c r="B1741" s="2" t="str">
        <x:v>inflation</x:v>
      </x:c>
      <x:c r="C1741" s="2" t="n">
        <x:v>0.710469324989076</x:v>
      </x:c>
      <x:c r="D1741" s="2" t="n">
        <x:v>2025</x:v>
      </x:c>
      <x:c r="E1741" s="2" t="str">
        <x:v>WB_inflation</x:v>
      </x:c>
      <x:c r="F1741" s="2" t="str">
        <x:v>Inflation, consumer prices (annual %)</x:v>
      </x:c>
    </x:row>
    <x:row r="1742" ht="44" customHeight="1">
      <x:c r="A1742" s="2" t="str">
        <x:v>ECU</x:v>
      </x:c>
      <x:c r="B1742" s="2" t="str">
        <x:v>food_index</x:v>
      </x:c>
      <x:c r="C1742" s="2" t="n">
        <x:v>98.86</x:v>
      </x:c>
      <x:c r="D1742" s="2" t="n">
        <x:v>2022</x:v>
      </x:c>
      <x:c r="E1742" s="2" t="str">
        <x:v>WB_food_index</x:v>
      </x:c>
      <x:c r="F1742" s="2" t="str">
        <x:v>Food production index (2014-2016 = 100)</x:v>
      </x:c>
    </x:row>
    <x:row r="1743" ht="44" customHeight="1">
      <x:c r="A1743" s="2" t="str">
        <x:v>ECU</x:v>
      </x:c>
      <x:c r="B1743" s="2" t="str">
        <x:v>food_import_share</x:v>
      </x:c>
      <x:c r="C1743" s="2" t="n">
        <x:v>12.2264908609577</x:v>
      </x:c>
      <x:c r="D1743" s="2" t="n">
        <x:v>2024</x:v>
      </x:c>
      <x:c r="E1743" s="2" t="str">
        <x:v>WB_food_import_share</x:v>
      </x:c>
      <x:c r="F1743" s="2" t="str">
        <x:v>Food imports (% of merchandise imports)</x:v>
      </x:c>
    </x:row>
    <x:row r="1744" ht="44" customHeight="1">
      <x:c r="A1744" s="2" t="str">
        <x:v>ECU</x:v>
      </x:c>
      <x:c r="B1744" s="2" t="str">
        <x:v>food_export_share</x:v>
      </x:c>
      <x:c r="C1744" s="2" t="n">
        <x:v>53.7052898707519</x:v>
      </x:c>
      <x:c r="D1744" s="2" t="n">
        <x:v>2024</x:v>
      </x:c>
      <x:c r="E1744" s="2" t="str">
        <x:v>WB_food_export_share</x:v>
      </x:c>
      <x:c r="F1744" s="2" t="str">
        <x:v>Food exports (% of merchandise exports)</x:v>
      </x:c>
    </x:row>
    <x:row r="1745" ht="44" customHeight="1">
      <x:c r="A1745" s="2" t="str">
        <x:v>ECU</x:v>
      </x:c>
      <x:c r="B1745" s="2" t="str">
        <x:v>imports_usd</x:v>
      </x:c>
      <x:c r="C1745" s="2" t="n">
        <x:v>32648000000</x:v>
      </x:c>
      <x:c r="D1745" s="2" t="n">
        <x:v>2025</x:v>
      </x:c>
      <x:c r="E1745" s="2" t="str">
        <x:v>WB_imports_usd</x:v>
      </x:c>
      <x:c r="F1745" s="2" t="str">
        <x:v>Merchandise imports (current US$)</x:v>
      </x:c>
    </x:row>
    <x:row r="1746" ht="44" customHeight="1">
      <x:c r="A1746" s="2" t="str">
        <x:v>ECU</x:v>
      </x:c>
      <x:c r="B1746" s="2" t="str">
        <x:v>exports_usd</x:v>
      </x:c>
      <x:c r="C1746" s="2" t="n">
        <x:v>37152000000</x:v>
      </x:c>
      <x:c r="D1746" s="2" t="n">
        <x:v>2025</x:v>
      </x:c>
      <x:c r="E1746" s="2" t="str">
        <x:v>WB_exports_usd</x:v>
      </x:c>
      <x:c r="F1746" s="2" t="str">
        <x:v>Merchandise exports (current US$)</x:v>
      </x:c>
    </x:row>
    <x:row r="1747" ht="44" customHeight="1">
      <x:c r="A1747" s="2" t="str">
        <x:v>ECU</x:v>
      </x:c>
      <x:c r="B1747" s="2" t="str">
        <x:v>cereal_yield</x:v>
      </x:c>
      <x:c r="C1747" s="2" t="n">
        <x:v>4006.7</x:v>
      </x:c>
      <x:c r="D1747" s="2" t="n">
        <x:v>2024</x:v>
      </x:c>
      <x:c r="E1747" s="2" t="str">
        <x:v>WB_cereal_yield</x:v>
      </x:c>
      <x:c r="F1747" s="2" t="str">
        <x:v>Cereal yield (kg per hectare)</x:v>
      </x:c>
    </x:row>
    <x:row r="1748" ht="44" customHeight="1">
      <x:c r="A1748" s="2" t="str">
        <x:v>ECU</x:v>
      </x:c>
      <x:c r="B1748" s="2" t="str">
        <x:v>water_stress</x:v>
      </x:c>
      <x:c r="C1748" s="2" t="n">
        <x:v>6.782352941</x:v>
      </x:c>
      <x:c r="D1748" s="2" t="n">
        <x:v>2022</x:v>
      </x:c>
      <x:c r="E1748" s="2" t="str">
        <x:v>WB_water_stress</x:v>
      </x:c>
      <x:c r="F1748" s="2" t="str">
        <x:v>Level of water stress: freshwater withdrawal as a proportion of available freshwater resources</x:v>
      </x:c>
    </x:row>
    <x:row r="1749" ht="44" customHeight="1">
      <x:c r="A1749" s="2" t="str">
        <x:v>ECU</x:v>
      </x:c>
      <x:c r="B1749" s="2" t="str">
        <x:v>fertility</x:v>
      </x:c>
      <x:c r="C1749" s="2" t="n">
        <x:v>1.806</x:v>
      </x:c>
      <x:c r="D1749" s="2" t="n">
        <x:v>2024</x:v>
      </x:c>
      <x:c r="E1749" s="2" t="str">
        <x:v>WB_fertility</x:v>
      </x:c>
      <x:c r="F1749" s="2" t="str">
        <x:v>Fertility rate, total (births per woman)</x:v>
      </x:c>
    </x:row>
    <x:row r="1750" ht="44" customHeight="1">
      <x:c r="A1750" s="2" t="str">
        <x:v>ECU</x:v>
      </x:c>
      <x:c r="B1750" s="2" t="str">
        <x:v>life_expectancy</x:v>
      </x:c>
      <x:c r="C1750" s="2" t="n">
        <x:v>77.579</x:v>
      </x:c>
      <x:c r="D1750" s="2" t="n">
        <x:v>2024</x:v>
      </x:c>
      <x:c r="E1750" s="2" t="str">
        <x:v>WB_life_expectancy</x:v>
      </x:c>
      <x:c r="F1750" s="2" t="str">
        <x:v>Life expectancy at birth, total (years)</x:v>
      </x:c>
    </x:row>
    <x:row r="1751" ht="44" customHeight="1">
      <x:c r="A1751" s="2" t="str">
        <x:v>ECU</x:v>
      </x:c>
      <x:c r="B1751" s="2" t="str">
        <x:v>age_under15</x:v>
      </x:c>
      <x:c r="C1751" s="2" t="n">
        <x:v>23.8989740564955</x:v>
      </x:c>
      <x:c r="D1751" s="2" t="n">
        <x:v>2025</x:v>
      </x:c>
      <x:c r="E1751" s="2" t="str">
        <x:v>WB_age_under15</x:v>
      </x:c>
      <x:c r="F1751" s="2" t="str">
        <x:v>Population ages 0-14 (% of total population)</x:v>
      </x:c>
    </x:row>
    <x:row r="1752" ht="44" customHeight="1">
      <x:c r="A1752" s="2" t="str">
        <x:v>ECU</x:v>
      </x:c>
      <x:c r="B1752" s="2" t="str">
        <x:v>age_over65</x:v>
      </x:c>
      <x:c r="C1752" s="2" t="n">
        <x:v>8.59643215029763</x:v>
      </x:c>
      <x:c r="D1752" s="2" t="n">
        <x:v>2025</x:v>
      </x:c>
      <x:c r="E1752" s="2" t="str">
        <x:v>WB_age_over65</x:v>
      </x:c>
      <x:c r="F1752" s="2" t="str">
        <x:v>Population ages 65 and above (% of total population)</x:v>
      </x:c>
    </x:row>
    <x:row r="1753" ht="44" customHeight="1">
      <x:c r="A1753" s="2" t="str">
        <x:v>ECU</x:v>
      </x:c>
      <x:c r="B1753" s="2" t="str">
        <x:v>dependency_ratio</x:v>
      </x:c>
      <x:c r="C1753" s="2" t="n">
        <x:v>48.1380745343627</x:v>
      </x:c>
      <x:c r="D1753" s="2" t="n">
        <x:v>2025</x:v>
      </x:c>
      <x:c r="E1753" s="2" t="str">
        <x:v>WB_dependency_ratio</x:v>
      </x:c>
      <x:c r="F1753" s="2" t="str">
        <x:v>Age dependency ratio (% of working-age population)</x:v>
      </x:c>
    </x:row>
    <x:row r="1754" ht="44" customHeight="1">
      <x:c r="A1754" s="2" t="str">
        <x:v>ECU</x:v>
      </x:c>
      <x:c r="B1754" s="2" t="str">
        <x:v>net_migration</x:v>
      </x:c>
      <x:c r="C1754" s="2" t="n">
        <x:v>-17219</x:v>
      </x:c>
      <x:c r="D1754" s="2" t="n">
        <x:v>2025</x:v>
      </x:c>
      <x:c r="E1754" s="2" t="str">
        <x:v>WB_net_migration</x:v>
      </x:c>
      <x:c r="F1754" s="2" t="str">
        <x:v>Net migration</x:v>
      </x:c>
    </x:row>
    <x:row r="1755" ht="44" customHeight="1">
      <x:c r="A1755" s="2" t="str">
        <x:v>ECU</x:v>
      </x:c>
      <x:c r="B1755" s="2" t="str">
        <x:v>real_gdp</x:v>
      </x:c>
      <x:c r="C1755" s="2" t="n">
        <x:v>112749552668.283</x:v>
      </x:c>
      <x:c r="D1755" s="2" t="n">
        <x:v>2025</x:v>
      </x:c>
      <x:c r="E1755" s="2" t="str">
        <x:v>WB_real_gdp</x:v>
      </x:c>
      <x:c r="F1755" s="2" t="str">
        <x:v>GDP (constant 2015 US$)</x:v>
      </x:c>
    </x:row>
    <x:row r="1756" ht="44" customHeight="1">
      <x:c r="A1756" s="2" t="str">
        <x:v>ECU</x:v>
      </x:c>
      <x:c r="B1756" s="2" t="str">
        <x:v>gdp_growth</x:v>
      </x:c>
      <x:c r="C1756" s="2" t="n">
        <x:v>3.72594857272087</x:v>
      </x:c>
      <x:c r="D1756" s="2" t="n">
        <x:v>2025</x:v>
      </x:c>
      <x:c r="E1756" s="2" t="str">
        <x:v>WB_gdp_growth</x:v>
      </x:c>
      <x:c r="F1756" s="2" t="str">
        <x:v>GDP growth (annual %)</x:v>
      </x:c>
    </x:row>
    <x:row r="1757" ht="44" customHeight="1">
      <x:c r="A1757" s="2" t="str">
        <x:v>ECU</x:v>
      </x:c>
      <x:c r="B1757" s="2" t="str">
        <x:v>real_income</x:v>
      </x:c>
      <x:c r="C1757" s="2" t="n">
        <x:v>6164.58139883809</x:v>
      </x:c>
      <x:c r="D1757" s="2" t="n">
        <x:v>2025</x:v>
      </x:c>
      <x:c r="E1757" s="2" t="str">
        <x:v>WB_real_income</x:v>
      </x:c>
      <x:c r="F1757" s="2" t="str">
        <x:v>GDP per capita (constant 2015 US$)</x:v>
      </x:c>
    </x:row>
    <x:row r="1758" ht="44" customHeight="1">
      <x:c r="A1758" s="2" t="str">
        <x:v>ECU</x:v>
      </x:c>
      <x:c r="B1758" s="2" t="str">
        <x:v>agriculture_gdp</x:v>
      </x:c>
      <x:c r="C1758" s="2" t="n">
        <x:v>9.70295482246867</x:v>
      </x:c>
      <x:c r="D1758" s="2" t="n">
        <x:v>2025</x:v>
      </x:c>
      <x:c r="E1758" s="2" t="str">
        <x:v>WB_agriculture_gdp</x:v>
      </x:c>
      <x:c r="F1758" s="2" t="str">
        <x:v>Agriculture, forestry, and fishing, value added (% of GDP)</x:v>
      </x:c>
    </x:row>
    <x:row r="1759" ht="44" customHeight="1">
      <x:c r="A1759" s="2" t="str">
        <x:v>ECU</x:v>
      </x:c>
      <x:c r="B1759" s="2" t="str">
        <x:v>poverty</x:v>
      </x:c>
      <x:c r="C1759" s="2" t="n">
        <x:v>3.4</x:v>
      </x:c>
      <x:c r="D1759" s="2" t="n">
        <x:v>2025</x:v>
      </x:c>
      <x:c r="E1759" s="2" t="str">
        <x:v>WB_poverty</x:v>
      </x:c>
      <x:c r="F1759" s="2" t="str">
        <x:v>Poverty headcount ratio at $3.00 a day (2021 PPP) (% of population)</x:v>
      </x:c>
    </x:row>
    <x:row r="1760" ht="44" customHeight="1">
      <x:c r="A1760" s="2" t="str">
        <x:v>ECU</x:v>
      </x:c>
      <x:c r="B1760" s="2" t="str">
        <x:v>gini</x:v>
      </x:c>
      <x:c r="C1760" s="2" t="n">
        <x:v>45.9</x:v>
      </x:c>
      <x:c r="D1760" s="2" t="n">
        <x:v>2025</x:v>
      </x:c>
      <x:c r="E1760" s="2" t="str">
        <x:v>WB_gini</x:v>
      </x:c>
      <x:c r="F1760" s="2" t="str">
        <x:v>Gini index</x:v>
      </x:c>
    </x:row>
    <x:row r="1761" ht="44" customHeight="1">
      <x:c r="A1761" s="2" t="str">
        <x:v>ECU</x:v>
      </x:c>
      <x:c r="B1761" s="2" t="str">
        <x:v>unemployment</x:v>
      </x:c>
      <x:c r="C1761" s="2" t="n">
        <x:v>3.308</x:v>
      </x:c>
      <x:c r="D1761" s="2" t="n">
        <x:v>2025</x:v>
      </x:c>
      <x:c r="E1761" s="2" t="str">
        <x:v>WB_unemployment</x:v>
      </x:c>
      <x:c r="F1761" s="2" t="str">
        <x:v>Unemployment, total (% of total labor force) (modeled ILO estimate)</x:v>
      </x:c>
    </x:row>
    <x:row r="1762" ht="44" customHeight="1">
      <x:c r="A1762" s="2" t="str">
        <x:v>ECU</x:v>
      </x:c>
      <x:c r="B1762" s="2" t="str">
        <x:v>private_credit</x:v>
      </x:c>
      <x:c r="C1762" s="2" t="n">
        <x:v>58.8742627097159</x:v>
      </x:c>
      <x:c r="D1762" s="2" t="n">
        <x:v>2025</x:v>
      </x:c>
      <x:c r="E1762" s="2" t="str">
        <x:v>WB_private_credit</x:v>
      </x:c>
      <x:c r="F1762" s="2" t="str">
        <x:v>Domestic credit to private sector (% of GDP)</x:v>
      </x:c>
    </x:row>
    <x:row r="1763" ht="44" customHeight="1">
      <x:c r="A1763" s="2" t="str">
        <x:v>ECU</x:v>
      </x:c>
      <x:c r="B1763" s="2" t="str">
        <x:v>lending_rate</x:v>
      </x:c>
      <x:c r="C1763" s="2"/>
      <x:c r="D1763" s="2"/>
      <x:c r="E1763" s="2" t="str">
        <x:v>Missing</x:v>
      </x:c>
      <x:c r="F1763" s="2" t="str">
        <x:v>Lending interest rate (%)</x:v>
      </x:c>
    </x:row>
    <x:row r="1764" ht="44" customHeight="1">
      <x:c r="A1764" s="2" t="str">
        <x:v>ECU</x:v>
      </x:c>
      <x:c r="B1764" s="2" t="str">
        <x:v>real_interest</x:v>
      </x:c>
      <x:c r="C1764" s="2"/>
      <x:c r="D1764" s="2"/>
      <x:c r="E1764" s="2" t="str">
        <x:v>Missing</x:v>
      </x:c>
      <x:c r="F1764" s="2" t="str">
        <x:v>Real interest rate (%)</x:v>
      </x:c>
    </x:row>
    <x:row r="1765" ht="44" customHeight="1">
      <x:c r="A1765" s="2" t="str">
        <x:v>ECU</x:v>
      </x:c>
      <x:c r="B1765" s="2" t="str">
        <x:v>government_debt</x:v>
      </x:c>
      <x:c r="C1765" s="2"/>
      <x:c r="D1765" s="2"/>
      <x:c r="E1765" s="2" t="str">
        <x:v>Missing</x:v>
      </x:c>
      <x:c r="F1765" s="2" t="str">
        <x:v>Central government debt, total (% of GDP)</x:v>
      </x:c>
    </x:row>
    <x:row r="1766" ht="44" customHeight="1">
      <x:c r="A1766" s="2" t="str">
        <x:v>ECU</x:v>
      </x:c>
      <x:c r="B1766" s="2" t="str">
        <x:v>electricity_access</x:v>
      </x:c>
      <x:c r="C1766" s="2" t="n">
        <x:v>98.5</x:v>
      </x:c>
      <x:c r="D1766" s="2" t="n">
        <x:v>2024</x:v>
      </x:c>
      <x:c r="E1766" s="2" t="str">
        <x:v>WB_electricity_access</x:v>
      </x:c>
      <x:c r="F1766" s="2" t="str">
        <x:v>Access to electricity (% of population)</x:v>
      </x:c>
    </x:row>
    <x:row r="1767" ht="44" customHeight="1">
      <x:c r="A1767" s="2" t="str">
        <x:v>ECU</x:v>
      </x:c>
      <x:c r="B1767" s="2" t="str">
        <x:v>irrigated_land</x:v>
      </x:c>
      <x:c r="C1767" s="2" t="n">
        <x:v>21.1214953271028</x:v>
      </x:c>
      <x:c r="D1767" s="2" t="n">
        <x:v>2023</x:v>
      </x:c>
      <x:c r="E1767" s="2" t="str">
        <x:v>WB_irrigated_land</x:v>
      </x:c>
      <x:c r="F1767" s="2" t="str">
        <x:v>Agricultural irrigated land (% of total agricultural land)</x:v>
      </x:c>
    </x:row>
    <x:row r="1768" ht="44" customHeight="1">
      <x:c r="A1768" s="2" t="str">
        <x:v>ECU</x:v>
      </x:c>
      <x:c r="B1768" s="2" t="str">
        <x:v>cereal_area</x:v>
      </x:c>
      <x:c r="C1768" s="2" t="n">
        <x:v>696223</x:v>
      </x:c>
      <x:c r="D1768" s="2" t="n">
        <x:v>2024</x:v>
      </x:c>
      <x:c r="E1768" s="2" t="str">
        <x:v>WB_cereal_area</x:v>
      </x:c>
      <x:c r="F1768" s="2" t="str">
        <x:v>Land under cereal production (hectares)</x:v>
      </x:c>
    </x:row>
    <x:row r="1769" ht="44" customHeight="1">
      <x:c r="A1769" s="2" t="str">
        <x:v>ECU</x:v>
      </x:c>
      <x:c r="B1769" s="2" t="str">
        <x:v>undernourishment</x:v>
      </x:c>
      <x:c r="C1769" s="2" t="n">
        <x:v>12.1</x:v>
      </x:c>
      <x:c r="D1769" s="2" t="n">
        <x:v>2023</x:v>
      </x:c>
      <x:c r="E1769" s="2" t="str">
        <x:v>WB_undernourishment</x:v>
      </x:c>
      <x:c r="F1769" s="2" t="str">
        <x:v>Prevalence of undernourishment (% of population)</x:v>
      </x:c>
    </x:row>
    <x:row r="1770" ht="44" customHeight="1">
      <x:c r="A1770" s="2" t="str">
        <x:v>ECU</x:v>
      </x:c>
      <x:c r="B1770" s="2" t="str">
        <x:v>agriculture_employment</x:v>
      </x:c>
      <x:c r="C1770" s="2" t="n">
        <x:v>32.4812231898717</x:v>
      </x:c>
      <x:c r="D1770" s="2" t="n">
        <x:v>2025</x:v>
      </x:c>
      <x:c r="E1770" s="2" t="str">
        <x:v>WB_agriculture_employment</x:v>
      </x:c>
      <x:c r="F1770" s="2" t="str">
        <x:v>Employment in agriculture (% of total employment) (modeled ILO estimate)</x:v>
      </x:c>
    </x:row>
    <x:row r="1771" ht="44" customHeight="1">
      <x:c r="A1771" s="2" t="str">
        <x:v>ECU</x:v>
      </x:c>
      <x:c r="B1771" s="2" t="str">
        <x:v>water_withdrawal</x:v>
      </x:c>
      <x:c r="C1771" s="2" t="n">
        <x:v>2.24136528028933</x:v>
      </x:c>
      <x:c r="D1771" s="2" t="n">
        <x:v>2022</x:v>
      </x:c>
      <x:c r="E1771" s="2" t="str">
        <x:v>WB_water_withdrawal</x:v>
      </x:c>
      <x:c r="F1771" s="2" t="str">
        <x:v>Annual freshwater withdrawals, total (% of internal resources)</x:v>
      </x:c>
    </x:row>
    <x:row r="1772" ht="44" customHeight="1">
      <x:c r="A1772" s="2" t="str">
        <x:v>EGY</x:v>
      </x:c>
      <x:c r="B1772" s="2" t="str">
        <x:v>population</x:v>
      </x:c>
      <x:c r="C1772" s="2" t="n">
        <x:v>118365995</x:v>
      </x:c>
      <x:c r="D1772" s="2" t="n">
        <x:v>2025</x:v>
      </x:c>
      <x:c r="E1772" s="2" t="str">
        <x:v>WB_population</x:v>
      </x:c>
      <x:c r="F1772" s="2" t="str">
        <x:v>Population, total</x:v>
      </x:c>
    </x:row>
    <x:row r="1773" ht="44" customHeight="1">
      <x:c r="A1773" s="2" t="str">
        <x:v>EGY</x:v>
      </x:c>
      <x:c r="B1773" s="2" t="str">
        <x:v>income_ppp</x:v>
      </x:c>
      <x:c r="C1773" s="2" t="n">
        <x:v>17265.1488604617</x:v>
      </x:c>
      <x:c r="D1773" s="2" t="n">
        <x:v>2025</x:v>
      </x:c>
      <x:c r="E1773" s="2" t="str">
        <x:v>WB_income_ppp</x:v>
      </x:c>
      <x:c r="F1773" s="2" t="str">
        <x:v>GDP per capita, PPP (constant 2021 international $)</x:v>
      </x:c>
    </x:row>
    <x:row r="1774" ht="44" customHeight="1">
      <x:c r="A1774" s="2" t="str">
        <x:v>EGY</x:v>
      </x:c>
      <x:c r="B1774" s="2" t="str">
        <x:v>urban</x:v>
      </x:c>
      <x:c r="C1774" s="2" t="n">
        <x:v>42.9043204925248</x:v>
      </x:c>
      <x:c r="D1774" s="2" t="n">
        <x:v>2025</x:v>
      </x:c>
      <x:c r="E1774" s="2" t="str">
        <x:v>WB_urban</x:v>
      </x:c>
      <x:c r="F1774" s="2" t="str">
        <x:v>Urban population (% of total population)</x:v>
      </x:c>
    </x:row>
    <x:row r="1775" ht="44" customHeight="1">
      <x:c r="A1775" s="2" t="str">
        <x:v>EGY</x:v>
      </x:c>
      <x:c r="B1775" s="2" t="str">
        <x:v>inflation</x:v>
      </x:c>
      <x:c r="C1775" s="2" t="n">
        <x:v>14.0735136645934</x:v>
      </x:c>
      <x:c r="D1775" s="2" t="n">
        <x:v>2025</x:v>
      </x:c>
      <x:c r="E1775" s="2" t="str">
        <x:v>WB_inflation</x:v>
      </x:c>
      <x:c r="F1775" s="2" t="str">
        <x:v>Inflation, consumer prices (annual %)</x:v>
      </x:c>
    </x:row>
    <x:row r="1776" ht="44" customHeight="1">
      <x:c r="A1776" s="2" t="str">
        <x:v>EGY</x:v>
      </x:c>
      <x:c r="B1776" s="2" t="str">
        <x:v>food_index</x:v>
      </x:c>
      <x:c r="C1776" s="2" t="n">
        <x:v>109.07</x:v>
      </x:c>
      <x:c r="D1776" s="2" t="n">
        <x:v>2022</x:v>
      </x:c>
      <x:c r="E1776" s="2" t="str">
        <x:v>WB_food_index</x:v>
      </x:c>
      <x:c r="F1776" s="2" t="str">
        <x:v>Food production index (2014-2016 = 100)</x:v>
      </x:c>
    </x:row>
    <x:row r="1777" ht="44" customHeight="1">
      <x:c r="A1777" s="2" t="str">
        <x:v>EGY</x:v>
      </x:c>
      <x:c r="B1777" s="2" t="str">
        <x:v>food_import_share</x:v>
      </x:c>
      <x:c r="C1777" s="2" t="n">
        <x:v>20.4434848356971</x:v>
      </x:c>
      <x:c r="D1777" s="2" t="n">
        <x:v>2024</x:v>
      </x:c>
      <x:c r="E1777" s="2" t="str">
        <x:v>WB_food_import_share</x:v>
      </x:c>
      <x:c r="F1777" s="2" t="str">
        <x:v>Food imports (% of merchandise imports)</x:v>
      </x:c>
    </x:row>
    <x:row r="1778" ht="44" customHeight="1">
      <x:c r="A1778" s="2" t="str">
        <x:v>EGY</x:v>
      </x:c>
      <x:c r="B1778" s="2" t="str">
        <x:v>food_export_share</x:v>
      </x:c>
      <x:c r="C1778" s="2" t="n">
        <x:v>21.8997647598019</x:v>
      </x:c>
      <x:c r="D1778" s="2" t="n">
        <x:v>2024</x:v>
      </x:c>
      <x:c r="E1778" s="2" t="str">
        <x:v>WB_food_export_share</x:v>
      </x:c>
      <x:c r="F1778" s="2" t="str">
        <x:v>Food exports (% of merchandise exports)</x:v>
      </x:c>
    </x:row>
    <x:row r="1779" ht="44" customHeight="1">
      <x:c r="A1779" s="2" t="str">
        <x:v>EGY</x:v>
      </x:c>
      <x:c r="B1779" s="2" t="str">
        <x:v>imports_usd</x:v>
      </x:c>
      <x:c r="C1779" s="2" t="n">
        <x:v>97539000000</x:v>
      </x:c>
      <x:c r="D1779" s="2" t="n">
        <x:v>2025</x:v>
      </x:c>
      <x:c r="E1779" s="2" t="str">
        <x:v>WB_imports_usd</x:v>
      </x:c>
      <x:c r="F1779" s="2" t="str">
        <x:v>Merchandise imports (current US$)</x:v>
      </x:c>
    </x:row>
    <x:row r="1780" ht="44" customHeight="1">
      <x:c r="A1780" s="2" t="str">
        <x:v>EGY</x:v>
      </x:c>
      <x:c r="B1780" s="2" t="str">
        <x:v>exports_usd</x:v>
      </x:c>
      <x:c r="C1780" s="2" t="n">
        <x:v>51403000000</x:v>
      </x:c>
      <x:c r="D1780" s="2" t="n">
        <x:v>2025</x:v>
      </x:c>
      <x:c r="E1780" s="2" t="str">
        <x:v>WB_exports_usd</x:v>
      </x:c>
      <x:c r="F1780" s="2" t="str">
        <x:v>Merchandise exports (current US$)</x:v>
      </x:c>
    </x:row>
    <x:row r="1781" ht="44" customHeight="1">
      <x:c r="A1781" s="2" t="str">
        <x:v>EGY</x:v>
      </x:c>
      <x:c r="B1781" s="2" t="str">
        <x:v>cereal_yield</x:v>
      </x:c>
      <x:c r="C1781" s="2" t="n">
        <x:v>7402.2</x:v>
      </x:c>
      <x:c r="D1781" s="2" t="n">
        <x:v>2023</x:v>
      </x:c>
      <x:c r="E1781" s="2" t="str">
        <x:v>WB_cereal_yield</x:v>
      </x:c>
      <x:c r="F1781" s="2" t="str">
        <x:v>Cereal yield (kg per hectare)</x:v>
      </x:c>
    </x:row>
    <x:row r="1782" ht="44" customHeight="1">
      <x:c r="A1782" s="2" t="str">
        <x:v>EGY</x:v>
      </x:c>
      <x:c r="B1782" s="2" t="str">
        <x:v>water_stress</x:v>
      </x:c>
      <x:c r="C1782" s="2" t="n">
        <x:v>141.1657559</x:v>
      </x:c>
      <x:c r="D1782" s="2" t="n">
        <x:v>2022</x:v>
      </x:c>
      <x:c r="E1782" s="2" t="str">
        <x:v>WB_water_stress</x:v>
      </x:c>
      <x:c r="F1782" s="2" t="str">
        <x:v>Level of water stress: freshwater withdrawal as a proportion of available freshwater resources</x:v>
      </x:c>
    </x:row>
    <x:row r="1783" ht="44" customHeight="1">
      <x:c r="A1783" s="2" t="str">
        <x:v>EGY</x:v>
      </x:c>
      <x:c r="B1783" s="2" t="str">
        <x:v>fertility</x:v>
      </x:c>
      <x:c r="C1783" s="2" t="n">
        <x:v>2.735</x:v>
      </x:c>
      <x:c r="D1783" s="2" t="n">
        <x:v>2024</x:v>
      </x:c>
      <x:c r="E1783" s="2" t="str">
        <x:v>WB_fertility</x:v>
      </x:c>
      <x:c r="F1783" s="2" t="str">
        <x:v>Fertility rate, total (births per woman)</x:v>
      </x:c>
    </x:row>
    <x:row r="1784" ht="44" customHeight="1">
      <x:c r="A1784" s="2" t="str">
        <x:v>EGY</x:v>
      </x:c>
      <x:c r="B1784" s="2" t="str">
        <x:v>life_expectancy</x:v>
      </x:c>
      <x:c r="C1784" s="2" t="n">
        <x:v>71.806</x:v>
      </x:c>
      <x:c r="D1784" s="2" t="n">
        <x:v>2024</x:v>
      </x:c>
      <x:c r="E1784" s="2" t="str">
        <x:v>WB_life_expectancy</x:v>
      </x:c>
      <x:c r="F1784" s="2" t="str">
        <x:v>Life expectancy at birth, total (years)</x:v>
      </x:c>
    </x:row>
    <x:row r="1785" ht="44" customHeight="1">
      <x:c r="A1785" s="2" t="str">
        <x:v>EGY</x:v>
      </x:c>
      <x:c r="B1785" s="2" t="str">
        <x:v>age_under15</x:v>
      </x:c>
      <x:c r="C1785" s="2" t="n">
        <x:v>31.5562617099458</x:v>
      </x:c>
      <x:c r="D1785" s="2" t="n">
        <x:v>2025</x:v>
      </x:c>
      <x:c r="E1785" s="2" t="str">
        <x:v>WB_age_under15</x:v>
      </x:c>
      <x:c r="F1785" s="2" t="str">
        <x:v>Population ages 0-14 (% of total population)</x:v>
      </x:c>
    </x:row>
    <x:row r="1786" ht="44" customHeight="1">
      <x:c r="A1786" s="2" t="str">
        <x:v>EGY</x:v>
      </x:c>
      <x:c r="B1786" s="2" t="str">
        <x:v>age_over65</x:v>
      </x:c>
      <x:c r="C1786" s="2" t="n">
        <x:v>5.27119509818337</x:v>
      </x:c>
      <x:c r="D1786" s="2" t="n">
        <x:v>2025</x:v>
      </x:c>
      <x:c r="E1786" s="2" t="str">
        <x:v>WB_age_over65</x:v>
      </x:c>
      <x:c r="F1786" s="2" t="str">
        <x:v>Population ages 65 and above (% of total population)</x:v>
      </x:c>
    </x:row>
    <x:row r="1787" ht="44" customHeight="1">
      <x:c r="A1787" s="2" t="str">
        <x:v>EGY</x:v>
      </x:c>
      <x:c r="B1787" s="2" t="str">
        <x:v>dependency_ratio</x:v>
      </x:c>
      <x:c r="C1787" s="2" t="n">
        <x:v>58.2966196543545</x:v>
      </x:c>
      <x:c r="D1787" s="2" t="n">
        <x:v>2025</x:v>
      </x:c>
      <x:c r="E1787" s="2" t="str">
        <x:v>WB_dependency_ratio</x:v>
      </x:c>
      <x:c r="F1787" s="2" t="str">
        <x:v>Age dependency ratio (% of working-age population)</x:v>
      </x:c>
    </x:row>
    <x:row r="1788" ht="44" customHeight="1">
      <x:c r="A1788" s="2" t="str">
        <x:v>EGY</x:v>
      </x:c>
      <x:c r="B1788" s="2" t="str">
        <x:v>net_migration</x:v>
      </x:c>
      <x:c r="C1788" s="2" t="n">
        <x:v>-57305</x:v>
      </x:c>
      <x:c r="D1788" s="2" t="n">
        <x:v>2025</x:v>
      </x:c>
      <x:c r="E1788" s="2" t="str">
        <x:v>WB_net_migration</x:v>
      </x:c>
      <x:c r="F1788" s="2" t="str">
        <x:v>Net migration</x:v>
      </x:c>
    </x:row>
    <x:row r="1789" ht="44" customHeight="1">
      <x:c r="A1789" s="2" t="str">
        <x:v>EGY</x:v>
      </x:c>
      <x:c r="B1789" s="2" t="str">
        <x:v>real_gdp</x:v>
      </x:c>
      <x:c r="C1789" s="2" t="n">
        <x:v>503367605841.295</x:v>
      </x:c>
      <x:c r="D1789" s="2" t="n">
        <x:v>2025</x:v>
      </x:c>
      <x:c r="E1789" s="2" t="str">
        <x:v>WB_real_gdp</x:v>
      </x:c>
      <x:c r="F1789" s="2" t="str">
        <x:v>GDP (constant 2015 US$)</x:v>
      </x:c>
    </x:row>
    <x:row r="1790" ht="44" customHeight="1">
      <x:c r="A1790" s="2" t="str">
        <x:v>EGY</x:v>
      </x:c>
      <x:c r="B1790" s="2" t="str">
        <x:v>gdp_growth</x:v>
      </x:c>
      <x:c r="C1790" s="2" t="n">
        <x:v>4.39201068570188</x:v>
      </x:c>
      <x:c r="D1790" s="2" t="n">
        <x:v>2025</x:v>
      </x:c>
      <x:c r="E1790" s="2" t="str">
        <x:v>WB_gdp_growth</x:v>
      </x:c>
      <x:c r="F1790" s="2" t="str">
        <x:v>GDP growth (annual %)</x:v>
      </x:c>
    </x:row>
    <x:row r="1791" ht="44" customHeight="1">
      <x:c r="A1791" s="2" t="str">
        <x:v>EGY</x:v>
      </x:c>
      <x:c r="B1791" s="2" t="str">
        <x:v>real_income</x:v>
      </x:c>
      <x:c r="C1791" s="2" t="n">
        <x:v>4252.63696588953</x:v>
      </x:c>
      <x:c r="D1791" s="2" t="n">
        <x:v>2025</x:v>
      </x:c>
      <x:c r="E1791" s="2" t="str">
        <x:v>WB_real_income</x:v>
      </x:c>
      <x:c r="F1791" s="2" t="str">
        <x:v>GDP per capita (constant 2015 US$)</x:v>
      </x:c>
    </x:row>
    <x:row r="1792" ht="44" customHeight="1">
      <x:c r="A1792" s="2" t="str">
        <x:v>EGY</x:v>
      </x:c>
      <x:c r="B1792" s="2" t="str">
        <x:v>agriculture_gdp</x:v>
      </x:c>
      <x:c r="C1792" s="2" t="n">
        <x:v>16.551922508574</x:v>
      </x:c>
      <x:c r="D1792" s="2" t="n">
        <x:v>2025</x:v>
      </x:c>
      <x:c r="E1792" s="2" t="str">
        <x:v>WB_agriculture_gdp</x:v>
      </x:c>
      <x:c r="F1792" s="2" t="str">
        <x:v>Agriculture, forestry, and fishing, value added (% of GDP)</x:v>
      </x:c>
    </x:row>
    <x:row r="1793" ht="44" customHeight="1">
      <x:c r="A1793" s="2" t="str">
        <x:v>EGY</x:v>
      </x:c>
      <x:c r="B1793" s="2" t="str">
        <x:v>poverty</x:v>
      </x:c>
      <x:c r="C1793" s="2" t="n">
        <x:v>1.4</x:v>
      </x:c>
      <x:c r="D1793" s="2" t="n">
        <x:v>2021</x:v>
      </x:c>
      <x:c r="E1793" s="2" t="str">
        <x:v>WB_poverty</x:v>
      </x:c>
      <x:c r="F1793" s="2" t="str">
        <x:v>Poverty headcount ratio at $3.00 a day (2021 PPP) (% of population)</x:v>
      </x:c>
    </x:row>
    <x:row r="1794" ht="44" customHeight="1">
      <x:c r="A1794" s="2" t="str">
        <x:v>EGY</x:v>
      </x:c>
      <x:c r="B1794" s="2" t="str">
        <x:v>gini</x:v>
      </x:c>
      <x:c r="C1794" s="2" t="n">
        <x:v>28.5</x:v>
      </x:c>
      <x:c r="D1794" s="2" t="n">
        <x:v>2021</x:v>
      </x:c>
      <x:c r="E1794" s="2" t="str">
        <x:v>WB_gini</x:v>
      </x:c>
      <x:c r="F1794" s="2" t="str">
        <x:v>Gini index</x:v>
      </x:c>
    </x:row>
    <x:row r="1795" ht="44" customHeight="1">
      <x:c r="A1795" s="2" t="str">
        <x:v>EGY</x:v>
      </x:c>
      <x:c r="B1795" s="2" t="str">
        <x:v>unemployment</x:v>
      </x:c>
      <x:c r="C1795" s="2" t="n">
        <x:v>6.781</x:v>
      </x:c>
      <x:c r="D1795" s="2" t="n">
        <x:v>2025</x:v>
      </x:c>
      <x:c r="E1795" s="2" t="str">
        <x:v>WB_unemployment</x:v>
      </x:c>
      <x:c r="F1795" s="2" t="str">
        <x:v>Unemployment, total (% of total labor force) (modeled ILO estimate)</x:v>
      </x:c>
    </x:row>
    <x:row r="1796" ht="44" customHeight="1">
      <x:c r="A1796" s="2" t="str">
        <x:v>EGY</x:v>
      </x:c>
      <x:c r="B1796" s="2" t="str">
        <x:v>private_credit</x:v>
      </x:c>
      <x:c r="C1796" s="2" t="n">
        <x:v>25.8412480093151</x:v>
      </x:c>
      <x:c r="D1796" s="2" t="n">
        <x:v>2025</x:v>
      </x:c>
      <x:c r="E1796" s="2" t="str">
        <x:v>WB_private_credit</x:v>
      </x:c>
      <x:c r="F1796" s="2" t="str">
        <x:v>Domestic credit to private sector (% of GDP)</x:v>
      </x:c>
    </x:row>
    <x:row r="1797" ht="44" customHeight="1">
      <x:c r="A1797" s="2" t="str">
        <x:v>EGY</x:v>
      </x:c>
      <x:c r="B1797" s="2" t="str">
        <x:v>lending_rate</x:v>
      </x:c>
      <x:c r="C1797" s="2" t="n">
        <x:v>24.2916666666667</x:v>
      </x:c>
      <x:c r="D1797" s="2" t="n">
        <x:v>2024</x:v>
      </x:c>
      <x:c r="E1797" s="2" t="str">
        <x:v>WB_lending_rate</x:v>
      </x:c>
      <x:c r="F1797" s="2" t="str">
        <x:v>Lending interest rate (%)</x:v>
      </x:c>
    </x:row>
    <x:row r="1798" ht="44" customHeight="1">
      <x:c r="A1798" s="2" t="str">
        <x:v>EGY</x:v>
      </x:c>
      <x:c r="B1798" s="2" t="str">
        <x:v>real_interest</x:v>
      </x:c>
      <x:c r="C1798" s="2" t="n">
        <x:v>-7.03099094109372</x:v>
      </x:c>
      <x:c r="D1798" s="2" t="n">
        <x:v>2024</x:v>
      </x:c>
      <x:c r="E1798" s="2" t="str">
        <x:v>WB_real_interest</x:v>
      </x:c>
      <x:c r="F1798" s="2" t="str">
        <x:v>Real interest rate (%)</x:v>
      </x:c>
    </x:row>
    <x:row r="1799" ht="44" customHeight="1">
      <x:c r="A1799" s="2" t="str">
        <x:v>EGY</x:v>
      </x:c>
      <x:c r="B1799" s="2" t="str">
        <x:v>government_debt</x:v>
      </x:c>
      <x:c r="C1799" s="2" t="n">
        <x:v>85.7885338345865</x:v>
      </x:c>
      <x:c r="D1799" s="2" t="n">
        <x:v>2007</x:v>
      </x:c>
      <x:c r="E1799" s="2" t="str">
        <x:v>WB_government_debt</x:v>
      </x:c>
      <x:c r="F1799" s="2" t="str">
        <x:v>Central government debt, total (% of GDP)</x:v>
      </x:c>
    </x:row>
    <x:row r="1800" ht="44" customHeight="1">
      <x:c r="A1800" s="2" t="str">
        <x:v>EGY</x:v>
      </x:c>
      <x:c r="B1800" s="2" t="str">
        <x:v>electricity_access</x:v>
      </x:c>
      <x:c r="C1800" s="2" t="n">
        <x:v>100</x:v>
      </x:c>
      <x:c r="D1800" s="2" t="n">
        <x:v>2024</x:v>
      </x:c>
      <x:c r="E1800" s="2" t="str">
        <x:v>WB_electricity_access</x:v>
      </x:c>
      <x:c r="F1800" s="2" t="str">
        <x:v>Access to electricity (% of population)</x:v>
      </x:c>
    </x:row>
    <x:row r="1801" ht="44" customHeight="1">
      <x:c r="A1801" s="2" t="str">
        <x:v>EGY</x:v>
      </x:c>
      <x:c r="B1801" s="2" t="str">
        <x:v>irrigated_land</x:v>
      </x:c>
      <x:c r="C1801" s="2"/>
      <x:c r="D1801" s="2"/>
      <x:c r="E1801" s="2" t="str">
        <x:v>Missing</x:v>
      </x:c>
      <x:c r="F1801" s="2" t="str">
        <x:v>Agricultural irrigated land (% of total agricultural land)</x:v>
      </x:c>
    </x:row>
    <x:row r="1802" ht="44" customHeight="1">
      <x:c r="A1802" s="2" t="str">
        <x:v>EGY</x:v>
      </x:c>
      <x:c r="B1802" s="2" t="str">
        <x:v>cereal_area</x:v>
      </x:c>
      <x:c r="C1802" s="2" t="n">
        <x:v>3160027</x:v>
      </x:c>
      <x:c r="D1802" s="2" t="n">
        <x:v>2023</x:v>
      </x:c>
      <x:c r="E1802" s="2" t="str">
        <x:v>WB_cereal_area</x:v>
      </x:c>
      <x:c r="F1802" s="2" t="str">
        <x:v>Land under cereal production (hectares)</x:v>
      </x:c>
    </x:row>
    <x:row r="1803" ht="44" customHeight="1">
      <x:c r="A1803" s="2" t="str">
        <x:v>EGY</x:v>
      </x:c>
      <x:c r="B1803" s="2" t="str">
        <x:v>undernourishment</x:v>
      </x:c>
      <x:c r="C1803" s="2" t="n">
        <x:v>9.4</x:v>
      </x:c>
      <x:c r="D1803" s="2" t="n">
        <x:v>2023</x:v>
      </x:c>
      <x:c r="E1803" s="2" t="str">
        <x:v>WB_undernourishment</x:v>
      </x:c>
      <x:c r="F1803" s="2" t="str">
        <x:v>Prevalence of undernourishment (% of population)</x:v>
      </x:c>
    </x:row>
    <x:row r="1804" ht="44" customHeight="1">
      <x:c r="A1804" s="2" t="str">
        <x:v>EGY</x:v>
      </x:c>
      <x:c r="B1804" s="2" t="str">
        <x:v>agriculture_employment</x:v>
      </x:c>
      <x:c r="C1804" s="2" t="n">
        <x:v>17.5246443528294</x:v>
      </x:c>
      <x:c r="D1804" s="2" t="n">
        <x:v>2025</x:v>
      </x:c>
      <x:c r="E1804" s="2" t="str">
        <x:v>WB_agriculture_employment</x:v>
      </x:c>
      <x:c r="F1804" s="2" t="str">
        <x:v>Employment in agriculture (% of total employment) (modeled ILO estimate)</x:v>
      </x:c>
    </x:row>
    <x:row r="1805" ht="44" customHeight="1">
      <x:c r="A1805" s="2" t="str">
        <x:v>EGY</x:v>
      </x:c>
      <x:c r="B1805" s="2" t="str">
        <x:v>water_withdrawal</x:v>
      </x:c>
      <x:c r="C1805" s="2" t="n">
        <x:v>7750</x:v>
      </x:c>
      <x:c r="D1805" s="2" t="n">
        <x:v>2022</x:v>
      </x:c>
      <x:c r="E1805" s="2" t="str">
        <x:v>WB_water_withdrawal</x:v>
      </x:c>
      <x:c r="F1805" s="2" t="str">
        <x:v>Annual freshwater withdrawals, total (% of internal resources)</x:v>
      </x:c>
    </x:row>
    <x:row r="1806" ht="44" customHeight="1">
      <x:c r="A1806" s="2" t="str">
        <x:v>SLV</x:v>
      </x:c>
      <x:c r="B1806" s="2" t="str">
        <x:v>population</x:v>
      </x:c>
      <x:c r="C1806" s="2" t="n">
        <x:v>6365503</x:v>
      </x:c>
      <x:c r="D1806" s="2" t="n">
        <x:v>2025</x:v>
      </x:c>
      <x:c r="E1806" s="2" t="str">
        <x:v>WB_population</x:v>
      </x:c>
      <x:c r="F1806" s="2" t="str">
        <x:v>Population, total</x:v>
      </x:c>
    </x:row>
    <x:row r="1807" ht="44" customHeight="1">
      <x:c r="A1807" s="2" t="str">
        <x:v>SLV</x:v>
      </x:c>
      <x:c r="B1807" s="2" t="str">
        <x:v>income_ppp</x:v>
      </x:c>
      <x:c r="C1807" s="2" t="n">
        <x:v>12050.028265702</x:v>
      </x:c>
      <x:c r="D1807" s="2" t="n">
        <x:v>2025</x:v>
      </x:c>
      <x:c r="E1807" s="2" t="str">
        <x:v>WB_income_ppp</x:v>
      </x:c>
      <x:c r="F1807" s="2" t="str">
        <x:v>GDP per capita, PPP (constant 2021 international $)</x:v>
      </x:c>
    </x:row>
    <x:row r="1808" ht="44" customHeight="1">
      <x:c r="A1808" s="2" t="str">
        <x:v>SLV</x:v>
      </x:c>
      <x:c r="B1808" s="2" t="str">
        <x:v>urban</x:v>
      </x:c>
      <x:c r="C1808" s="2" t="n">
        <x:v>75.5237123209951</x:v>
      </x:c>
      <x:c r="D1808" s="2" t="n">
        <x:v>2025</x:v>
      </x:c>
      <x:c r="E1808" s="2" t="str">
        <x:v>WB_urban</x:v>
      </x:c>
      <x:c r="F1808" s="2" t="str">
        <x:v>Urban population (% of total population)</x:v>
      </x:c>
    </x:row>
    <x:row r="1809" ht="44" customHeight="1">
      <x:c r="A1809" s="2" t="str">
        <x:v>SLV</x:v>
      </x:c>
      <x:c r="B1809" s="2" t="str">
        <x:v>inflation</x:v>
      </x:c>
      <x:c r="C1809" s="2" t="n">
        <x:v>0.257570528307203</x:v>
      </x:c>
      <x:c r="D1809" s="2" t="n">
        <x:v>2025</x:v>
      </x:c>
      <x:c r="E1809" s="2" t="str">
        <x:v>WB_inflation</x:v>
      </x:c>
      <x:c r="F1809" s="2" t="str">
        <x:v>Inflation, consumer prices (annual %)</x:v>
      </x:c>
    </x:row>
    <x:row r="1810" ht="44" customHeight="1">
      <x:c r="A1810" s="2" t="str">
        <x:v>SLV</x:v>
      </x:c>
      <x:c r="B1810" s="2" t="str">
        <x:v>food_index</x:v>
      </x:c>
      <x:c r="C1810" s="2" t="n">
        <x:v>102.68</x:v>
      </x:c>
      <x:c r="D1810" s="2" t="n">
        <x:v>2022</x:v>
      </x:c>
      <x:c r="E1810" s="2" t="str">
        <x:v>WB_food_index</x:v>
      </x:c>
      <x:c r="F1810" s="2" t="str">
        <x:v>Food production index (2014-2016 = 100)</x:v>
      </x:c>
    </x:row>
    <x:row r="1811" ht="44" customHeight="1">
      <x:c r="A1811" s="2" t="str">
        <x:v>SLV</x:v>
      </x:c>
      <x:c r="B1811" s="2" t="str">
        <x:v>food_import_share</x:v>
      </x:c>
      <x:c r="C1811" s="2" t="n">
        <x:v>20.0518599104508</x:v>
      </x:c>
      <x:c r="D1811" s="2" t="n">
        <x:v>2024</x:v>
      </x:c>
      <x:c r="E1811" s="2" t="str">
        <x:v>WB_food_import_share</x:v>
      </x:c>
      <x:c r="F1811" s="2" t="str">
        <x:v>Food imports (% of merchandise imports)</x:v>
      </x:c>
    </x:row>
    <x:row r="1812" ht="44" customHeight="1">
      <x:c r="A1812" s="2" t="str">
        <x:v>SLV</x:v>
      </x:c>
      <x:c r="B1812" s="2" t="str">
        <x:v>food_export_share</x:v>
      </x:c>
      <x:c r="C1812" s="2" t="n">
        <x:v>22.9391179128466</x:v>
      </x:c>
      <x:c r="D1812" s="2" t="n">
        <x:v>2024</x:v>
      </x:c>
      <x:c r="E1812" s="2" t="str">
        <x:v>WB_food_export_share</x:v>
      </x:c>
      <x:c r="F1812" s="2" t="str">
        <x:v>Food exports (% of merchandise exports)</x:v>
      </x:c>
    </x:row>
    <x:row r="1813" ht="44" customHeight="1">
      <x:c r="A1813" s="2" t="str">
        <x:v>SLV</x:v>
      </x:c>
      <x:c r="B1813" s="2" t="str">
        <x:v>imports_usd</x:v>
      </x:c>
      <x:c r="C1813" s="2" t="n">
        <x:v>17848000000</x:v>
      </x:c>
      <x:c r="D1813" s="2" t="n">
        <x:v>2025</x:v>
      </x:c>
      <x:c r="E1813" s="2" t="str">
        <x:v>WB_imports_usd</x:v>
      </x:c>
      <x:c r="F1813" s="2" t="str">
        <x:v>Merchandise imports (current US$)</x:v>
      </x:c>
    </x:row>
    <x:row r="1814" ht="44" customHeight="1">
      <x:c r="A1814" s="2" t="str">
        <x:v>SLV</x:v>
      </x:c>
      <x:c r="B1814" s="2" t="str">
        <x:v>exports_usd</x:v>
      </x:c>
      <x:c r="C1814" s="2" t="n">
        <x:v>6429000000</x:v>
      </x:c>
      <x:c r="D1814" s="2" t="n">
        <x:v>2025</x:v>
      </x:c>
      <x:c r="E1814" s="2" t="str">
        <x:v>WB_exports_usd</x:v>
      </x:c>
      <x:c r="F1814" s="2" t="str">
        <x:v>Merchandise exports (current US$)</x:v>
      </x:c>
    </x:row>
    <x:row r="1815" ht="44" customHeight="1">
      <x:c r="A1815" s="2" t="str">
        <x:v>SLV</x:v>
      </x:c>
      <x:c r="B1815" s="2" t="str">
        <x:v>cereal_yield</x:v>
      </x:c>
      <x:c r="C1815" s="2" t="n">
        <x:v>2819.2</x:v>
      </x:c>
      <x:c r="D1815" s="2" t="n">
        <x:v>2024</x:v>
      </x:c>
      <x:c r="E1815" s="2" t="str">
        <x:v>WB_cereal_yield</x:v>
      </x:c>
      <x:c r="F1815" s="2" t="str">
        <x:v>Cereal yield (kg per hectare)</x:v>
      </x:c>
    </x:row>
    <x:row r="1816" ht="44" customHeight="1">
      <x:c r="A1816" s="2" t="str">
        <x:v>SLV</x:v>
      </x:c>
      <x:c r="B1816" s="2" t="str">
        <x:v>water_stress</x:v>
      </x:c>
      <x:c r="C1816" s="2" t="n">
        <x:v>12.09309202</x:v>
      </x:c>
      <x:c r="D1816" s="2" t="n">
        <x:v>2022</x:v>
      </x:c>
      <x:c r="E1816" s="2" t="str">
        <x:v>WB_water_stress</x:v>
      </x:c>
      <x:c r="F1816" s="2" t="str">
        <x:v>Level of water stress: freshwater withdrawal as a proportion of available freshwater resources</x:v>
      </x:c>
    </x:row>
    <x:row r="1817" ht="44" customHeight="1">
      <x:c r="A1817" s="2" t="str">
        <x:v>SLV</x:v>
      </x:c>
      <x:c r="B1817" s="2" t="str">
        <x:v>fertility</x:v>
      </x:c>
      <x:c r="C1817" s="2" t="n">
        <x:v>1.768</x:v>
      </x:c>
      <x:c r="D1817" s="2" t="n">
        <x:v>2024</x:v>
      </x:c>
      <x:c r="E1817" s="2" t="str">
        <x:v>WB_fertility</x:v>
      </x:c>
      <x:c r="F1817" s="2" t="str">
        <x:v>Fertility rate, total (births per woman)</x:v>
      </x:c>
    </x:row>
    <x:row r="1818" ht="44" customHeight="1">
      <x:c r="A1818" s="2" t="str">
        <x:v>SLV</x:v>
      </x:c>
      <x:c r="B1818" s="2" t="str">
        <x:v>life_expectancy</x:v>
      </x:c>
      <x:c r="C1818" s="2" t="n">
        <x:v>72.302</x:v>
      </x:c>
      <x:c r="D1818" s="2" t="n">
        <x:v>2024</x:v>
      </x:c>
      <x:c r="E1818" s="2" t="str">
        <x:v>WB_life_expectancy</x:v>
      </x:c>
      <x:c r="F1818" s="2" t="str">
        <x:v>Life expectancy at birth, total (years)</x:v>
      </x:c>
    </x:row>
    <x:row r="1819" ht="44" customHeight="1">
      <x:c r="A1819" s="2" t="str">
        <x:v>SLV</x:v>
      </x:c>
      <x:c r="B1819" s="2" t="str">
        <x:v>age_under15</x:v>
      </x:c>
      <x:c r="C1819" s="2" t="n">
        <x:v>24.3842866777378</x:v>
      </x:c>
      <x:c r="D1819" s="2" t="n">
        <x:v>2025</x:v>
      </x:c>
      <x:c r="E1819" s="2" t="str">
        <x:v>WB_age_under15</x:v>
      </x:c>
      <x:c r="F1819" s="2" t="str">
        <x:v>Population ages 0-14 (% of total population)</x:v>
      </x:c>
    </x:row>
    <x:row r="1820" ht="44" customHeight="1">
      <x:c r="A1820" s="2" t="str">
        <x:v>SLV</x:v>
      </x:c>
      <x:c r="B1820" s="2" t="str">
        <x:v>age_over65</x:v>
      </x:c>
      <x:c r="C1820" s="2" t="n">
        <x:v>8.30913126582456</x:v>
      </x:c>
      <x:c r="D1820" s="2" t="n">
        <x:v>2025</x:v>
      </x:c>
      <x:c r="E1820" s="2" t="str">
        <x:v>WB_age_over65</x:v>
      </x:c>
      <x:c r="F1820" s="2" t="str">
        <x:v>Population ages 65 and above (% of total population)</x:v>
      </x:c>
    </x:row>
    <x:row r="1821" ht="44" customHeight="1">
      <x:c r="A1821" s="2" t="str">
        <x:v>SLV</x:v>
      </x:c>
      <x:c r="B1821" s="2" t="str">
        <x:v>dependency_ratio</x:v>
      </x:c>
      <x:c r="C1821" s="2" t="n">
        <x:v>48.5738966604908</x:v>
      </x:c>
      <x:c r="D1821" s="2" t="n">
        <x:v>2025</x:v>
      </x:c>
      <x:c r="E1821" s="2" t="str">
        <x:v>WB_dependency_ratio</x:v>
      </x:c>
      <x:c r="F1821" s="2" t="str">
        <x:v>Age dependency ratio (% of working-age population)</x:v>
      </x:c>
    </x:row>
    <x:row r="1822" ht="44" customHeight="1">
      <x:c r="A1822" s="2" t="str">
        <x:v>SLV</x:v>
      </x:c>
      <x:c r="B1822" s="2" t="str">
        <x:v>net_migration</x:v>
      </x:c>
      <x:c r="C1822" s="2" t="n">
        <x:v>-23934</x:v>
      </x:c>
      <x:c r="D1822" s="2" t="n">
        <x:v>2025</x:v>
      </x:c>
      <x:c r="E1822" s="2" t="str">
        <x:v>WB_net_migration</x:v>
      </x:c>
      <x:c r="F1822" s="2" t="str">
        <x:v>Net migration</x:v>
      </x:c>
    </x:row>
    <x:row r="1823" ht="44" customHeight="1">
      <x:c r="A1823" s="2" t="str">
        <x:v>SLV</x:v>
      </x:c>
      <x:c r="B1823" s="2" t="str">
        <x:v>real_gdp</x:v>
      </x:c>
      <x:c r="C1823" s="2" t="n">
        <x:v>30140111727.9972</x:v>
      </x:c>
      <x:c r="D1823" s="2" t="n">
        <x:v>2025</x:v>
      </x:c>
      <x:c r="E1823" s="2" t="str">
        <x:v>WB_real_gdp</x:v>
      </x:c>
      <x:c r="F1823" s="2" t="str">
        <x:v>GDP (constant 2015 US$)</x:v>
      </x:c>
    </x:row>
    <x:row r="1824" ht="44" customHeight="1">
      <x:c r="A1824" s="2" t="str">
        <x:v>SLV</x:v>
      </x:c>
      <x:c r="B1824" s="2" t="str">
        <x:v>gdp_growth</x:v>
      </x:c>
      <x:c r="C1824" s="2" t="n">
        <x:v>3.90594189242583</x:v>
      </x:c>
      <x:c r="D1824" s="2" t="n">
        <x:v>2025</x:v>
      </x:c>
      <x:c r="E1824" s="2" t="str">
        <x:v>WB_gdp_growth</x:v>
      </x:c>
      <x:c r="F1824" s="2" t="str">
        <x:v>GDP growth (annual %)</x:v>
      </x:c>
    </x:row>
    <x:row r="1825" ht="44" customHeight="1">
      <x:c r="A1825" s="2" t="str">
        <x:v>SLV</x:v>
      </x:c>
      <x:c r="B1825" s="2" t="str">
        <x:v>real_income</x:v>
      </x:c>
      <x:c r="C1825" s="2" t="n">
        <x:v>4734.91438586978</x:v>
      </x:c>
      <x:c r="D1825" s="2" t="n">
        <x:v>2025</x:v>
      </x:c>
      <x:c r="E1825" s="2" t="str">
        <x:v>WB_real_income</x:v>
      </x:c>
      <x:c r="F1825" s="2" t="str">
        <x:v>GDP per capita (constant 2015 US$)</x:v>
      </x:c>
    </x:row>
    <x:row r="1826" ht="44" customHeight="1">
      <x:c r="A1826" s="2" t="str">
        <x:v>SLV</x:v>
      </x:c>
      <x:c r="B1826" s="2" t="str">
        <x:v>agriculture_gdp</x:v>
      </x:c>
      <x:c r="C1826" s="2" t="n">
        <x:v>4.40281452790678</x:v>
      </x:c>
      <x:c r="D1826" s="2" t="n">
        <x:v>2025</x:v>
      </x:c>
      <x:c r="E1826" s="2" t="str">
        <x:v>WB_agriculture_gdp</x:v>
      </x:c>
      <x:c r="F1826" s="2" t="str">
        <x:v>Agriculture, forestry, and fishing, value added (% of GDP)</x:v>
      </x:c>
    </x:row>
    <x:row r="1827" ht="44" customHeight="1">
      <x:c r="A1827" s="2" t="str">
        <x:v>SLV</x:v>
      </x:c>
      <x:c r="B1827" s="2" t="str">
        <x:v>poverty</x:v>
      </x:c>
      <x:c r="C1827" s="2" t="n">
        <x:v>4.6</x:v>
      </x:c>
      <x:c r="D1827" s="2" t="n">
        <x:v>2023</x:v>
      </x:c>
      <x:c r="E1827" s="2" t="str">
        <x:v>WB_poverty</x:v>
      </x:c>
      <x:c r="F1827" s="2" t="str">
        <x:v>Poverty headcount ratio at $3.00 a day (2021 PPP) (% of population)</x:v>
      </x:c>
    </x:row>
    <x:row r="1828" ht="44" customHeight="1">
      <x:c r="A1828" s="2" t="str">
        <x:v>SLV</x:v>
      </x:c>
      <x:c r="B1828" s="2" t="str">
        <x:v>gini</x:v>
      </x:c>
      <x:c r="C1828" s="2" t="n">
        <x:v>39.8</x:v>
      </x:c>
      <x:c r="D1828" s="2" t="n">
        <x:v>2023</x:v>
      </x:c>
      <x:c r="E1828" s="2" t="str">
        <x:v>WB_gini</x:v>
      </x:c>
      <x:c r="F1828" s="2" t="str">
        <x:v>Gini index</x:v>
      </x:c>
    </x:row>
    <x:row r="1829" ht="44" customHeight="1">
      <x:c r="A1829" s="2" t="str">
        <x:v>SLV</x:v>
      </x:c>
      <x:c r="B1829" s="2" t="str">
        <x:v>unemployment</x:v>
      </x:c>
      <x:c r="C1829" s="2" t="n">
        <x:v>3.303</x:v>
      </x:c>
      <x:c r="D1829" s="2" t="n">
        <x:v>2025</x:v>
      </x:c>
      <x:c r="E1829" s="2" t="str">
        <x:v>WB_unemployment</x:v>
      </x:c>
      <x:c r="F1829" s="2" t="str">
        <x:v>Unemployment, total (% of total labor force) (modeled ILO estimate)</x:v>
      </x:c>
    </x:row>
    <x:row r="1830" ht="44" customHeight="1">
      <x:c r="A1830" s="2" t="str">
        <x:v>SLV</x:v>
      </x:c>
      <x:c r="B1830" s="2" t="str">
        <x:v>private_credit</x:v>
      </x:c>
      <x:c r="C1830" s="2" t="n">
        <x:v>64.3701394379061</x:v>
      </x:c>
      <x:c r="D1830" s="2" t="n">
        <x:v>2025</x:v>
      </x:c>
      <x:c r="E1830" s="2" t="str">
        <x:v>WB_private_credit</x:v>
      </x:c>
      <x:c r="F1830" s="2" t="str">
        <x:v>Domestic credit to private sector (% of GDP)</x:v>
      </x:c>
    </x:row>
    <x:row r="1831" ht="44" customHeight="1">
      <x:c r="A1831" s="2" t="str">
        <x:v>SLV</x:v>
      </x:c>
      <x:c r="B1831" s="2" t="str">
        <x:v>lending_rate</x:v>
      </x:c>
      <x:c r="C1831" s="2"/>
      <x:c r="D1831" s="2"/>
      <x:c r="E1831" s="2" t="str">
        <x:v>Missing</x:v>
      </x:c>
      <x:c r="F1831" s="2" t="str">
        <x:v>Lending interest rate (%)</x:v>
      </x:c>
    </x:row>
    <x:row r="1832" ht="44" customHeight="1">
      <x:c r="A1832" s="2" t="str">
        <x:v>SLV</x:v>
      </x:c>
      <x:c r="B1832" s="2" t="str">
        <x:v>real_interest</x:v>
      </x:c>
      <x:c r="C1832" s="2"/>
      <x:c r="D1832" s="2"/>
      <x:c r="E1832" s="2" t="str">
        <x:v>Missing</x:v>
      </x:c>
      <x:c r="F1832" s="2" t="str">
        <x:v>Real interest rate (%)</x:v>
      </x:c>
    </x:row>
    <x:row r="1833" ht="44" customHeight="1">
      <x:c r="A1833" s="2" t="str">
        <x:v>SLV</x:v>
      </x:c>
      <x:c r="B1833" s="2" t="str">
        <x:v>government_debt</x:v>
      </x:c>
      <x:c r="C1833" s="2" t="n">
        <x:v>107.276633162011</x:v>
      </x:c>
      <x:c r="D1833" s="2" t="n">
        <x:v>2024</x:v>
      </x:c>
      <x:c r="E1833" s="2" t="str">
        <x:v>WB_government_debt</x:v>
      </x:c>
      <x:c r="F1833" s="2" t="str">
        <x:v>Central government debt, total (% of GDP)</x:v>
      </x:c>
    </x:row>
    <x:row r="1834" ht="44" customHeight="1">
      <x:c r="A1834" s="2" t="str">
        <x:v>SLV</x:v>
      </x:c>
      <x:c r="B1834" s="2" t="str">
        <x:v>electricity_access</x:v>
      </x:c>
      <x:c r="C1834" s="2" t="n">
        <x:v>98.7</x:v>
      </x:c>
      <x:c r="D1834" s="2" t="n">
        <x:v>2024</x:v>
      </x:c>
      <x:c r="E1834" s="2" t="str">
        <x:v>WB_electricity_access</x:v>
      </x:c>
      <x:c r="F1834" s="2" t="str">
        <x:v>Access to electricity (% of population)</x:v>
      </x:c>
    </x:row>
    <x:row r="1835" ht="44" customHeight="1">
      <x:c r="A1835" s="2" t="str">
        <x:v>SLV</x:v>
      </x:c>
      <x:c r="B1835" s="2" t="str">
        <x:v>irrigated_land</x:v>
      </x:c>
      <x:c r="C1835" s="2" t="n">
        <x:v>2.01028686125282</x:v>
      </x:c>
      <x:c r="D1835" s="2" t="n">
        <x:v>2023</x:v>
      </x:c>
      <x:c r="E1835" s="2" t="str">
        <x:v>WB_irrigated_land</x:v>
      </x:c>
      <x:c r="F1835" s="2" t="str">
        <x:v>Agricultural irrigated land (% of total agricultural land)</x:v>
      </x:c>
    </x:row>
    <x:row r="1836" ht="44" customHeight="1">
      <x:c r="A1836" s="2" t="str">
        <x:v>SLV</x:v>
      </x:c>
      <x:c r="B1836" s="2" t="str">
        <x:v>cereal_area</x:v>
      </x:c>
      <x:c r="C1836" s="2" t="n">
        <x:v>317461</x:v>
      </x:c>
      <x:c r="D1836" s="2" t="n">
        <x:v>2024</x:v>
      </x:c>
      <x:c r="E1836" s="2" t="str">
        <x:v>WB_cereal_area</x:v>
      </x:c>
      <x:c r="F1836" s="2" t="str">
        <x:v>Land under cereal production (hectares)</x:v>
      </x:c>
    </x:row>
    <x:row r="1837" ht="44" customHeight="1">
      <x:c r="A1837" s="2" t="str">
        <x:v>SLV</x:v>
      </x:c>
      <x:c r="B1837" s="2" t="str">
        <x:v>undernourishment</x:v>
      </x:c>
      <x:c r="C1837" s="2" t="n">
        <x:v>6.7</x:v>
      </x:c>
      <x:c r="D1837" s="2" t="n">
        <x:v>2023</x:v>
      </x:c>
      <x:c r="E1837" s="2" t="str">
        <x:v>WB_undernourishment</x:v>
      </x:c>
      <x:c r="F1837" s="2" t="str">
        <x:v>Prevalence of undernourishment (% of population)</x:v>
      </x:c>
    </x:row>
    <x:row r="1838" ht="44" customHeight="1">
      <x:c r="A1838" s="2" t="str">
        <x:v>SLV</x:v>
      </x:c>
      <x:c r="B1838" s="2" t="str">
        <x:v>agriculture_employment</x:v>
      </x:c>
      <x:c r="C1838" s="2" t="n">
        <x:v>13.8525526754496</x:v>
      </x:c>
      <x:c r="D1838" s="2" t="n">
        <x:v>2025</x:v>
      </x:c>
      <x:c r="E1838" s="2" t="str">
        <x:v>WB_agriculture_employment</x:v>
      </x:c>
      <x:c r="F1838" s="2" t="str">
        <x:v>Employment in agriculture (% of total employment) (modeled ILO estimate)</x:v>
      </x:c>
    </x:row>
    <x:row r="1839" ht="44" customHeight="1">
      <x:c r="A1839" s="2" t="str">
        <x:v>SLV</x:v>
      </x:c>
      <x:c r="B1839" s="2" t="str">
        <x:v>water_withdrawal</x:v>
      </x:c>
      <x:c r="C1839" s="2" t="n">
        <x:v>12.4025761356366</x:v>
      </x:c>
      <x:c r="D1839" s="2" t="n">
        <x:v>2022</x:v>
      </x:c>
      <x:c r="E1839" s="2" t="str">
        <x:v>WB_water_withdrawal</x:v>
      </x:c>
      <x:c r="F1839" s="2" t="str">
        <x:v>Annual freshwater withdrawals, total (% of internal resources)</x:v>
      </x:c>
    </x:row>
    <x:row r="1840" ht="44" customHeight="1">
      <x:c r="A1840" s="2" t="str">
        <x:v>GNQ</x:v>
      </x:c>
      <x:c r="B1840" s="2" t="str">
        <x:v>population</x:v>
      </x:c>
      <x:c r="C1840" s="2" t="n">
        <x:v>1938431</x:v>
      </x:c>
      <x:c r="D1840" s="2" t="n">
        <x:v>2025</x:v>
      </x:c>
      <x:c r="E1840" s="2" t="str">
        <x:v>WB_population</x:v>
      </x:c>
      <x:c r="F1840" s="2" t="str">
        <x:v>Population, total</x:v>
      </x:c>
    </x:row>
    <x:row r="1841" ht="44" customHeight="1">
      <x:c r="A1841" s="2" t="str">
        <x:v>GNQ</x:v>
      </x:c>
      <x:c r="B1841" s="2" t="str">
        <x:v>income_ppp</x:v>
      </x:c>
      <x:c r="C1841" s="2" t="n">
        <x:v>13786.3932934089</x:v>
      </x:c>
      <x:c r="D1841" s="2" t="n">
        <x:v>2025</x:v>
      </x:c>
      <x:c r="E1841" s="2" t="str">
        <x:v>WB_income_ppp</x:v>
      </x:c>
      <x:c r="F1841" s="2" t="str">
        <x:v>GDP per capita, PPP (constant 2021 international $)</x:v>
      </x:c>
    </x:row>
    <x:row r="1842" ht="44" customHeight="1">
      <x:c r="A1842" s="2" t="str">
        <x:v>GNQ</x:v>
      </x:c>
      <x:c r="B1842" s="2" t="str">
        <x:v>urban</x:v>
      </x:c>
      <x:c r="C1842" s="2" t="n">
        <x:v>71.5761028458697</x:v>
      </x:c>
      <x:c r="D1842" s="2" t="n">
        <x:v>2025</x:v>
      </x:c>
      <x:c r="E1842" s="2" t="str">
        <x:v>WB_urban</x:v>
      </x:c>
      <x:c r="F1842" s="2" t="str">
        <x:v>Urban population (% of total population)</x:v>
      </x:c>
    </x:row>
    <x:row r="1843" ht="44" customHeight="1">
      <x:c r="A1843" s="2" t="str">
        <x:v>GNQ</x:v>
      </x:c>
      <x:c r="B1843" s="2" t="str">
        <x:v>inflation</x:v>
      </x:c>
      <x:c r="C1843" s="2" t="n">
        <x:v>2.92140227309103</x:v>
      </x:c>
      <x:c r="D1843" s="2" t="n">
        <x:v>2024</x:v>
      </x:c>
      <x:c r="E1843" s="2" t="str">
        <x:v>WB_inflation</x:v>
      </x:c>
      <x:c r="F1843" s="2" t="str">
        <x:v>Inflation, consumer prices (annual %)</x:v>
      </x:c>
    </x:row>
    <x:row r="1844" ht="44" customHeight="1">
      <x:c r="A1844" s="2" t="str">
        <x:v>GNQ</x:v>
      </x:c>
      <x:c r="B1844" s="2" t="str">
        <x:v>food_index</x:v>
      </x:c>
      <x:c r="C1844" s="2" t="n">
        <x:v>103.43</x:v>
      </x:c>
      <x:c r="D1844" s="2" t="n">
        <x:v>2022</x:v>
      </x:c>
      <x:c r="E1844" s="2" t="str">
        <x:v>WB_food_index</x:v>
      </x:c>
      <x:c r="F1844" s="2" t="str">
        <x:v>Food production index (2014-2016 = 100)</x:v>
      </x:c>
    </x:row>
    <x:row r="1845" ht="44" customHeight="1">
      <x:c r="A1845" s="2" t="str">
        <x:v>GNQ</x:v>
      </x:c>
      <x:c r="B1845" s="2" t="str">
        <x:v>food_import_share</x:v>
      </x:c>
      <x:c r="C1845" s="2"/>
      <x:c r="D1845" s="2"/>
      <x:c r="E1845" s="2" t="str">
        <x:v>Missing</x:v>
      </x:c>
      <x:c r="F1845" s="2" t="str">
        <x:v>Food imports (% of merchandise imports)</x:v>
      </x:c>
    </x:row>
    <x:row r="1846" ht="44" customHeight="1">
      <x:c r="A1846" s="2" t="str">
        <x:v>GNQ</x:v>
      </x:c>
      <x:c r="B1846" s="2" t="str">
        <x:v>food_export_share</x:v>
      </x:c>
      <x:c r="C1846" s="2"/>
      <x:c r="D1846" s="2"/>
      <x:c r="E1846" s="2" t="str">
        <x:v>Missing</x:v>
      </x:c>
      <x:c r="F1846" s="2" t="str">
        <x:v>Food exports (% of merchandise exports)</x:v>
      </x:c>
    </x:row>
    <x:row r="1847" ht="44" customHeight="1">
      <x:c r="A1847" s="2" t="str">
        <x:v>GNQ</x:v>
      </x:c>
      <x:c r="B1847" s="2" t="str">
        <x:v>imports_usd</x:v>
      </x:c>
      <x:c r="C1847" s="2" t="n">
        <x:v>1700000000</x:v>
      </x:c>
      <x:c r="D1847" s="2" t="n">
        <x:v>2025</x:v>
      </x:c>
      <x:c r="E1847" s="2" t="str">
        <x:v>WB_imports_usd</x:v>
      </x:c>
      <x:c r="F1847" s="2" t="str">
        <x:v>Merchandise imports (current US$)</x:v>
      </x:c>
    </x:row>
    <x:row r="1848" ht="44" customHeight="1">
      <x:c r="A1848" s="2" t="str">
        <x:v>GNQ</x:v>
      </x:c>
      <x:c r="B1848" s="2" t="str">
        <x:v>exports_usd</x:v>
      </x:c>
      <x:c r="C1848" s="2" t="n">
        <x:v>2600000000</x:v>
      </x:c>
      <x:c r="D1848" s="2" t="n">
        <x:v>2025</x:v>
      </x:c>
      <x:c r="E1848" s="2" t="str">
        <x:v>WB_exports_usd</x:v>
      </x:c>
      <x:c r="F1848" s="2" t="str">
        <x:v>Merchandise exports (current US$)</x:v>
      </x:c>
    </x:row>
    <x:row r="1849" ht="44" customHeight="1">
      <x:c r="A1849" s="2" t="str">
        <x:v>GNQ</x:v>
      </x:c>
      <x:c r="B1849" s="2" t="str">
        <x:v>cereal_yield</x:v>
      </x:c>
      <x:c r="C1849" s="2"/>
      <x:c r="D1849" s="2"/>
      <x:c r="E1849" s="2" t="str">
        <x:v>Missing</x:v>
      </x:c>
      <x:c r="F1849" s="2" t="str">
        <x:v>Cereal yield (kg per hectare)</x:v>
      </x:c>
    </x:row>
    <x:row r="1850" ht="44" customHeight="1">
      <x:c r="A1850" s="2" t="str">
        <x:v>GNQ</x:v>
      </x:c>
      <x:c r="B1850" s="2" t="str">
        <x:v>water_stress</x:v>
      </x:c>
      <x:c r="C1850" s="2" t="n">
        <x:v>0.183503244</x:v>
      </x:c>
      <x:c r="D1850" s="2" t="n">
        <x:v>2022</x:v>
      </x:c>
      <x:c r="E1850" s="2" t="str">
        <x:v>WB_water_stress</x:v>
      </x:c>
      <x:c r="F1850" s="2" t="str">
        <x:v>Level of water stress: freshwater withdrawal as a proportion of available freshwater resources</x:v>
      </x:c>
    </x:row>
    <x:row r="1851" ht="44" customHeight="1">
      <x:c r="A1851" s="2" t="str">
        <x:v>GNQ</x:v>
      </x:c>
      <x:c r="B1851" s="2" t="str">
        <x:v>fertility</x:v>
      </x:c>
      <x:c r="C1851" s="2" t="n">
        <x:v>4.116</x:v>
      </x:c>
      <x:c r="D1851" s="2" t="n">
        <x:v>2024</x:v>
      </x:c>
      <x:c r="E1851" s="2" t="str">
        <x:v>WB_fertility</x:v>
      </x:c>
      <x:c r="F1851" s="2" t="str">
        <x:v>Fertility rate, total (births per woman)</x:v>
      </x:c>
    </x:row>
    <x:row r="1852" ht="44" customHeight="1">
      <x:c r="A1852" s="2" t="str">
        <x:v>GNQ</x:v>
      </x:c>
      <x:c r="B1852" s="2" t="str">
        <x:v>life_expectancy</x:v>
      </x:c>
      <x:c r="C1852" s="2" t="n">
        <x:v>63.906</x:v>
      </x:c>
      <x:c r="D1852" s="2" t="n">
        <x:v>2024</x:v>
      </x:c>
      <x:c r="E1852" s="2" t="str">
        <x:v>WB_life_expectancy</x:v>
      </x:c>
      <x:c r="F1852" s="2" t="str">
        <x:v>Life expectancy at birth, total (years)</x:v>
      </x:c>
    </x:row>
    <x:row r="1853" ht="44" customHeight="1">
      <x:c r="A1853" s="2" t="str">
        <x:v>GNQ</x:v>
      </x:c>
      <x:c r="B1853" s="2" t="str">
        <x:v>age_under15</x:v>
      </x:c>
      <x:c r="C1853" s="2" t="n">
        <x:v>37.0865406093898</x:v>
      </x:c>
      <x:c r="D1853" s="2" t="n">
        <x:v>2025</x:v>
      </x:c>
      <x:c r="E1853" s="2" t="str">
        <x:v>WB_age_under15</x:v>
      </x:c>
      <x:c r="F1853" s="2" t="str">
        <x:v>Population ages 0-14 (% of total population)</x:v>
      </x:c>
    </x:row>
    <x:row r="1854" ht="44" customHeight="1">
      <x:c r="A1854" s="2" t="str">
        <x:v>GNQ</x:v>
      </x:c>
      <x:c r="B1854" s="2" t="str">
        <x:v>age_over65</x:v>
      </x:c>
      <x:c r="C1854" s="2" t="n">
        <x:v>3.76410096619379</x:v>
      </x:c>
      <x:c r="D1854" s="2" t="n">
        <x:v>2025</x:v>
      </x:c>
      <x:c r="E1854" s="2" t="str">
        <x:v>WB_age_over65</x:v>
      </x:c>
      <x:c r="F1854" s="2" t="str">
        <x:v>Population ages 65 and above (% of total population)</x:v>
      </x:c>
    </x:row>
    <x:row r="1855" ht="44" customHeight="1">
      <x:c r="A1855" s="2" t="str">
        <x:v>GNQ</x:v>
      </x:c>
      <x:c r="B1855" s="2" t="str">
        <x:v>dependency_ratio</x:v>
      </x:c>
      <x:c r="C1855" s="2" t="n">
        <x:v>69.0634675597652</x:v>
      </x:c>
      <x:c r="D1855" s="2" t="n">
        <x:v>2025</x:v>
      </x:c>
      <x:c r="E1855" s="2" t="str">
        <x:v>WB_dependency_ratio</x:v>
      </x:c>
      <x:c r="F1855" s="2" t="str">
        <x:v>Age dependency ratio (% of working-age population)</x:v>
      </x:c>
    </x:row>
    <x:row r="1856" ht="44" customHeight="1">
      <x:c r="A1856" s="2" t="str">
        <x:v>GNQ</x:v>
      </x:c>
      <x:c r="B1856" s="2" t="str">
        <x:v>net_migration</x:v>
      </x:c>
      <x:c r="C1856" s="2" t="n">
        <x:v>3812</x:v>
      </x:c>
      <x:c r="D1856" s="2" t="n">
        <x:v>2025</x:v>
      </x:c>
      <x:c r="E1856" s="2" t="str">
        <x:v>WB_net_migration</x:v>
      </x:c>
      <x:c r="F1856" s="2" t="str">
        <x:v>Net migration</x:v>
      </x:c>
    </x:row>
    <x:row r="1857" ht="44" customHeight="1">
      <x:c r="A1857" s="2" t="str">
        <x:v>GNQ</x:v>
      </x:c>
      <x:c r="B1857" s="2" t="str">
        <x:v>real_gdp</x:v>
      </x:c>
      <x:c r="C1857" s="2" t="n">
        <x:v>8718580207.6518</x:v>
      </x:c>
      <x:c r="D1857" s="2" t="n">
        <x:v>2025</x:v>
      </x:c>
      <x:c r="E1857" s="2" t="str">
        <x:v>WB_real_gdp</x:v>
      </x:c>
      <x:c r="F1857" s="2" t="str">
        <x:v>GDP (constant 2015 US$)</x:v>
      </x:c>
    </x:row>
    <x:row r="1858" ht="44" customHeight="1">
      <x:c r="A1858" s="2" t="str">
        <x:v>GNQ</x:v>
      </x:c>
      <x:c r="B1858" s="2" t="str">
        <x:v>gdp_growth</x:v>
      </x:c>
      <x:c r="C1858" s="2" t="n">
        <x:v>-5.84678505700693</x:v>
      </x:c>
      <x:c r="D1858" s="2" t="n">
        <x:v>2025</x:v>
      </x:c>
      <x:c r="E1858" s="2" t="str">
        <x:v>WB_gdp_growth</x:v>
      </x:c>
      <x:c r="F1858" s="2" t="str">
        <x:v>GDP growth (annual %)</x:v>
      </x:c>
    </x:row>
    <x:row r="1859" ht="44" customHeight="1">
      <x:c r="A1859" s="2" t="str">
        <x:v>GNQ</x:v>
      </x:c>
      <x:c r="B1859" s="2" t="str">
        <x:v>real_income</x:v>
      </x:c>
      <x:c r="C1859" s="2" t="n">
        <x:v>4497.75112328053</x:v>
      </x:c>
      <x:c r="D1859" s="2" t="n">
        <x:v>2025</x:v>
      </x:c>
      <x:c r="E1859" s="2" t="str">
        <x:v>WB_real_income</x:v>
      </x:c>
      <x:c r="F1859" s="2" t="str">
        <x:v>GDP per capita (constant 2015 US$)</x:v>
      </x:c>
    </x:row>
    <x:row r="1860" ht="44" customHeight="1">
      <x:c r="A1860" s="2" t="str">
        <x:v>GNQ</x:v>
      </x:c>
      <x:c r="B1860" s="2" t="str">
        <x:v>agriculture_gdp</x:v>
      </x:c>
      <x:c r="C1860" s="2" t="n">
        <x:v>3.20678649748914</x:v>
      </x:c>
      <x:c r="D1860" s="2" t="n">
        <x:v>2025</x:v>
      </x:c>
      <x:c r="E1860" s="2" t="str">
        <x:v>WB_agriculture_gdp</x:v>
      </x:c>
      <x:c r="F1860" s="2" t="str">
        <x:v>Agriculture, forestry, and fishing, value added (% of GDP)</x:v>
      </x:c>
    </x:row>
    <x:row r="1861" ht="44" customHeight="1">
      <x:c r="A1861" s="2" t="str">
        <x:v>GNQ</x:v>
      </x:c>
      <x:c r="B1861" s="2" t="str">
        <x:v>poverty</x:v>
      </x:c>
      <x:c r="C1861" s="2" t="n">
        <x:v>8.8</x:v>
      </x:c>
      <x:c r="D1861" s="2" t="n">
        <x:v>2022</x:v>
      </x:c>
      <x:c r="E1861" s="2" t="str">
        <x:v>WB_poverty</x:v>
      </x:c>
      <x:c r="F1861" s="2" t="str">
        <x:v>Poverty headcount ratio at $3.00 a day (2021 PPP) (% of population)</x:v>
      </x:c>
    </x:row>
    <x:row r="1862" ht="44" customHeight="1">
      <x:c r="A1862" s="2" t="str">
        <x:v>GNQ</x:v>
      </x:c>
      <x:c r="B1862" s="2" t="str">
        <x:v>gini</x:v>
      </x:c>
      <x:c r="C1862" s="2" t="n">
        <x:v>38.5</x:v>
      </x:c>
      <x:c r="D1862" s="2" t="n">
        <x:v>2022</x:v>
      </x:c>
      <x:c r="E1862" s="2" t="str">
        <x:v>WB_gini</x:v>
      </x:c>
      <x:c r="F1862" s="2" t="str">
        <x:v>Gini index</x:v>
      </x:c>
    </x:row>
    <x:row r="1863" ht="44" customHeight="1">
      <x:c r="A1863" s="2" t="str">
        <x:v>GNQ</x:v>
      </x:c>
      <x:c r="B1863" s="2" t="str">
        <x:v>unemployment</x:v>
      </x:c>
      <x:c r="C1863" s="2" t="n">
        <x:v>8.337</x:v>
      </x:c>
      <x:c r="D1863" s="2" t="n">
        <x:v>2025</x:v>
      </x:c>
      <x:c r="E1863" s="2" t="str">
        <x:v>WB_unemployment</x:v>
      </x:c>
      <x:c r="F1863" s="2" t="str">
        <x:v>Unemployment, total (% of total labor force) (modeled ILO estimate)</x:v>
      </x:c>
    </x:row>
    <x:row r="1864" ht="44" customHeight="1">
      <x:c r="A1864" s="2" t="str">
        <x:v>GNQ</x:v>
      </x:c>
      <x:c r="B1864" s="2" t="str">
        <x:v>private_credit</x:v>
      </x:c>
      <x:c r="C1864" s="2" t="n">
        <x:v>5.81219669046931</x:v>
      </x:c>
      <x:c r="D1864" s="2" t="n">
        <x:v>2023</x:v>
      </x:c>
      <x:c r="E1864" s="2" t="str">
        <x:v>WB_private_credit</x:v>
      </x:c>
      <x:c r="F1864" s="2" t="str">
        <x:v>Domestic credit to private sector (% of GDP)</x:v>
      </x:c>
    </x:row>
    <x:row r="1865" ht="44" customHeight="1">
      <x:c r="A1865" s="2" t="str">
        <x:v>GNQ</x:v>
      </x:c>
      <x:c r="B1865" s="2" t="str">
        <x:v>lending_rate</x:v>
      </x:c>
      <x:c r="C1865" s="2"/>
      <x:c r="D1865" s="2"/>
      <x:c r="E1865" s="2" t="str">
        <x:v>Missing</x:v>
      </x:c>
      <x:c r="F1865" s="2" t="str">
        <x:v>Lending interest rate (%)</x:v>
      </x:c>
    </x:row>
    <x:row r="1866" ht="44" customHeight="1">
      <x:c r="A1866" s="2" t="str">
        <x:v>GNQ</x:v>
      </x:c>
      <x:c r="B1866" s="2" t="str">
        <x:v>real_interest</x:v>
      </x:c>
      <x:c r="C1866" s="2"/>
      <x:c r="D1866" s="2"/>
      <x:c r="E1866" s="2" t="str">
        <x:v>Missing</x:v>
      </x:c>
      <x:c r="F1866" s="2" t="str">
        <x:v>Real interest rate (%)</x:v>
      </x:c>
    </x:row>
    <x:row r="1867" ht="44" customHeight="1">
      <x:c r="A1867" s="2" t="str">
        <x:v>GNQ</x:v>
      </x:c>
      <x:c r="B1867" s="2" t="str">
        <x:v>government_debt</x:v>
      </x:c>
      <x:c r="C1867" s="2"/>
      <x:c r="D1867" s="2"/>
      <x:c r="E1867" s="2" t="str">
        <x:v>Missing</x:v>
      </x:c>
      <x:c r="F1867" s="2" t="str">
        <x:v>Central government debt, total (% of GDP)</x:v>
      </x:c>
    </x:row>
    <x:row r="1868" ht="44" customHeight="1">
      <x:c r="A1868" s="2" t="str">
        <x:v>GNQ</x:v>
      </x:c>
      <x:c r="B1868" s="2" t="str">
        <x:v>electricity_access</x:v>
      </x:c>
      <x:c r="C1868" s="2" t="n">
        <x:v>65.1</x:v>
      </x:c>
      <x:c r="D1868" s="2" t="n">
        <x:v>2024</x:v>
      </x:c>
      <x:c r="E1868" s="2" t="str">
        <x:v>WB_electricity_access</x:v>
      </x:c>
      <x:c r="F1868" s="2" t="str">
        <x:v>Access to electricity (% of population)</x:v>
      </x:c>
    </x:row>
    <x:row r="1869" ht="44" customHeight="1">
      <x:c r="A1869" s="2" t="str">
        <x:v>GNQ</x:v>
      </x:c>
      <x:c r="B1869" s="2" t="str">
        <x:v>irrigated_land</x:v>
      </x:c>
      <x:c r="C1869" s="2"/>
      <x:c r="D1869" s="2"/>
      <x:c r="E1869" s="2" t="str">
        <x:v>Missing</x:v>
      </x:c>
      <x:c r="F1869" s="2" t="str">
        <x:v>Agricultural irrigated land (% of total agricultural land)</x:v>
      </x:c>
    </x:row>
    <x:row r="1870" ht="44" customHeight="1">
      <x:c r="A1870" s="2" t="str">
        <x:v>GNQ</x:v>
      </x:c>
      <x:c r="B1870" s="2" t="str">
        <x:v>cereal_area</x:v>
      </x:c>
      <x:c r="C1870" s="2"/>
      <x:c r="D1870" s="2"/>
      <x:c r="E1870" s="2" t="str">
        <x:v>Missing</x:v>
      </x:c>
      <x:c r="F1870" s="2" t="str">
        <x:v>Land under cereal production (hectares)</x:v>
      </x:c>
    </x:row>
    <x:row r="1871" ht="44" customHeight="1">
      <x:c r="A1871" s="2" t="str">
        <x:v>GNQ</x:v>
      </x:c>
      <x:c r="B1871" s="2" t="str">
        <x:v>undernourishment</x:v>
      </x:c>
      <x:c r="C1871" s="2"/>
      <x:c r="D1871" s="2"/>
      <x:c r="E1871" s="2" t="str">
        <x:v>Missing</x:v>
      </x:c>
      <x:c r="F1871" s="2" t="str">
        <x:v>Prevalence of undernourishment (% of population)</x:v>
      </x:c>
    </x:row>
    <x:row r="1872" ht="44" customHeight="1">
      <x:c r="A1872" s="2" t="str">
        <x:v>GNQ</x:v>
      </x:c>
      <x:c r="B1872" s="2" t="str">
        <x:v>agriculture_employment</x:v>
      </x:c>
      <x:c r="C1872" s="2" t="n">
        <x:v>55.3234642801179</x:v>
      </x:c>
      <x:c r="D1872" s="2" t="n">
        <x:v>2025</x:v>
      </x:c>
      <x:c r="E1872" s="2" t="str">
        <x:v>WB_agriculture_employment</x:v>
      </x:c>
      <x:c r="F1872" s="2" t="str">
        <x:v>Employment in agriculture (% of total employment) (modeled ILO estimate)</x:v>
      </x:c>
    </x:row>
    <x:row r="1873" ht="44" customHeight="1">
      <x:c r="A1873" s="2" t="str">
        <x:v>GNQ</x:v>
      </x:c>
      <x:c r="B1873" s="2" t="str">
        <x:v>water_withdrawal</x:v>
      </x:c>
      <x:c r="C1873" s="2" t="n">
        <x:v>0.0761538461538462</x:v>
      </x:c>
      <x:c r="D1873" s="2" t="n">
        <x:v>2022</x:v>
      </x:c>
      <x:c r="E1873" s="2" t="str">
        <x:v>WB_water_withdrawal</x:v>
      </x:c>
      <x:c r="F1873" s="2" t="str">
        <x:v>Annual freshwater withdrawals, total (% of internal resources)</x:v>
      </x:c>
    </x:row>
    <x:row r="1874" ht="44" customHeight="1">
      <x:c r="A1874" s="2" t="str">
        <x:v>ERI</x:v>
      </x:c>
      <x:c r="B1874" s="2" t="str">
        <x:v>population</x:v>
      </x:c>
      <x:c r="C1874" s="2" t="n">
        <x:v>3607003</x:v>
      </x:c>
      <x:c r="D1874" s="2" t="n">
        <x:v>2025</x:v>
      </x:c>
      <x:c r="E1874" s="2" t="str">
        <x:v>WB_population</x:v>
      </x:c>
      <x:c r="F1874" s="2" t="str">
        <x:v>Population, total</x:v>
      </x:c>
    </x:row>
    <x:row r="1875" ht="44" customHeight="1">
      <x:c r="A1875" s="2" t="str">
        <x:v>ERI</x:v>
      </x:c>
      <x:c r="B1875" s="2" t="str">
        <x:v>income_ppp</x:v>
      </x:c>
      <x:c r="C1875" s="2"/>
      <x:c r="D1875" s="2"/>
      <x:c r="E1875" s="2" t="str">
        <x:v>Missing</x:v>
      </x:c>
      <x:c r="F1875" s="2" t="str">
        <x:v>GDP per capita, PPP (constant 2021 international $)</x:v>
      </x:c>
    </x:row>
    <x:row r="1876" ht="44" customHeight="1">
      <x:c r="A1876" s="2" t="str">
        <x:v>ERI</x:v>
      </x:c>
      <x:c r="B1876" s="2" t="str">
        <x:v>urban</x:v>
      </x:c>
      <x:c r="C1876" s="2" t="n">
        <x:v>34.5404504255216</x:v>
      </x:c>
      <x:c r="D1876" s="2" t="n">
        <x:v>2025</x:v>
      </x:c>
      <x:c r="E1876" s="2" t="str">
        <x:v>WB_urban</x:v>
      </x:c>
      <x:c r="F1876" s="2" t="str">
        <x:v>Urban population (% of total population)</x:v>
      </x:c>
    </x:row>
    <x:row r="1877" ht="44" customHeight="1">
      <x:c r="A1877" s="2" t="str">
        <x:v>ERI</x:v>
      </x:c>
      <x:c r="B1877" s="2" t="str">
        <x:v>inflation</x:v>
      </x:c>
      <x:c r="C1877" s="2"/>
      <x:c r="D1877" s="2"/>
      <x:c r="E1877" s="2" t="str">
        <x:v>Missing</x:v>
      </x:c>
      <x:c r="F1877" s="2" t="str">
        <x:v>Inflation, consumer prices (annual %)</x:v>
      </x:c>
    </x:row>
    <x:row r="1878" ht="44" customHeight="1">
      <x:c r="A1878" s="2" t="str">
        <x:v>ERI</x:v>
      </x:c>
      <x:c r="B1878" s="2" t="str">
        <x:v>food_index</x:v>
      </x:c>
      <x:c r="C1878" s="2" t="n">
        <x:v>106.08</x:v>
      </x:c>
      <x:c r="D1878" s="2" t="n">
        <x:v>2022</x:v>
      </x:c>
      <x:c r="E1878" s="2" t="str">
        <x:v>WB_food_index</x:v>
      </x:c>
      <x:c r="F1878" s="2" t="str">
        <x:v>Food production index (2014-2016 = 100)</x:v>
      </x:c>
    </x:row>
    <x:row r="1879" ht="44" customHeight="1">
      <x:c r="A1879" s="2" t="str">
        <x:v>ERI</x:v>
      </x:c>
      <x:c r="B1879" s="2" t="str">
        <x:v>food_import_share</x:v>
      </x:c>
      <x:c r="C1879" s="2" t="n">
        <x:v>45.5713792180839</x:v>
      </x:c>
      <x:c r="D1879" s="2" t="n">
        <x:v>2003</x:v>
      </x:c>
      <x:c r="E1879" s="2" t="str">
        <x:v>WB_food_import_share</x:v>
      </x:c>
      <x:c r="F1879" s="2" t="str">
        <x:v>Food imports (% of merchandise imports)</x:v>
      </x:c>
    </x:row>
    <x:row r="1880" ht="44" customHeight="1">
      <x:c r="A1880" s="2" t="str">
        <x:v>ERI</x:v>
      </x:c>
      <x:c r="B1880" s="2" t="str">
        <x:v>food_export_share</x:v>
      </x:c>
      <x:c r="C1880" s="2" t="n">
        <x:v>41.9866584953993</x:v>
      </x:c>
      <x:c r="D1880" s="2" t="n">
        <x:v>2003</x:v>
      </x:c>
      <x:c r="E1880" s="2" t="str">
        <x:v>WB_food_export_share</x:v>
      </x:c>
      <x:c r="F1880" s="2" t="str">
        <x:v>Food exports (% of merchandise exports)</x:v>
      </x:c>
    </x:row>
    <x:row r="1881" ht="44" customHeight="1">
      <x:c r="A1881" s="2" t="str">
        <x:v>ERI</x:v>
      </x:c>
      <x:c r="B1881" s="2" t="str">
        <x:v>imports_usd</x:v>
      </x:c>
      <x:c r="C1881" s="2" t="n">
        <x:v>524000000</x:v>
      </x:c>
      <x:c r="D1881" s="2" t="n">
        <x:v>2025</x:v>
      </x:c>
      <x:c r="E1881" s="2" t="str">
        <x:v>WB_imports_usd</x:v>
      </x:c>
      <x:c r="F1881" s="2" t="str">
        <x:v>Merchandise imports (current US$)</x:v>
      </x:c>
    </x:row>
    <x:row r="1882" ht="44" customHeight="1">
      <x:c r="A1882" s="2" t="str">
        <x:v>ERI</x:v>
      </x:c>
      <x:c r="B1882" s="2" t="str">
        <x:v>exports_usd</x:v>
      </x:c>
      <x:c r="C1882" s="2" t="n">
        <x:v>631000000</x:v>
      </x:c>
      <x:c r="D1882" s="2" t="n">
        <x:v>2025</x:v>
      </x:c>
      <x:c r="E1882" s="2" t="str">
        <x:v>WB_exports_usd</x:v>
      </x:c>
      <x:c r="F1882" s="2" t="str">
        <x:v>Merchandise exports (current US$)</x:v>
      </x:c>
    </x:row>
    <x:row r="1883" ht="44" customHeight="1">
      <x:c r="A1883" s="2" t="str">
        <x:v>ERI</x:v>
      </x:c>
      <x:c r="B1883" s="2" t="str">
        <x:v>cereal_yield</x:v>
      </x:c>
      <x:c r="C1883" s="2" t="n">
        <x:v>638</x:v>
      </x:c>
      <x:c r="D1883" s="2" t="n">
        <x:v>2024</x:v>
      </x:c>
      <x:c r="E1883" s="2" t="str">
        <x:v>WB_cereal_yield</x:v>
      </x:c>
      <x:c r="F1883" s="2" t="str">
        <x:v>Cereal yield (kg per hectare)</x:v>
      </x:c>
    </x:row>
    <x:row r="1884" ht="44" customHeight="1">
      <x:c r="A1884" s="2" t="str">
        <x:v>ERI</x:v>
      </x:c>
      <x:c r="B1884" s="2" t="str">
        <x:v>water_stress</x:v>
      </x:c>
      <x:c r="C1884" s="2" t="n">
        <x:v>11.17511521</x:v>
      </x:c>
      <x:c r="D1884" s="2" t="n">
        <x:v>2022</x:v>
      </x:c>
      <x:c r="E1884" s="2" t="str">
        <x:v>WB_water_stress</x:v>
      </x:c>
      <x:c r="F1884" s="2" t="str">
        <x:v>Level of water stress: freshwater withdrawal as a proportion of available freshwater resources</x:v>
      </x:c>
    </x:row>
    <x:row r="1885" ht="44" customHeight="1">
      <x:c r="A1885" s="2" t="str">
        <x:v>ERI</x:v>
      </x:c>
      <x:c r="B1885" s="2" t="str">
        <x:v>fertility</x:v>
      </x:c>
      <x:c r="C1885" s="2" t="n">
        <x:v>3.68</x:v>
      </x:c>
      <x:c r="D1885" s="2" t="n">
        <x:v>2024</x:v>
      </x:c>
      <x:c r="E1885" s="2" t="str">
        <x:v>WB_fertility</x:v>
      </x:c>
      <x:c r="F1885" s="2" t="str">
        <x:v>Fertility rate, total (births per woman)</x:v>
      </x:c>
    </x:row>
    <x:row r="1886" ht="44" customHeight="1">
      <x:c r="A1886" s="2" t="str">
        <x:v>ERI</x:v>
      </x:c>
      <x:c r="B1886" s="2" t="str">
        <x:v>life_expectancy</x:v>
      </x:c>
      <x:c r="C1886" s="2" t="n">
        <x:v>68.893</x:v>
      </x:c>
      <x:c r="D1886" s="2" t="n">
        <x:v>2024</x:v>
      </x:c>
      <x:c r="E1886" s="2" t="str">
        <x:v>WB_life_expectancy</x:v>
      </x:c>
      <x:c r="F1886" s="2" t="str">
        <x:v>Life expectancy at birth, total (years)</x:v>
      </x:c>
    </x:row>
    <x:row r="1887" ht="44" customHeight="1">
      <x:c r="A1887" s="2" t="str">
        <x:v>ERI</x:v>
      </x:c>
      <x:c r="B1887" s="2" t="str">
        <x:v>age_under15</x:v>
      </x:c>
      <x:c r="C1887" s="2" t="n">
        <x:v>37.590556481378</x:v>
      </x:c>
      <x:c r="D1887" s="2" t="n">
        <x:v>2025</x:v>
      </x:c>
      <x:c r="E1887" s="2" t="str">
        <x:v>WB_age_under15</x:v>
      </x:c>
      <x:c r="F1887" s="2" t="str">
        <x:v>Population ages 0-14 (% of total population)</x:v>
      </x:c>
    </x:row>
    <x:row r="1888" ht="44" customHeight="1">
      <x:c r="A1888" s="2" t="str">
        <x:v>ERI</x:v>
      </x:c>
      <x:c r="B1888" s="2" t="str">
        <x:v>age_over65</x:v>
      </x:c>
      <x:c r="C1888" s="2" t="n">
        <x:v>4.2581056905137</x:v>
      </x:c>
      <x:c r="D1888" s="2" t="n">
        <x:v>2025</x:v>
      </x:c>
      <x:c r="E1888" s="2" t="str">
        <x:v>WB_age_over65</x:v>
      </x:c>
      <x:c r="F1888" s="2" t="str">
        <x:v>Population ages 65 and above (% of total population)</x:v>
      </x:c>
    </x:row>
    <x:row r="1889" ht="44" customHeight="1">
      <x:c r="A1889" s="2" t="str">
        <x:v>ERI</x:v>
      </x:c>
      <x:c r="B1889" s="2" t="str">
        <x:v>dependency_ratio</x:v>
      </x:c>
      <x:c r="C1889" s="2" t="n">
        <x:v>71.9650482641175</x:v>
      </x:c>
      <x:c r="D1889" s="2" t="n">
        <x:v>2025</x:v>
      </x:c>
      <x:c r="E1889" s="2" t="str">
        <x:v>WB_dependency_ratio</x:v>
      </x:c>
      <x:c r="F1889" s="2" t="str">
        <x:v>Age dependency ratio (% of working-age population)</x:v>
      </x:c>
    </x:row>
    <x:row r="1890" ht="44" customHeight="1">
      <x:c r="A1890" s="2" t="str">
        <x:v>ERI</x:v>
      </x:c>
      <x:c r="B1890" s="2" t="str">
        <x:v>net_migration</x:v>
      </x:c>
      <x:c r="C1890" s="2" t="n">
        <x:v>-6698</x:v>
      </x:c>
      <x:c r="D1890" s="2" t="n">
        <x:v>2025</x:v>
      </x:c>
      <x:c r="E1890" s="2" t="str">
        <x:v>WB_net_migration</x:v>
      </x:c>
      <x:c r="F1890" s="2" t="str">
        <x:v>Net migration</x:v>
      </x:c>
    </x:row>
    <x:row r="1891" ht="44" customHeight="1">
      <x:c r="A1891" s="2" t="str">
        <x:v>ERI</x:v>
      </x:c>
      <x:c r="B1891" s="2" t="str">
        <x:v>real_gdp</x:v>
      </x:c>
      <x:c r="C1891" s="2" t="n">
        <x:v>2252986366.41081</x:v>
      </x:c>
      <x:c r="D1891" s="2" t="n">
        <x:v>2011</x:v>
      </x:c>
      <x:c r="E1891" s="2" t="str">
        <x:v>WB_real_gdp</x:v>
      </x:c>
      <x:c r="F1891" s="2" t="str">
        <x:v>GDP (constant 2015 US$)</x:v>
      </x:c>
    </x:row>
    <x:row r="1892" ht="44" customHeight="1">
      <x:c r="A1892" s="2" t="str">
        <x:v>ERI</x:v>
      </x:c>
      <x:c r="B1892" s="2" t="str">
        <x:v>gdp_growth</x:v>
      </x:c>
      <x:c r="C1892" s="2" t="n">
        <x:v>8.67980010138049</x:v>
      </x:c>
      <x:c r="D1892" s="2" t="n">
        <x:v>2011</x:v>
      </x:c>
      <x:c r="E1892" s="2" t="str">
        <x:v>WB_gdp_growth</x:v>
      </x:c>
      <x:c r="F1892" s="2" t="str">
        <x:v>GDP growth (annual %)</x:v>
      </x:c>
    </x:row>
    <x:row r="1893" ht="44" customHeight="1">
      <x:c r="A1893" s="2" t="str">
        <x:v>ERI</x:v>
      </x:c>
      <x:c r="B1893" s="2" t="str">
        <x:v>real_income</x:v>
      </x:c>
      <x:c r="C1893" s="2" t="n">
        <x:v>751.374899794668</x:v>
      </x:c>
      <x:c r="D1893" s="2" t="n">
        <x:v>2011</x:v>
      </x:c>
      <x:c r="E1893" s="2" t="str">
        <x:v>WB_real_income</x:v>
      </x:c>
      <x:c r="F1893" s="2" t="str">
        <x:v>GDP per capita (constant 2015 US$)</x:v>
      </x:c>
    </x:row>
    <x:row r="1894" ht="44" customHeight="1">
      <x:c r="A1894" s="2" t="str">
        <x:v>ERI</x:v>
      </x:c>
      <x:c r="B1894" s="2" t="str">
        <x:v>agriculture_gdp</x:v>
      </x:c>
      <x:c r="C1894" s="2" t="n">
        <x:v>14.1242274354984</x:v>
      </x:c>
      <x:c r="D1894" s="2" t="n">
        <x:v>2009</x:v>
      </x:c>
      <x:c r="E1894" s="2" t="str">
        <x:v>WB_agriculture_gdp</x:v>
      </x:c>
      <x:c r="F1894" s="2" t="str">
        <x:v>Agriculture, forestry, and fishing, value added (% of GDP)</x:v>
      </x:c>
    </x:row>
    <x:row r="1895" ht="44" customHeight="1">
      <x:c r="A1895" s="2" t="str">
        <x:v>ERI</x:v>
      </x:c>
      <x:c r="B1895" s="2" t="str">
        <x:v>poverty</x:v>
      </x:c>
      <x:c r="C1895" s="2"/>
      <x:c r="D1895" s="2"/>
      <x:c r="E1895" s="2" t="str">
        <x:v>Missing</x:v>
      </x:c>
      <x:c r="F1895" s="2" t="str">
        <x:v>Poverty headcount ratio at $3.00 a day (2021 PPP) (% of population)</x:v>
      </x:c>
    </x:row>
    <x:row r="1896" ht="44" customHeight="1">
      <x:c r="A1896" s="2" t="str">
        <x:v>ERI</x:v>
      </x:c>
      <x:c r="B1896" s="2" t="str">
        <x:v>gini</x:v>
      </x:c>
      <x:c r="C1896" s="2"/>
      <x:c r="D1896" s="2"/>
      <x:c r="E1896" s="2" t="str">
        <x:v>Missing</x:v>
      </x:c>
      <x:c r="F1896" s="2" t="str">
        <x:v>Gini index</x:v>
      </x:c>
    </x:row>
    <x:row r="1897" ht="44" customHeight="1">
      <x:c r="A1897" s="2" t="str">
        <x:v>ERI</x:v>
      </x:c>
      <x:c r="B1897" s="2" t="str">
        <x:v>unemployment</x:v>
      </x:c>
      <x:c r="C1897" s="2" t="n">
        <x:v>5.978</x:v>
      </x:c>
      <x:c r="D1897" s="2" t="n">
        <x:v>2025</x:v>
      </x:c>
      <x:c r="E1897" s="2" t="str">
        <x:v>WB_unemployment</x:v>
      </x:c>
      <x:c r="F1897" s="2" t="str">
        <x:v>Unemployment, total (% of total labor force) (modeled ILO estimate)</x:v>
      </x:c>
    </x:row>
    <x:row r="1898" ht="44" customHeight="1">
      <x:c r="A1898" s="2" t="str">
        <x:v>ERI</x:v>
      </x:c>
      <x:c r="B1898" s="2" t="str">
        <x:v>private_credit</x:v>
      </x:c>
      <x:c r="C1898" s="2" t="n">
        <x:v>53.241077381173</x:v>
      </x:c>
      <x:c r="D1898" s="2" t="n">
        <x:v>2014</x:v>
      </x:c>
      <x:c r="E1898" s="2" t="str">
        <x:v>WB_private_credit</x:v>
      </x:c>
      <x:c r="F1898" s="2" t="str">
        <x:v>Domestic credit to private sector (% of GDP)</x:v>
      </x:c>
    </x:row>
    <x:row r="1899" ht="44" customHeight="1">
      <x:c r="A1899" s="2" t="str">
        <x:v>ERI</x:v>
      </x:c>
      <x:c r="B1899" s="2" t="str">
        <x:v>lending_rate</x:v>
      </x:c>
      <x:c r="C1899" s="2"/>
      <x:c r="D1899" s="2"/>
      <x:c r="E1899" s="2" t="str">
        <x:v>Missing</x:v>
      </x:c>
      <x:c r="F1899" s="2" t="str">
        <x:v>Lending interest rate (%)</x:v>
      </x:c>
    </x:row>
    <x:row r="1900" ht="44" customHeight="1">
      <x:c r="A1900" s="2" t="str">
        <x:v>ERI</x:v>
      </x:c>
      <x:c r="B1900" s="2" t="str">
        <x:v>real_interest</x:v>
      </x:c>
      <x:c r="C1900" s="2"/>
      <x:c r="D1900" s="2"/>
      <x:c r="E1900" s="2" t="str">
        <x:v>Missing</x:v>
      </x:c>
      <x:c r="F1900" s="2" t="str">
        <x:v>Real interest rate (%)</x:v>
      </x:c>
    </x:row>
    <x:row r="1901" ht="44" customHeight="1">
      <x:c r="A1901" s="2" t="str">
        <x:v>ERI</x:v>
      </x:c>
      <x:c r="B1901" s="2" t="str">
        <x:v>government_debt</x:v>
      </x:c>
      <x:c r="C1901" s="2"/>
      <x:c r="D1901" s="2"/>
      <x:c r="E1901" s="2" t="str">
        <x:v>Missing</x:v>
      </x:c>
      <x:c r="F1901" s="2" t="str">
        <x:v>Central government debt, total (% of GDP)</x:v>
      </x:c>
    </x:row>
    <x:row r="1902" ht="44" customHeight="1">
      <x:c r="A1902" s="2" t="str">
        <x:v>ERI</x:v>
      </x:c>
      <x:c r="B1902" s="2" t="str">
        <x:v>electricity_access</x:v>
      </x:c>
      <x:c r="C1902" s="2" t="n">
        <x:v>55.3</x:v>
      </x:c>
      <x:c r="D1902" s="2" t="n">
        <x:v>2024</x:v>
      </x:c>
      <x:c r="E1902" s="2" t="str">
        <x:v>WB_electricity_access</x:v>
      </x:c>
      <x:c r="F1902" s="2" t="str">
        <x:v>Access to electricity (% of population)</x:v>
      </x:c>
    </x:row>
    <x:row r="1903" ht="44" customHeight="1">
      <x:c r="A1903" s="2" t="str">
        <x:v>ERI</x:v>
      </x:c>
      <x:c r="B1903" s="2" t="str">
        <x:v>irrigated_land</x:v>
      </x:c>
      <x:c r="C1903" s="2"/>
      <x:c r="D1903" s="2"/>
      <x:c r="E1903" s="2" t="str">
        <x:v>Missing</x:v>
      </x:c>
      <x:c r="F1903" s="2" t="str">
        <x:v>Agricultural irrigated land (% of total agricultural land)</x:v>
      </x:c>
    </x:row>
    <x:row r="1904" ht="44" customHeight="1">
      <x:c r="A1904" s="2" t="str">
        <x:v>ERI</x:v>
      </x:c>
      <x:c r="B1904" s="2" t="str">
        <x:v>cereal_area</x:v>
      </x:c>
      <x:c r="C1904" s="2" t="n">
        <x:v>478367</x:v>
      </x:c>
      <x:c r="D1904" s="2" t="n">
        <x:v>2024</x:v>
      </x:c>
      <x:c r="E1904" s="2" t="str">
        <x:v>WB_cereal_area</x:v>
      </x:c>
      <x:c r="F1904" s="2" t="str">
        <x:v>Land under cereal production (hectares)</x:v>
      </x:c>
    </x:row>
    <x:row r="1905" ht="44" customHeight="1">
      <x:c r="A1905" s="2" t="str">
        <x:v>ERI</x:v>
      </x:c>
      <x:c r="B1905" s="2" t="str">
        <x:v>undernourishment</x:v>
      </x:c>
      <x:c r="C1905" s="2"/>
      <x:c r="D1905" s="2"/>
      <x:c r="E1905" s="2" t="str">
        <x:v>Missing</x:v>
      </x:c>
      <x:c r="F1905" s="2" t="str">
        <x:v>Prevalence of undernourishment (% of population)</x:v>
      </x:c>
    </x:row>
    <x:row r="1906" ht="44" customHeight="1">
      <x:c r="A1906" s="2" t="str">
        <x:v>ERI</x:v>
      </x:c>
      <x:c r="B1906" s="2" t="str">
        <x:v>agriculture_employment</x:v>
      </x:c>
      <x:c r="C1906" s="2" t="n">
        <x:v>55.4760411515685</x:v>
      </x:c>
      <x:c r="D1906" s="2" t="n">
        <x:v>2025</x:v>
      </x:c>
      <x:c r="E1906" s="2" t="str">
        <x:v>WB_agriculture_employment</x:v>
      </x:c>
      <x:c r="F1906" s="2" t="str">
        <x:v>Employment in agriculture (% of total employment) (modeled ILO estimate)</x:v>
      </x:c>
    </x:row>
    <x:row r="1907" ht="44" customHeight="1">
      <x:c r="A1907" s="2" t="str">
        <x:v>ERI</x:v>
      </x:c>
      <x:c r="B1907" s="2" t="str">
        <x:v>water_withdrawal</x:v>
      </x:c>
      <x:c r="C1907" s="2" t="n">
        <x:v>20.7857142857143</x:v>
      </x:c>
      <x:c r="D1907" s="2" t="n">
        <x:v>2022</x:v>
      </x:c>
      <x:c r="E1907" s="2" t="str">
        <x:v>WB_water_withdrawal</x:v>
      </x:c>
      <x:c r="F1907" s="2" t="str">
        <x:v>Annual freshwater withdrawals, total (% of internal resources)</x:v>
      </x:c>
    </x:row>
    <x:row r="1908" ht="44" customHeight="1">
      <x:c r="A1908" s="2" t="str">
        <x:v>EST</x:v>
      </x:c>
      <x:c r="B1908" s="2" t="str">
        <x:v>population</x:v>
      </x:c>
      <x:c r="C1908" s="2" t="n">
        <x:v>1366475</x:v>
      </x:c>
      <x:c r="D1908" s="2" t="n">
        <x:v>2025</x:v>
      </x:c>
      <x:c r="E1908" s="2" t="str">
        <x:v>WB_population</x:v>
      </x:c>
      <x:c r="F1908" s="2" t="str">
        <x:v>Population, total</x:v>
      </x:c>
    </x:row>
    <x:row r="1909" ht="44" customHeight="1">
      <x:c r="A1909" s="2" t="str">
        <x:v>EST</x:v>
      </x:c>
      <x:c r="B1909" s="2" t="str">
        <x:v>income_ppp</x:v>
      </x:c>
      <x:c r="C1909" s="2" t="n">
        <x:v>41604.3226612806</x:v>
      </x:c>
      <x:c r="D1909" s="2" t="n">
        <x:v>2025</x:v>
      </x:c>
      <x:c r="E1909" s="2" t="str">
        <x:v>WB_income_ppp</x:v>
      </x:c>
      <x:c r="F1909" s="2" t="str">
        <x:v>GDP per capita, PPP (constant 2021 international $)</x:v>
      </x:c>
    </x:row>
    <x:row r="1910" ht="44" customHeight="1">
      <x:c r="A1910" s="2" t="str">
        <x:v>EST</x:v>
      </x:c>
      <x:c r="B1910" s="2" t="str">
        <x:v>urban</x:v>
      </x:c>
      <x:c r="C1910" s="2" t="n">
        <x:v>70.7208526598129</x:v>
      </x:c>
      <x:c r="D1910" s="2" t="n">
        <x:v>2025</x:v>
      </x:c>
      <x:c r="E1910" s="2" t="str">
        <x:v>WB_urban</x:v>
      </x:c>
      <x:c r="F1910" s="2" t="str">
        <x:v>Urban population (% of total population)</x:v>
      </x:c>
    </x:row>
    <x:row r="1911" ht="44" customHeight="1">
      <x:c r="A1911" s="2" t="str">
        <x:v>EST</x:v>
      </x:c>
      <x:c r="B1911" s="2" t="str">
        <x:v>inflation</x:v>
      </x:c>
      <x:c r="C1911" s="2" t="n">
        <x:v>4.82920753628342</x:v>
      </x:c>
      <x:c r="D1911" s="2" t="n">
        <x:v>2025</x:v>
      </x:c>
      <x:c r="E1911" s="2" t="str">
        <x:v>WB_inflation</x:v>
      </x:c>
      <x:c r="F1911" s="2" t="str">
        <x:v>Inflation, consumer prices (annual %)</x:v>
      </x:c>
    </x:row>
    <x:row r="1912" ht="44" customHeight="1">
      <x:c r="A1912" s="2" t="str">
        <x:v>EST</x:v>
      </x:c>
      <x:c r="B1912" s="2" t="str">
        <x:v>food_index</x:v>
      </x:c>
      <x:c r="C1912" s="2" t="n">
        <x:v>105.65</x:v>
      </x:c>
      <x:c r="D1912" s="2" t="n">
        <x:v>2022</x:v>
      </x:c>
      <x:c r="E1912" s="2" t="str">
        <x:v>WB_food_index</x:v>
      </x:c>
      <x:c r="F1912" s="2" t="str">
        <x:v>Food production index (2014-2016 = 100)</x:v>
      </x:c>
    </x:row>
    <x:row r="1913" ht="44" customHeight="1">
      <x:c r="A1913" s="2" t="str">
        <x:v>EST</x:v>
      </x:c>
      <x:c r="B1913" s="2" t="str">
        <x:v>food_import_share</x:v>
      </x:c>
      <x:c r="C1913" s="2" t="n">
        <x:v>14.2452823132285</x:v>
      </x:c>
      <x:c r="D1913" s="2" t="n">
        <x:v>2024</x:v>
      </x:c>
      <x:c r="E1913" s="2" t="str">
        <x:v>WB_food_import_share</x:v>
      </x:c>
      <x:c r="F1913" s="2" t="str">
        <x:v>Food imports (% of merchandise imports)</x:v>
      </x:c>
    </x:row>
    <x:row r="1914" ht="44" customHeight="1">
      <x:c r="A1914" s="2" t="str">
        <x:v>EST</x:v>
      </x:c>
      <x:c r="B1914" s="2" t="str">
        <x:v>food_export_share</x:v>
      </x:c>
      <x:c r="C1914" s="2" t="n">
        <x:v>13.6068010088738</x:v>
      </x:c>
      <x:c r="D1914" s="2" t="n">
        <x:v>2024</x:v>
      </x:c>
      <x:c r="E1914" s="2" t="str">
        <x:v>WB_food_export_share</x:v>
      </x:c>
      <x:c r="F1914" s="2" t="str">
        <x:v>Food exports (% of merchandise exports)</x:v>
      </x:c>
    </x:row>
    <x:row r="1915" ht="44" customHeight="1">
      <x:c r="A1915" s="2" t="str">
        <x:v>EST</x:v>
      </x:c>
      <x:c r="B1915" s="2" t="str">
        <x:v>imports_usd</x:v>
      </x:c>
      <x:c r="C1915" s="2" t="n">
        <x:v>25298000000</x:v>
      </x:c>
      <x:c r="D1915" s="2" t="n">
        <x:v>2025</x:v>
      </x:c>
      <x:c r="E1915" s="2" t="str">
        <x:v>WB_imports_usd</x:v>
      </x:c>
      <x:c r="F1915" s="2" t="str">
        <x:v>Merchandise imports (current US$)</x:v>
      </x:c>
    </x:row>
    <x:row r="1916" ht="44" customHeight="1">
      <x:c r="A1916" s="2" t="str">
        <x:v>EST</x:v>
      </x:c>
      <x:c r="B1916" s="2" t="str">
        <x:v>exports_usd</x:v>
      </x:c>
      <x:c r="C1916" s="2" t="n">
        <x:v>20980000000</x:v>
      </x:c>
      <x:c r="D1916" s="2" t="n">
        <x:v>2025</x:v>
      </x:c>
      <x:c r="E1916" s="2" t="str">
        <x:v>WB_exports_usd</x:v>
      </x:c>
      <x:c r="F1916" s="2" t="str">
        <x:v>Merchandise exports (current US$)</x:v>
      </x:c>
    </x:row>
    <x:row r="1917" ht="44" customHeight="1">
      <x:c r="A1917" s="2" t="str">
        <x:v>EST</x:v>
      </x:c>
      <x:c r="B1917" s="2" t="str">
        <x:v>cereal_yield</x:v>
      </x:c>
      <x:c r="C1917" s="2" t="n">
        <x:v>3409.5</x:v>
      </x:c>
      <x:c r="D1917" s="2" t="n">
        <x:v>2023</x:v>
      </x:c>
      <x:c r="E1917" s="2" t="str">
        <x:v>WB_cereal_yield</x:v>
      </x:c>
      <x:c r="F1917" s="2" t="str">
        <x:v>Cereal yield (kg per hectare)</x:v>
      </x:c>
    </x:row>
    <x:row r="1918" ht="44" customHeight="1">
      <x:c r="A1918" s="2" t="str">
        <x:v>EST</x:v>
      </x:c>
      <x:c r="B1918" s="2" t="str">
        <x:v>water_stress</x:v>
      </x:c>
      <x:c r="C1918" s="2" t="n">
        <x:v>13.04628519</x:v>
      </x:c>
      <x:c r="D1918" s="2" t="n">
        <x:v>2022</x:v>
      </x:c>
      <x:c r="E1918" s="2" t="str">
        <x:v>WB_water_stress</x:v>
      </x:c>
      <x:c r="F1918" s="2" t="str">
        <x:v>Level of water stress: freshwater withdrawal as a proportion of available freshwater resources</x:v>
      </x:c>
    </x:row>
    <x:row r="1919" ht="44" customHeight="1">
      <x:c r="A1919" s="2" t="str">
        <x:v>EST</x:v>
      </x:c>
      <x:c r="B1919" s="2" t="str">
        <x:v>fertility</x:v>
      </x:c>
      <x:c r="C1919" s="2" t="n">
        <x:v>1.18</x:v>
      </x:c>
      <x:c r="D1919" s="2" t="n">
        <x:v>2024</x:v>
      </x:c>
      <x:c r="E1919" s="2" t="str">
        <x:v>WB_fertility</x:v>
      </x:c>
      <x:c r="F1919" s="2" t="str">
        <x:v>Fertility rate, total (births per woman)</x:v>
      </x:c>
    </x:row>
    <x:row r="1920" ht="44" customHeight="1">
      <x:c r="A1920" s="2" t="str">
        <x:v>EST</x:v>
      </x:c>
      <x:c r="B1920" s="2" t="str">
        <x:v>life_expectancy</x:v>
      </x:c>
      <x:c r="C1920" s="2" t="n">
        <x:v>79.2951219512195</x:v>
      </x:c>
      <x:c r="D1920" s="2" t="n">
        <x:v>2024</x:v>
      </x:c>
      <x:c r="E1920" s="2" t="str">
        <x:v>WB_life_expectancy</x:v>
      </x:c>
      <x:c r="F1920" s="2" t="str">
        <x:v>Life expectancy at birth, total (years)</x:v>
      </x:c>
    </x:row>
    <x:row r="1921" ht="44" customHeight="1">
      <x:c r="A1921" s="2" t="str">
        <x:v>EST</x:v>
      </x:c>
      <x:c r="B1921" s="2" t="str">
        <x:v>age_under15</x:v>
      </x:c>
      <x:c r="C1921" s="2" t="n">
        <x:v>15.2537657190128</x:v>
      </x:c>
      <x:c r="D1921" s="2" t="n">
        <x:v>2025</x:v>
      </x:c>
      <x:c r="E1921" s="2" t="str">
        <x:v>WB_age_under15</x:v>
      </x:c>
      <x:c r="F1921" s="2" t="str">
        <x:v>Population ages 0-14 (% of total population)</x:v>
      </x:c>
    </x:row>
    <x:row r="1922" ht="44" customHeight="1">
      <x:c r="A1922" s="2" t="str">
        <x:v>EST</x:v>
      </x:c>
      <x:c r="B1922" s="2" t="str">
        <x:v>age_over65</x:v>
      </x:c>
      <x:c r="C1922" s="2" t="n">
        <x:v>21.8016309684638</x:v>
      </x:c>
      <x:c r="D1922" s="2" t="n">
        <x:v>2025</x:v>
      </x:c>
      <x:c r="E1922" s="2" t="str">
        <x:v>WB_age_over65</x:v>
      </x:c>
      <x:c r="F1922" s="2" t="str">
        <x:v>Population ages 65 and above (% of total population)</x:v>
      </x:c>
    </x:row>
    <x:row r="1923" ht="44" customHeight="1">
      <x:c r="A1923" s="2" t="str">
        <x:v>EST</x:v>
      </x:c>
      <x:c r="B1923" s="2" t="str">
        <x:v>dependency_ratio</x:v>
      </x:c>
      <x:c r="C1923" s="2" t="n">
        <x:v>58.8699045019195</x:v>
      </x:c>
      <x:c r="D1923" s="2" t="n">
        <x:v>2025</x:v>
      </x:c>
      <x:c r="E1923" s="2" t="str">
        <x:v>WB_dependency_ratio</x:v>
      </x:c>
      <x:c r="F1923" s="2" t="str">
        <x:v>Age dependency ratio (% of working-age population)</x:v>
      </x:c>
    </x:row>
    <x:row r="1924" ht="44" customHeight="1">
      <x:c r="A1924" s="2" t="str">
        <x:v>EST</x:v>
      </x:c>
      <x:c r="B1924" s="2" t="str">
        <x:v>net_migration</x:v>
      </x:c>
      <x:c r="C1924" s="2" t="n">
        <x:v>-13350</x:v>
      </x:c>
      <x:c r="D1924" s="2" t="n">
        <x:v>2025</x:v>
      </x:c>
      <x:c r="E1924" s="2" t="str">
        <x:v>WB_net_migration</x:v>
      </x:c>
      <x:c r="F1924" s="2" t="str">
        <x:v>Net migration</x:v>
      </x:c>
    </x:row>
    <x:row r="1925" ht="44" customHeight="1">
      <x:c r="A1925" s="2" t="str">
        <x:v>EST</x:v>
      </x:c>
      <x:c r="B1925" s="2" t="str">
        <x:v>real_gdp</x:v>
      </x:c>
      <x:c r="C1925" s="2" t="n">
        <x:v>27715055071.5067</x:v>
      </x:c>
      <x:c r="D1925" s="2" t="n">
        <x:v>2025</x:v>
      </x:c>
      <x:c r="E1925" s="2" t="str">
        <x:v>WB_real_gdp</x:v>
      </x:c>
      <x:c r="F1925" s="2" t="str">
        <x:v>GDP (constant 2015 US$)</x:v>
      </x:c>
    </x:row>
    <x:row r="1926" ht="44" customHeight="1">
      <x:c r="A1926" s="2" t="str">
        <x:v>EST</x:v>
      </x:c>
      <x:c r="B1926" s="2" t="str">
        <x:v>gdp_growth</x:v>
      </x:c>
      <x:c r="C1926" s="2" t="n">
        <x:v>0.584308464789387</x:v>
      </x:c>
      <x:c r="D1926" s="2" t="n">
        <x:v>2025</x:v>
      </x:c>
      <x:c r="E1926" s="2" t="str">
        <x:v>WB_gdp_growth</x:v>
      </x:c>
      <x:c r="F1926" s="2" t="str">
        <x:v>GDP growth (annual %)</x:v>
      </x:c>
    </x:row>
    <x:row r="1927" ht="44" customHeight="1">
      <x:c r="A1927" s="2" t="str">
        <x:v>EST</x:v>
      </x:c>
      <x:c r="B1927" s="2" t="str">
        <x:v>real_income</x:v>
      </x:c>
      <x:c r="C1927" s="2" t="n">
        <x:v>20282.1530371991</x:v>
      </x:c>
      <x:c r="D1927" s="2" t="n">
        <x:v>2025</x:v>
      </x:c>
      <x:c r="E1927" s="2" t="str">
        <x:v>WB_real_income</x:v>
      </x:c>
      <x:c r="F1927" s="2" t="str">
        <x:v>GDP per capita (constant 2015 US$)</x:v>
      </x:c>
    </x:row>
    <x:row r="1928" ht="44" customHeight="1">
      <x:c r="A1928" s="2" t="str">
        <x:v>EST</x:v>
      </x:c>
      <x:c r="B1928" s="2" t="str">
        <x:v>agriculture_gdp</x:v>
      </x:c>
      <x:c r="C1928" s="2" t="n">
        <x:v>1.64687016798416</x:v>
      </x:c>
      <x:c r="D1928" s="2" t="n">
        <x:v>2025</x:v>
      </x:c>
      <x:c r="E1928" s="2" t="str">
        <x:v>WB_agriculture_gdp</x:v>
      </x:c>
      <x:c r="F1928" s="2" t="str">
        <x:v>Agriculture, forestry, and fishing, value added (% of GDP)</x:v>
      </x:c>
    </x:row>
    <x:row r="1929" ht="44" customHeight="1">
      <x:c r="A1929" s="2" t="str">
        <x:v>EST</x:v>
      </x:c>
      <x:c r="B1929" s="2" t="str">
        <x:v>poverty</x:v>
      </x:c>
      <x:c r="C1929" s="2" t="n">
        <x:v>0.3</x:v>
      </x:c>
      <x:c r="D1929" s="2" t="n">
        <x:v>2023</x:v>
      </x:c>
      <x:c r="E1929" s="2" t="str">
        <x:v>WB_poverty</x:v>
      </x:c>
      <x:c r="F1929" s="2" t="str">
        <x:v>Poverty headcount ratio at $3.00 a day (2021 PPP) (% of population)</x:v>
      </x:c>
    </x:row>
    <x:row r="1930" ht="44" customHeight="1">
      <x:c r="A1930" s="2" t="str">
        <x:v>EST</x:v>
      </x:c>
      <x:c r="B1930" s="2" t="str">
        <x:v>gini</x:v>
      </x:c>
      <x:c r="C1930" s="2" t="n">
        <x:v>30.7</x:v>
      </x:c>
      <x:c r="D1930" s="2" t="n">
        <x:v>2023</x:v>
      </x:c>
      <x:c r="E1930" s="2" t="str">
        <x:v>WB_gini</x:v>
      </x:c>
      <x:c r="F1930" s="2" t="str">
        <x:v>Gini index</x:v>
      </x:c>
    </x:row>
    <x:row r="1931" ht="44" customHeight="1">
      <x:c r="A1931" s="2" t="str">
        <x:v>EST</x:v>
      </x:c>
      <x:c r="B1931" s="2" t="str">
        <x:v>unemployment</x:v>
      </x:c>
      <x:c r="C1931" s="2" t="n">
        <x:v>8.313</x:v>
      </x:c>
      <x:c r="D1931" s="2" t="n">
        <x:v>2025</x:v>
      </x:c>
      <x:c r="E1931" s="2" t="str">
        <x:v>WB_unemployment</x:v>
      </x:c>
      <x:c r="F1931" s="2" t="str">
        <x:v>Unemployment, total (% of total labor force) (modeled ILO estimate)</x:v>
      </x:c>
    </x:row>
    <x:row r="1932" ht="44" customHeight="1">
      <x:c r="A1932" s="2" t="str">
        <x:v>EST</x:v>
      </x:c>
      <x:c r="B1932" s="2" t="str">
        <x:v>private_credit</x:v>
      </x:c>
      <x:c r="C1932" s="2" t="n">
        <x:v>60.5354220304166</x:v>
      </x:c>
      <x:c r="D1932" s="2" t="n">
        <x:v>2024</x:v>
      </x:c>
      <x:c r="E1932" s="2" t="str">
        <x:v>WB_private_credit</x:v>
      </x:c>
      <x:c r="F1932" s="2" t="str">
        <x:v>Domestic credit to private sector (% of GDP)</x:v>
      </x:c>
    </x:row>
    <x:row r="1933" ht="44" customHeight="1">
      <x:c r="A1933" s="2" t="str">
        <x:v>EST</x:v>
      </x:c>
      <x:c r="B1933" s="2" t="str">
        <x:v>lending_rate</x:v>
      </x:c>
      <x:c r="C1933" s="2"/>
      <x:c r="D1933" s="2"/>
      <x:c r="E1933" s="2" t="str">
        <x:v>Missing</x:v>
      </x:c>
      <x:c r="F1933" s="2" t="str">
        <x:v>Lending interest rate (%)</x:v>
      </x:c>
    </x:row>
    <x:row r="1934" ht="44" customHeight="1">
      <x:c r="A1934" s="2" t="str">
        <x:v>EST</x:v>
      </x:c>
      <x:c r="B1934" s="2" t="str">
        <x:v>real_interest</x:v>
      </x:c>
      <x:c r="C1934" s="2"/>
      <x:c r="D1934" s="2"/>
      <x:c r="E1934" s="2" t="str">
        <x:v>Missing</x:v>
      </x:c>
      <x:c r="F1934" s="2" t="str">
        <x:v>Real interest rate (%)</x:v>
      </x:c>
    </x:row>
    <x:row r="1935" ht="44" customHeight="1">
      <x:c r="A1935" s="2" t="str">
        <x:v>EST</x:v>
      </x:c>
      <x:c r="B1935" s="2" t="str">
        <x:v>government_debt</x:v>
      </x:c>
      <x:c r="C1935" s="2"/>
      <x:c r="D1935" s="2"/>
      <x:c r="E1935" s="2" t="str">
        <x:v>Missing</x:v>
      </x:c>
      <x:c r="F1935" s="2" t="str">
        <x:v>Central government debt, total (% of GDP)</x:v>
      </x:c>
    </x:row>
    <x:row r="1936" ht="44" customHeight="1">
      <x:c r="A1936" s="2" t="str">
        <x:v>EST</x:v>
      </x:c>
      <x:c r="B1936" s="2" t="str">
        <x:v>electricity_access</x:v>
      </x:c>
      <x:c r="C1936" s="2" t="n">
        <x:v>100</x:v>
      </x:c>
      <x:c r="D1936" s="2" t="n">
        <x:v>2024</x:v>
      </x:c>
      <x:c r="E1936" s="2" t="str">
        <x:v>WB_electricity_access</x:v>
      </x:c>
      <x:c r="F1936" s="2" t="str">
        <x:v>Access to electricity (% of population)</x:v>
      </x:c>
    </x:row>
    <x:row r="1937" ht="44" customHeight="1">
      <x:c r="A1937" s="2" t="str">
        <x:v>EST</x:v>
      </x:c>
      <x:c r="B1937" s="2" t="str">
        <x:v>irrigated_land</x:v>
      </x:c>
      <x:c r="C1937" s="2" t="n">
        <x:v>0.199401794616152</x:v>
      </x:c>
      <x:c r="D1937" s="2" t="n">
        <x:v>2016</x:v>
      </x:c>
      <x:c r="E1937" s="2" t="str">
        <x:v>WB_irrigated_land</x:v>
      </x:c>
      <x:c r="F1937" s="2" t="str">
        <x:v>Agricultural irrigated land (% of total agricultural land)</x:v>
      </x:c>
    </x:row>
    <x:row r="1938" ht="44" customHeight="1">
      <x:c r="A1938" s="2" t="str">
        <x:v>EST</x:v>
      </x:c>
      <x:c r="B1938" s="2" t="str">
        <x:v>cereal_area</x:v>
      </x:c>
      <x:c r="C1938" s="2" t="n">
        <x:v>352150</x:v>
      </x:c>
      <x:c r="D1938" s="2" t="n">
        <x:v>2023</x:v>
      </x:c>
      <x:c r="E1938" s="2" t="str">
        <x:v>WB_cereal_area</x:v>
      </x:c>
      <x:c r="F1938" s="2" t="str">
        <x:v>Land under cereal production (hectares)</x:v>
      </x:c>
    </x:row>
    <x:row r="1939" ht="44" customHeight="1">
      <x:c r="A1939" s="2" t="str">
        <x:v>EST</x:v>
      </x:c>
      <x:c r="B1939" s="2" t="str">
        <x:v>undernourishment</x:v>
      </x:c>
      <x:c r="C1939" s="2" t="n">
        <x:v>2.5</x:v>
      </x:c>
      <x:c r="D1939" s="2" t="n">
        <x:v>2023</x:v>
      </x:c>
      <x:c r="E1939" s="2" t="str">
        <x:v>WB_undernourishment</x:v>
      </x:c>
      <x:c r="F1939" s="2" t="str">
        <x:v>Prevalence of undernourishment (% of population)</x:v>
      </x:c>
    </x:row>
    <x:row r="1940" ht="44" customHeight="1">
      <x:c r="A1940" s="2" t="str">
        <x:v>EST</x:v>
      </x:c>
      <x:c r="B1940" s="2" t="str">
        <x:v>agriculture_employment</x:v>
      </x:c>
      <x:c r="C1940" s="2" t="n">
        <x:v>2.95684105766531</x:v>
      </x:c>
      <x:c r="D1940" s="2" t="n">
        <x:v>2025</x:v>
      </x:c>
      <x:c r="E1940" s="2" t="str">
        <x:v>WB_agriculture_employment</x:v>
      </x:c>
      <x:c r="F1940" s="2" t="str">
        <x:v>Employment in agriculture (% of total employment) (modeled ILO estimate)</x:v>
      </x:c>
    </x:row>
    <x:row r="1941" ht="44" customHeight="1">
      <x:c r="A1941" s="2" t="str">
        <x:v>EST</x:v>
      </x:c>
      <x:c r="B1941" s="2" t="str">
        <x:v>water_withdrawal</x:v>
      </x:c>
      <x:c r="C1941" s="2" t="n">
        <x:v>9.48447483870968</x:v>
      </x:c>
      <x:c r="D1941" s="2" t="n">
        <x:v>2022</x:v>
      </x:c>
      <x:c r="E1941" s="2" t="str">
        <x:v>WB_water_withdrawal</x:v>
      </x:c>
      <x:c r="F1941" s="2" t="str">
        <x:v>Annual freshwater withdrawals, total (% of internal resources)</x:v>
      </x:c>
    </x:row>
    <x:row r="1942" ht="44" customHeight="1">
      <x:c r="A1942" s="2" t="str">
        <x:v>SWZ</x:v>
      </x:c>
      <x:c r="B1942" s="2" t="str">
        <x:v>population</x:v>
      </x:c>
      <x:c r="C1942" s="2" t="n">
        <x:v>1256174</x:v>
      </x:c>
      <x:c r="D1942" s="2" t="n">
        <x:v>2025</x:v>
      </x:c>
      <x:c r="E1942" s="2" t="str">
        <x:v>WB_population</x:v>
      </x:c>
      <x:c r="F1942" s="2" t="str">
        <x:v>Population, total</x:v>
      </x:c>
    </x:row>
    <x:row r="1943" ht="44" customHeight="1">
      <x:c r="A1943" s="2" t="str">
        <x:v>SWZ</x:v>
      </x:c>
      <x:c r="B1943" s="2" t="str">
        <x:v>income_ppp</x:v>
      </x:c>
      <x:c r="C1943" s="2" t="n">
        <x:v>10706.7778049468</x:v>
      </x:c>
      <x:c r="D1943" s="2" t="n">
        <x:v>2025</x:v>
      </x:c>
      <x:c r="E1943" s="2" t="str">
        <x:v>WB_income_ppp</x:v>
      </x:c>
      <x:c r="F1943" s="2" t="str">
        <x:v>GDP per capita, PPP (constant 2021 international $)</x:v>
      </x:c>
    </x:row>
    <x:row r="1944" ht="44" customHeight="1">
      <x:c r="A1944" s="2" t="str">
        <x:v>SWZ</x:v>
      </x:c>
      <x:c r="B1944" s="2" t="str">
        <x:v>urban</x:v>
      </x:c>
      <x:c r="C1944" s="2" t="n">
        <x:v>26.7213709706525</x:v>
      </x:c>
      <x:c r="D1944" s="2" t="n">
        <x:v>2025</x:v>
      </x:c>
      <x:c r="E1944" s="2" t="str">
        <x:v>WB_urban</x:v>
      </x:c>
      <x:c r="F1944" s="2" t="str">
        <x:v>Urban population (% of total population)</x:v>
      </x:c>
    </x:row>
    <x:row r="1945" ht="44" customHeight="1">
      <x:c r="A1945" s="2" t="str">
        <x:v>SWZ</x:v>
      </x:c>
      <x:c r="B1945" s="2" t="str">
        <x:v>inflation</x:v>
      </x:c>
      <x:c r="C1945" s="2" t="n">
        <x:v>2.59801620311077</x:v>
      </x:c>
      <x:c r="D1945" s="2" t="n">
        <x:v>2019</x:v>
      </x:c>
      <x:c r="E1945" s="2" t="str">
        <x:v>WB_inflation</x:v>
      </x:c>
      <x:c r="F1945" s="2" t="str">
        <x:v>Inflation, consumer prices (annual %)</x:v>
      </x:c>
    </x:row>
    <x:row r="1946" ht="44" customHeight="1">
      <x:c r="A1946" s="2" t="str">
        <x:v>SWZ</x:v>
      </x:c>
      <x:c r="B1946" s="2" t="str">
        <x:v>food_index</x:v>
      </x:c>
      <x:c r="C1946" s="2" t="n">
        <x:v>105.96</x:v>
      </x:c>
      <x:c r="D1946" s="2" t="n">
        <x:v>2022</x:v>
      </x:c>
      <x:c r="E1946" s="2" t="str">
        <x:v>WB_food_index</x:v>
      </x:c>
      <x:c r="F1946" s="2" t="str">
        <x:v>Food production index (2014-2016 = 100)</x:v>
      </x:c>
    </x:row>
    <x:row r="1947" ht="44" customHeight="1">
      <x:c r="A1947" s="2" t="str">
        <x:v>SWZ</x:v>
      </x:c>
      <x:c r="B1947" s="2" t="str">
        <x:v>food_import_share</x:v>
      </x:c>
      <x:c r="C1947" s="2" t="n">
        <x:v>19.5826390405392</x:v>
      </x:c>
      <x:c r="D1947" s="2" t="n">
        <x:v>2023</x:v>
      </x:c>
      <x:c r="E1947" s="2" t="str">
        <x:v>WB_food_import_share</x:v>
      </x:c>
      <x:c r="F1947" s="2" t="str">
        <x:v>Food imports (% of merchandise imports)</x:v>
      </x:c>
    </x:row>
    <x:row r="1948" ht="44" customHeight="1">
      <x:c r="A1948" s="2" t="str">
        <x:v>SWZ</x:v>
      </x:c>
      <x:c r="B1948" s="2" t="str">
        <x:v>food_export_share</x:v>
      </x:c>
      <x:c r="C1948" s="2" t="n">
        <x:v>29.6977974071694</x:v>
      </x:c>
      <x:c r="D1948" s="2" t="n">
        <x:v>2023</x:v>
      </x:c>
      <x:c r="E1948" s="2" t="str">
        <x:v>WB_food_export_share</x:v>
      </x:c>
      <x:c r="F1948" s="2" t="str">
        <x:v>Food exports (% of merchandise exports)</x:v>
      </x:c>
    </x:row>
    <x:row r="1949" ht="44" customHeight="1">
      <x:c r="A1949" s="2" t="str">
        <x:v>SWZ</x:v>
      </x:c>
      <x:c r="B1949" s="2" t="str">
        <x:v>imports_usd</x:v>
      </x:c>
      <x:c r="C1949" s="2" t="n">
        <x:v>2090000000</x:v>
      </x:c>
      <x:c r="D1949" s="2" t="n">
        <x:v>2025</x:v>
      </x:c>
      <x:c r="E1949" s="2" t="str">
        <x:v>WB_imports_usd</x:v>
      </x:c>
      <x:c r="F1949" s="2" t="str">
        <x:v>Merchandise imports (current US$)</x:v>
      </x:c>
    </x:row>
    <x:row r="1950" ht="44" customHeight="1">
      <x:c r="A1950" s="2" t="str">
        <x:v>SWZ</x:v>
      </x:c>
      <x:c r="B1950" s="2" t="str">
        <x:v>exports_usd</x:v>
      </x:c>
      <x:c r="C1950" s="2" t="n">
        <x:v>2370000000</x:v>
      </x:c>
      <x:c r="D1950" s="2" t="n">
        <x:v>2025</x:v>
      </x:c>
      <x:c r="E1950" s="2" t="str">
        <x:v>WB_exports_usd</x:v>
      </x:c>
      <x:c r="F1950" s="2" t="str">
        <x:v>Merchandise exports (current US$)</x:v>
      </x:c>
    </x:row>
    <x:row r="1951" ht="44" customHeight="1">
      <x:c r="A1951" s="2" t="str">
        <x:v>SWZ</x:v>
      </x:c>
      <x:c r="B1951" s="2" t="str">
        <x:v>cereal_yield</x:v>
      </x:c>
      <x:c r="C1951" s="2" t="n">
        <x:v>1227.8</x:v>
      </x:c>
      <x:c r="D1951" s="2" t="n">
        <x:v>2023</x:v>
      </x:c>
      <x:c r="E1951" s="2" t="str">
        <x:v>WB_cereal_yield</x:v>
      </x:c>
      <x:c r="F1951" s="2" t="str">
        <x:v>Cereal yield (kg per hectare)</x:v>
      </x:c>
    </x:row>
    <x:row r="1952" ht="44" customHeight="1">
      <x:c r="A1952" s="2" t="str">
        <x:v>SWZ</x:v>
      </x:c>
      <x:c r="B1952" s="2" t="str">
        <x:v>water_stress</x:v>
      </x:c>
      <x:c r="C1952" s="2" t="n">
        <x:v>77.55991285</x:v>
      </x:c>
      <x:c r="D1952" s="2" t="n">
        <x:v>2022</x:v>
      </x:c>
      <x:c r="E1952" s="2" t="str">
        <x:v>WB_water_stress</x:v>
      </x:c>
      <x:c r="F1952" s="2" t="str">
        <x:v>Level of water stress: freshwater withdrawal as a proportion of available freshwater resources</x:v>
      </x:c>
    </x:row>
    <x:row r="1953" ht="44" customHeight="1">
      <x:c r="A1953" s="2" t="str">
        <x:v>SWZ</x:v>
      </x:c>
      <x:c r="B1953" s="2" t="str">
        <x:v>fertility</x:v>
      </x:c>
      <x:c r="C1953" s="2" t="n">
        <x:v>2.718</x:v>
      </x:c>
      <x:c r="D1953" s="2" t="n">
        <x:v>2024</x:v>
      </x:c>
      <x:c r="E1953" s="2" t="str">
        <x:v>WB_fertility</x:v>
      </x:c>
      <x:c r="F1953" s="2" t="str">
        <x:v>Fertility rate, total (births per woman)</x:v>
      </x:c>
    </x:row>
    <x:row r="1954" ht="44" customHeight="1">
      <x:c r="A1954" s="2" t="str">
        <x:v>SWZ</x:v>
      </x:c>
      <x:c r="B1954" s="2" t="str">
        <x:v>life_expectancy</x:v>
      </x:c>
      <x:c r="C1954" s="2" t="n">
        <x:v>64.264</x:v>
      </x:c>
      <x:c r="D1954" s="2" t="n">
        <x:v>2024</x:v>
      </x:c>
      <x:c r="E1954" s="2" t="str">
        <x:v>WB_life_expectancy</x:v>
      </x:c>
      <x:c r="F1954" s="2" t="str">
        <x:v>Life expectancy at birth, total (years)</x:v>
      </x:c>
    </x:row>
    <x:row r="1955" ht="44" customHeight="1">
      <x:c r="A1955" s="2" t="str">
        <x:v>SWZ</x:v>
      </x:c>
      <x:c r="B1955" s="2" t="str">
        <x:v>age_under15</x:v>
      </x:c>
      <x:c r="C1955" s="2" t="n">
        <x:v>32.9958668146292</x:v>
      </x:c>
      <x:c r="D1955" s="2" t="n">
        <x:v>2025</x:v>
      </x:c>
      <x:c r="E1955" s="2" t="str">
        <x:v>WB_age_under15</x:v>
      </x:c>
      <x:c r="F1955" s="2" t="str">
        <x:v>Population ages 0-14 (% of total population)</x:v>
      </x:c>
    </x:row>
    <x:row r="1956" ht="44" customHeight="1">
      <x:c r="A1956" s="2" t="str">
        <x:v>SWZ</x:v>
      </x:c>
      <x:c r="B1956" s="2" t="str">
        <x:v>age_over65</x:v>
      </x:c>
      <x:c r="C1956" s="2" t="n">
        <x:v>4.34585495321508</x:v>
      </x:c>
      <x:c r="D1956" s="2" t="n">
        <x:v>2025</x:v>
      </x:c>
      <x:c r="E1956" s="2" t="str">
        <x:v>WB_age_over65</x:v>
      </x:c>
      <x:c r="F1956" s="2" t="str">
        <x:v>Population ages 65 and above (% of total population)</x:v>
      </x:c>
    </x:row>
    <x:row r="1957" ht="44" customHeight="1">
      <x:c r="A1957" s="2" t="str">
        <x:v>SWZ</x:v>
      </x:c>
      <x:c r="B1957" s="2" t="str">
        <x:v>dependency_ratio</x:v>
      </x:c>
      <x:c r="C1957" s="2" t="n">
        <x:v>59.5959583126349</x:v>
      </x:c>
      <x:c r="D1957" s="2" t="n">
        <x:v>2025</x:v>
      </x:c>
      <x:c r="E1957" s="2" t="str">
        <x:v>WB_dependency_ratio</x:v>
      </x:c>
      <x:c r="F1957" s="2" t="str">
        <x:v>Age dependency ratio (% of working-age population)</x:v>
      </x:c>
    </x:row>
    <x:row r="1958" ht="44" customHeight="1">
      <x:c r="A1958" s="2" t="str">
        <x:v>SWZ</x:v>
      </x:c>
      <x:c r="B1958" s="2" t="str">
        <x:v>net_migration</x:v>
      </x:c>
      <x:c r="C1958" s="2" t="n">
        <x:v>-5775</x:v>
      </x:c>
      <x:c r="D1958" s="2" t="n">
        <x:v>2025</x:v>
      </x:c>
      <x:c r="E1958" s="2" t="str">
        <x:v>WB_net_migration</x:v>
      </x:c>
      <x:c r="F1958" s="2" t="str">
        <x:v>Net migration</x:v>
      </x:c>
    </x:row>
    <x:row r="1959" ht="44" customHeight="1">
      <x:c r="A1959" s="2" t="str">
        <x:v>SWZ</x:v>
      </x:c>
      <x:c r="B1959" s="2" t="str">
        <x:v>real_gdp</x:v>
      </x:c>
      <x:c r="C1959" s="2" t="n">
        <x:v>5006737885.86805</x:v>
      </x:c>
      <x:c r="D1959" s="2" t="n">
        <x:v>2025</x:v>
      </x:c>
      <x:c r="E1959" s="2" t="str">
        <x:v>WB_real_gdp</x:v>
      </x:c>
      <x:c r="F1959" s="2" t="str">
        <x:v>GDP (constant 2015 US$)</x:v>
      </x:c>
    </x:row>
    <x:row r="1960" ht="44" customHeight="1">
      <x:c r="A1960" s="2" t="str">
        <x:v>SWZ</x:v>
      </x:c>
      <x:c r="B1960" s="2" t="str">
        <x:v>gdp_growth</x:v>
      </x:c>
      <x:c r="C1960" s="2" t="n">
        <x:v>4.1939175580556</x:v>
      </x:c>
      <x:c r="D1960" s="2" t="n">
        <x:v>2025</x:v>
      </x:c>
      <x:c r="E1960" s="2" t="str">
        <x:v>WB_gdp_growth</x:v>
      </x:c>
      <x:c r="F1960" s="2" t="str">
        <x:v>GDP growth (annual %)</x:v>
      </x:c>
    </x:row>
    <x:row r="1961" ht="44" customHeight="1">
      <x:c r="A1961" s="2" t="str">
        <x:v>SWZ</x:v>
      </x:c>
      <x:c r="B1961" s="2" t="str">
        <x:v>real_income</x:v>
      </x:c>
      <x:c r="C1961" s="2" t="n">
        <x:v>3985.70411891032</x:v>
      </x:c>
      <x:c r="D1961" s="2" t="n">
        <x:v>2025</x:v>
      </x:c>
      <x:c r="E1961" s="2" t="str">
        <x:v>WB_real_income</x:v>
      </x:c>
      <x:c r="F1961" s="2" t="str">
        <x:v>GDP per capita (constant 2015 US$)</x:v>
      </x:c>
    </x:row>
    <x:row r="1962" ht="44" customHeight="1">
      <x:c r="A1962" s="2" t="str">
        <x:v>SWZ</x:v>
      </x:c>
      <x:c r="B1962" s="2" t="str">
        <x:v>agriculture_gdp</x:v>
      </x:c>
      <x:c r="C1962" s="2" t="n">
        <x:v>6.40805505607032</x:v>
      </x:c>
      <x:c r="D1962" s="2" t="n">
        <x:v>2025</x:v>
      </x:c>
      <x:c r="E1962" s="2" t="str">
        <x:v>WB_agriculture_gdp</x:v>
      </x:c>
      <x:c r="F1962" s="2" t="str">
        <x:v>Agriculture, forestry, and fishing, value added (% of GDP)</x:v>
      </x:c>
    </x:row>
    <x:row r="1963" ht="44" customHeight="1">
      <x:c r="A1963" s="2" t="str">
        <x:v>SWZ</x:v>
      </x:c>
      <x:c r="B1963" s="2" t="str">
        <x:v>poverty</x:v>
      </x:c>
      <x:c r="C1963" s="2" t="n">
        <x:v>44.5</x:v>
      </x:c>
      <x:c r="D1963" s="2" t="n">
        <x:v>2016</x:v>
      </x:c>
      <x:c r="E1963" s="2" t="str">
        <x:v>WB_poverty</x:v>
      </x:c>
      <x:c r="F1963" s="2" t="str">
        <x:v>Poverty headcount ratio at $3.00 a day (2021 PPP) (% of population)</x:v>
      </x:c>
    </x:row>
    <x:row r="1964" ht="44" customHeight="1">
      <x:c r="A1964" s="2" t="str">
        <x:v>SWZ</x:v>
      </x:c>
      <x:c r="B1964" s="2" t="str">
        <x:v>gini</x:v>
      </x:c>
      <x:c r="C1964" s="2" t="n">
        <x:v>54.6</x:v>
      </x:c>
      <x:c r="D1964" s="2" t="n">
        <x:v>2016</x:v>
      </x:c>
      <x:c r="E1964" s="2" t="str">
        <x:v>WB_gini</x:v>
      </x:c>
      <x:c r="F1964" s="2" t="str">
        <x:v>Gini index</x:v>
      </x:c>
    </x:row>
    <x:row r="1965" ht="44" customHeight="1">
      <x:c r="A1965" s="2" t="str">
        <x:v>SWZ</x:v>
      </x:c>
      <x:c r="B1965" s="2" t="str">
        <x:v>unemployment</x:v>
      </x:c>
      <x:c r="C1965" s="2" t="n">
        <x:v>34.202</x:v>
      </x:c>
      <x:c r="D1965" s="2" t="n">
        <x:v>2025</x:v>
      </x:c>
      <x:c r="E1965" s="2" t="str">
        <x:v>WB_unemployment</x:v>
      </x:c>
      <x:c r="F1965" s="2" t="str">
        <x:v>Unemployment, total (% of total labor force) (modeled ILO estimate)</x:v>
      </x:c>
    </x:row>
    <x:row r="1966" ht="44" customHeight="1">
      <x:c r="A1966" s="2" t="str">
        <x:v>SWZ</x:v>
      </x:c>
      <x:c r="B1966" s="2" t="str">
        <x:v>private_credit</x:v>
      </x:c>
      <x:c r="C1966" s="2" t="n">
        <x:v>23.0750811152126</x:v>
      </x:c>
      <x:c r="D1966" s="2" t="n">
        <x:v>2025</x:v>
      </x:c>
      <x:c r="E1966" s="2" t="str">
        <x:v>WB_private_credit</x:v>
      </x:c>
      <x:c r="F1966" s="2" t="str">
        <x:v>Domestic credit to private sector (% of GDP)</x:v>
      </x:c>
    </x:row>
    <x:row r="1967" ht="44" customHeight="1">
      <x:c r="A1967" s="2" t="str">
        <x:v>SWZ</x:v>
      </x:c>
      <x:c r="B1967" s="2" t="str">
        <x:v>lending_rate</x:v>
      </x:c>
      <x:c r="C1967" s="2" t="n">
        <x:v>10.875</x:v>
      </x:c>
      <x:c r="D1967" s="2" t="n">
        <x:v>2024</x:v>
      </x:c>
      <x:c r="E1967" s="2" t="str">
        <x:v>WB_lending_rate</x:v>
      </x:c>
      <x:c r="F1967" s="2" t="str">
        <x:v>Lending interest rate (%)</x:v>
      </x:c>
    </x:row>
    <x:row r="1968" ht="44" customHeight="1">
      <x:c r="A1968" s="2" t="str">
        <x:v>SWZ</x:v>
      </x:c>
      <x:c r="B1968" s="2" t="str">
        <x:v>real_interest</x:v>
      </x:c>
      <x:c r="C1968" s="2" t="n">
        <x:v>9.45401809440188</x:v>
      </x:c>
      <x:c r="D1968" s="2" t="n">
        <x:v>2024</x:v>
      </x:c>
      <x:c r="E1968" s="2" t="str">
        <x:v>WB_real_interest</x:v>
      </x:c>
      <x:c r="F1968" s="2" t="str">
        <x:v>Real interest rate (%)</x:v>
      </x:c>
    </x:row>
    <x:row r="1969" ht="44" customHeight="1">
      <x:c r="A1969" s="2" t="str">
        <x:v>SWZ</x:v>
      </x:c>
      <x:c r="B1969" s="2" t="str">
        <x:v>government_debt</x:v>
      </x:c>
      <x:c r="C1969" s="2" t="n">
        <x:v>35.7240338783132</x:v>
      </x:c>
      <x:c r="D1969" s="2" t="n">
        <x:v>2021</x:v>
      </x:c>
      <x:c r="E1969" s="2" t="str">
        <x:v>WB_government_debt</x:v>
      </x:c>
      <x:c r="F1969" s="2" t="str">
        <x:v>Central government debt, total (% of GDP)</x:v>
      </x:c>
    </x:row>
    <x:row r="1970" ht="44" customHeight="1">
      <x:c r="A1970" s="2" t="str">
        <x:v>SWZ</x:v>
      </x:c>
      <x:c r="B1970" s="2" t="str">
        <x:v>electricity_access</x:v>
      </x:c>
      <x:c r="C1970" s="2" t="n">
        <x:v>89.3</x:v>
      </x:c>
      <x:c r="D1970" s="2" t="n">
        <x:v>2024</x:v>
      </x:c>
      <x:c r="E1970" s="2" t="str">
        <x:v>WB_electricity_access</x:v>
      </x:c>
      <x:c r="F1970" s="2" t="str">
        <x:v>Access to electricity (% of population)</x:v>
      </x:c>
    </x:row>
    <x:row r="1971" ht="44" customHeight="1">
      <x:c r="A1971" s="2" t="str">
        <x:v>SWZ</x:v>
      </x:c>
      <x:c r="B1971" s="2" t="str">
        <x:v>irrigated_land</x:v>
      </x:c>
      <x:c r="C1971" s="2" t="n">
        <x:v>3.66339869281046</x:v>
      </x:c>
      <x:c r="D1971" s="2" t="n">
        <x:v>2002</x:v>
      </x:c>
      <x:c r="E1971" s="2" t="str">
        <x:v>WB_irrigated_land</x:v>
      </x:c>
      <x:c r="F1971" s="2" t="str">
        <x:v>Agricultural irrigated land (% of total agricultural land)</x:v>
      </x:c>
    </x:row>
    <x:row r="1972" ht="44" customHeight="1">
      <x:c r="A1972" s="2" t="str">
        <x:v>SWZ</x:v>
      </x:c>
      <x:c r="B1972" s="2" t="str">
        <x:v>cereal_area</x:v>
      </x:c>
      <x:c r="C1972" s="2" t="n">
        <x:v>71001</x:v>
      </x:c>
      <x:c r="D1972" s="2" t="n">
        <x:v>2023</x:v>
      </x:c>
      <x:c r="E1972" s="2" t="str">
        <x:v>WB_cereal_area</x:v>
      </x:c>
      <x:c r="F1972" s="2" t="str">
        <x:v>Land under cereal production (hectares)</x:v>
      </x:c>
    </x:row>
    <x:row r="1973" ht="44" customHeight="1">
      <x:c r="A1973" s="2" t="str">
        <x:v>SWZ</x:v>
      </x:c>
      <x:c r="B1973" s="2" t="str">
        <x:v>undernourishment</x:v>
      </x:c>
      <x:c r="C1973" s="2" t="n">
        <x:v>14.7</x:v>
      </x:c>
      <x:c r="D1973" s="2" t="n">
        <x:v>2023</x:v>
      </x:c>
      <x:c r="E1973" s="2" t="str">
        <x:v>WB_undernourishment</x:v>
      </x:c>
      <x:c r="F1973" s="2" t="str">
        <x:v>Prevalence of undernourishment (% of population)</x:v>
      </x:c>
    </x:row>
    <x:row r="1974" ht="44" customHeight="1">
      <x:c r="A1974" s="2" t="str">
        <x:v>SWZ</x:v>
      </x:c>
      <x:c r="B1974" s="2" t="str">
        <x:v>agriculture_employment</x:v>
      </x:c>
      <x:c r="C1974" s="2" t="n">
        <x:v>14.5468333891818</x:v>
      </x:c>
      <x:c r="D1974" s="2" t="n">
        <x:v>2025</x:v>
      </x:c>
      <x:c r="E1974" s="2" t="str">
        <x:v>WB_agriculture_employment</x:v>
      </x:c>
      <x:c r="F1974" s="2" t="str">
        <x:v>Employment in agriculture (% of total employment) (modeled ILO estimate)</x:v>
      </x:c>
    </x:row>
    <x:row r="1975" ht="44" customHeight="1">
      <x:c r="A1975" s="2" t="str">
        <x:v>SWZ</x:v>
      </x:c>
      <x:c r="B1975" s="2" t="str">
        <x:v>water_withdrawal</x:v>
      </x:c>
      <x:c r="C1975" s="2" t="n">
        <x:v>40.4545454545455</x:v>
      </x:c>
      <x:c r="D1975" s="2" t="n">
        <x:v>2022</x:v>
      </x:c>
      <x:c r="E1975" s="2" t="str">
        <x:v>WB_water_withdrawal</x:v>
      </x:c>
      <x:c r="F1975" s="2" t="str">
        <x:v>Annual freshwater withdrawals, total (% of internal resources)</x:v>
      </x:c>
    </x:row>
    <x:row r="1976" ht="44" customHeight="1">
      <x:c r="A1976" s="2" t="str">
        <x:v>ETH</x:v>
      </x:c>
      <x:c r="B1976" s="2" t="str">
        <x:v>population</x:v>
      </x:c>
      <x:c r="C1976" s="2" t="n">
        <x:v>135472051</x:v>
      </x:c>
      <x:c r="D1976" s="2" t="n">
        <x:v>2025</x:v>
      </x:c>
      <x:c r="E1976" s="2" t="str">
        <x:v>WB_population</x:v>
      </x:c>
      <x:c r="F1976" s="2" t="str">
        <x:v>Population, total</x:v>
      </x:c>
    </x:row>
    <x:row r="1977" ht="44" customHeight="1">
      <x:c r="A1977" s="2" t="str">
        <x:v>ETH</x:v>
      </x:c>
      <x:c r="B1977" s="2" t="str">
        <x:v>income_ppp</x:v>
      </x:c>
      <x:c r="C1977" s="2" t="n">
        <x:v>3094.86811868352</x:v>
      </x:c>
      <x:c r="D1977" s="2" t="n">
        <x:v>2025</x:v>
      </x:c>
      <x:c r="E1977" s="2" t="str">
        <x:v>WB_income_ppp</x:v>
      </x:c>
      <x:c r="F1977" s="2" t="str">
        <x:v>GDP per capita, PPP (constant 2021 international $)</x:v>
      </x:c>
    </x:row>
    <x:row r="1978" ht="44" customHeight="1">
      <x:c r="A1978" s="2" t="str">
        <x:v>ETH</x:v>
      </x:c>
      <x:c r="B1978" s="2" t="str">
        <x:v>urban</x:v>
      </x:c>
      <x:c r="C1978" s="2" t="n">
        <x:v>24.1096952088946</x:v>
      </x:c>
      <x:c r="D1978" s="2" t="n">
        <x:v>2025</x:v>
      </x:c>
      <x:c r="E1978" s="2" t="str">
        <x:v>WB_urban</x:v>
      </x:c>
      <x:c r="F1978" s="2" t="str">
        <x:v>Urban population (% of total population)</x:v>
      </x:c>
    </x:row>
    <x:row r="1979" ht="44" customHeight="1">
      <x:c r="A1979" s="2" t="str">
        <x:v>ETH</x:v>
      </x:c>
      <x:c r="B1979" s="2" t="str">
        <x:v>inflation</x:v>
      </x:c>
      <x:c r="C1979" s="2" t="n">
        <x:v>13.2296432836809</x:v>
      </x:c>
      <x:c r="D1979" s="2" t="n">
        <x:v>2025</x:v>
      </x:c>
      <x:c r="E1979" s="2" t="str">
        <x:v>WB_inflation</x:v>
      </x:c>
      <x:c r="F1979" s="2" t="str">
        <x:v>Inflation, consumer prices (annual %)</x:v>
      </x:c>
    </x:row>
    <x:row r="1980" ht="44" customHeight="1">
      <x:c r="A1980" s="2" t="str">
        <x:v>ETH</x:v>
      </x:c>
      <x:c r="B1980" s="2" t="str">
        <x:v>food_index</x:v>
      </x:c>
      <x:c r="C1980" s="2" t="n">
        <x:v>116.31</x:v>
      </x:c>
      <x:c r="D1980" s="2" t="n">
        <x:v>2022</x:v>
      </x:c>
      <x:c r="E1980" s="2" t="str">
        <x:v>WB_food_index</x:v>
      </x:c>
      <x:c r="F1980" s="2" t="str">
        <x:v>Food production index (2014-2016 = 100)</x:v>
      </x:c>
    </x:row>
    <x:row r="1981" ht="44" customHeight="1">
      <x:c r="A1981" s="2" t="str">
        <x:v>ETH</x:v>
      </x:c>
      <x:c r="B1981" s="2" t="str">
        <x:v>food_import_share</x:v>
      </x:c>
      <x:c r="C1981" s="2" t="n">
        <x:v>13.8401468775133</x:v>
      </x:c>
      <x:c r="D1981" s="2" t="n">
        <x:v>2023</x:v>
      </x:c>
      <x:c r="E1981" s="2" t="str">
        <x:v>WB_food_import_share</x:v>
      </x:c>
      <x:c r="F1981" s="2" t="str">
        <x:v>Food imports (% of merchandise imports)</x:v>
      </x:c>
    </x:row>
    <x:row r="1982" ht="44" customHeight="1">
      <x:c r="A1982" s="2" t="str">
        <x:v>ETH</x:v>
      </x:c>
      <x:c r="B1982" s="2" t="str">
        <x:v>food_export_share</x:v>
      </x:c>
      <x:c r="C1982" s="2" t="n">
        <x:v>80.3857509910765</x:v>
      </x:c>
      <x:c r="D1982" s="2" t="n">
        <x:v>2023</x:v>
      </x:c>
      <x:c r="E1982" s="2" t="str">
        <x:v>WB_food_export_share</x:v>
      </x:c>
      <x:c r="F1982" s="2" t="str">
        <x:v>Food exports (% of merchandise exports)</x:v>
      </x:c>
    </x:row>
    <x:row r="1983" ht="44" customHeight="1">
      <x:c r="A1983" s="2" t="str">
        <x:v>ETH</x:v>
      </x:c>
      <x:c r="B1983" s="2" t="str">
        <x:v>imports_usd</x:v>
      </x:c>
      <x:c r="C1983" s="2" t="n">
        <x:v>23012000000</x:v>
      </x:c>
      <x:c r="D1983" s="2" t="n">
        <x:v>2025</x:v>
      </x:c>
      <x:c r="E1983" s="2" t="str">
        <x:v>WB_imports_usd</x:v>
      </x:c>
      <x:c r="F1983" s="2" t="str">
        <x:v>Merchandise imports (current US$)</x:v>
      </x:c>
    </x:row>
    <x:row r="1984" ht="44" customHeight="1">
      <x:c r="A1984" s="2" t="str">
        <x:v>ETH</x:v>
      </x:c>
      <x:c r="B1984" s="2" t="str">
        <x:v>exports_usd</x:v>
      </x:c>
      <x:c r="C1984" s="2" t="n">
        <x:v>7585000000</x:v>
      </x:c>
      <x:c r="D1984" s="2" t="n">
        <x:v>2025</x:v>
      </x:c>
      <x:c r="E1984" s="2" t="str">
        <x:v>WB_exports_usd</x:v>
      </x:c>
      <x:c r="F1984" s="2" t="str">
        <x:v>Merchandise exports (current US$)</x:v>
      </x:c>
    </x:row>
    <x:row r="1985" ht="44" customHeight="1">
      <x:c r="A1985" s="2" t="str">
        <x:v>ETH</x:v>
      </x:c>
      <x:c r="B1985" s="2" t="str">
        <x:v>cereal_yield</x:v>
      </x:c>
      <x:c r="C1985" s="2" t="n">
        <x:v>2631.6</x:v>
      </x:c>
      <x:c r="D1985" s="2" t="n">
        <x:v>2024</x:v>
      </x:c>
      <x:c r="E1985" s="2" t="str">
        <x:v>WB_cereal_yield</x:v>
      </x:c>
      <x:c r="F1985" s="2" t="str">
        <x:v>Cereal yield (kg per hectare)</x:v>
      </x:c>
    </x:row>
    <x:row r="1986" ht="44" customHeight="1">
      <x:c r="A1986" s="2" t="str">
        <x:v>ETH</x:v>
      </x:c>
      <x:c r="B1986" s="2" t="str">
        <x:v>water_stress</x:v>
      </x:c>
      <x:c r="C1986" s="2" t="n">
        <x:v>32.25718654</x:v>
      </x:c>
      <x:c r="D1986" s="2" t="n">
        <x:v>2022</x:v>
      </x:c>
      <x:c r="E1986" s="2" t="str">
        <x:v>WB_water_stress</x:v>
      </x:c>
      <x:c r="F1986" s="2" t="str">
        <x:v>Level of water stress: freshwater withdrawal as a proportion of available freshwater resources</x:v>
      </x:c>
    </x:row>
    <x:row r="1987" ht="44" customHeight="1">
      <x:c r="A1987" s="2" t="str">
        <x:v>ETH</x:v>
      </x:c>
      <x:c r="B1987" s="2" t="str">
        <x:v>fertility</x:v>
      </x:c>
      <x:c r="C1987" s="2" t="n">
        <x:v>3.909</x:v>
      </x:c>
      <x:c r="D1987" s="2" t="n">
        <x:v>2024</x:v>
      </x:c>
      <x:c r="E1987" s="2" t="str">
        <x:v>WB_fertility</x:v>
      </x:c>
      <x:c r="F1987" s="2" t="str">
        <x:v>Fertility rate, total (births per woman)</x:v>
      </x:c>
    </x:row>
    <x:row r="1988" ht="44" customHeight="1">
      <x:c r="A1988" s="2" t="str">
        <x:v>ETH</x:v>
      </x:c>
      <x:c r="B1988" s="2" t="str">
        <x:v>life_expectancy</x:v>
      </x:c>
      <x:c r="C1988" s="2" t="n">
        <x:v>67.603</x:v>
      </x:c>
      <x:c r="D1988" s="2" t="n">
        <x:v>2024</x:v>
      </x:c>
      <x:c r="E1988" s="2" t="str">
        <x:v>WB_life_expectancy</x:v>
      </x:c>
      <x:c r="F1988" s="2" t="str">
        <x:v>Life expectancy at birth, total (years)</x:v>
      </x:c>
    </x:row>
    <x:row r="1989" ht="44" customHeight="1">
      <x:c r="A1989" s="2" t="str">
        <x:v>ETH</x:v>
      </x:c>
      <x:c r="B1989" s="2" t="str">
        <x:v>age_under15</x:v>
      </x:c>
      <x:c r="C1989" s="2" t="n">
        <x:v>38.7797271142655</x:v>
      </x:c>
      <x:c r="D1989" s="2" t="n">
        <x:v>2025</x:v>
      </x:c>
      <x:c r="E1989" s="2" t="str">
        <x:v>WB_age_under15</x:v>
      </x:c>
      <x:c r="F1989" s="2" t="str">
        <x:v>Population ages 0-14 (% of total population)</x:v>
      </x:c>
    </x:row>
    <x:row r="1990" ht="44" customHeight="1">
      <x:c r="A1990" s="2" t="str">
        <x:v>ETH</x:v>
      </x:c>
      <x:c r="B1990" s="2" t="str">
        <x:v>age_over65</x:v>
      </x:c>
      <x:c r="C1990" s="2" t="n">
        <x:v>3.2957318380591</x:v>
      </x:c>
      <x:c r="D1990" s="2" t="n">
        <x:v>2025</x:v>
      </x:c>
      <x:c r="E1990" s="2" t="str">
        <x:v>WB_age_over65</x:v>
      </x:c>
      <x:c r="F1990" s="2" t="str">
        <x:v>Population ages 65 and above (% of total population)</x:v>
      </x:c>
    </x:row>
    <x:row r="1991" ht="44" customHeight="1">
      <x:c r="A1991" s="2" t="str">
        <x:v>ETH</x:v>
      </x:c>
      <x:c r="B1991" s="2" t="str">
        <x:v>dependency_ratio</x:v>
      </x:c>
      <x:c r="C1991" s="2" t="n">
        <x:v>72.6383993060212</x:v>
      </x:c>
      <x:c r="D1991" s="2" t="n">
        <x:v>2025</x:v>
      </x:c>
      <x:c r="E1991" s="2" t="str">
        <x:v>WB_dependency_ratio</x:v>
      </x:c>
      <x:c r="F1991" s="2" t="str">
        <x:v>Age dependency ratio (% of working-age population)</x:v>
      </x:c>
    </x:row>
    <x:row r="1992" ht="44" customHeight="1">
      <x:c r="A1992" s="2" t="str">
        <x:v>ETH</x:v>
      </x:c>
      <x:c r="B1992" s="2" t="str">
        <x:v>net_migration</x:v>
      </x:c>
      <x:c r="C1992" s="2" t="n">
        <x:v>24054</x:v>
      </x:c>
      <x:c r="D1992" s="2" t="n">
        <x:v>2025</x:v>
      </x:c>
      <x:c r="E1992" s="2" t="str">
        <x:v>WB_net_migration</x:v>
      </x:c>
      <x:c r="F1992" s="2" t="str">
        <x:v>Net migration</x:v>
      </x:c>
    </x:row>
    <x:row r="1993" ht="44" customHeight="1">
      <x:c r="A1993" s="2" t="str">
        <x:v>ETH</x:v>
      </x:c>
      <x:c r="B1993" s="2" t="str">
        <x:v>real_gdp</x:v>
      </x:c>
      <x:c r="C1993" s="2" t="n">
        <x:v>128069700729.493</x:v>
      </x:c>
      <x:c r="D1993" s="2" t="n">
        <x:v>2025</x:v>
      </x:c>
      <x:c r="E1993" s="2" t="str">
        <x:v>WB_real_gdp</x:v>
      </x:c>
      <x:c r="F1993" s="2" t="str">
        <x:v>GDP (constant 2015 US$)</x:v>
      </x:c>
    </x:row>
    <x:row r="1994" ht="44" customHeight="1">
      <x:c r="A1994" s="2" t="str">
        <x:v>ETH</x:v>
      </x:c>
      <x:c r="B1994" s="2" t="str">
        <x:v>gdp_growth</x:v>
      </x:c>
      <x:c r="C1994" s="2" t="n">
        <x:v>9.7715182202934</x:v>
      </x:c>
      <x:c r="D1994" s="2" t="n">
        <x:v>2025</x:v>
      </x:c>
      <x:c r="E1994" s="2" t="str">
        <x:v>WB_gdp_growth</x:v>
      </x:c>
      <x:c r="F1994" s="2" t="str">
        <x:v>GDP growth (annual %)</x:v>
      </x:c>
    </x:row>
    <x:row r="1995" ht="44" customHeight="1">
      <x:c r="A1995" s="2" t="str">
        <x:v>ETH</x:v>
      </x:c>
      <x:c r="B1995" s="2" t="str">
        <x:v>real_income</x:v>
      </x:c>
      <x:c r="C1995" s="2" t="n">
        <x:v>945.358838108184</x:v>
      </x:c>
      <x:c r="D1995" s="2" t="n">
        <x:v>2025</x:v>
      </x:c>
      <x:c r="E1995" s="2" t="str">
        <x:v>WB_real_income</x:v>
      </x:c>
      <x:c r="F1995" s="2" t="str">
        <x:v>GDP per capita (constant 2015 US$)</x:v>
      </x:c>
    </x:row>
    <x:row r="1996" ht="44" customHeight="1">
      <x:c r="A1996" s="2" t="str">
        <x:v>ETH</x:v>
      </x:c>
      <x:c r="B1996" s="2" t="str">
        <x:v>agriculture_gdp</x:v>
      </x:c>
      <x:c r="C1996" s="2" t="n">
        <x:v>32.8186147009719</x:v>
      </x:c>
      <x:c r="D1996" s="2" t="n">
        <x:v>2025</x:v>
      </x:c>
      <x:c r="E1996" s="2" t="str">
        <x:v>WB_agriculture_gdp</x:v>
      </x:c>
      <x:c r="F1996" s="2" t="str">
        <x:v>Agriculture, forestry, and fishing, value added (% of GDP)</x:v>
      </x:c>
    </x:row>
    <x:row r="1997" ht="44" customHeight="1">
      <x:c r="A1997" s="2" t="str">
        <x:v>ETH</x:v>
      </x:c>
      <x:c r="B1997" s="2" t="str">
        <x:v>poverty</x:v>
      </x:c>
      <x:c r="C1997" s="2" t="n">
        <x:v>38.6</x:v>
      </x:c>
      <x:c r="D1997" s="2" t="n">
        <x:v>2021</x:v>
      </x:c>
      <x:c r="E1997" s="2" t="str">
        <x:v>WB_poverty</x:v>
      </x:c>
      <x:c r="F1997" s="2" t="str">
        <x:v>Poverty headcount ratio at $3.00 a day (2021 PPP) (% of population)</x:v>
      </x:c>
    </x:row>
    <x:row r="1998" ht="44" customHeight="1">
      <x:c r="A1998" s="2" t="str">
        <x:v>ETH</x:v>
      </x:c>
      <x:c r="B1998" s="2" t="str">
        <x:v>gini</x:v>
      </x:c>
      <x:c r="C1998" s="2" t="n">
        <x:v>31.1</x:v>
      </x:c>
      <x:c r="D1998" s="2" t="n">
        <x:v>2021</x:v>
      </x:c>
      <x:c r="E1998" s="2" t="str">
        <x:v>WB_gini</x:v>
      </x:c>
      <x:c r="F1998" s="2" t="str">
        <x:v>Gini index</x:v>
      </x:c>
    </x:row>
    <x:row r="1999" ht="44" customHeight="1">
      <x:c r="A1999" s="2" t="str">
        <x:v>ETH</x:v>
      </x:c>
      <x:c r="B1999" s="2" t="str">
        <x:v>unemployment</x:v>
      </x:c>
      <x:c r="C1999" s="2" t="n">
        <x:v>3.323</x:v>
      </x:c>
      <x:c r="D1999" s="2" t="n">
        <x:v>2025</x:v>
      </x:c>
      <x:c r="E1999" s="2" t="str">
        <x:v>WB_unemployment</x:v>
      </x:c>
      <x:c r="F1999" s="2" t="str">
        <x:v>Unemployment, total (% of total labor force) (modeled ILO estimate)</x:v>
      </x:c>
    </x:row>
    <x:row r="2000" ht="44" customHeight="1">
      <x:c r="A2000" s="2" t="str">
        <x:v>ETH</x:v>
      </x:c>
      <x:c r="B2000" s="2" t="str">
        <x:v>private_credit</x:v>
      </x:c>
      <x:c r="C2000" s="2" t="n">
        <x:v>17.7101483486321</x:v>
      </x:c>
      <x:c r="D2000" s="2" t="n">
        <x:v>2008</x:v>
      </x:c>
      <x:c r="E2000" s="2" t="str">
        <x:v>WB_private_credit</x:v>
      </x:c>
      <x:c r="F2000" s="2" t="str">
        <x:v>Domestic credit to private sector (% of GDP)</x:v>
      </x:c>
    </x:row>
    <x:row r="2001" ht="44" customHeight="1">
      <x:c r="A2001" s="2" t="str">
        <x:v>ETH</x:v>
      </x:c>
      <x:c r="B2001" s="2" t="str">
        <x:v>lending_rate</x:v>
      </x:c>
      <x:c r="C2001" s="2" t="n">
        <x:v>8</x:v>
      </x:c>
      <x:c r="D2001" s="2" t="n">
        <x:v>2008</x:v>
      </x:c>
      <x:c r="E2001" s="2" t="str">
        <x:v>WB_lending_rate</x:v>
      </x:c>
      <x:c r="F2001" s="2" t="str">
        <x:v>Lending interest rate (%)</x:v>
      </x:c>
    </x:row>
    <x:row r="2002" ht="44" customHeight="1">
      <x:c r="A2002" s="2" t="str">
        <x:v>ETH</x:v>
      </x:c>
      <x:c r="B2002" s="2" t="str">
        <x:v>real_interest</x:v>
      </x:c>
      <x:c r="C2002" s="2" t="n">
        <x:v>-17.1217762401546</x:v>
      </x:c>
      <x:c r="D2002" s="2" t="n">
        <x:v>2008</x:v>
      </x:c>
      <x:c r="E2002" s="2" t="str">
        <x:v>WB_real_interest</x:v>
      </x:c>
      <x:c r="F2002" s="2" t="str">
        <x:v>Real interest rate (%)</x:v>
      </x:c>
    </x:row>
    <x:row r="2003" ht="44" customHeight="1">
      <x:c r="A2003" s="2" t="str">
        <x:v>ETH</x:v>
      </x:c>
      <x:c r="B2003" s="2" t="str">
        <x:v>government_debt</x:v>
      </x:c>
      <x:c r="C2003" s="2" t="n">
        <x:v>31.4488445666124</x:v>
      </x:c>
      <x:c r="D2003" s="2" t="n">
        <x:v>2019</x:v>
      </x:c>
      <x:c r="E2003" s="2" t="str">
        <x:v>WB_government_debt</x:v>
      </x:c>
      <x:c r="F2003" s="2" t="str">
        <x:v>Central government debt, total (% of GDP)</x:v>
      </x:c>
    </x:row>
    <x:row r="2004" ht="44" customHeight="1">
      <x:c r="A2004" s="2" t="str">
        <x:v>ETH</x:v>
      </x:c>
      <x:c r="B2004" s="2" t="str">
        <x:v>electricity_access</x:v>
      </x:c>
      <x:c r="C2004" s="2" t="n">
        <x:v>56.6</x:v>
      </x:c>
      <x:c r="D2004" s="2" t="n">
        <x:v>2024</x:v>
      </x:c>
      <x:c r="E2004" s="2" t="str">
        <x:v>WB_electricity_access</x:v>
      </x:c>
      <x:c r="F2004" s="2" t="str">
        <x:v>Access to electricity (% of population)</x:v>
      </x:c>
    </x:row>
    <x:row r="2005" ht="44" customHeight="1">
      <x:c r="A2005" s="2" t="str">
        <x:v>ETH</x:v>
      </x:c>
      <x:c r="B2005" s="2" t="str">
        <x:v>irrigated_land</x:v>
      </x:c>
      <x:c r="C2005" s="2" t="n">
        <x:v>0.471448509594268</x:v>
      </x:c>
      <x:c r="D2005" s="2" t="n">
        <x:v>2020</x:v>
      </x:c>
      <x:c r="E2005" s="2" t="str">
        <x:v>WB_irrigated_land</x:v>
      </x:c>
      <x:c r="F2005" s="2" t="str">
        <x:v>Agricultural irrigated land (% of total agricultural land)</x:v>
      </x:c>
    </x:row>
    <x:row r="2006" ht="44" customHeight="1">
      <x:c r="A2006" s="2" t="str">
        <x:v>ETH</x:v>
      </x:c>
      <x:c r="B2006" s="2" t="str">
        <x:v>cereal_area</x:v>
      </x:c>
      <x:c r="C2006" s="2" t="n">
        <x:v>12069713</x:v>
      </x:c>
      <x:c r="D2006" s="2" t="n">
        <x:v>2024</x:v>
      </x:c>
      <x:c r="E2006" s="2" t="str">
        <x:v>WB_cereal_area</x:v>
      </x:c>
      <x:c r="F2006" s="2" t="str">
        <x:v>Land under cereal production (hectares)</x:v>
      </x:c>
    </x:row>
    <x:row r="2007" ht="44" customHeight="1">
      <x:c r="A2007" s="2" t="str">
        <x:v>ETH</x:v>
      </x:c>
      <x:c r="B2007" s="2" t="str">
        <x:v>undernourishment</x:v>
      </x:c>
      <x:c r="C2007" s="2" t="n">
        <x:v>19.7</x:v>
      </x:c>
      <x:c r="D2007" s="2" t="n">
        <x:v>2023</x:v>
      </x:c>
      <x:c r="E2007" s="2" t="str">
        <x:v>WB_undernourishment</x:v>
      </x:c>
      <x:c r="F2007" s="2" t="str">
        <x:v>Prevalence of undernourishment (% of population)</x:v>
      </x:c>
    </x:row>
    <x:row r="2008" ht="44" customHeight="1">
      <x:c r="A2008" s="2" t="str">
        <x:v>ETH</x:v>
      </x:c>
      <x:c r="B2008" s="2" t="str">
        <x:v>agriculture_employment</x:v>
      </x:c>
      <x:c r="C2008" s="2" t="n">
        <x:v>60.1432419652977</x:v>
      </x:c>
      <x:c r="D2008" s="2" t="n">
        <x:v>2025</x:v>
      </x:c>
      <x:c r="E2008" s="2" t="str">
        <x:v>WB_agriculture_employment</x:v>
      </x:c>
      <x:c r="F2008" s="2" t="str">
        <x:v>Employment in agriculture (% of total employment) (modeled ILO estimate)</x:v>
      </x:c>
    </x:row>
    <x:row r="2009" ht="44" customHeight="1">
      <x:c r="A2009" s="2" t="str">
        <x:v>ETH</x:v>
      </x:c>
      <x:c r="B2009" s="2" t="str">
        <x:v>water_withdrawal</x:v>
      </x:c>
      <x:c r="C2009" s="2" t="n">
        <x:v>8.64598360655738</x:v>
      </x:c>
      <x:c r="D2009" s="2" t="n">
        <x:v>2022</x:v>
      </x:c>
      <x:c r="E2009" s="2" t="str">
        <x:v>WB_water_withdrawal</x:v>
      </x:c>
      <x:c r="F2009" s="2" t="str">
        <x:v>Annual freshwater withdrawals, total (% of internal resources)</x:v>
      </x:c>
    </x:row>
    <x:row r="2010" ht="44" customHeight="1">
      <x:c r="A2010" s="2" t="str">
        <x:v>FJI</x:v>
      </x:c>
      <x:c r="B2010" s="2" t="str">
        <x:v>population</x:v>
      </x:c>
      <x:c r="C2010" s="2" t="n">
        <x:v>933154</x:v>
      </x:c>
      <x:c r="D2010" s="2" t="n">
        <x:v>2025</x:v>
      </x:c>
      <x:c r="E2010" s="2" t="str">
        <x:v>WB_population</x:v>
      </x:c>
      <x:c r="F2010" s="2" t="str">
        <x:v>Population, total</x:v>
      </x:c>
    </x:row>
    <x:row r="2011" ht="44" customHeight="1">
      <x:c r="A2011" s="2" t="str">
        <x:v>FJI</x:v>
      </x:c>
      <x:c r="B2011" s="2" t="str">
        <x:v>income_ppp</x:v>
      </x:c>
      <x:c r="C2011" s="2" t="n">
        <x:v>13961.1183693541</x:v>
      </x:c>
      <x:c r="D2011" s="2" t="n">
        <x:v>2025</x:v>
      </x:c>
      <x:c r="E2011" s="2" t="str">
        <x:v>WB_income_ppp</x:v>
      </x:c>
      <x:c r="F2011" s="2" t="str">
        <x:v>GDP per capita, PPP (constant 2021 international $)</x:v>
      </x:c>
    </x:row>
    <x:row r="2012" ht="44" customHeight="1">
      <x:c r="A2012" s="2" t="str">
        <x:v>FJI</x:v>
      </x:c>
      <x:c r="B2012" s="2" t="str">
        <x:v>urban</x:v>
      </x:c>
      <x:c r="C2012" s="2" t="n">
        <x:v>59.5444551836369</x:v>
      </x:c>
      <x:c r="D2012" s="2" t="n">
        <x:v>2025</x:v>
      </x:c>
      <x:c r="E2012" s="2" t="str">
        <x:v>WB_urban</x:v>
      </x:c>
      <x:c r="F2012" s="2" t="str">
        <x:v>Urban population (% of total population)</x:v>
      </x:c>
    </x:row>
    <x:row r="2013" ht="44" customHeight="1">
      <x:c r="A2013" s="2" t="str">
        <x:v>FJI</x:v>
      </x:c>
      <x:c r="B2013" s="2" t="str">
        <x:v>inflation</x:v>
      </x:c>
      <x:c r="C2013" s="2" t="n">
        <x:v>-1.38326833934224</x:v>
      </x:c>
      <x:c r="D2013" s="2" t="n">
        <x:v>2025</x:v>
      </x:c>
      <x:c r="E2013" s="2" t="str">
        <x:v>WB_inflation</x:v>
      </x:c>
      <x:c r="F2013" s="2" t="str">
        <x:v>Inflation, consumer prices (annual %)</x:v>
      </x:c>
    </x:row>
    <x:row r="2014" ht="44" customHeight="1">
      <x:c r="A2014" s="2" t="str">
        <x:v>FJI</x:v>
      </x:c>
      <x:c r="B2014" s="2" t="str">
        <x:v>food_index</x:v>
      </x:c>
      <x:c r="C2014" s="2" t="n">
        <x:v>139.65</x:v>
      </x:c>
      <x:c r="D2014" s="2" t="n">
        <x:v>2022</x:v>
      </x:c>
      <x:c r="E2014" s="2" t="str">
        <x:v>WB_food_index</x:v>
      </x:c>
      <x:c r="F2014" s="2" t="str">
        <x:v>Food production index (2014-2016 = 100)</x:v>
      </x:c>
    </x:row>
    <x:row r="2015" ht="44" customHeight="1">
      <x:c r="A2015" s="2" t="str">
        <x:v>FJI</x:v>
      </x:c>
      <x:c r="B2015" s="2" t="str">
        <x:v>food_import_share</x:v>
      </x:c>
      <x:c r="C2015" s="2" t="n">
        <x:v>18.9596724821777</x:v>
      </x:c>
      <x:c r="D2015" s="2" t="n">
        <x:v>2024</x:v>
      </x:c>
      <x:c r="E2015" s="2" t="str">
        <x:v>WB_food_import_share</x:v>
      </x:c>
      <x:c r="F2015" s="2" t="str">
        <x:v>Food imports (% of merchandise imports)</x:v>
      </x:c>
    </x:row>
    <x:row r="2016" ht="44" customHeight="1">
      <x:c r="A2016" s="2" t="str">
        <x:v>FJI</x:v>
      </x:c>
      <x:c r="B2016" s="2" t="str">
        <x:v>food_export_share</x:v>
      </x:c>
      <x:c r="C2016" s="2" t="n">
        <x:v>64.3265487889159</x:v>
      </x:c>
      <x:c r="D2016" s="2" t="n">
        <x:v>2024</x:v>
      </x:c>
      <x:c r="E2016" s="2" t="str">
        <x:v>WB_food_export_share</x:v>
      </x:c>
      <x:c r="F2016" s="2" t="str">
        <x:v>Food exports (% of merchandise exports)</x:v>
      </x:c>
    </x:row>
    <x:row r="2017" ht="44" customHeight="1">
      <x:c r="A2017" s="2" t="str">
        <x:v>FJI</x:v>
      </x:c>
      <x:c r="B2017" s="2" t="str">
        <x:v>imports_usd</x:v>
      </x:c>
      <x:c r="C2017" s="2" t="n">
        <x:v>3251000000</x:v>
      </x:c>
      <x:c r="D2017" s="2" t="n">
        <x:v>2025</x:v>
      </x:c>
      <x:c r="E2017" s="2" t="str">
        <x:v>WB_imports_usd</x:v>
      </x:c>
      <x:c r="F2017" s="2" t="str">
        <x:v>Merchandise imports (current US$)</x:v>
      </x:c>
    </x:row>
    <x:row r="2018" ht="44" customHeight="1">
      <x:c r="A2018" s="2" t="str">
        <x:v>FJI</x:v>
      </x:c>
      <x:c r="B2018" s="2" t="str">
        <x:v>exports_usd</x:v>
      </x:c>
      <x:c r="C2018" s="2" t="n">
        <x:v>1126000000</x:v>
      </x:c>
      <x:c r="D2018" s="2" t="n">
        <x:v>2025</x:v>
      </x:c>
      <x:c r="E2018" s="2" t="str">
        <x:v>WB_exports_usd</x:v>
      </x:c>
      <x:c r="F2018" s="2" t="str">
        <x:v>Merchandise exports (current US$)</x:v>
      </x:c>
    </x:row>
    <x:row r="2019" ht="44" customHeight="1">
      <x:c r="A2019" s="2" t="str">
        <x:v>FJI</x:v>
      </x:c>
      <x:c r="B2019" s="2" t="str">
        <x:v>cereal_yield</x:v>
      </x:c>
      <x:c r="C2019" s="2" t="n">
        <x:v>4109.1</x:v>
      </x:c>
      <x:c r="D2019" s="2" t="n">
        <x:v>2023</x:v>
      </x:c>
      <x:c r="E2019" s="2" t="str">
        <x:v>WB_cereal_yield</x:v>
      </x:c>
      <x:c r="F2019" s="2" t="str">
        <x:v>Cereal yield (kg per hectare)</x:v>
      </x:c>
    </x:row>
    <x:row r="2020" ht="44" customHeight="1">
      <x:c r="A2020" s="2" t="str">
        <x:v>FJI</x:v>
      </x:c>
      <x:c r="B2020" s="2" t="str">
        <x:v>water_stress</x:v>
      </x:c>
      <x:c r="C2020" s="2" t="n">
        <x:v>0.29737303</x:v>
      </x:c>
      <x:c r="D2020" s="2" t="n">
        <x:v>2022</x:v>
      </x:c>
      <x:c r="E2020" s="2" t="str">
        <x:v>WB_water_stress</x:v>
      </x:c>
      <x:c r="F2020" s="2" t="str">
        <x:v>Level of water stress: freshwater withdrawal as a proportion of available freshwater resources</x:v>
      </x:c>
    </x:row>
    <x:row r="2021" ht="44" customHeight="1">
      <x:c r="A2021" s="2" t="str">
        <x:v>FJI</x:v>
      </x:c>
      <x:c r="B2021" s="2" t="str">
        <x:v>fertility</x:v>
      </x:c>
      <x:c r="C2021" s="2" t="n">
        <x:v>2.27</x:v>
      </x:c>
      <x:c r="D2021" s="2" t="n">
        <x:v>2024</x:v>
      </x:c>
      <x:c r="E2021" s="2" t="str">
        <x:v>WB_fertility</x:v>
      </x:c>
      <x:c r="F2021" s="2" t="str">
        <x:v>Fertility rate, total (births per woman)</x:v>
      </x:c>
    </x:row>
    <x:row r="2022" ht="44" customHeight="1">
      <x:c r="A2022" s="2" t="str">
        <x:v>FJI</x:v>
      </x:c>
      <x:c r="B2022" s="2" t="str">
        <x:v>life_expectancy</x:v>
      </x:c>
      <x:c r="C2022" s="2" t="n">
        <x:v>67.463</x:v>
      </x:c>
      <x:c r="D2022" s="2" t="n">
        <x:v>2024</x:v>
      </x:c>
      <x:c r="E2022" s="2" t="str">
        <x:v>WB_life_expectancy</x:v>
      </x:c>
      <x:c r="F2022" s="2" t="str">
        <x:v>Life expectancy at birth, total (years)</x:v>
      </x:c>
    </x:row>
    <x:row r="2023" ht="44" customHeight="1">
      <x:c r="A2023" s="2" t="str">
        <x:v>FJI</x:v>
      </x:c>
      <x:c r="B2023" s="2" t="str">
        <x:v>age_under15</x:v>
      </x:c>
      <x:c r="C2023" s="2" t="n">
        <x:v>26.8285155352088</x:v>
      </x:c>
      <x:c r="D2023" s="2" t="n">
        <x:v>2025</x:v>
      </x:c>
      <x:c r="E2023" s="2" t="str">
        <x:v>WB_age_under15</x:v>
      </x:c>
      <x:c r="F2023" s="2" t="str">
        <x:v>Population ages 0-14 (% of total population)</x:v>
      </x:c>
    </x:row>
    <x:row r="2024" ht="44" customHeight="1">
      <x:c r="A2024" s="2" t="str">
        <x:v>FJI</x:v>
      </x:c>
      <x:c r="B2024" s="2" t="str">
        <x:v>age_over65</x:v>
      </x:c>
      <x:c r="C2024" s="2" t="n">
        <x:v>6.63486057239182</x:v>
      </x:c>
      <x:c r="D2024" s="2" t="n">
        <x:v>2025</x:v>
      </x:c>
      <x:c r="E2024" s="2" t="str">
        <x:v>WB_age_over65</x:v>
      </x:c>
      <x:c r="F2024" s="2" t="str">
        <x:v>Population ages 65 and above (% of total population)</x:v>
      </x:c>
    </x:row>
    <x:row r="2025" ht="44" customHeight="1">
      <x:c r="A2025" s="2" t="str">
        <x:v>FJI</x:v>
      </x:c>
      <x:c r="B2025" s="2" t="str">
        <x:v>dependency_ratio</x:v>
      </x:c>
      <x:c r="C2025" s="2" t="n">
        <x:v>50.293047549562</x:v>
      </x:c>
      <x:c r="D2025" s="2" t="n">
        <x:v>2025</x:v>
      </x:c>
      <x:c r="E2025" s="2" t="str">
        <x:v>WB_dependency_ratio</x:v>
      </x:c>
      <x:c r="F2025" s="2" t="str">
        <x:v>Age dependency ratio (% of working-age population)</x:v>
      </x:c>
    </x:row>
    <x:row r="2026" ht="44" customHeight="1">
      <x:c r="A2026" s="2" t="str">
        <x:v>FJI</x:v>
      </x:c>
      <x:c r="B2026" s="2" t="str">
        <x:v>net_migration</x:v>
      </x:c>
      <x:c r="C2026" s="2" t="n">
        <x:v>-3288</x:v>
      </x:c>
      <x:c r="D2026" s="2" t="n">
        <x:v>2025</x:v>
      </x:c>
      <x:c r="E2026" s="2" t="str">
        <x:v>WB_net_migration</x:v>
      </x:c>
      <x:c r="F2026" s="2" t="str">
        <x:v>Net migration</x:v>
      </x:c>
    </x:row>
    <x:row r="2027" ht="44" customHeight="1">
      <x:c r="A2027" s="2" t="str">
        <x:v>FJI</x:v>
      </x:c>
      <x:c r="B2027" s="2" t="str">
        <x:v>real_gdp</x:v>
      </x:c>
      <x:c r="C2027" s="2" t="n">
        <x:v>5688678190.51222</x:v>
      </x:c>
      <x:c r="D2027" s="2" t="n">
        <x:v>2025</x:v>
      </x:c>
      <x:c r="E2027" s="2" t="str">
        <x:v>WB_real_gdp</x:v>
      </x:c>
      <x:c r="F2027" s="2" t="str">
        <x:v>GDP (constant 2015 US$)</x:v>
      </x:c>
    </x:row>
    <x:row r="2028" ht="44" customHeight="1">
      <x:c r="A2028" s="2" t="str">
        <x:v>FJI</x:v>
      </x:c>
      <x:c r="B2028" s="2" t="str">
        <x:v>gdp_growth</x:v>
      </x:c>
      <x:c r="C2028" s="2" t="n">
        <x:v>3.19546862124029</x:v>
      </x:c>
      <x:c r="D2028" s="2" t="n">
        <x:v>2025</x:v>
      </x:c>
      <x:c r="E2028" s="2" t="str">
        <x:v>WB_gdp_growth</x:v>
      </x:c>
      <x:c r="F2028" s="2" t="str">
        <x:v>GDP growth (annual %)</x:v>
      </x:c>
    </x:row>
    <x:row r="2029" ht="44" customHeight="1">
      <x:c r="A2029" s="2" t="str">
        <x:v>FJI</x:v>
      </x:c>
      <x:c r="B2029" s="2" t="str">
        <x:v>real_income</x:v>
      </x:c>
      <x:c r="C2029" s="2" t="n">
        <x:v>6096.1836851283</x:v>
      </x:c>
      <x:c r="D2029" s="2" t="n">
        <x:v>2025</x:v>
      </x:c>
      <x:c r="E2029" s="2" t="str">
        <x:v>WB_real_income</x:v>
      </x:c>
      <x:c r="F2029" s="2" t="str">
        <x:v>GDP per capita (constant 2015 US$)</x:v>
      </x:c>
    </x:row>
    <x:row r="2030" ht="44" customHeight="1">
      <x:c r="A2030" s="2" t="str">
        <x:v>FJI</x:v>
      </x:c>
      <x:c r="B2030" s="2" t="str">
        <x:v>agriculture_gdp</x:v>
      </x:c>
      <x:c r="C2030" s="2" t="n">
        <x:v>14.0457735369585</x:v>
      </x:c>
      <x:c r="D2030" s="2" t="n">
        <x:v>2025</x:v>
      </x:c>
      <x:c r="E2030" s="2" t="str">
        <x:v>WB_agriculture_gdp</x:v>
      </x:c>
      <x:c r="F2030" s="2" t="str">
        <x:v>Agriculture, forestry, and fishing, value added (% of GDP)</x:v>
      </x:c>
    </x:row>
    <x:row r="2031" ht="44" customHeight="1">
      <x:c r="A2031" s="2" t="str">
        <x:v>FJI</x:v>
      </x:c>
      <x:c r="B2031" s="2" t="str">
        <x:v>poverty</x:v>
      </x:c>
      <x:c r="C2031" s="2" t="n">
        <x:v>4.7</x:v>
      </x:c>
      <x:c r="D2031" s="2" t="n">
        <x:v>2019</x:v>
      </x:c>
      <x:c r="E2031" s="2" t="str">
        <x:v>WB_poverty</x:v>
      </x:c>
      <x:c r="F2031" s="2" t="str">
        <x:v>Poverty headcount ratio at $3.00 a day (2021 PPP) (% of population)</x:v>
      </x:c>
    </x:row>
    <x:row r="2032" ht="44" customHeight="1">
      <x:c r="A2032" s="2" t="str">
        <x:v>FJI</x:v>
      </x:c>
      <x:c r="B2032" s="2" t="str">
        <x:v>gini</x:v>
      </x:c>
      <x:c r="C2032" s="2" t="n">
        <x:v>30.7</x:v>
      </x:c>
      <x:c r="D2032" s="2" t="n">
        <x:v>2019</x:v>
      </x:c>
      <x:c r="E2032" s="2" t="str">
        <x:v>WB_gini</x:v>
      </x:c>
      <x:c r="F2032" s="2" t="str">
        <x:v>Gini index</x:v>
      </x:c>
    </x:row>
    <x:row r="2033" ht="44" customHeight="1">
      <x:c r="A2033" s="2" t="str">
        <x:v>FJI</x:v>
      </x:c>
      <x:c r="B2033" s="2" t="str">
        <x:v>unemployment</x:v>
      </x:c>
      <x:c r="C2033" s="2" t="n">
        <x:v>5.347</x:v>
      </x:c>
      <x:c r="D2033" s="2" t="n">
        <x:v>2025</x:v>
      </x:c>
      <x:c r="E2033" s="2" t="str">
        <x:v>WB_unemployment</x:v>
      </x:c>
      <x:c r="F2033" s="2" t="str">
        <x:v>Unemployment, total (% of total labor force) (modeled ILO estimate)</x:v>
      </x:c>
    </x:row>
    <x:row r="2034" ht="44" customHeight="1">
      <x:c r="A2034" s="2" t="str">
        <x:v>FJI</x:v>
      </x:c>
      <x:c r="B2034" s="2" t="str">
        <x:v>private_credit</x:v>
      </x:c>
      <x:c r="C2034" s="2" t="n">
        <x:v>118.958850834707</x:v>
      </x:c>
      <x:c r="D2034" s="2" t="n">
        <x:v>2025</x:v>
      </x:c>
      <x:c r="E2034" s="2" t="str">
        <x:v>WB_private_credit</x:v>
      </x:c>
      <x:c r="F2034" s="2" t="str">
        <x:v>Domestic credit to private sector (% of GDP)</x:v>
      </x:c>
    </x:row>
    <x:row r="2035" ht="44" customHeight="1">
      <x:c r="A2035" s="2" t="str">
        <x:v>FJI</x:v>
      </x:c>
      <x:c r="B2035" s="2" t="str">
        <x:v>lending_rate</x:v>
      </x:c>
      <x:c r="C2035" s="2" t="n">
        <x:v>4.56427488660838</x:v>
      </x:c>
      <x:c r="D2035" s="2" t="n">
        <x:v>2024</x:v>
      </x:c>
      <x:c r="E2035" s="2" t="str">
        <x:v>WB_lending_rate</x:v>
      </x:c>
      <x:c r="F2035" s="2" t="str">
        <x:v>Lending interest rate (%)</x:v>
      </x:c>
    </x:row>
    <x:row r="2036" ht="44" customHeight="1">
      <x:c r="A2036" s="2" t="str">
        <x:v>FJI</x:v>
      </x:c>
      <x:c r="B2036" s="2" t="str">
        <x:v>real_interest</x:v>
      </x:c>
      <x:c r="C2036" s="2" t="n">
        <x:v>-1.45418747666565</x:v>
      </x:c>
      <x:c r="D2036" s="2" t="n">
        <x:v>2024</x:v>
      </x:c>
      <x:c r="E2036" s="2" t="str">
        <x:v>WB_real_interest</x:v>
      </x:c>
      <x:c r="F2036" s="2" t="str">
        <x:v>Real interest rate (%)</x:v>
      </x:c>
    </x:row>
    <x:row r="2037" ht="44" customHeight="1">
      <x:c r="A2037" s="2" t="str">
        <x:v>FJI</x:v>
      </x:c>
      <x:c r="B2037" s="2" t="str">
        <x:v>government_debt</x:v>
      </x:c>
      <x:c r="C2037" s="2"/>
      <x:c r="D2037" s="2"/>
      <x:c r="E2037" s="2" t="str">
        <x:v>Missing</x:v>
      </x:c>
      <x:c r="F2037" s="2" t="str">
        <x:v>Central government debt, total (% of GDP)</x:v>
      </x:c>
    </x:row>
    <x:row r="2038" ht="44" customHeight="1">
      <x:c r="A2038" s="2" t="str">
        <x:v>FJI</x:v>
      </x:c>
      <x:c r="B2038" s="2" t="str">
        <x:v>electricity_access</x:v>
      </x:c>
      <x:c r="C2038" s="2" t="n">
        <x:v>95.9</x:v>
      </x:c>
      <x:c r="D2038" s="2" t="n">
        <x:v>2024</x:v>
      </x:c>
      <x:c r="E2038" s="2" t="str">
        <x:v>WB_electricity_access</x:v>
      </x:c>
      <x:c r="F2038" s="2" t="str">
        <x:v>Access to electricity (% of population)</x:v>
      </x:c>
    </x:row>
    <x:row r="2039" ht="44" customHeight="1">
      <x:c r="A2039" s="2" t="str">
        <x:v>FJI</x:v>
      </x:c>
      <x:c r="B2039" s="2" t="str">
        <x:v>irrigated_land</x:v>
      </x:c>
      <x:c r="C2039" s="2"/>
      <x:c r="D2039" s="2"/>
      <x:c r="E2039" s="2" t="str">
        <x:v>Missing</x:v>
      </x:c>
      <x:c r="F2039" s="2" t="str">
        <x:v>Agricultural irrigated land (% of total agricultural land)</x:v>
      </x:c>
    </x:row>
    <x:row r="2040" ht="44" customHeight="1">
      <x:c r="A2040" s="2" t="str">
        <x:v>FJI</x:v>
      </x:c>
      <x:c r="B2040" s="2" t="str">
        <x:v>cereal_area</x:v>
      </x:c>
      <x:c r="C2040" s="2" t="n">
        <x:v>2237</x:v>
      </x:c>
      <x:c r="D2040" s="2" t="n">
        <x:v>2023</x:v>
      </x:c>
      <x:c r="E2040" s="2" t="str">
        <x:v>WB_cereal_area</x:v>
      </x:c>
      <x:c r="F2040" s="2" t="str">
        <x:v>Land under cereal production (hectares)</x:v>
      </x:c>
    </x:row>
    <x:row r="2041" ht="44" customHeight="1">
      <x:c r="A2041" s="2" t="str">
        <x:v>FJI</x:v>
      </x:c>
      <x:c r="B2041" s="2" t="str">
        <x:v>undernourishment</x:v>
      </x:c>
      <x:c r="C2041" s="2" t="n">
        <x:v>6.8</x:v>
      </x:c>
      <x:c r="D2041" s="2" t="n">
        <x:v>2023</x:v>
      </x:c>
      <x:c r="E2041" s="2" t="str">
        <x:v>WB_undernourishment</x:v>
      </x:c>
      <x:c r="F2041" s="2" t="str">
        <x:v>Prevalence of undernourishment (% of population)</x:v>
      </x:c>
    </x:row>
    <x:row r="2042" ht="44" customHeight="1">
      <x:c r="A2042" s="2" t="str">
        <x:v>FJI</x:v>
      </x:c>
      <x:c r="B2042" s="2" t="str">
        <x:v>agriculture_employment</x:v>
      </x:c>
      <x:c r="C2042" s="2" t="n">
        <x:v>35.6391099561475</x:v>
      </x:c>
      <x:c r="D2042" s="2" t="n">
        <x:v>2025</x:v>
      </x:c>
      <x:c r="E2042" s="2" t="str">
        <x:v>WB_agriculture_employment</x:v>
      </x:c>
      <x:c r="F2042" s="2" t="str">
        <x:v>Employment in agriculture (% of total employment) (modeled ILO estimate)</x:v>
      </x:c>
    </x:row>
    <x:row r="2043" ht="44" customHeight="1">
      <x:c r="A2043" s="2" t="str">
        <x:v>FJI</x:v>
      </x:c>
      <x:c r="B2043" s="2" t="str">
        <x:v>water_withdrawal</x:v>
      </x:c>
      <x:c r="C2043" s="2" t="n">
        <x:v>0.297373029772329</x:v>
      </x:c>
      <x:c r="D2043" s="2" t="n">
        <x:v>2022</x:v>
      </x:c>
      <x:c r="E2043" s="2" t="str">
        <x:v>WB_water_withdrawal</x:v>
      </x:c>
      <x:c r="F2043" s="2" t="str">
        <x:v>Annual freshwater withdrawals, total (% of internal resources)</x:v>
      </x:c>
    </x:row>
    <x:row r="2044" ht="44" customHeight="1">
      <x:c r="A2044" s="2" t="str">
        <x:v>FIN</x:v>
      </x:c>
      <x:c r="B2044" s="2" t="str">
        <x:v>population</x:v>
      </x:c>
      <x:c r="C2044" s="2" t="n">
        <x:v>5646436</x:v>
      </x:c>
      <x:c r="D2044" s="2" t="n">
        <x:v>2025</x:v>
      </x:c>
      <x:c r="E2044" s="2" t="str">
        <x:v>WB_population</x:v>
      </x:c>
      <x:c r="F2044" s="2" t="str">
        <x:v>Population, total</x:v>
      </x:c>
    </x:row>
    <x:row r="2045" ht="44" customHeight="1">
      <x:c r="A2045" s="2" t="str">
        <x:v>FIN</x:v>
      </x:c>
      <x:c r="B2045" s="2" t="str">
        <x:v>income_ppp</x:v>
      </x:c>
      <x:c r="C2045" s="2" t="n">
        <x:v>55735.2174921326</x:v>
      </x:c>
      <x:c r="D2045" s="2" t="n">
        <x:v>2025</x:v>
      </x:c>
      <x:c r="E2045" s="2" t="str">
        <x:v>WB_income_ppp</x:v>
      </x:c>
      <x:c r="F2045" s="2" t="str">
        <x:v>GDP per capita, PPP (constant 2021 international $)</x:v>
      </x:c>
    </x:row>
    <x:row r="2046" ht="44" customHeight="1">
      <x:c r="A2046" s="2" t="str">
        <x:v>FIN</x:v>
      </x:c>
      <x:c r="B2046" s="2" t="str">
        <x:v>urban</x:v>
      </x:c>
      <x:c r="C2046" s="2" t="n">
        <x:v>74.5247844319848</x:v>
      </x:c>
      <x:c r="D2046" s="2" t="n">
        <x:v>2025</x:v>
      </x:c>
      <x:c r="E2046" s="2" t="str">
        <x:v>WB_urban</x:v>
      </x:c>
      <x:c r="F2046" s="2" t="str">
        <x:v>Urban population (% of total population)</x:v>
      </x:c>
    </x:row>
    <x:row r="2047" ht="44" customHeight="1">
      <x:c r="A2047" s="2" t="str">
        <x:v>FIN</x:v>
      </x:c>
      <x:c r="B2047" s="2" t="str">
        <x:v>inflation</x:v>
      </x:c>
      <x:c r="C2047" s="2" t="n">
        <x:v>0.337874659400574</x:v>
      </x:c>
      <x:c r="D2047" s="2" t="n">
        <x:v>2025</x:v>
      </x:c>
      <x:c r="E2047" s="2" t="str">
        <x:v>WB_inflation</x:v>
      </x:c>
      <x:c r="F2047" s="2" t="str">
        <x:v>Inflation, consumer prices (annual %)</x:v>
      </x:c>
    </x:row>
    <x:row r="2048" ht="44" customHeight="1">
      <x:c r="A2048" s="2" t="str">
        <x:v>FIN</x:v>
      </x:c>
      <x:c r="B2048" s="2" t="str">
        <x:v>food_index</x:v>
      </x:c>
      <x:c r="C2048" s="2" t="n">
        <x:v>98.15</x:v>
      </x:c>
      <x:c r="D2048" s="2" t="n">
        <x:v>2022</x:v>
      </x:c>
      <x:c r="E2048" s="2" t="str">
        <x:v>WB_food_index</x:v>
      </x:c>
      <x:c r="F2048" s="2" t="str">
        <x:v>Food production index (2014-2016 = 100)</x:v>
      </x:c>
    </x:row>
    <x:row r="2049" ht="44" customHeight="1">
      <x:c r="A2049" s="2" t="str">
        <x:v>FIN</x:v>
      </x:c>
      <x:c r="B2049" s="2" t="str">
        <x:v>food_import_share</x:v>
      </x:c>
      <x:c r="C2049" s="2" t="n">
        <x:v>8.82719033930542</x:v>
      </x:c>
      <x:c r="D2049" s="2" t="n">
        <x:v>2024</x:v>
      </x:c>
      <x:c r="E2049" s="2" t="str">
        <x:v>WB_food_import_share</x:v>
      </x:c>
      <x:c r="F2049" s="2" t="str">
        <x:v>Food imports (% of merchandise imports)</x:v>
      </x:c>
    </x:row>
    <x:row r="2050" ht="44" customHeight="1">
      <x:c r="A2050" s="2" t="str">
        <x:v>FIN</x:v>
      </x:c>
      <x:c r="B2050" s="2" t="str">
        <x:v>food_export_share</x:v>
      </x:c>
      <x:c r="C2050" s="2" t="n">
        <x:v>3.07855774999292</x:v>
      </x:c>
      <x:c r="D2050" s="2" t="n">
        <x:v>2024</x:v>
      </x:c>
      <x:c r="E2050" s="2" t="str">
        <x:v>WB_food_export_share</x:v>
      </x:c>
      <x:c r="F2050" s="2" t="str">
        <x:v>Food exports (% of merchandise exports)</x:v>
      </x:c>
    </x:row>
    <x:row r="2051" ht="44" customHeight="1">
      <x:c r="A2051" s="2" t="str">
        <x:v>FIN</x:v>
      </x:c>
      <x:c r="B2051" s="2" t="str">
        <x:v>imports_usd</x:v>
      </x:c>
      <x:c r="C2051" s="2" t="n">
        <x:v>84865000000</x:v>
      </x:c>
      <x:c r="D2051" s="2" t="n">
        <x:v>2025</x:v>
      </x:c>
      <x:c r="E2051" s="2" t="str">
        <x:v>WB_imports_usd</x:v>
      </x:c>
      <x:c r="F2051" s="2" t="str">
        <x:v>Merchandise imports (current US$)</x:v>
      </x:c>
    </x:row>
    <x:row r="2052" ht="44" customHeight="1">
      <x:c r="A2052" s="2" t="str">
        <x:v>FIN</x:v>
      </x:c>
      <x:c r="B2052" s="2" t="str">
        <x:v>exports_usd</x:v>
      </x:c>
      <x:c r="C2052" s="2" t="n">
        <x:v>84045000000</x:v>
      </x:c>
      <x:c r="D2052" s="2" t="n">
        <x:v>2025</x:v>
      </x:c>
      <x:c r="E2052" s="2" t="str">
        <x:v>WB_exports_usd</x:v>
      </x:c>
      <x:c r="F2052" s="2" t="str">
        <x:v>Merchandise exports (current US$)</x:v>
      </x:c>
    </x:row>
    <x:row r="2053" ht="44" customHeight="1">
      <x:c r="A2053" s="2" t="str">
        <x:v>FIN</x:v>
      </x:c>
      <x:c r="B2053" s="2" t="str">
        <x:v>cereal_yield</x:v>
      </x:c>
      <x:c r="C2053" s="2" t="n">
        <x:v>3310.5</x:v>
      </x:c>
      <x:c r="D2053" s="2" t="n">
        <x:v>2023</x:v>
      </x:c>
      <x:c r="E2053" s="2" t="str">
        <x:v>WB_cereal_yield</x:v>
      </x:c>
      <x:c r="F2053" s="2" t="str">
        <x:v>Cereal yield (kg per hectare)</x:v>
      </x:c>
    </x:row>
    <x:row r="2054" ht="44" customHeight="1">
      <x:c r="A2054" s="2" t="str">
        <x:v>FIN</x:v>
      </x:c>
      <x:c r="B2054" s="2" t="str">
        <x:v>water_stress</x:v>
      </x:c>
      <x:c r="C2054" s="2" t="n">
        <x:v>7.11406213</x:v>
      </x:c>
      <x:c r="D2054" s="2" t="n">
        <x:v>2022</x:v>
      </x:c>
      <x:c r="E2054" s="2" t="str">
        <x:v>WB_water_stress</x:v>
      </x:c>
      <x:c r="F2054" s="2" t="str">
        <x:v>Level of water stress: freshwater withdrawal as a proportion of available freshwater resources</x:v>
      </x:c>
    </x:row>
    <x:row r="2055" ht="44" customHeight="1">
      <x:c r="A2055" s="2" t="str">
        <x:v>FIN</x:v>
      </x:c>
      <x:c r="B2055" s="2" t="str">
        <x:v>fertility</x:v>
      </x:c>
      <x:c r="C2055" s="2" t="n">
        <x:v>1.25</x:v>
      </x:c>
      <x:c r="D2055" s="2" t="n">
        <x:v>2024</x:v>
      </x:c>
      <x:c r="E2055" s="2" t="str">
        <x:v>WB_fertility</x:v>
      </x:c>
      <x:c r="F2055" s="2" t="str">
        <x:v>Fertility rate, total (births per woman)</x:v>
      </x:c>
    </x:row>
    <x:row r="2056" ht="44" customHeight="1">
      <x:c r="A2056" s="2" t="str">
        <x:v>FIN</x:v>
      </x:c>
      <x:c r="B2056" s="2" t="str">
        <x:v>life_expectancy</x:v>
      </x:c>
      <x:c r="C2056" s="2" t="n">
        <x:v>82.3365853658537</x:v>
      </x:c>
      <x:c r="D2056" s="2" t="n">
        <x:v>2024</x:v>
      </x:c>
      <x:c r="E2056" s="2" t="str">
        <x:v>WB_life_expectancy</x:v>
      </x:c>
      <x:c r="F2056" s="2" t="str">
        <x:v>Life expectancy at birth, total (years)</x:v>
      </x:c>
    </x:row>
    <x:row r="2057" ht="44" customHeight="1">
      <x:c r="A2057" s="2" t="str">
        <x:v>FIN</x:v>
      </x:c>
      <x:c r="B2057" s="2" t="str">
        <x:v>age_under15</x:v>
      </x:c>
      <x:c r="C2057" s="2" t="n">
        <x:v>14.3301135030412</x:v>
      </x:c>
      <x:c r="D2057" s="2" t="n">
        <x:v>2025</x:v>
      </x:c>
      <x:c r="E2057" s="2" t="str">
        <x:v>WB_age_under15</x:v>
      </x:c>
      <x:c r="F2057" s="2" t="str">
        <x:v>Population ages 0-14 (% of total population)</x:v>
      </x:c>
    </x:row>
    <x:row r="2058" ht="44" customHeight="1">
      <x:c r="A2058" s="2" t="str">
        <x:v>FIN</x:v>
      </x:c>
      <x:c r="B2058" s="2" t="str">
        <x:v>age_over65</x:v>
      </x:c>
      <x:c r="C2058" s="2" t="n">
        <x:v>24.2018896456272</x:v>
      </x:c>
      <x:c r="D2058" s="2" t="n">
        <x:v>2025</x:v>
      </x:c>
      <x:c r="E2058" s="2" t="str">
        <x:v>WB_age_over65</x:v>
      </x:c>
      <x:c r="F2058" s="2" t="str">
        <x:v>Population ages 65 and above (% of total population)</x:v>
      </x:c>
    </x:row>
    <x:row r="2059" ht="44" customHeight="1">
      <x:c r="A2059" s="2" t="str">
        <x:v>FIN</x:v>
      </x:c>
      <x:c r="B2059" s="2" t="str">
        <x:v>dependency_ratio</x:v>
      </x:c>
      <x:c r="C2059" s="2" t="n">
        <x:v>62.6862889328563</x:v>
      </x:c>
      <x:c r="D2059" s="2" t="n">
        <x:v>2025</x:v>
      </x:c>
      <x:c r="E2059" s="2" t="str">
        <x:v>WB_dependency_ratio</x:v>
      </x:c>
      <x:c r="F2059" s="2" t="str">
        <x:v>Age dependency ratio (% of working-age population)</x:v>
      </x:c>
    </x:row>
    <x:row r="2060" ht="44" customHeight="1">
      <x:c r="A2060" s="2" t="str">
        <x:v>FIN</x:v>
      </x:c>
      <x:c r="B2060" s="2" t="str">
        <x:v>net_migration</x:v>
      </x:c>
      <x:c r="C2060" s="2" t="n">
        <x:v>18246</x:v>
      </x:c>
      <x:c r="D2060" s="2" t="n">
        <x:v>2025</x:v>
      </x:c>
      <x:c r="E2060" s="2" t="str">
        <x:v>WB_net_migration</x:v>
      </x:c>
      <x:c r="F2060" s="2" t="str">
        <x:v>Net migration</x:v>
      </x:c>
    </x:row>
    <x:row r="2061" ht="44" customHeight="1">
      <x:c r="A2061" s="2" t="str">
        <x:v>FIN</x:v>
      </x:c>
      <x:c r="B2061" s="2" t="str">
        <x:v>real_gdp</x:v>
      </x:c>
      <x:c r="C2061" s="2" t="n">
        <x:v>253757802164.372</x:v>
      </x:c>
      <x:c r="D2061" s="2" t="n">
        <x:v>2025</x:v>
      </x:c>
      <x:c r="E2061" s="2" t="str">
        <x:v>WB_real_gdp</x:v>
      </x:c>
      <x:c r="F2061" s="2" t="str">
        <x:v>GDP (constant 2015 US$)</x:v>
      </x:c>
    </x:row>
    <x:row r="2062" ht="44" customHeight="1">
      <x:c r="A2062" s="2" t="str">
        <x:v>FIN</x:v>
      </x:c>
      <x:c r="B2062" s="2" t="str">
        <x:v>gdp_growth</x:v>
      </x:c>
      <x:c r="C2062" s="2" t="n">
        <x:v>0.173444509584499</x:v>
      </x:c>
      <x:c r="D2062" s="2" t="n">
        <x:v>2025</x:v>
      </x:c>
      <x:c r="E2062" s="2" t="str">
        <x:v>WB_gdp_growth</x:v>
      </x:c>
      <x:c r="F2062" s="2" t="str">
        <x:v>GDP growth (annual %)</x:v>
      </x:c>
    </x:row>
    <x:row r="2063" ht="44" customHeight="1">
      <x:c r="A2063" s="2" t="str">
        <x:v>FIN</x:v>
      </x:c>
      <x:c r="B2063" s="2" t="str">
        <x:v>real_income</x:v>
      </x:c>
      <x:c r="C2063" s="2" t="n">
        <x:v>44941.2341102195</x:v>
      </x:c>
      <x:c r="D2063" s="2" t="n">
        <x:v>2025</x:v>
      </x:c>
      <x:c r="E2063" s="2" t="str">
        <x:v>WB_real_income</x:v>
      </x:c>
      <x:c r="F2063" s="2" t="str">
        <x:v>GDP per capita (constant 2015 US$)</x:v>
      </x:c>
    </x:row>
    <x:row r="2064" ht="44" customHeight="1">
      <x:c r="A2064" s="2" t="str">
        <x:v>FIN</x:v>
      </x:c>
      <x:c r="B2064" s="2" t="str">
        <x:v>agriculture_gdp</x:v>
      </x:c>
      <x:c r="C2064" s="2" t="n">
        <x:v>2.61075667391382</x:v>
      </x:c>
      <x:c r="D2064" s="2" t="n">
        <x:v>2025</x:v>
      </x:c>
      <x:c r="E2064" s="2" t="str">
        <x:v>WB_agriculture_gdp</x:v>
      </x:c>
      <x:c r="F2064" s="2" t="str">
        <x:v>Agriculture, forestry, and fishing, value added (% of GDP)</x:v>
      </x:c>
    </x:row>
    <x:row r="2065" ht="44" customHeight="1">
      <x:c r="A2065" s="2" t="str">
        <x:v>FIN</x:v>
      </x:c>
      <x:c r="B2065" s="2" t="str">
        <x:v>poverty</x:v>
      </x:c>
      <x:c r="C2065" s="2" t="n">
        <x:v>0.2</x:v>
      </x:c>
      <x:c r="D2065" s="2" t="n">
        <x:v>2023</x:v>
      </x:c>
      <x:c r="E2065" s="2" t="str">
        <x:v>WB_poverty</x:v>
      </x:c>
      <x:c r="F2065" s="2" t="str">
        <x:v>Poverty headcount ratio at $3.00 a day (2021 PPP) (% of population)</x:v>
      </x:c>
    </x:row>
    <x:row r="2066" ht="44" customHeight="1">
      <x:c r="A2066" s="2" t="str">
        <x:v>FIN</x:v>
      </x:c>
      <x:c r="B2066" s="2" t="str">
        <x:v>gini</x:v>
      </x:c>
      <x:c r="C2066" s="2" t="n">
        <x:v>27.4</x:v>
      </x:c>
      <x:c r="D2066" s="2" t="n">
        <x:v>2023</x:v>
      </x:c>
      <x:c r="E2066" s="2" t="str">
        <x:v>WB_gini</x:v>
      </x:c>
      <x:c r="F2066" s="2" t="str">
        <x:v>Gini index</x:v>
      </x:c>
    </x:row>
    <x:row r="2067" ht="44" customHeight="1">
      <x:c r="A2067" s="2" t="str">
        <x:v>FIN</x:v>
      </x:c>
      <x:c r="B2067" s="2" t="str">
        <x:v>unemployment</x:v>
      </x:c>
      <x:c r="C2067" s="2" t="n">
        <x:v>9.461</x:v>
      </x:c>
      <x:c r="D2067" s="2" t="n">
        <x:v>2025</x:v>
      </x:c>
      <x:c r="E2067" s="2" t="str">
        <x:v>WB_unemployment</x:v>
      </x:c>
      <x:c r="F2067" s="2" t="str">
        <x:v>Unemployment, total (% of total labor force) (modeled ILO estimate)</x:v>
      </x:c>
    </x:row>
    <x:row r="2068" ht="44" customHeight="1">
      <x:c r="A2068" s="2" t="str">
        <x:v>FIN</x:v>
      </x:c>
      <x:c r="B2068" s="2" t="str">
        <x:v>private_credit</x:v>
      </x:c>
      <x:c r="C2068" s="2" t="n">
        <x:v>92.0244354023472</x:v>
      </x:c>
      <x:c r="D2068" s="2" t="n">
        <x:v>2024</x:v>
      </x:c>
      <x:c r="E2068" s="2" t="str">
        <x:v>WB_private_credit</x:v>
      </x:c>
      <x:c r="F2068" s="2" t="str">
        <x:v>Domestic credit to private sector (% of GDP)</x:v>
      </x:c>
    </x:row>
    <x:row r="2069" ht="44" customHeight="1">
      <x:c r="A2069" s="2" t="str">
        <x:v>FIN</x:v>
      </x:c>
      <x:c r="B2069" s="2" t="str">
        <x:v>lending_rate</x:v>
      </x:c>
      <x:c r="C2069" s="2"/>
      <x:c r="D2069" s="2"/>
      <x:c r="E2069" s="2" t="str">
        <x:v>Missing</x:v>
      </x:c>
      <x:c r="F2069" s="2" t="str">
        <x:v>Lending interest rate (%)</x:v>
      </x:c>
    </x:row>
    <x:row r="2070" ht="44" customHeight="1">
      <x:c r="A2070" s="2" t="str">
        <x:v>FIN</x:v>
      </x:c>
      <x:c r="B2070" s="2" t="str">
        <x:v>real_interest</x:v>
      </x:c>
      <x:c r="C2070" s="2"/>
      <x:c r="D2070" s="2"/>
      <x:c r="E2070" s="2" t="str">
        <x:v>Missing</x:v>
      </x:c>
      <x:c r="F2070" s="2" t="str">
        <x:v>Real interest rate (%)</x:v>
      </x:c>
    </x:row>
    <x:row r="2071" ht="44" customHeight="1">
      <x:c r="A2071" s="2" t="str">
        <x:v>FIN</x:v>
      </x:c>
      <x:c r="B2071" s="2" t="str">
        <x:v>government_debt</x:v>
      </x:c>
      <x:c r="C2071" s="2"/>
      <x:c r="D2071" s="2"/>
      <x:c r="E2071" s="2" t="str">
        <x:v>Missing</x:v>
      </x:c>
      <x:c r="F2071" s="2" t="str">
        <x:v>Central government debt, total (% of GDP)</x:v>
      </x:c>
    </x:row>
    <x:row r="2072" ht="44" customHeight="1">
      <x:c r="A2072" s="2" t="str">
        <x:v>FIN</x:v>
      </x:c>
      <x:c r="B2072" s="2" t="str">
        <x:v>electricity_access</x:v>
      </x:c>
      <x:c r="C2072" s="2" t="n">
        <x:v>100</x:v>
      </x:c>
      <x:c r="D2072" s="2" t="n">
        <x:v>2024</x:v>
      </x:c>
      <x:c r="E2072" s="2" t="str">
        <x:v>WB_electricity_access</x:v>
      </x:c>
      <x:c r="F2072" s="2" t="str">
        <x:v>Access to electricity (% of population)</x:v>
      </x:c>
    </x:row>
    <x:row r="2073" ht="44" customHeight="1">
      <x:c r="A2073" s="2" t="str">
        <x:v>FIN</x:v>
      </x:c>
      <x:c r="B2073" s="2" t="str">
        <x:v>irrigated_land</x:v>
      </x:c>
      <x:c r="C2073" s="2" t="n">
        <x:v>0.351648351648352</x:v>
      </x:c>
      <x:c r="D2073" s="2" t="n">
        <x:v>2016</x:v>
      </x:c>
      <x:c r="E2073" s="2" t="str">
        <x:v>WB_irrigated_land</x:v>
      </x:c>
      <x:c r="F2073" s="2" t="str">
        <x:v>Agricultural irrigated land (% of total agricultural land)</x:v>
      </x:c>
    </x:row>
    <x:row r="2074" ht="44" customHeight="1">
      <x:c r="A2074" s="2" t="str">
        <x:v>FIN</x:v>
      </x:c>
      <x:c r="B2074" s="2" t="str">
        <x:v>cereal_area</x:v>
      </x:c>
      <x:c r="C2074" s="2" t="n">
        <x:v>908230</x:v>
      </x:c>
      <x:c r="D2074" s="2" t="n">
        <x:v>2023</x:v>
      </x:c>
      <x:c r="E2074" s="2" t="str">
        <x:v>WB_cereal_area</x:v>
      </x:c>
      <x:c r="F2074" s="2" t="str">
        <x:v>Land under cereal production (hectares)</x:v>
      </x:c>
    </x:row>
    <x:row r="2075" ht="44" customHeight="1">
      <x:c r="A2075" s="2" t="str">
        <x:v>FIN</x:v>
      </x:c>
      <x:c r="B2075" s="2" t="str">
        <x:v>undernourishment</x:v>
      </x:c>
      <x:c r="C2075" s="2" t="n">
        <x:v>2.5</x:v>
      </x:c>
      <x:c r="D2075" s="2" t="n">
        <x:v>2023</x:v>
      </x:c>
      <x:c r="E2075" s="2" t="str">
        <x:v>WB_undernourishment</x:v>
      </x:c>
      <x:c r="F2075" s="2" t="str">
        <x:v>Prevalence of undernourishment (% of population)</x:v>
      </x:c>
    </x:row>
    <x:row r="2076" ht="44" customHeight="1">
      <x:c r="A2076" s="2" t="str">
        <x:v>FIN</x:v>
      </x:c>
      <x:c r="B2076" s="2" t="str">
        <x:v>agriculture_employment</x:v>
      </x:c>
      <x:c r="C2076" s="2" t="n">
        <x:v>3.4933781512605</x:v>
      </x:c>
      <x:c r="D2076" s="2" t="n">
        <x:v>2025</x:v>
      </x:c>
      <x:c r="E2076" s="2" t="str">
        <x:v>WB_agriculture_employment</x:v>
      </x:c>
      <x:c r="F2076" s="2" t="str">
        <x:v>Employment in agriculture (% of total employment) (modeled ILO estimate)</x:v>
      </x:c>
    </x:row>
    <x:row r="2077" ht="44" customHeight="1">
      <x:c r="A2077" s="2" t="str">
        <x:v>FIN</x:v>
      </x:c>
      <x:c r="B2077" s="2" t="str">
        <x:v>water_withdrawal</x:v>
      </x:c>
      <x:c r="C2077" s="2" t="n">
        <x:v>2.80373831775701</x:v>
      </x:c>
      <x:c r="D2077" s="2" t="n">
        <x:v>2022</x:v>
      </x:c>
      <x:c r="E2077" s="2" t="str">
        <x:v>WB_water_withdrawal</x:v>
      </x:c>
      <x:c r="F2077" s="2" t="str">
        <x:v>Annual freshwater withdrawals, total (% of internal resources)</x:v>
      </x:c>
    </x:row>
    <x:row r="2078" ht="44" customHeight="1">
      <x:c r="A2078" s="2" t="str">
        <x:v>FRA</x:v>
      </x:c>
      <x:c r="B2078" s="2" t="str">
        <x:v>population</x:v>
      </x:c>
      <x:c r="C2078" s="2" t="n">
        <x:v>68720337</x:v>
      </x:c>
      <x:c r="D2078" s="2" t="n">
        <x:v>2025</x:v>
      </x:c>
      <x:c r="E2078" s="2" t="str">
        <x:v>WB_population</x:v>
      </x:c>
      <x:c r="F2078" s="2" t="str">
        <x:v>Population, total</x:v>
      </x:c>
    </x:row>
    <x:row r="2079" ht="44" customHeight="1">
      <x:c r="A2079" s="2" t="str">
        <x:v>FRA</x:v>
      </x:c>
      <x:c r="B2079" s="2" t="str">
        <x:v>income_ppp</x:v>
      </x:c>
      <x:c r="C2079" s="2" t="n">
        <x:v>55124.5392564395</x:v>
      </x:c>
      <x:c r="D2079" s="2" t="n">
        <x:v>2025</x:v>
      </x:c>
      <x:c r="E2079" s="2" t="str">
        <x:v>WB_income_ppp</x:v>
      </x:c>
      <x:c r="F2079" s="2" t="str">
        <x:v>GDP per capita, PPP (constant 2021 international $)</x:v>
      </x:c>
    </x:row>
    <x:row r="2080" ht="44" customHeight="1">
      <x:c r="A2080" s="2" t="str">
        <x:v>FRA</x:v>
      </x:c>
      <x:c r="B2080" s="2" t="str">
        <x:v>urban</x:v>
      </x:c>
      <x:c r="C2080" s="2" t="n">
        <x:v>78.8449650563584</x:v>
      </x:c>
      <x:c r="D2080" s="2" t="n">
        <x:v>2025</x:v>
      </x:c>
      <x:c r="E2080" s="2" t="str">
        <x:v>WB_urban</x:v>
      </x:c>
      <x:c r="F2080" s="2" t="str">
        <x:v>Urban population (% of total population)</x:v>
      </x:c>
    </x:row>
    <x:row r="2081" ht="44" customHeight="1">
      <x:c r="A2081" s="2" t="str">
        <x:v>FRA</x:v>
      </x:c>
      <x:c r="B2081" s="2" t="str">
        <x:v>inflation</x:v>
      </x:c>
      <x:c r="C2081" s="2" t="n">
        <x:v>0.943770212469976</x:v>
      </x:c>
      <x:c r="D2081" s="2" t="n">
        <x:v>2025</x:v>
      </x:c>
      <x:c r="E2081" s="2" t="str">
        <x:v>WB_inflation</x:v>
      </x:c>
      <x:c r="F2081" s="2" t="str">
        <x:v>Inflation, consumer prices (annual %)</x:v>
      </x:c>
    </x:row>
    <x:row r="2082" ht="44" customHeight="1">
      <x:c r="A2082" s="2" t="str">
        <x:v>FRA</x:v>
      </x:c>
      <x:c r="B2082" s="2" t="str">
        <x:v>food_index</x:v>
      </x:c>
      <x:c r="C2082" s="2" t="n">
        <x:v>94.02</x:v>
      </x:c>
      <x:c r="D2082" s="2" t="n">
        <x:v>2022</x:v>
      </x:c>
      <x:c r="E2082" s="2" t="str">
        <x:v>WB_food_index</x:v>
      </x:c>
      <x:c r="F2082" s="2" t="str">
        <x:v>Food production index (2014-2016 = 100)</x:v>
      </x:c>
    </x:row>
    <x:row r="2083" ht="44" customHeight="1">
      <x:c r="A2083" s="2" t="str">
        <x:v>FRA</x:v>
      </x:c>
      <x:c r="B2083" s="2" t="str">
        <x:v>food_import_share</x:v>
      </x:c>
      <x:c r="C2083" s="2" t="n">
        <x:v>10.5960747051011</x:v>
      </x:c>
      <x:c r="D2083" s="2" t="n">
        <x:v>2024</x:v>
      </x:c>
      <x:c r="E2083" s="2" t="str">
        <x:v>WB_food_import_share</x:v>
      </x:c>
      <x:c r="F2083" s="2" t="str">
        <x:v>Food imports (% of merchandise imports)</x:v>
      </x:c>
    </x:row>
    <x:row r="2084" ht="44" customHeight="1">
      <x:c r="A2084" s="2" t="str">
        <x:v>FRA</x:v>
      </x:c>
      <x:c r="B2084" s="2" t="str">
        <x:v>food_export_share</x:v>
      </x:c>
      <x:c r="C2084" s="2" t="n">
        <x:v>13.3356372717843</x:v>
      </x:c>
      <x:c r="D2084" s="2" t="n">
        <x:v>2024</x:v>
      </x:c>
      <x:c r="E2084" s="2" t="str">
        <x:v>WB_food_export_share</x:v>
      </x:c>
      <x:c r="F2084" s="2" t="str">
        <x:v>Food exports (% of merchandise exports)</x:v>
      </x:c>
    </x:row>
    <x:row r="2085" ht="44" customHeight="1">
      <x:c r="A2085" s="2" t="str">
        <x:v>FRA</x:v>
      </x:c>
      <x:c r="B2085" s="2" t="str">
        <x:v>imports_usd</x:v>
      </x:c>
      <x:c r="C2085" s="2" t="n">
        <x:v>786434000000</x:v>
      </x:c>
      <x:c r="D2085" s="2" t="n">
        <x:v>2025</x:v>
      </x:c>
      <x:c r="E2085" s="2" t="str">
        <x:v>WB_imports_usd</x:v>
      </x:c>
      <x:c r="F2085" s="2" t="str">
        <x:v>Merchandise imports (current US$)</x:v>
      </x:c>
    </x:row>
    <x:row r="2086" ht="44" customHeight="1">
      <x:c r="A2086" s="2" t="str">
        <x:v>FRA</x:v>
      </x:c>
      <x:c r="B2086" s="2" t="str">
        <x:v>exports_usd</x:v>
      </x:c>
      <x:c r="C2086" s="2" t="n">
        <x:v>683095000000</x:v>
      </x:c>
      <x:c r="D2086" s="2" t="n">
        <x:v>2025</x:v>
      </x:c>
      <x:c r="E2086" s="2" t="str">
        <x:v>WB_exports_usd</x:v>
      </x:c>
      <x:c r="F2086" s="2" t="str">
        <x:v>Merchandise exports (current US$)</x:v>
      </x:c>
    </x:row>
    <x:row r="2087" ht="44" customHeight="1">
      <x:c r="A2087" s="2" t="str">
        <x:v>FRA</x:v>
      </x:c>
      <x:c r="B2087" s="2" t="str">
        <x:v>cereal_yield</x:v>
      </x:c>
      <x:c r="C2087" s="2" t="n">
        <x:v>6280.8</x:v>
      </x:c>
      <x:c r="D2087" s="2" t="n">
        <x:v>2024</x:v>
      </x:c>
      <x:c r="E2087" s="2" t="str">
        <x:v>WB_cereal_yield</x:v>
      </x:c>
      <x:c r="F2087" s="2" t="str">
        <x:v>Cereal yield (kg per hectare)</x:v>
      </x:c>
    </x:row>
    <x:row r="2088" ht="44" customHeight="1">
      <x:c r="A2088" s="2" t="str">
        <x:v>FRA</x:v>
      </x:c>
      <x:c r="B2088" s="2" t="str">
        <x:v>water_stress</x:v>
      </x:c>
      <x:c r="C2088" s="2" t="n">
        <x:v>21.38462716</x:v>
      </x:c>
      <x:c r="D2088" s="2" t="n">
        <x:v>2022</x:v>
      </x:c>
      <x:c r="E2088" s="2" t="str">
        <x:v>WB_water_stress</x:v>
      </x:c>
      <x:c r="F2088" s="2" t="str">
        <x:v>Level of water stress: freshwater withdrawal as a proportion of available freshwater resources</x:v>
      </x:c>
    </x:row>
    <x:row r="2089" ht="44" customHeight="1">
      <x:c r="A2089" s="2" t="str">
        <x:v>FRA</x:v>
      </x:c>
      <x:c r="B2089" s="2" t="str">
        <x:v>fertility</x:v>
      </x:c>
      <x:c r="C2089" s="2" t="n">
        <x:v>1.61</x:v>
      </x:c>
      <x:c r="D2089" s="2" t="n">
        <x:v>2024</x:v>
      </x:c>
      <x:c r="E2089" s="2" t="str">
        <x:v>WB_fertility</x:v>
      </x:c>
      <x:c r="F2089" s="2" t="str">
        <x:v>Fertility rate, total (births per woman)</x:v>
      </x:c>
    </x:row>
    <x:row r="2090" ht="44" customHeight="1">
      <x:c r="A2090" s="2" t="str">
        <x:v>FRA</x:v>
      </x:c>
      <x:c r="B2090" s="2" t="str">
        <x:v>life_expectancy</x:v>
      </x:c>
      <x:c r="C2090" s="2" t="n">
        <x:v>82.9804878048781</x:v>
      </x:c>
      <x:c r="D2090" s="2" t="n">
        <x:v>2024</x:v>
      </x:c>
      <x:c r="E2090" s="2" t="str">
        <x:v>WB_life_expectancy</x:v>
      </x:c>
      <x:c r="F2090" s="2" t="str">
        <x:v>Life expectancy at birth, total (years)</x:v>
      </x:c>
    </x:row>
    <x:row r="2091" ht="44" customHeight="1">
      <x:c r="A2091" s="2" t="str">
        <x:v>FRA</x:v>
      </x:c>
      <x:c r="B2091" s="2" t="str">
        <x:v>age_under15</x:v>
      </x:c>
      <x:c r="C2091" s="2" t="n">
        <x:v>16.2248746749936</x:v>
      </x:c>
      <x:c r="D2091" s="2" t="n">
        <x:v>2025</x:v>
      </x:c>
      <x:c r="E2091" s="2" t="str">
        <x:v>WB_age_under15</x:v>
      </x:c>
      <x:c r="F2091" s="2" t="str">
        <x:v>Population ages 0-14 (% of total population)</x:v>
      </x:c>
    </x:row>
    <x:row r="2092" ht="44" customHeight="1">
      <x:c r="A2092" s="2" t="str">
        <x:v>FRA</x:v>
      </x:c>
      <x:c r="B2092" s="2" t="str">
        <x:v>age_over65</x:v>
      </x:c>
      <x:c r="C2092" s="2" t="n">
        <x:v>22.5418906984086</x:v>
      </x:c>
      <x:c r="D2092" s="2" t="n">
        <x:v>2025</x:v>
      </x:c>
      <x:c r="E2092" s="2" t="str">
        <x:v>WB_age_over65</x:v>
      </x:c>
      <x:c r="F2092" s="2" t="str">
        <x:v>Population ages 65 and above (% of total population)</x:v>
      </x:c>
    </x:row>
    <x:row r="2093" ht="44" customHeight="1">
      <x:c r="A2093" s="2" t="str">
        <x:v>FRA</x:v>
      </x:c>
      <x:c r="B2093" s="2" t="str">
        <x:v>dependency_ratio</x:v>
      </x:c>
      <x:c r="C2093" s="2" t="n">
        <x:v>63.3100081428841</x:v>
      </x:c>
      <x:c r="D2093" s="2" t="n">
        <x:v>2025</x:v>
      </x:c>
      <x:c r="E2093" s="2" t="str">
        <x:v>WB_dependency_ratio</x:v>
      </x:c>
      <x:c r="F2093" s="2" t="str">
        <x:v>Age dependency ratio (% of working-age population)</x:v>
      </x:c>
    </x:row>
    <x:row r="2094" ht="44" customHeight="1">
      <x:c r="A2094" s="2" t="str">
        <x:v>FRA</x:v>
      </x:c>
      <x:c r="B2094" s="2" t="str">
        <x:v>net_migration</x:v>
      </x:c>
      <x:c r="C2094" s="2" t="n">
        <x:v>91737</x:v>
      </x:c>
      <x:c r="D2094" s="2" t="n">
        <x:v>2025</x:v>
      </x:c>
      <x:c r="E2094" s="2" t="str">
        <x:v>WB_net_migration</x:v>
      </x:c>
      <x:c r="F2094" s="2" t="str">
        <x:v>Net migration</x:v>
      </x:c>
    </x:row>
    <x:row r="2095" ht="44" customHeight="1">
      <x:c r="A2095" s="2" t="str">
        <x:v>FRA</x:v>
      </x:c>
      <x:c r="B2095" s="2" t="str">
        <x:v>real_gdp</x:v>
      </x:c>
      <x:c r="C2095" s="2" t="n">
        <x:v>2743239233772.68</x:v>
      </x:c>
      <x:c r="D2095" s="2" t="n">
        <x:v>2025</x:v>
      </x:c>
      <x:c r="E2095" s="2" t="str">
        <x:v>WB_real_gdp</x:v>
      </x:c>
      <x:c r="F2095" s="2" t="str">
        <x:v>GDP (constant 2015 US$)</x:v>
      </x:c>
    </x:row>
    <x:row r="2096" ht="44" customHeight="1">
      <x:c r="A2096" s="2" t="str">
        <x:v>FRA</x:v>
      </x:c>
      <x:c r="B2096" s="2" t="str">
        <x:v>gdp_growth</x:v>
      </x:c>
      <x:c r="C2096" s="2" t="n">
        <x:v>0.840949955479587</x:v>
      </x:c>
      <x:c r="D2096" s="2" t="n">
        <x:v>2025</x:v>
      </x:c>
      <x:c r="E2096" s="2" t="str">
        <x:v>WB_gdp_growth</x:v>
      </x:c>
      <x:c r="F2096" s="2" t="str">
        <x:v>GDP growth (annual %)</x:v>
      </x:c>
    </x:row>
    <x:row r="2097" ht="44" customHeight="1">
      <x:c r="A2097" s="2" t="str">
        <x:v>FRA</x:v>
      </x:c>
      <x:c r="B2097" s="2" t="str">
        <x:v>real_income</x:v>
      </x:c>
      <x:c r="C2097" s="2" t="n">
        <x:v>39918.8850568745</x:v>
      </x:c>
      <x:c r="D2097" s="2" t="n">
        <x:v>2025</x:v>
      </x:c>
      <x:c r="E2097" s="2" t="str">
        <x:v>WB_real_income</x:v>
      </x:c>
      <x:c r="F2097" s="2" t="str">
        <x:v>GDP per capita (constant 2015 US$)</x:v>
      </x:c>
    </x:row>
    <x:row r="2098" ht="44" customHeight="1">
      <x:c r="A2098" s="2" t="str">
        <x:v>FRA</x:v>
      </x:c>
      <x:c r="B2098" s="2" t="str">
        <x:v>agriculture_gdp</x:v>
      </x:c>
      <x:c r="C2098" s="2" t="n">
        <x:v>1.40317576023592</x:v>
      </x:c>
      <x:c r="D2098" s="2" t="n">
        <x:v>2025</x:v>
      </x:c>
      <x:c r="E2098" s="2" t="str">
        <x:v>WB_agriculture_gdp</x:v>
      </x:c>
      <x:c r="F2098" s="2" t="str">
        <x:v>Agriculture, forestry, and fishing, value added (% of GDP)</x:v>
      </x:c>
    </x:row>
    <x:row r="2099" ht="44" customHeight="1">
      <x:c r="A2099" s="2" t="str">
        <x:v>FRA</x:v>
      </x:c>
      <x:c r="B2099" s="2" t="str">
        <x:v>poverty</x:v>
      </x:c>
      <x:c r="C2099" s="2" t="n">
        <x:v>0.1</x:v>
      </x:c>
      <x:c r="D2099" s="2" t="n">
        <x:v>2023</x:v>
      </x:c>
      <x:c r="E2099" s="2" t="str">
        <x:v>WB_poverty</x:v>
      </x:c>
      <x:c r="F2099" s="2" t="str">
        <x:v>Poverty headcount ratio at $3.00 a day (2021 PPP) (% of population)</x:v>
      </x:c>
    </x:row>
    <x:row r="2100" ht="44" customHeight="1">
      <x:c r="A2100" s="2" t="str">
        <x:v>FRA</x:v>
      </x:c>
      <x:c r="B2100" s="2" t="str">
        <x:v>gini</x:v>
      </x:c>
      <x:c r="C2100" s="2" t="n">
        <x:v>31.8</x:v>
      </x:c>
      <x:c r="D2100" s="2" t="n">
        <x:v>2023</x:v>
      </x:c>
      <x:c r="E2100" s="2" t="str">
        <x:v>WB_gini</x:v>
      </x:c>
      <x:c r="F2100" s="2" t="str">
        <x:v>Gini index</x:v>
      </x:c>
    </x:row>
    <x:row r="2101" ht="44" customHeight="1">
      <x:c r="A2101" s="2" t="str">
        <x:v>FRA</x:v>
      </x:c>
      <x:c r="B2101" s="2" t="str">
        <x:v>unemployment</x:v>
      </x:c>
      <x:c r="C2101" s="2" t="n">
        <x:v>7.542</x:v>
      </x:c>
      <x:c r="D2101" s="2" t="n">
        <x:v>2025</x:v>
      </x:c>
      <x:c r="E2101" s="2" t="str">
        <x:v>WB_unemployment</x:v>
      </x:c>
      <x:c r="F2101" s="2" t="str">
        <x:v>Unemployment, total (% of total labor force) (modeled ILO estimate)</x:v>
      </x:c>
    </x:row>
    <x:row r="2102" ht="44" customHeight="1">
      <x:c r="A2102" s="2" t="str">
        <x:v>FRA</x:v>
      </x:c>
      <x:c r="B2102" s="2" t="str">
        <x:v>private_credit</x:v>
      </x:c>
      <x:c r="C2102" s="2" t="n">
        <x:v>107.58266062477</x:v>
      </x:c>
      <x:c r="D2102" s="2" t="n">
        <x:v>2024</x:v>
      </x:c>
      <x:c r="E2102" s="2" t="str">
        <x:v>WB_private_credit</x:v>
      </x:c>
      <x:c r="F2102" s="2" t="str">
        <x:v>Domestic credit to private sector (% of GDP)</x:v>
      </x:c>
    </x:row>
    <x:row r="2103" ht="44" customHeight="1">
      <x:c r="A2103" s="2" t="str">
        <x:v>FRA</x:v>
      </x:c>
      <x:c r="B2103" s="2" t="str">
        <x:v>lending_rate</x:v>
      </x:c>
      <x:c r="C2103" s="2"/>
      <x:c r="D2103" s="2"/>
      <x:c r="E2103" s="2" t="str">
        <x:v>Missing</x:v>
      </x:c>
      <x:c r="F2103" s="2" t="str">
        <x:v>Lending interest rate (%)</x:v>
      </x:c>
    </x:row>
    <x:row r="2104" ht="44" customHeight="1">
      <x:c r="A2104" s="2" t="str">
        <x:v>FRA</x:v>
      </x:c>
      <x:c r="B2104" s="2" t="str">
        <x:v>real_interest</x:v>
      </x:c>
      <x:c r="C2104" s="2"/>
      <x:c r="D2104" s="2"/>
      <x:c r="E2104" s="2" t="str">
        <x:v>Missing</x:v>
      </x:c>
      <x:c r="F2104" s="2" t="str">
        <x:v>Real interest rate (%)</x:v>
      </x:c>
    </x:row>
    <x:row r="2105" ht="44" customHeight="1">
      <x:c r="A2105" s="2" t="str">
        <x:v>FRA</x:v>
      </x:c>
      <x:c r="B2105" s="2" t="str">
        <x:v>government_debt</x:v>
      </x:c>
      <x:c r="C2105" s="2"/>
      <x:c r="D2105" s="2"/>
      <x:c r="E2105" s="2" t="str">
        <x:v>Missing</x:v>
      </x:c>
      <x:c r="F2105" s="2" t="str">
        <x:v>Central government debt, total (% of GDP)</x:v>
      </x:c>
    </x:row>
    <x:row r="2106" ht="44" customHeight="1">
      <x:c r="A2106" s="2" t="str">
        <x:v>FRA</x:v>
      </x:c>
      <x:c r="B2106" s="2" t="str">
        <x:v>electricity_access</x:v>
      </x:c>
      <x:c r="C2106" s="2" t="n">
        <x:v>100</x:v>
      </x:c>
      <x:c r="D2106" s="2" t="n">
        <x:v>2024</x:v>
      </x:c>
      <x:c r="E2106" s="2" t="str">
        <x:v>WB_electricity_access</x:v>
      </x:c>
      <x:c r="F2106" s="2" t="str">
        <x:v>Access to electricity (% of population)</x:v>
      </x:c>
    </x:row>
    <x:row r="2107" ht="44" customHeight="1">
      <x:c r="A2107" s="2" t="str">
        <x:v>FRA</x:v>
      </x:c>
      <x:c r="B2107" s="2" t="str">
        <x:v>irrigated_land</x:v>
      </x:c>
      <x:c r="C2107" s="2" t="n">
        <x:v>6.4253566389628</x:v>
      </x:c>
      <x:c r="D2107" s="2" t="n">
        <x:v>2020</x:v>
      </x:c>
      <x:c r="E2107" s="2" t="str">
        <x:v>WB_irrigated_land</x:v>
      </x:c>
      <x:c r="F2107" s="2" t="str">
        <x:v>Agricultural irrigated land (% of total agricultural land)</x:v>
      </x:c>
    </x:row>
    <x:row r="2108" ht="44" customHeight="1">
      <x:c r="A2108" s="2" t="str">
        <x:v>FRA</x:v>
      </x:c>
      <x:c r="B2108" s="2" t="str">
        <x:v>cereal_area</x:v>
      </x:c>
      <x:c r="C2108" s="2" t="n">
        <x:v>8526600</x:v>
      </x:c>
      <x:c r="D2108" s="2" t="n">
        <x:v>2024</x:v>
      </x:c>
      <x:c r="E2108" s="2" t="str">
        <x:v>WB_cereal_area</x:v>
      </x:c>
      <x:c r="F2108" s="2" t="str">
        <x:v>Land under cereal production (hectares)</x:v>
      </x:c>
    </x:row>
    <x:row r="2109" ht="44" customHeight="1">
      <x:c r="A2109" s="2" t="str">
        <x:v>FRA</x:v>
      </x:c>
      <x:c r="B2109" s="2" t="str">
        <x:v>undernourishment</x:v>
      </x:c>
      <x:c r="C2109" s="2" t="n">
        <x:v>2.5</x:v>
      </x:c>
      <x:c r="D2109" s="2" t="n">
        <x:v>2023</x:v>
      </x:c>
      <x:c r="E2109" s="2" t="str">
        <x:v>WB_undernourishment</x:v>
      </x:c>
      <x:c r="F2109" s="2" t="str">
        <x:v>Prevalence of undernourishment (% of population)</x:v>
      </x:c>
    </x:row>
    <x:row r="2110" ht="44" customHeight="1">
      <x:c r="A2110" s="2" t="str">
        <x:v>FRA</x:v>
      </x:c>
      <x:c r="B2110" s="2" t="str">
        <x:v>agriculture_employment</x:v>
      </x:c>
      <x:c r="C2110" s="2" t="n">
        <x:v>2.33412938549967</x:v>
      </x:c>
      <x:c r="D2110" s="2" t="n">
        <x:v>2025</x:v>
      </x:c>
      <x:c r="E2110" s="2" t="str">
        <x:v>WB_agriculture_employment</x:v>
      </x:c>
      <x:c r="F2110" s="2" t="str">
        <x:v>Employment in agriculture (% of total employment) (modeled ILO estimate)</x:v>
      </x:c>
    </x:row>
    <x:row r="2111" ht="44" customHeight="1">
      <x:c r="A2111" s="2" t="str">
        <x:v>FRA</x:v>
      </x:c>
      <x:c r="B2111" s="2" t="str">
        <x:v>water_withdrawal</x:v>
      </x:c>
      <x:c r="C2111" s="2" t="n">
        <x:v>12.2138298</x:v>
      </x:c>
      <x:c r="D2111" s="2" t="n">
        <x:v>2022</x:v>
      </x:c>
      <x:c r="E2111" s="2" t="str">
        <x:v>WB_water_withdrawal</x:v>
      </x:c>
      <x:c r="F2111" s="2" t="str">
        <x:v>Annual freshwater withdrawals, total (% of internal resources)</x:v>
      </x:c>
    </x:row>
    <x:row r="2112" ht="44" customHeight="1">
      <x:c r="A2112" s="2" t="str">
        <x:v>GAB</x:v>
      </x:c>
      <x:c r="B2112" s="2" t="str">
        <x:v>population</x:v>
      </x:c>
      <x:c r="C2112" s="2" t="n">
        <x:v>2593130</x:v>
      </x:c>
      <x:c r="D2112" s="2" t="n">
        <x:v>2025</x:v>
      </x:c>
      <x:c r="E2112" s="2" t="str">
        <x:v>WB_population</x:v>
      </x:c>
      <x:c r="F2112" s="2" t="str">
        <x:v>Population, total</x:v>
      </x:c>
    </x:row>
    <x:row r="2113" ht="44" customHeight="1">
      <x:c r="A2113" s="2" t="str">
        <x:v>GAB</x:v>
      </x:c>
      <x:c r="B2113" s="2" t="str">
        <x:v>income_ppp</x:v>
      </x:c>
      <x:c r="C2113" s="2" t="n">
        <x:v>18986.4738767293</x:v>
      </x:c>
      <x:c r="D2113" s="2" t="n">
        <x:v>2025</x:v>
      </x:c>
      <x:c r="E2113" s="2" t="str">
        <x:v>WB_income_ppp</x:v>
      </x:c>
      <x:c r="F2113" s="2" t="str">
        <x:v>GDP per capita, PPP (constant 2021 international $)</x:v>
      </x:c>
    </x:row>
    <x:row r="2114" ht="44" customHeight="1">
      <x:c r="A2114" s="2" t="str">
        <x:v>GAB</x:v>
      </x:c>
      <x:c r="B2114" s="2" t="str">
        <x:v>urban</x:v>
      </x:c>
      <x:c r="C2114" s="2" t="n">
        <x:v>92.0876666682068</x:v>
      </x:c>
      <x:c r="D2114" s="2" t="n">
        <x:v>2025</x:v>
      </x:c>
      <x:c r="E2114" s="2" t="str">
        <x:v>WB_urban</x:v>
      </x:c>
      <x:c r="F2114" s="2" t="str">
        <x:v>Urban population (% of total population)</x:v>
      </x:c>
    </x:row>
    <x:row r="2115" ht="44" customHeight="1">
      <x:c r="A2115" s="2" t="str">
        <x:v>GAB</x:v>
      </x:c>
      <x:c r="B2115" s="2" t="str">
        <x:v>inflation</x:v>
      </x:c>
      <x:c r="C2115" s="2" t="n">
        <x:v>1.76766609003481</x:v>
      </x:c>
      <x:c r="D2115" s="2" t="n">
        <x:v>2025</x:v>
      </x:c>
      <x:c r="E2115" s="2" t="str">
        <x:v>WB_inflation</x:v>
      </x:c>
      <x:c r="F2115" s="2" t="str">
        <x:v>Inflation, consumer prices (annual %)</x:v>
      </x:c>
    </x:row>
    <x:row r="2116" ht="44" customHeight="1">
      <x:c r="A2116" s="2" t="str">
        <x:v>GAB</x:v>
      </x:c>
      <x:c r="B2116" s="2" t="str">
        <x:v>food_index</x:v>
      </x:c>
      <x:c r="C2116" s="2" t="n">
        <x:v>105.76</x:v>
      </x:c>
      <x:c r="D2116" s="2" t="n">
        <x:v>2022</x:v>
      </x:c>
      <x:c r="E2116" s="2" t="str">
        <x:v>WB_food_index</x:v>
      </x:c>
      <x:c r="F2116" s="2" t="str">
        <x:v>Food production index (2014-2016 = 100)</x:v>
      </x:c>
    </x:row>
    <x:row r="2117" ht="44" customHeight="1">
      <x:c r="A2117" s="2" t="str">
        <x:v>GAB</x:v>
      </x:c>
      <x:c r="B2117" s="2" t="str">
        <x:v>food_import_share</x:v>
      </x:c>
      <x:c r="C2117" s="2" t="n">
        <x:v>15.715777594256</x:v>
      </x:c>
      <x:c r="D2117" s="2" t="n">
        <x:v>2023</x:v>
      </x:c>
      <x:c r="E2117" s="2" t="str">
        <x:v>WB_food_import_share</x:v>
      </x:c>
      <x:c r="F2117" s="2" t="str">
        <x:v>Food imports (% of merchandise imports)</x:v>
      </x:c>
    </x:row>
    <x:row r="2118" ht="44" customHeight="1">
      <x:c r="A2118" s="2" t="str">
        <x:v>GAB</x:v>
      </x:c>
      <x:c r="B2118" s="2" t="str">
        <x:v>food_export_share</x:v>
      </x:c>
      <x:c r="C2118" s="2" t="n">
        <x:v>0.94233636066199</x:v>
      </x:c>
      <x:c r="D2118" s="2" t="n">
        <x:v>2023</x:v>
      </x:c>
      <x:c r="E2118" s="2" t="str">
        <x:v>WB_food_export_share</x:v>
      </x:c>
      <x:c r="F2118" s="2" t="str">
        <x:v>Food exports (% of merchandise exports)</x:v>
      </x:c>
    </x:row>
    <x:row r="2119" ht="44" customHeight="1">
      <x:c r="A2119" s="2" t="str">
        <x:v>GAB</x:v>
      </x:c>
      <x:c r="B2119" s="2" t="str">
        <x:v>imports_usd</x:v>
      </x:c>
      <x:c r="C2119" s="2" t="n">
        <x:v>4000000000</x:v>
      </x:c>
      <x:c r="D2119" s="2" t="n">
        <x:v>2025</x:v>
      </x:c>
      <x:c r="E2119" s="2" t="str">
        <x:v>WB_imports_usd</x:v>
      </x:c>
      <x:c r="F2119" s="2" t="str">
        <x:v>Merchandise imports (current US$)</x:v>
      </x:c>
    </x:row>
    <x:row r="2120" ht="44" customHeight="1">
      <x:c r="A2120" s="2" t="str">
        <x:v>GAB</x:v>
      </x:c>
      <x:c r="B2120" s="2" t="str">
        <x:v>exports_usd</x:v>
      </x:c>
      <x:c r="C2120" s="2" t="n">
        <x:v>11600000000</x:v>
      </x:c>
      <x:c r="D2120" s="2" t="n">
        <x:v>2025</x:v>
      </x:c>
      <x:c r="E2120" s="2" t="str">
        <x:v>WB_exports_usd</x:v>
      </x:c>
      <x:c r="F2120" s="2" t="str">
        <x:v>Merchandise exports (current US$)</x:v>
      </x:c>
    </x:row>
    <x:row r="2121" ht="44" customHeight="1">
      <x:c r="A2121" s="2" t="str">
        <x:v>GAB</x:v>
      </x:c>
      <x:c r="B2121" s="2" t="str">
        <x:v>cereal_yield</x:v>
      </x:c>
      <x:c r="C2121" s="2" t="n">
        <x:v>1587.3</x:v>
      </x:c>
      <x:c r="D2121" s="2" t="n">
        <x:v>2024</x:v>
      </x:c>
      <x:c r="E2121" s="2" t="str">
        <x:v>WB_cereal_yield</x:v>
      </x:c>
      <x:c r="F2121" s="2" t="str">
        <x:v>Cereal yield (kg per hectare)</x:v>
      </x:c>
    </x:row>
    <x:row r="2122" ht="44" customHeight="1">
      <x:c r="A2122" s="2" t="str">
        <x:v>GAB</x:v>
      </x:c>
      <x:c r="B2122" s="2" t="str">
        <x:v>water_stress</x:v>
      </x:c>
      <x:c r="C2122" s="2" t="n">
        <x:v>0.502166065</x:v>
      </x:c>
      <x:c r="D2122" s="2" t="n">
        <x:v>2022</x:v>
      </x:c>
      <x:c r="E2122" s="2" t="str">
        <x:v>WB_water_stress</x:v>
      </x:c>
      <x:c r="F2122" s="2" t="str">
        <x:v>Level of water stress: freshwater withdrawal as a proportion of available freshwater resources</x:v>
      </x:c>
    </x:row>
    <x:row r="2123" ht="44" customHeight="1">
      <x:c r="A2123" s="2" t="str">
        <x:v>GAB</x:v>
      </x:c>
      <x:c r="B2123" s="2" t="str">
        <x:v>fertility</x:v>
      </x:c>
      <x:c r="C2123" s="2" t="n">
        <x:v>3.592</x:v>
      </x:c>
      <x:c r="D2123" s="2" t="n">
        <x:v>2024</x:v>
      </x:c>
      <x:c r="E2123" s="2" t="str">
        <x:v>WB_fertility</x:v>
      </x:c>
      <x:c r="F2123" s="2" t="str">
        <x:v>Fertility rate, total (births per woman)</x:v>
      </x:c>
    </x:row>
    <x:row r="2124" ht="44" customHeight="1">
      <x:c r="A2124" s="2" t="str">
        <x:v>GAB</x:v>
      </x:c>
      <x:c r="B2124" s="2" t="str">
        <x:v>life_expectancy</x:v>
      </x:c>
      <x:c r="C2124" s="2" t="n">
        <x:v>68.511</x:v>
      </x:c>
      <x:c r="D2124" s="2" t="n">
        <x:v>2024</x:v>
      </x:c>
      <x:c r="E2124" s="2" t="str">
        <x:v>WB_life_expectancy</x:v>
      </x:c>
      <x:c r="F2124" s="2" t="str">
        <x:v>Life expectancy at birth, total (years)</x:v>
      </x:c>
    </x:row>
    <x:row r="2125" ht="44" customHeight="1">
      <x:c r="A2125" s="2" t="str">
        <x:v>GAB</x:v>
      </x:c>
      <x:c r="B2125" s="2" t="str">
        <x:v>age_under15</x:v>
      </x:c>
      <x:c r="C2125" s="2" t="n">
        <x:v>36.2428486506362</x:v>
      </x:c>
      <x:c r="D2125" s="2" t="n">
        <x:v>2025</x:v>
      </x:c>
      <x:c r="E2125" s="2" t="str">
        <x:v>WB_age_under15</x:v>
      </x:c>
      <x:c r="F2125" s="2" t="str">
        <x:v>Population ages 0-14 (% of total population)</x:v>
      </x:c>
    </x:row>
    <x:row r="2126" ht="44" customHeight="1">
      <x:c r="A2126" s="2" t="str">
        <x:v>GAB</x:v>
      </x:c>
      <x:c r="B2126" s="2" t="str">
        <x:v>age_over65</x:v>
      </x:c>
      <x:c r="C2126" s="2" t="n">
        <x:v>4.13008683137499</x:v>
      </x:c>
      <x:c r="D2126" s="2" t="n">
        <x:v>2025</x:v>
      </x:c>
      <x:c r="E2126" s="2" t="str">
        <x:v>WB_age_over65</x:v>
      </x:c>
      <x:c r="F2126" s="2" t="str">
        <x:v>Population ages 65 and above (% of total population)</x:v>
      </x:c>
    </x:row>
    <x:row r="2127" ht="44" customHeight="1">
      <x:c r="A2127" s="2" t="str">
        <x:v>GAB</x:v>
      </x:c>
      <x:c r="B2127" s="2" t="str">
        <x:v>dependency_ratio</x:v>
      </x:c>
      <x:c r="C2127" s="2" t="n">
        <x:v>67.7091100997473</x:v>
      </x:c>
      <x:c r="D2127" s="2" t="n">
        <x:v>2025</x:v>
      </x:c>
      <x:c r="E2127" s="2" t="str">
        <x:v>WB_dependency_ratio</x:v>
      </x:c>
      <x:c r="F2127" s="2" t="str">
        <x:v>Age dependency ratio (% of working-age population)</x:v>
      </x:c>
    </x:row>
    <x:row r="2128" ht="44" customHeight="1">
      <x:c r="A2128" s="2" t="str">
        <x:v>GAB</x:v>
      </x:c>
      <x:c r="B2128" s="2" t="str">
        <x:v>net_migration</x:v>
      </x:c>
      <x:c r="C2128" s="2" t="n">
        <x:v>1116</x:v>
      </x:c>
      <x:c r="D2128" s="2" t="n">
        <x:v>2025</x:v>
      </x:c>
      <x:c r="E2128" s="2" t="str">
        <x:v>WB_net_migration</x:v>
      </x:c>
      <x:c r="F2128" s="2" t="str">
        <x:v>Net migration</x:v>
      </x:c>
    </x:row>
    <x:row r="2129" ht="44" customHeight="1">
      <x:c r="A2129" s="2" t="str">
        <x:v>GAB</x:v>
      </x:c>
      <x:c r="B2129" s="2" t="str">
        <x:v>real_gdp</x:v>
      </x:c>
      <x:c r="C2129" s="2" t="n">
        <x:v>17220864511.3862</x:v>
      </x:c>
      <x:c r="D2129" s="2" t="n">
        <x:v>2025</x:v>
      </x:c>
      <x:c r="E2129" s="2" t="str">
        <x:v>WB_real_gdp</x:v>
      </x:c>
      <x:c r="F2129" s="2" t="str">
        <x:v>GDP (constant 2015 US$)</x:v>
      </x:c>
    </x:row>
    <x:row r="2130" ht="44" customHeight="1">
      <x:c r="A2130" s="2" t="str">
        <x:v>GAB</x:v>
      </x:c>
      <x:c r="B2130" s="2" t="str">
        <x:v>gdp_growth</x:v>
      </x:c>
      <x:c r="C2130" s="2" t="n">
        <x:v>2.47287961498321</x:v>
      </x:c>
      <x:c r="D2130" s="2" t="n">
        <x:v>2025</x:v>
      </x:c>
      <x:c r="E2130" s="2" t="str">
        <x:v>WB_gdp_growth</x:v>
      </x:c>
      <x:c r="F2130" s="2" t="str">
        <x:v>GDP growth (annual %)</x:v>
      </x:c>
    </x:row>
    <x:row r="2131" ht="44" customHeight="1">
      <x:c r="A2131" s="2" t="str">
        <x:v>GAB</x:v>
      </x:c>
      <x:c r="B2131" s="2" t="str">
        <x:v>real_income</x:v>
      </x:c>
      <x:c r="C2131" s="2" t="n">
        <x:v>6640.95687890165</x:v>
      </x:c>
      <x:c r="D2131" s="2" t="n">
        <x:v>2025</x:v>
      </x:c>
      <x:c r="E2131" s="2" t="str">
        <x:v>WB_real_income</x:v>
      </x:c>
      <x:c r="F2131" s="2" t="str">
        <x:v>GDP per capita (constant 2015 US$)</x:v>
      </x:c>
    </x:row>
    <x:row r="2132" ht="44" customHeight="1">
      <x:c r="A2132" s="2" t="str">
        <x:v>GAB</x:v>
      </x:c>
      <x:c r="B2132" s="2" t="str">
        <x:v>agriculture_gdp</x:v>
      </x:c>
      <x:c r="C2132" s="2" t="n">
        <x:v>6.75232535579492</x:v>
      </x:c>
      <x:c r="D2132" s="2" t="n">
        <x:v>2025</x:v>
      </x:c>
      <x:c r="E2132" s="2" t="str">
        <x:v>WB_agriculture_gdp</x:v>
      </x:c>
      <x:c r="F2132" s="2" t="str">
        <x:v>Agriculture, forestry, and fishing, value added (% of GDP)</x:v>
      </x:c>
    </x:row>
    <x:row r="2133" ht="44" customHeight="1">
      <x:c r="A2133" s="2" t="str">
        <x:v>GAB</x:v>
      </x:c>
      <x:c r="B2133" s="2" t="str">
        <x:v>poverty</x:v>
      </x:c>
      <x:c r="C2133" s="2" t="n">
        <x:v>3.8</x:v>
      </x:c>
      <x:c r="D2133" s="2" t="n">
        <x:v>2017</x:v>
      </x:c>
      <x:c r="E2133" s="2" t="str">
        <x:v>WB_poverty</x:v>
      </x:c>
      <x:c r="F2133" s="2" t="str">
        <x:v>Poverty headcount ratio at $3.00 a day (2021 PPP) (% of population)</x:v>
      </x:c>
    </x:row>
    <x:row r="2134" ht="44" customHeight="1">
      <x:c r="A2134" s="2" t="str">
        <x:v>GAB</x:v>
      </x:c>
      <x:c r="B2134" s="2" t="str">
        <x:v>gini</x:v>
      </x:c>
      <x:c r="C2134" s="2" t="n">
        <x:v>38</x:v>
      </x:c>
      <x:c r="D2134" s="2" t="n">
        <x:v>2017</x:v>
      </x:c>
      <x:c r="E2134" s="2" t="str">
        <x:v>WB_gini</x:v>
      </x:c>
      <x:c r="F2134" s="2" t="str">
        <x:v>Gini index</x:v>
      </x:c>
    </x:row>
    <x:row r="2135" ht="44" customHeight="1">
      <x:c r="A2135" s="2" t="str">
        <x:v>GAB</x:v>
      </x:c>
      <x:c r="B2135" s="2" t="str">
        <x:v>unemployment</x:v>
      </x:c>
      <x:c r="C2135" s="2" t="n">
        <x:v>20.154</x:v>
      </x:c>
      <x:c r="D2135" s="2" t="n">
        <x:v>2025</x:v>
      </x:c>
      <x:c r="E2135" s="2" t="str">
        <x:v>WB_unemployment</x:v>
      </x:c>
      <x:c r="F2135" s="2" t="str">
        <x:v>Unemployment, total (% of total labor force) (modeled ILO estimate)</x:v>
      </x:c>
    </x:row>
    <x:row r="2136" ht="44" customHeight="1">
      <x:c r="A2136" s="2" t="str">
        <x:v>GAB</x:v>
      </x:c>
      <x:c r="B2136" s="2" t="str">
        <x:v>private_credit</x:v>
      </x:c>
      <x:c r="C2136" s="2" t="n">
        <x:v>13.3764779657931</x:v>
      </x:c>
      <x:c r="D2136" s="2" t="n">
        <x:v>2019</x:v>
      </x:c>
      <x:c r="E2136" s="2" t="str">
        <x:v>WB_private_credit</x:v>
      </x:c>
      <x:c r="F2136" s="2" t="str">
        <x:v>Domestic credit to private sector (% of GDP)</x:v>
      </x:c>
    </x:row>
    <x:row r="2137" ht="44" customHeight="1">
      <x:c r="A2137" s="2" t="str">
        <x:v>GAB</x:v>
      </x:c>
      <x:c r="B2137" s="2" t="str">
        <x:v>lending_rate</x:v>
      </x:c>
      <x:c r="C2137" s="2"/>
      <x:c r="D2137" s="2"/>
      <x:c r="E2137" s="2" t="str">
        <x:v>Missing</x:v>
      </x:c>
      <x:c r="F2137" s="2" t="str">
        <x:v>Lending interest rate (%)</x:v>
      </x:c>
    </x:row>
    <x:row r="2138" ht="44" customHeight="1">
      <x:c r="A2138" s="2" t="str">
        <x:v>GAB</x:v>
      </x:c>
      <x:c r="B2138" s="2" t="str">
        <x:v>real_interest</x:v>
      </x:c>
      <x:c r="C2138" s="2"/>
      <x:c r="D2138" s="2"/>
      <x:c r="E2138" s="2" t="str">
        <x:v>Missing</x:v>
      </x:c>
      <x:c r="F2138" s="2" t="str">
        <x:v>Real interest rate (%)</x:v>
      </x:c>
    </x:row>
    <x:row r="2139" ht="44" customHeight="1">
      <x:c r="A2139" s="2" t="str">
        <x:v>GAB</x:v>
      </x:c>
      <x:c r="B2139" s="2" t="str">
        <x:v>government_debt</x:v>
      </x:c>
      <x:c r="C2139" s="2"/>
      <x:c r="D2139" s="2"/>
      <x:c r="E2139" s="2" t="str">
        <x:v>Missing</x:v>
      </x:c>
      <x:c r="F2139" s="2" t="str">
        <x:v>Central government debt, total (% of GDP)</x:v>
      </x:c>
    </x:row>
    <x:row r="2140" ht="44" customHeight="1">
      <x:c r="A2140" s="2" t="str">
        <x:v>GAB</x:v>
      </x:c>
      <x:c r="B2140" s="2" t="str">
        <x:v>electricity_access</x:v>
      </x:c>
      <x:c r="C2140" s="2" t="n">
        <x:v>95.1</x:v>
      </x:c>
      <x:c r="D2140" s="2" t="n">
        <x:v>2024</x:v>
      </x:c>
      <x:c r="E2140" s="2" t="str">
        <x:v>WB_electricity_access</x:v>
      </x:c>
      <x:c r="F2140" s="2" t="str">
        <x:v>Access to electricity (% of population)</x:v>
      </x:c>
    </x:row>
    <x:row r="2141" ht="44" customHeight="1">
      <x:c r="A2141" s="2" t="str">
        <x:v>GAB</x:v>
      </x:c>
      <x:c r="B2141" s="2" t="str">
        <x:v>irrigated_land</x:v>
      </x:c>
      <x:c r="C2141" s="2"/>
      <x:c r="D2141" s="2"/>
      <x:c r="E2141" s="2" t="str">
        <x:v>Missing</x:v>
      </x:c>
      <x:c r="F2141" s="2" t="str">
        <x:v>Agricultural irrigated land (% of total agricultural land)</x:v>
      </x:c>
    </x:row>
    <x:row r="2142" ht="44" customHeight="1">
      <x:c r="A2142" s="2" t="str">
        <x:v>GAB</x:v>
      </x:c>
      <x:c r="B2142" s="2" t="str">
        <x:v>cereal_area</x:v>
      </x:c>
      <x:c r="C2142" s="2" t="n">
        <x:v>30075</x:v>
      </x:c>
      <x:c r="D2142" s="2" t="n">
        <x:v>2024</x:v>
      </x:c>
      <x:c r="E2142" s="2" t="str">
        <x:v>WB_cereal_area</x:v>
      </x:c>
      <x:c r="F2142" s="2" t="str">
        <x:v>Land under cereal production (hectares)</x:v>
      </x:c>
    </x:row>
    <x:row r="2143" ht="44" customHeight="1">
      <x:c r="A2143" s="2" t="str">
        <x:v>GAB</x:v>
      </x:c>
      <x:c r="B2143" s="2" t="str">
        <x:v>undernourishment</x:v>
      </x:c>
      <x:c r="C2143" s="2" t="n">
        <x:v>25.3</x:v>
      </x:c>
      <x:c r="D2143" s="2" t="n">
        <x:v>2023</x:v>
      </x:c>
      <x:c r="E2143" s="2" t="str">
        <x:v>WB_undernourishment</x:v>
      </x:c>
      <x:c r="F2143" s="2" t="str">
        <x:v>Prevalence of undernourishment (% of population)</x:v>
      </x:c>
    </x:row>
    <x:row r="2144" ht="44" customHeight="1">
      <x:c r="A2144" s="2" t="str">
        <x:v>GAB</x:v>
      </x:c>
      <x:c r="B2144" s="2" t="str">
        <x:v>agriculture_employment</x:v>
      </x:c>
      <x:c r="C2144" s="2" t="n">
        <x:v>28.8656979487195</x:v>
      </x:c>
      <x:c r="D2144" s="2" t="n">
        <x:v>2025</x:v>
      </x:c>
      <x:c r="E2144" s="2" t="str">
        <x:v>WB_agriculture_employment</x:v>
      </x:c>
      <x:c r="F2144" s="2" t="str">
        <x:v>Employment in agriculture (% of total employment) (modeled ILO estimate)</x:v>
      </x:c>
    </x:row>
    <x:row r="2145" ht="44" customHeight="1">
      <x:c r="A2145" s="2" t="str">
        <x:v>GAB</x:v>
      </x:c>
      <x:c r="B2145" s="2" t="str">
        <x:v>water_withdrawal</x:v>
      </x:c>
      <x:c r="C2145" s="2" t="n">
        <x:v>0.0848170731707317</x:v>
      </x:c>
      <x:c r="D2145" s="2" t="n">
        <x:v>2022</x:v>
      </x:c>
      <x:c r="E2145" s="2" t="str">
        <x:v>WB_water_withdrawal</x:v>
      </x:c>
      <x:c r="F2145" s="2" t="str">
        <x:v>Annual freshwater withdrawals, total (% of internal resources)</x:v>
      </x:c>
    </x:row>
    <x:row r="2146" ht="44" customHeight="1">
      <x:c r="A2146" s="2" t="str">
        <x:v>GMB</x:v>
      </x:c>
      <x:c r="B2146" s="2" t="str">
        <x:v>population</x:v>
      </x:c>
      <x:c r="C2146" s="2" t="n">
        <x:v>2822093</x:v>
      </x:c>
      <x:c r="D2146" s="2" t="n">
        <x:v>2025</x:v>
      </x:c>
      <x:c r="E2146" s="2" t="str">
        <x:v>WB_population</x:v>
      </x:c>
      <x:c r="F2146" s="2" t="str">
        <x:v>Population, total</x:v>
      </x:c>
    </x:row>
    <x:row r="2147" ht="44" customHeight="1">
      <x:c r="A2147" s="2" t="str">
        <x:v>GMB</x:v>
      </x:c>
      <x:c r="B2147" s="2" t="str">
        <x:v>income_ppp</x:v>
      </x:c>
      <x:c r="C2147" s="2" t="n">
        <x:v>3166.62129644442</x:v>
      </x:c>
      <x:c r="D2147" s="2" t="n">
        <x:v>2025</x:v>
      </x:c>
      <x:c r="E2147" s="2" t="str">
        <x:v>WB_income_ppp</x:v>
      </x:c>
      <x:c r="F2147" s="2" t="str">
        <x:v>GDP per capita, PPP (constant 2021 international $)</x:v>
      </x:c>
    </x:row>
    <x:row r="2148" ht="44" customHeight="1">
      <x:c r="A2148" s="2" t="str">
        <x:v>GMB</x:v>
      </x:c>
      <x:c r="B2148" s="2" t="str">
        <x:v>urban</x:v>
      </x:c>
      <x:c r="C2148" s="2" t="n">
        <x:v>64.9884861325581</x:v>
      </x:c>
      <x:c r="D2148" s="2" t="n">
        <x:v>2025</x:v>
      </x:c>
      <x:c r="E2148" s="2" t="str">
        <x:v>WB_urban</x:v>
      </x:c>
      <x:c r="F2148" s="2" t="str">
        <x:v>Urban population (% of total population)</x:v>
      </x:c>
    </x:row>
    <x:row r="2149" ht="44" customHeight="1">
      <x:c r="A2149" s="2" t="str">
        <x:v>GMB</x:v>
      </x:c>
      <x:c r="B2149" s="2" t="str">
        <x:v>inflation</x:v>
      </x:c>
      <x:c r="C2149" s="2" t="n">
        <x:v>11.5610532897511</x:v>
      </x:c>
      <x:c r="D2149" s="2" t="n">
        <x:v>2024</x:v>
      </x:c>
      <x:c r="E2149" s="2" t="str">
        <x:v>WB_inflation</x:v>
      </x:c>
      <x:c r="F2149" s="2" t="str">
        <x:v>Inflation, consumer prices (annual %)</x:v>
      </x:c>
    </x:row>
    <x:row r="2150" ht="44" customHeight="1">
      <x:c r="A2150" s="2" t="str">
        <x:v>GMB</x:v>
      </x:c>
      <x:c r="B2150" s="2" t="str">
        <x:v>food_index</x:v>
      </x:c>
      <x:c r="C2150" s="2" t="n">
        <x:v>71.08</x:v>
      </x:c>
      <x:c r="D2150" s="2" t="n">
        <x:v>2022</x:v>
      </x:c>
      <x:c r="E2150" s="2" t="str">
        <x:v>WB_food_index</x:v>
      </x:c>
      <x:c r="F2150" s="2" t="str">
        <x:v>Food production index (2014-2016 = 100)</x:v>
      </x:c>
    </x:row>
    <x:row r="2151" ht="44" customHeight="1">
      <x:c r="A2151" s="2" t="str">
        <x:v>GMB</x:v>
      </x:c>
      <x:c r="B2151" s="2" t="str">
        <x:v>food_import_share</x:v>
      </x:c>
      <x:c r="C2151" s="2" t="n">
        <x:v>22.0074820986003</x:v>
      </x:c>
      <x:c r="D2151" s="2" t="n">
        <x:v>2024</x:v>
      </x:c>
      <x:c r="E2151" s="2" t="str">
        <x:v>WB_food_import_share</x:v>
      </x:c>
      <x:c r="F2151" s="2" t="str">
        <x:v>Food imports (% of merchandise imports)</x:v>
      </x:c>
    </x:row>
    <x:row r="2152" ht="44" customHeight="1">
      <x:c r="A2152" s="2" t="str">
        <x:v>GMB</x:v>
      </x:c>
      <x:c r="B2152" s="2" t="str">
        <x:v>food_export_share</x:v>
      </x:c>
      <x:c r="C2152" s="2" t="n">
        <x:v>90.6643032470411</x:v>
      </x:c>
      <x:c r="D2152" s="2" t="n">
        <x:v>2024</x:v>
      </x:c>
      <x:c r="E2152" s="2" t="str">
        <x:v>WB_food_export_share</x:v>
      </x:c>
      <x:c r="F2152" s="2" t="str">
        <x:v>Food exports (% of merchandise exports)</x:v>
      </x:c>
    </x:row>
    <x:row r="2153" ht="44" customHeight="1">
      <x:c r="A2153" s="2" t="str">
        <x:v>GMB</x:v>
      </x:c>
      <x:c r="B2153" s="2" t="str">
        <x:v>imports_usd</x:v>
      </x:c>
      <x:c r="C2153" s="2" t="n">
        <x:v>894000000</x:v>
      </x:c>
      <x:c r="D2153" s="2" t="n">
        <x:v>2025</x:v>
      </x:c>
      <x:c r="E2153" s="2" t="str">
        <x:v>WB_imports_usd</x:v>
      </x:c>
      <x:c r="F2153" s="2" t="str">
        <x:v>Merchandise imports (current US$)</x:v>
      </x:c>
    </x:row>
    <x:row r="2154" ht="44" customHeight="1">
      <x:c r="A2154" s="2" t="str">
        <x:v>GMB</x:v>
      </x:c>
      <x:c r="B2154" s="2" t="str">
        <x:v>exports_usd</x:v>
      </x:c>
      <x:c r="C2154" s="2" t="n">
        <x:v>514000000</x:v>
      </x:c>
      <x:c r="D2154" s="2" t="n">
        <x:v>2025</x:v>
      </x:c>
      <x:c r="E2154" s="2" t="str">
        <x:v>WB_exports_usd</x:v>
      </x:c>
      <x:c r="F2154" s="2" t="str">
        <x:v>Merchandise exports (current US$)</x:v>
      </x:c>
    </x:row>
    <x:row r="2155" ht="44" customHeight="1">
      <x:c r="A2155" s="2" t="str">
        <x:v>GMB</x:v>
      </x:c>
      <x:c r="B2155" s="2" t="str">
        <x:v>cereal_yield</x:v>
      </x:c>
      <x:c r="C2155" s="2" t="n">
        <x:v>800.7</x:v>
      </x:c>
      <x:c r="D2155" s="2" t="n">
        <x:v>2023</x:v>
      </x:c>
      <x:c r="E2155" s="2" t="str">
        <x:v>WB_cereal_yield</x:v>
      </x:c>
      <x:c r="F2155" s="2" t="str">
        <x:v>Cereal yield (kg per hectare)</x:v>
      </x:c>
    </x:row>
    <x:row r="2156" ht="44" customHeight="1">
      <x:c r="A2156" s="2" t="str">
        <x:v>GMB</x:v>
      </x:c>
      <x:c r="B2156" s="2" t="str">
        <x:v>water_stress</x:v>
      </x:c>
      <x:c r="C2156" s="2" t="n">
        <x:v>2.209656372</x:v>
      </x:c>
      <x:c r="D2156" s="2" t="n">
        <x:v>2022</x:v>
      </x:c>
      <x:c r="E2156" s="2" t="str">
        <x:v>WB_water_stress</x:v>
      </x:c>
      <x:c r="F2156" s="2" t="str">
        <x:v>Level of water stress: freshwater withdrawal as a proportion of available freshwater resources</x:v>
      </x:c>
    </x:row>
    <x:row r="2157" ht="44" customHeight="1">
      <x:c r="A2157" s="2" t="str">
        <x:v>GMB</x:v>
      </x:c>
      <x:c r="B2157" s="2" t="str">
        <x:v>fertility</x:v>
      </x:c>
      <x:c r="C2157" s="2" t="n">
        <x:v>3.907</x:v>
      </x:c>
      <x:c r="D2157" s="2" t="n">
        <x:v>2024</x:v>
      </x:c>
      <x:c r="E2157" s="2" t="str">
        <x:v>WB_fertility</x:v>
      </x:c>
      <x:c r="F2157" s="2" t="str">
        <x:v>Fertility rate, total (births per woman)</x:v>
      </x:c>
    </x:row>
    <x:row r="2158" ht="44" customHeight="1">
      <x:c r="A2158" s="2" t="str">
        <x:v>GMB</x:v>
      </x:c>
      <x:c r="B2158" s="2" t="str">
        <x:v>life_expectancy</x:v>
      </x:c>
      <x:c r="C2158" s="2" t="n">
        <x:v>66.057</x:v>
      </x:c>
      <x:c r="D2158" s="2" t="n">
        <x:v>2024</x:v>
      </x:c>
      <x:c r="E2158" s="2" t="str">
        <x:v>WB_life_expectancy</x:v>
      </x:c>
      <x:c r="F2158" s="2" t="str">
        <x:v>Life expectancy at birth, total (years)</x:v>
      </x:c>
    </x:row>
    <x:row r="2159" ht="44" customHeight="1">
      <x:c r="A2159" s="2" t="str">
        <x:v>GMB</x:v>
      </x:c>
      <x:c r="B2159" s="2" t="str">
        <x:v>age_under15</x:v>
      </x:c>
      <x:c r="C2159" s="2" t="n">
        <x:v>39.723265675511</x:v>
      </x:c>
      <x:c r="D2159" s="2" t="n">
        <x:v>2025</x:v>
      </x:c>
      <x:c r="E2159" s="2" t="str">
        <x:v>WB_age_under15</x:v>
      </x:c>
      <x:c r="F2159" s="2" t="str">
        <x:v>Population ages 0-14 (% of total population)</x:v>
      </x:c>
    </x:row>
    <x:row r="2160" ht="44" customHeight="1">
      <x:c r="A2160" s="2" t="str">
        <x:v>GMB</x:v>
      </x:c>
      <x:c r="B2160" s="2" t="str">
        <x:v>age_over65</x:v>
      </x:c>
      <x:c r="C2160" s="2" t="n">
        <x:v>3.18495882311462</x:v>
      </x:c>
      <x:c r="D2160" s="2" t="n">
        <x:v>2025</x:v>
      </x:c>
      <x:c r="E2160" s="2" t="str">
        <x:v>WB_age_over65</x:v>
      </x:c>
      <x:c r="F2160" s="2" t="str">
        <x:v>Population ages 65 and above (% of total population)</x:v>
      </x:c>
    </x:row>
    <x:row r="2161" ht="44" customHeight="1">
      <x:c r="A2161" s="2" t="str">
        <x:v>GMB</x:v>
      </x:c>
      <x:c r="B2161" s="2" t="str">
        <x:v>dependency_ratio</x:v>
      </x:c>
      <x:c r="C2161" s="2" t="n">
        <x:v>75.1565774961628</x:v>
      </x:c>
      <x:c r="D2161" s="2" t="n">
        <x:v>2025</x:v>
      </x:c>
      <x:c r="E2161" s="2" t="str">
        <x:v>WB_dependency_ratio</x:v>
      </x:c>
      <x:c r="F2161" s="2" t="str">
        <x:v>Age dependency ratio (% of working-age population)</x:v>
      </x:c>
    </x:row>
    <x:row r="2162" ht="44" customHeight="1">
      <x:c r="A2162" s="2" t="str">
        <x:v>GMB</x:v>
      </x:c>
      <x:c r="B2162" s="2" t="str">
        <x:v>net_migration</x:v>
      </x:c>
      <x:c r="C2162" s="2" t="n">
        <x:v>-2984</x:v>
      </x:c>
      <x:c r="D2162" s="2" t="n">
        <x:v>2025</x:v>
      </x:c>
      <x:c r="E2162" s="2" t="str">
        <x:v>WB_net_migration</x:v>
      </x:c>
      <x:c r="F2162" s="2" t="str">
        <x:v>Net migration</x:v>
      </x:c>
    </x:row>
    <x:row r="2163" ht="44" customHeight="1">
      <x:c r="A2163" s="2" t="str">
        <x:v>GMB</x:v>
      </x:c>
      <x:c r="B2163" s="2" t="str">
        <x:v>real_gdp</x:v>
      </x:c>
      <x:c r="C2163" s="2" t="n">
        <x:v>2218181510.8707</x:v>
      </x:c>
      <x:c r="D2163" s="2" t="n">
        <x:v>2025</x:v>
      </x:c>
      <x:c r="E2163" s="2" t="str">
        <x:v>WB_real_gdp</x:v>
      </x:c>
      <x:c r="F2163" s="2" t="str">
        <x:v>GDP (constant 2015 US$)</x:v>
      </x:c>
    </x:row>
    <x:row r="2164" ht="44" customHeight="1">
      <x:c r="A2164" s="2" t="str">
        <x:v>GMB</x:v>
      </x:c>
      <x:c r="B2164" s="2" t="str">
        <x:v>gdp_growth</x:v>
      </x:c>
      <x:c r="C2164" s="2" t="n">
        <x:v>5.89309208233146</x:v>
      </x:c>
      <x:c r="D2164" s="2" t="n">
        <x:v>2025</x:v>
      </x:c>
      <x:c r="E2164" s="2" t="str">
        <x:v>WB_gdp_growth</x:v>
      </x:c>
      <x:c r="F2164" s="2" t="str">
        <x:v>GDP growth (annual %)</x:v>
      </x:c>
    </x:row>
    <x:row r="2165" ht="44" customHeight="1">
      <x:c r="A2165" s="2" t="str">
        <x:v>GMB</x:v>
      </x:c>
      <x:c r="B2165" s="2" t="str">
        <x:v>real_income</x:v>
      </x:c>
      <x:c r="C2165" s="2" t="n">
        <x:v>786.0058158504</x:v>
      </x:c>
      <x:c r="D2165" s="2" t="n">
        <x:v>2025</x:v>
      </x:c>
      <x:c r="E2165" s="2" t="str">
        <x:v>WB_real_income</x:v>
      </x:c>
      <x:c r="F2165" s="2" t="str">
        <x:v>GDP per capita (constant 2015 US$)</x:v>
      </x:c>
    </x:row>
    <x:row r="2166" ht="44" customHeight="1">
      <x:c r="A2166" s="2" t="str">
        <x:v>GMB</x:v>
      </x:c>
      <x:c r="B2166" s="2" t="str">
        <x:v>agriculture_gdp</x:v>
      </x:c>
      <x:c r="C2166" s="2" t="n">
        <x:v>23.8473230703528</x:v>
      </x:c>
      <x:c r="D2166" s="2" t="n">
        <x:v>2025</x:v>
      </x:c>
      <x:c r="E2166" s="2" t="str">
        <x:v>WB_agriculture_gdp</x:v>
      </x:c>
      <x:c r="F2166" s="2" t="str">
        <x:v>Agriculture, forestry, and fishing, value added (% of GDP)</x:v>
      </x:c>
    </x:row>
    <x:row r="2167" ht="44" customHeight="1">
      <x:c r="A2167" s="2" t="str">
        <x:v>GMB</x:v>
      </x:c>
      <x:c r="B2167" s="2" t="str">
        <x:v>poverty</x:v>
      </x:c>
      <x:c r="C2167" s="2" t="n">
        <x:v>22</x:v>
      </x:c>
      <x:c r="D2167" s="2" t="n">
        <x:v>2020</x:v>
      </x:c>
      <x:c r="E2167" s="2" t="str">
        <x:v>WB_poverty</x:v>
      </x:c>
      <x:c r="F2167" s="2" t="str">
        <x:v>Poverty headcount ratio at $3.00 a day (2021 PPP) (% of population)</x:v>
      </x:c>
    </x:row>
    <x:row r="2168" ht="44" customHeight="1">
      <x:c r="A2168" s="2" t="str">
        <x:v>GMB</x:v>
      </x:c>
      <x:c r="B2168" s="2" t="str">
        <x:v>gini</x:v>
      </x:c>
      <x:c r="C2168" s="2" t="n">
        <x:v>38.8</x:v>
      </x:c>
      <x:c r="D2168" s="2" t="n">
        <x:v>2020</x:v>
      </x:c>
      <x:c r="E2168" s="2" t="str">
        <x:v>WB_gini</x:v>
      </x:c>
      <x:c r="F2168" s="2" t="str">
        <x:v>Gini index</x:v>
      </x:c>
    </x:row>
    <x:row r="2169" ht="44" customHeight="1">
      <x:c r="A2169" s="2" t="str">
        <x:v>GMB</x:v>
      </x:c>
      <x:c r="B2169" s="2" t="str">
        <x:v>unemployment</x:v>
      </x:c>
      <x:c r="C2169" s="2" t="n">
        <x:v>6.521</x:v>
      </x:c>
      <x:c r="D2169" s="2" t="n">
        <x:v>2025</x:v>
      </x:c>
      <x:c r="E2169" s="2" t="str">
        <x:v>WB_unemployment</x:v>
      </x:c>
      <x:c r="F2169" s="2" t="str">
        <x:v>Unemployment, total (% of total labor force) (modeled ILO estimate)</x:v>
      </x:c>
    </x:row>
    <x:row r="2170" ht="44" customHeight="1">
      <x:c r="A2170" s="2" t="str">
        <x:v>GMB</x:v>
      </x:c>
      <x:c r="B2170" s="2" t="str">
        <x:v>private_credit</x:v>
      </x:c>
      <x:c r="C2170" s="2" t="n">
        <x:v>9.40397496213459</x:v>
      </x:c>
      <x:c r="D2170" s="2" t="n">
        <x:v>2024</x:v>
      </x:c>
      <x:c r="E2170" s="2" t="str">
        <x:v>WB_private_credit</x:v>
      </x:c>
      <x:c r="F2170" s="2" t="str">
        <x:v>Domestic credit to private sector (% of GDP)</x:v>
      </x:c>
    </x:row>
    <x:row r="2171" ht="44" customHeight="1">
      <x:c r="A2171" s="2" t="str">
        <x:v>GMB</x:v>
      </x:c>
      <x:c r="B2171" s="2" t="str">
        <x:v>lending_rate</x:v>
      </x:c>
      <x:c r="C2171" s="2" t="n">
        <x:v>22</x:v>
      </x:c>
      <x:c r="D2171" s="2" t="n">
        <x:v>2025</x:v>
      </x:c>
      <x:c r="E2171" s="2" t="str">
        <x:v>WB_lending_rate</x:v>
      </x:c>
      <x:c r="F2171" s="2" t="str">
        <x:v>Lending interest rate (%)</x:v>
      </x:c>
    </x:row>
    <x:row r="2172" ht="44" customHeight="1">
      <x:c r="A2172" s="2" t="str">
        <x:v>GMB</x:v>
      </x:c>
      <x:c r="B2172" s="2" t="str">
        <x:v>real_interest</x:v>
      </x:c>
      <x:c r="C2172" s="2" t="n">
        <x:v>13.079853002373</x:v>
      </x:c>
      <x:c r="D2172" s="2" t="n">
        <x:v>2025</x:v>
      </x:c>
      <x:c r="E2172" s="2" t="str">
        <x:v>WB_real_interest</x:v>
      </x:c>
      <x:c r="F2172" s="2" t="str">
        <x:v>Real interest rate (%)</x:v>
      </x:c>
    </x:row>
    <x:row r="2173" ht="44" customHeight="1">
      <x:c r="A2173" s="2" t="str">
        <x:v>GMB</x:v>
      </x:c>
      <x:c r="B2173" s="2" t="str">
        <x:v>government_debt</x:v>
      </x:c>
      <x:c r="C2173" s="2"/>
      <x:c r="D2173" s="2"/>
      <x:c r="E2173" s="2" t="str">
        <x:v>Missing</x:v>
      </x:c>
      <x:c r="F2173" s="2" t="str">
        <x:v>Central government debt, total (% of GDP)</x:v>
      </x:c>
    </x:row>
    <x:row r="2174" ht="44" customHeight="1">
      <x:c r="A2174" s="2" t="str">
        <x:v>GMB</x:v>
      </x:c>
      <x:c r="B2174" s="2" t="str">
        <x:v>electricity_access</x:v>
      </x:c>
      <x:c r="C2174" s="2" t="n">
        <x:v>69</x:v>
      </x:c>
      <x:c r="D2174" s="2" t="n">
        <x:v>2024</x:v>
      </x:c>
      <x:c r="E2174" s="2" t="str">
        <x:v>WB_electricity_access</x:v>
      </x:c>
      <x:c r="F2174" s="2" t="str">
        <x:v>Access to electricity (% of population)</x:v>
      </x:c>
    </x:row>
    <x:row r="2175" ht="44" customHeight="1">
      <x:c r="A2175" s="2" t="str">
        <x:v>GMB</x:v>
      </x:c>
      <x:c r="B2175" s="2" t="str">
        <x:v>irrigated_land</x:v>
      </x:c>
      <x:c r="C2175" s="2"/>
      <x:c r="D2175" s="2"/>
      <x:c r="E2175" s="2" t="str">
        <x:v>Missing</x:v>
      </x:c>
      <x:c r="F2175" s="2" t="str">
        <x:v>Agricultural irrigated land (% of total agricultural land)</x:v>
      </x:c>
    </x:row>
    <x:row r="2176" ht="44" customHeight="1">
      <x:c r="A2176" s="2" t="str">
        <x:v>GMB</x:v>
      </x:c>
      <x:c r="B2176" s="2" t="str">
        <x:v>cereal_area</x:v>
      </x:c>
      <x:c r="C2176" s="2" t="n">
        <x:v>161065</x:v>
      </x:c>
      <x:c r="D2176" s="2" t="n">
        <x:v>2023</x:v>
      </x:c>
      <x:c r="E2176" s="2" t="str">
        <x:v>WB_cereal_area</x:v>
      </x:c>
      <x:c r="F2176" s="2" t="str">
        <x:v>Land under cereal production (hectares)</x:v>
      </x:c>
    </x:row>
    <x:row r="2177" ht="44" customHeight="1">
      <x:c r="A2177" s="2" t="str">
        <x:v>GMB</x:v>
      </x:c>
      <x:c r="B2177" s="2" t="str">
        <x:v>undernourishment</x:v>
      </x:c>
      <x:c r="C2177" s="2" t="n">
        <x:v>16.8</x:v>
      </x:c>
      <x:c r="D2177" s="2" t="n">
        <x:v>2023</x:v>
      </x:c>
      <x:c r="E2177" s="2" t="str">
        <x:v>WB_undernourishment</x:v>
      </x:c>
      <x:c r="F2177" s="2" t="str">
        <x:v>Prevalence of undernourishment (% of population)</x:v>
      </x:c>
    </x:row>
    <x:row r="2178" ht="44" customHeight="1">
      <x:c r="A2178" s="2" t="str">
        <x:v>GMB</x:v>
      </x:c>
      <x:c r="B2178" s="2" t="str">
        <x:v>agriculture_employment</x:v>
      </x:c>
      <x:c r="C2178" s="2" t="n">
        <x:v>27.554119667543</x:v>
      </x:c>
      <x:c r="D2178" s="2" t="n">
        <x:v>2025</x:v>
      </x:c>
      <x:c r="E2178" s="2" t="str">
        <x:v>WB_agriculture_employment</x:v>
      </x:c>
      <x:c r="F2178" s="2" t="str">
        <x:v>Employment in agriculture (% of total employment) (modeled ILO estimate)</x:v>
      </x:c>
    </x:row>
    <x:row r="2179" ht="44" customHeight="1">
      <x:c r="A2179" s="2" t="str">
        <x:v>GMB</x:v>
      </x:c>
      <x:c r="B2179" s="2" t="str">
        <x:v>water_withdrawal</x:v>
      </x:c>
      <x:c r="C2179" s="2" t="n">
        <x:v>3.38666666666667</x:v>
      </x:c>
      <x:c r="D2179" s="2" t="n">
        <x:v>2022</x:v>
      </x:c>
      <x:c r="E2179" s="2" t="str">
        <x:v>WB_water_withdrawal</x:v>
      </x:c>
      <x:c r="F2179" s="2" t="str">
        <x:v>Annual freshwater withdrawals, total (% of internal resources)</x:v>
      </x:c>
    </x:row>
    <x:row r="2180" ht="44" customHeight="1">
      <x:c r="A2180" s="2" t="str">
        <x:v>GEO</x:v>
      </x:c>
      <x:c r="B2180" s="2" t="str">
        <x:v>population</x:v>
      </x:c>
      <x:c r="C2180" s="2" t="n">
        <x:v>3935766</x:v>
      </x:c>
      <x:c r="D2180" s="2" t="n">
        <x:v>2025</x:v>
      </x:c>
      <x:c r="E2180" s="2" t="str">
        <x:v>WB_population</x:v>
      </x:c>
      <x:c r="F2180" s="2" t="str">
        <x:v>Population, total</x:v>
      </x:c>
    </x:row>
    <x:row r="2181" ht="44" customHeight="1">
      <x:c r="A2181" s="2" t="str">
        <x:v>GEO</x:v>
      </x:c>
      <x:c r="B2181" s="2" t="str">
        <x:v>income_ppp</x:v>
      </x:c>
      <x:c r="C2181" s="2" t="n">
        <x:v>25135.7822457412</x:v>
      </x:c>
      <x:c r="D2181" s="2" t="n">
        <x:v>2025</x:v>
      </x:c>
      <x:c r="E2181" s="2" t="str">
        <x:v>WB_income_ppp</x:v>
      </x:c>
      <x:c r="F2181" s="2" t="str">
        <x:v>GDP per capita, PPP (constant 2021 international $)</x:v>
      </x:c>
    </x:row>
    <x:row r="2182" ht="44" customHeight="1">
      <x:c r="A2182" s="2" t="str">
        <x:v>GEO</x:v>
      </x:c>
      <x:c r="B2182" s="2" t="str">
        <x:v>urban</x:v>
      </x:c>
      <x:c r="C2182" s="2" t="n">
        <x:v>61.1781364090406</x:v>
      </x:c>
      <x:c r="D2182" s="2" t="n">
        <x:v>2025</x:v>
      </x:c>
      <x:c r="E2182" s="2" t="str">
        <x:v>WB_urban</x:v>
      </x:c>
      <x:c r="F2182" s="2" t="str">
        <x:v>Urban population (% of total population)</x:v>
      </x:c>
    </x:row>
    <x:row r="2183" ht="44" customHeight="1">
      <x:c r="A2183" s="2" t="str">
        <x:v>GEO</x:v>
      </x:c>
      <x:c r="B2183" s="2" t="str">
        <x:v>inflation</x:v>
      </x:c>
      <x:c r="C2183" s="2" t="n">
        <x:v>3.8692132193969</x:v>
      </x:c>
      <x:c r="D2183" s="2" t="n">
        <x:v>2025</x:v>
      </x:c>
      <x:c r="E2183" s="2" t="str">
        <x:v>WB_inflation</x:v>
      </x:c>
      <x:c r="F2183" s="2" t="str">
        <x:v>Inflation, consumer prices (annual %)</x:v>
      </x:c>
    </x:row>
    <x:row r="2184" ht="44" customHeight="1">
      <x:c r="A2184" s="2" t="str">
        <x:v>GEO</x:v>
      </x:c>
      <x:c r="B2184" s="2" t="str">
        <x:v>food_index</x:v>
      </x:c>
      <x:c r="C2184" s="2" t="n">
        <x:v>113.64</x:v>
      </x:c>
      <x:c r="D2184" s="2" t="n">
        <x:v>2022</x:v>
      </x:c>
      <x:c r="E2184" s="2" t="str">
        <x:v>WB_food_index</x:v>
      </x:c>
      <x:c r="F2184" s="2" t="str">
        <x:v>Food production index (2014-2016 = 100)</x:v>
      </x:c>
    </x:row>
    <x:row r="2185" ht="44" customHeight="1">
      <x:c r="A2185" s="2" t="str">
        <x:v>GEO</x:v>
      </x:c>
      <x:c r="B2185" s="2" t="str">
        <x:v>food_import_share</x:v>
      </x:c>
      <x:c r="C2185" s="2" t="n">
        <x:v>12.4583057030011</x:v>
      </x:c>
      <x:c r="D2185" s="2" t="n">
        <x:v>2024</x:v>
      </x:c>
      <x:c r="E2185" s="2" t="str">
        <x:v>WB_food_import_share</x:v>
      </x:c>
      <x:c r="F2185" s="2" t="str">
        <x:v>Food imports (% of merchandise imports)</x:v>
      </x:c>
    </x:row>
    <x:row r="2186" ht="44" customHeight="1">
      <x:c r="A2186" s="2" t="str">
        <x:v>GEO</x:v>
      </x:c>
      <x:c r="B2186" s="2" t="str">
        <x:v>food_export_share</x:v>
      </x:c>
      <x:c r="C2186" s="2" t="n">
        <x:v>45.8512502670795</x:v>
      </x:c>
      <x:c r="D2186" s="2" t="n">
        <x:v>2024</x:v>
      </x:c>
      <x:c r="E2186" s="2" t="str">
        <x:v>WB_food_export_share</x:v>
      </x:c>
      <x:c r="F2186" s="2" t="str">
        <x:v>Food exports (% of merchandise exports)</x:v>
      </x:c>
    </x:row>
    <x:row r="2187" ht="44" customHeight="1">
      <x:c r="A2187" s="2" t="str">
        <x:v>GEO</x:v>
      </x:c>
      <x:c r="B2187" s="2" t="str">
        <x:v>imports_usd</x:v>
      </x:c>
      <x:c r="C2187" s="2" t="n">
        <x:v>18530000000</x:v>
      </x:c>
      <x:c r="D2187" s="2" t="n">
        <x:v>2025</x:v>
      </x:c>
      <x:c r="E2187" s="2" t="str">
        <x:v>WB_imports_usd</x:v>
      </x:c>
      <x:c r="F2187" s="2" t="str">
        <x:v>Merchandise imports (current US$)</x:v>
      </x:c>
    </x:row>
    <x:row r="2188" ht="44" customHeight="1">
      <x:c r="A2188" s="2" t="str">
        <x:v>GEO</x:v>
      </x:c>
      <x:c r="B2188" s="2" t="str">
        <x:v>exports_usd</x:v>
      </x:c>
      <x:c r="C2188" s="2" t="n">
        <x:v>7291000000</x:v>
      </x:c>
      <x:c r="D2188" s="2" t="n">
        <x:v>2025</x:v>
      </x:c>
      <x:c r="E2188" s="2" t="str">
        <x:v>WB_exports_usd</x:v>
      </x:c>
      <x:c r="F2188" s="2" t="str">
        <x:v>Merchandise exports (current US$)</x:v>
      </x:c>
    </x:row>
    <x:row r="2189" ht="44" customHeight="1">
      <x:c r="A2189" s="2" t="str">
        <x:v>GEO</x:v>
      </x:c>
      <x:c r="B2189" s="2" t="str">
        <x:v>cereal_yield</x:v>
      </x:c>
      <x:c r="C2189" s="2" t="n">
        <x:v>2568.5</x:v>
      </x:c>
      <x:c r="D2189" s="2" t="n">
        <x:v>2023</x:v>
      </x:c>
      <x:c r="E2189" s="2" t="str">
        <x:v>WB_cereal_yield</x:v>
      </x:c>
      <x:c r="F2189" s="2" t="str">
        <x:v>Cereal yield (kg per hectare)</x:v>
      </x:c>
    </x:row>
    <x:row r="2190" ht="44" customHeight="1">
      <x:c r="A2190" s="2" t="str">
        <x:v>GEO</x:v>
      </x:c>
      <x:c r="B2190" s="2" t="str">
        <x:v>water_stress</x:v>
      </x:c>
      <x:c r="C2190" s="2" t="n">
        <x:v>4.212964169</x:v>
      </x:c>
      <x:c r="D2190" s="2" t="n">
        <x:v>2022</x:v>
      </x:c>
      <x:c r="E2190" s="2" t="str">
        <x:v>WB_water_stress</x:v>
      </x:c>
      <x:c r="F2190" s="2" t="str">
        <x:v>Level of water stress: freshwater withdrawal as a proportion of available freshwater resources</x:v>
      </x:c>
    </x:row>
    <x:row r="2191" ht="44" customHeight="1">
      <x:c r="A2191" s="2" t="str">
        <x:v>GEO</x:v>
      </x:c>
      <x:c r="B2191" s="2" t="str">
        <x:v>fertility</x:v>
      </x:c>
      <x:c r="C2191" s="2" t="n">
        <x:v>1.802</x:v>
      </x:c>
      <x:c r="D2191" s="2" t="n">
        <x:v>2024</x:v>
      </x:c>
      <x:c r="E2191" s="2" t="str">
        <x:v>WB_fertility</x:v>
      </x:c>
      <x:c r="F2191" s="2" t="str">
        <x:v>Fertility rate, total (births per woman)</x:v>
      </x:c>
    </x:row>
    <x:row r="2192" ht="44" customHeight="1">
      <x:c r="A2192" s="2" t="str">
        <x:v>GEO</x:v>
      </x:c>
      <x:c r="B2192" s="2" t="str">
        <x:v>life_expectancy</x:v>
      </x:c>
      <x:c r="C2192" s="2" t="n">
        <x:v>74.657</x:v>
      </x:c>
      <x:c r="D2192" s="2" t="n">
        <x:v>2024</x:v>
      </x:c>
      <x:c r="E2192" s="2" t="str">
        <x:v>WB_life_expectancy</x:v>
      </x:c>
      <x:c r="F2192" s="2" t="str">
        <x:v>Life expectancy at birth, total (years)</x:v>
      </x:c>
    </x:row>
    <x:row r="2193" ht="44" customHeight="1">
      <x:c r="A2193" s="2" t="str">
        <x:v>GEO</x:v>
      </x:c>
      <x:c r="B2193" s="2" t="str">
        <x:v>age_under15</x:v>
      </x:c>
      <x:c r="C2193" s="2" t="n">
        <x:v>20.4880721239109</x:v>
      </x:c>
      <x:c r="D2193" s="2" t="n">
        <x:v>2025</x:v>
      </x:c>
      <x:c r="E2193" s="2" t="str">
        <x:v>WB_age_under15</x:v>
      </x:c>
      <x:c r="F2193" s="2" t="str">
        <x:v>Population ages 0-14 (% of total population)</x:v>
      </x:c>
    </x:row>
    <x:row r="2194" ht="44" customHeight="1">
      <x:c r="A2194" s="2" t="str">
        <x:v>GEO</x:v>
      </x:c>
      <x:c r="B2194" s="2" t="str">
        <x:v>age_over65</x:v>
      </x:c>
      <x:c r="C2194" s="2" t="n">
        <x:v>15.9913346858712</x:v>
      </x:c>
      <x:c r="D2194" s="2" t="n">
        <x:v>2025</x:v>
      </x:c>
      <x:c r="E2194" s="2" t="str">
        <x:v>WB_age_over65</x:v>
      </x:c>
      <x:c r="F2194" s="2" t="str">
        <x:v>Population ages 65 and above (% of total population)</x:v>
      </x:c>
    </x:row>
    <x:row r="2195" ht="44" customHeight="1">
      <x:c r="A2195" s="2" t="str">
        <x:v>GEO</x:v>
      </x:c>
      <x:c r="B2195" s="2" t="str">
        <x:v>dependency_ratio</x:v>
      </x:c>
      <x:c r="C2195" s="2" t="n">
        <x:v>57.4292946222073</x:v>
      </x:c>
      <x:c r="D2195" s="2" t="n">
        <x:v>2025</x:v>
      </x:c>
      <x:c r="E2195" s="2" t="str">
        <x:v>WB_dependency_ratio</x:v>
      </x:c>
      <x:c r="F2195" s="2" t="str">
        <x:v>Age dependency ratio (% of working-age population)</x:v>
      </x:c>
    </x:row>
    <x:row r="2196" ht="44" customHeight="1">
      <x:c r="A2196" s="2" t="str">
        <x:v>GEO</x:v>
      </x:c>
      <x:c r="B2196" s="2" t="str">
        <x:v>net_migration</x:v>
      </x:c>
      <x:c r="C2196" s="2" t="n">
        <x:v>1283</x:v>
      </x:c>
      <x:c r="D2196" s="2" t="n">
        <x:v>2025</x:v>
      </x:c>
      <x:c r="E2196" s="2" t="str">
        <x:v>WB_net_migration</x:v>
      </x:c>
      <x:c r="F2196" s="2" t="str">
        <x:v>Net migration</x:v>
      </x:c>
    </x:row>
    <x:row r="2197" ht="44" customHeight="1">
      <x:c r="A2197" s="2" t="str">
        <x:v>GEO</x:v>
      </x:c>
      <x:c r="B2197" s="2" t="str">
        <x:v>real_gdp</x:v>
      </x:c>
      <x:c r="C2197" s="2" t="n">
        <x:v>27066204097.3435</x:v>
      </x:c>
      <x:c r="D2197" s="2" t="n">
        <x:v>2025</x:v>
      </x:c>
      <x:c r="E2197" s="2" t="str">
        <x:v>WB_real_gdp</x:v>
      </x:c>
      <x:c r="F2197" s="2" t="str">
        <x:v>GDP (constant 2015 US$)</x:v>
      </x:c>
    </x:row>
    <x:row r="2198" ht="44" customHeight="1">
      <x:c r="A2198" s="2" t="str">
        <x:v>GEO</x:v>
      </x:c>
      <x:c r="B2198" s="2" t="str">
        <x:v>gdp_growth</x:v>
      </x:c>
      <x:c r="C2198" s="2" t="n">
        <x:v>7.46161504152039</x:v>
      </x:c>
      <x:c r="D2198" s="2" t="n">
        <x:v>2025</x:v>
      </x:c>
      <x:c r="E2198" s="2" t="str">
        <x:v>WB_gdp_growth</x:v>
      </x:c>
      <x:c r="F2198" s="2" t="str">
        <x:v>GDP growth (annual %)</x:v>
      </x:c>
    </x:row>
    <x:row r="2199" ht="44" customHeight="1">
      <x:c r="A2199" s="2" t="str">
        <x:v>GEO</x:v>
      </x:c>
      <x:c r="B2199" s="2" t="str">
        <x:v>real_income</x:v>
      </x:c>
      <x:c r="C2199" s="2" t="n">
        <x:v>6876.98508939391</x:v>
      </x:c>
      <x:c r="D2199" s="2" t="n">
        <x:v>2025</x:v>
      </x:c>
      <x:c r="E2199" s="2" t="str">
        <x:v>WB_real_income</x:v>
      </x:c>
      <x:c r="F2199" s="2" t="str">
        <x:v>GDP per capita (constant 2015 US$)</x:v>
      </x:c>
    </x:row>
    <x:row r="2200" ht="44" customHeight="1">
      <x:c r="A2200" s="2" t="str">
        <x:v>GEO</x:v>
      </x:c>
      <x:c r="B2200" s="2" t="str">
        <x:v>agriculture_gdp</x:v>
      </x:c>
      <x:c r="C2200" s="2" t="n">
        <x:v>5.18170935466129</x:v>
      </x:c>
      <x:c r="D2200" s="2" t="n">
        <x:v>2025</x:v>
      </x:c>
      <x:c r="E2200" s="2" t="str">
        <x:v>WB_agriculture_gdp</x:v>
      </x:c>
      <x:c r="F2200" s="2" t="str">
        <x:v>Agriculture, forestry, and fishing, value added (% of GDP)</x:v>
      </x:c>
    </x:row>
    <x:row r="2201" ht="44" customHeight="1">
      <x:c r="A2201" s="2" t="str">
        <x:v>GEO</x:v>
      </x:c>
      <x:c r="B2201" s="2" t="str">
        <x:v>poverty</x:v>
      </x:c>
      <x:c r="C2201" s="2" t="n">
        <x:v>4.2</x:v>
      </x:c>
      <x:c r="D2201" s="2" t="n">
        <x:v>2024</x:v>
      </x:c>
      <x:c r="E2201" s="2" t="str">
        <x:v>WB_poverty</x:v>
      </x:c>
      <x:c r="F2201" s="2" t="str">
        <x:v>Poverty headcount ratio at $3.00 a day (2021 PPP) (% of population)</x:v>
      </x:c>
    </x:row>
    <x:row r="2202" ht="44" customHeight="1">
      <x:c r="A2202" s="2" t="str">
        <x:v>GEO</x:v>
      </x:c>
      <x:c r="B2202" s="2" t="str">
        <x:v>gini</x:v>
      </x:c>
      <x:c r="C2202" s="2" t="n">
        <x:v>33.9</x:v>
      </x:c>
      <x:c r="D2202" s="2" t="n">
        <x:v>2024</x:v>
      </x:c>
      <x:c r="E2202" s="2" t="str">
        <x:v>WB_gini</x:v>
      </x:c>
      <x:c r="F2202" s="2" t="str">
        <x:v>Gini index</x:v>
      </x:c>
    </x:row>
    <x:row r="2203" ht="44" customHeight="1">
      <x:c r="A2203" s="2" t="str">
        <x:v>GEO</x:v>
      </x:c>
      <x:c r="B2203" s="2" t="str">
        <x:v>unemployment</x:v>
      </x:c>
      <x:c r="C2203" s="2" t="n">
        <x:v>12.097</x:v>
      </x:c>
      <x:c r="D2203" s="2" t="n">
        <x:v>2025</x:v>
      </x:c>
      <x:c r="E2203" s="2" t="str">
        <x:v>WB_unemployment</x:v>
      </x:c>
      <x:c r="F2203" s="2" t="str">
        <x:v>Unemployment, total (% of total labor force) (modeled ILO estimate)</x:v>
      </x:c>
    </x:row>
    <x:row r="2204" ht="44" customHeight="1">
      <x:c r="A2204" s="2" t="str">
        <x:v>GEO</x:v>
      </x:c>
      <x:c r="B2204" s="2" t="str">
        <x:v>private_credit</x:v>
      </x:c>
      <x:c r="C2204" s="2" t="n">
        <x:v>68.4219664417332</x:v>
      </x:c>
      <x:c r="D2204" s="2" t="n">
        <x:v>2025</x:v>
      </x:c>
      <x:c r="E2204" s="2" t="str">
        <x:v>WB_private_credit</x:v>
      </x:c>
      <x:c r="F2204" s="2" t="str">
        <x:v>Domestic credit to private sector (% of GDP)</x:v>
      </x:c>
    </x:row>
    <x:row r="2205" ht="44" customHeight="1">
      <x:c r="A2205" s="2" t="str">
        <x:v>GEO</x:v>
      </x:c>
      <x:c r="B2205" s="2" t="str">
        <x:v>lending_rate</x:v>
      </x:c>
      <x:c r="C2205" s="2" t="n">
        <x:v>15.7857039169038</x:v>
      </x:c>
      <x:c r="D2205" s="2" t="n">
        <x:v>2025</x:v>
      </x:c>
      <x:c r="E2205" s="2" t="str">
        <x:v>WB_lending_rate</x:v>
      </x:c>
      <x:c r="F2205" s="2" t="str">
        <x:v>Lending interest rate (%)</x:v>
      </x:c>
    </x:row>
    <x:row r="2206" ht="44" customHeight="1">
      <x:c r="A2206" s="2" t="str">
        <x:v>GEO</x:v>
      </x:c>
      <x:c r="B2206" s="2" t="str">
        <x:v>real_interest</x:v>
      </x:c>
      <x:c r="C2206" s="2" t="n">
        <x:v>10.655065655646</x:v>
      </x:c>
      <x:c r="D2206" s="2" t="n">
        <x:v>2025</x:v>
      </x:c>
      <x:c r="E2206" s="2" t="str">
        <x:v>WB_real_interest</x:v>
      </x:c>
      <x:c r="F2206" s="2" t="str">
        <x:v>Real interest rate (%)</x:v>
      </x:c>
    </x:row>
    <x:row r="2207" ht="44" customHeight="1">
      <x:c r="A2207" s="2" t="str">
        <x:v>GEO</x:v>
      </x:c>
      <x:c r="B2207" s="2" t="str">
        <x:v>government_debt</x:v>
      </x:c>
      <x:c r="C2207" s="2" t="n">
        <x:v>40.0993201678867</x:v>
      </x:c>
      <x:c r="D2207" s="2" t="n">
        <x:v>2024</x:v>
      </x:c>
      <x:c r="E2207" s="2" t="str">
        <x:v>WB_government_debt</x:v>
      </x:c>
      <x:c r="F2207" s="2" t="str">
        <x:v>Central government debt, total (% of GDP)</x:v>
      </x:c>
    </x:row>
    <x:row r="2208" ht="44" customHeight="1">
      <x:c r="A2208" s="2" t="str">
        <x:v>GEO</x:v>
      </x:c>
      <x:c r="B2208" s="2" t="str">
        <x:v>electricity_access</x:v>
      </x:c>
      <x:c r="C2208" s="2" t="n">
        <x:v>100</x:v>
      </x:c>
      <x:c r="D2208" s="2" t="n">
        <x:v>2024</x:v>
      </x:c>
      <x:c r="E2208" s="2" t="str">
        <x:v>WB_electricity_access</x:v>
      </x:c>
      <x:c r="F2208" s="2" t="str">
        <x:v>Access to electricity (% of population)</x:v>
      </x:c>
    </x:row>
    <x:row r="2209" ht="44" customHeight="1">
      <x:c r="A2209" s="2" t="str">
        <x:v>GEO</x:v>
      </x:c>
      <x:c r="B2209" s="2" t="str">
        <x:v>irrigated_land</x:v>
      </x:c>
      <x:c r="C2209" s="2" t="n">
        <x:v>4.01750198886237</x:v>
      </x:c>
      <x:c r="D2209" s="2" t="n">
        <x:v>2008</x:v>
      </x:c>
      <x:c r="E2209" s="2" t="str">
        <x:v>WB_irrigated_land</x:v>
      </x:c>
      <x:c r="F2209" s="2" t="str">
        <x:v>Agricultural irrigated land (% of total agricultural land)</x:v>
      </x:c>
    </x:row>
    <x:row r="2210" ht="44" customHeight="1">
      <x:c r="A2210" s="2" t="str">
        <x:v>GEO</x:v>
      </x:c>
      <x:c r="B2210" s="2" t="str">
        <x:v>cereal_area</x:v>
      </x:c>
      <x:c r="C2210" s="2" t="n">
        <x:v>155638</x:v>
      </x:c>
      <x:c r="D2210" s="2" t="n">
        <x:v>2023</x:v>
      </x:c>
      <x:c r="E2210" s="2" t="str">
        <x:v>WB_cereal_area</x:v>
      </x:c>
      <x:c r="F2210" s="2" t="str">
        <x:v>Land under cereal production (hectares)</x:v>
      </x:c>
    </x:row>
    <x:row r="2211" ht="44" customHeight="1">
      <x:c r="A2211" s="2" t="str">
        <x:v>GEO</x:v>
      </x:c>
      <x:c r="B2211" s="2" t="str">
        <x:v>undernourishment</x:v>
      </x:c>
      <x:c r="C2211" s="2" t="n">
        <x:v>2.5</x:v>
      </x:c>
      <x:c r="D2211" s="2" t="n">
        <x:v>2023</x:v>
      </x:c>
      <x:c r="E2211" s="2" t="str">
        <x:v>WB_undernourishment</x:v>
      </x:c>
      <x:c r="F2211" s="2" t="str">
        <x:v>Prevalence of undernourishment (% of population)</x:v>
      </x:c>
    </x:row>
    <x:row r="2212" ht="44" customHeight="1">
      <x:c r="A2212" s="2" t="str">
        <x:v>GEO</x:v>
      </x:c>
      <x:c r="B2212" s="2" t="str">
        <x:v>agriculture_employment</x:v>
      </x:c>
      <x:c r="C2212" s="2" t="n">
        <x:v>33.9512428320628</x:v>
      </x:c>
      <x:c r="D2212" s="2" t="n">
        <x:v>2025</x:v>
      </x:c>
      <x:c r="E2212" s="2" t="str">
        <x:v>WB_agriculture_employment</x:v>
      </x:c>
      <x:c r="F2212" s="2" t="str">
        <x:v>Employment in agriculture (% of total employment) (modeled ILO estimate)</x:v>
      </x:c>
    </x:row>
    <x:row r="2213" ht="44" customHeight="1">
      <x:c r="A2213" s="2" t="str">
        <x:v>GEO</x:v>
      </x:c>
      <x:c r="B2213" s="2" t="str">
        <x:v>water_withdrawal</x:v>
      </x:c>
      <x:c r="C2213" s="2" t="n">
        <x:v>2.22497849647342</x:v>
      </x:c>
      <x:c r="D2213" s="2" t="n">
        <x:v>2022</x:v>
      </x:c>
      <x:c r="E2213" s="2" t="str">
        <x:v>WB_water_withdrawal</x:v>
      </x:c>
      <x:c r="F2213" s="2" t="str">
        <x:v>Annual freshwater withdrawals, total (% of internal resources)</x:v>
      </x:c>
    </x:row>
    <x:row r="2214" ht="44" customHeight="1">
      <x:c r="A2214" s="2" t="str">
        <x:v>DEU</x:v>
      </x:c>
      <x:c r="B2214" s="2" t="str">
        <x:v>population</x:v>
      </x:c>
      <x:c r="C2214" s="2" t="n">
        <x:v>83491249</x:v>
      </x:c>
      <x:c r="D2214" s="2" t="n">
        <x:v>2025</x:v>
      </x:c>
      <x:c r="E2214" s="2" t="str">
        <x:v>WB_population</x:v>
      </x:c>
      <x:c r="F2214" s="2" t="str">
        <x:v>Population, total</x:v>
      </x:c>
    </x:row>
    <x:row r="2215" ht="44" customHeight="1">
      <x:c r="A2215" s="2" t="str">
        <x:v>DEU</x:v>
      </x:c>
      <x:c r="B2215" s="2" t="str">
        <x:v>income_ppp</x:v>
      </x:c>
      <x:c r="C2215" s="2" t="n">
        <x:v>62823.7736648822</x:v>
      </x:c>
      <x:c r="D2215" s="2" t="n">
        <x:v>2025</x:v>
      </x:c>
      <x:c r="E2215" s="2" t="str">
        <x:v>WB_income_ppp</x:v>
      </x:c>
      <x:c r="F2215" s="2" t="str">
        <x:v>GDP per capita, PPP (constant 2021 international $)</x:v>
      </x:c>
    </x:row>
    <x:row r="2216" ht="44" customHeight="1">
      <x:c r="A2216" s="2" t="str">
        <x:v>DEU</x:v>
      </x:c>
      <x:c r="B2216" s="2" t="str">
        <x:v>urban</x:v>
      </x:c>
      <x:c r="C2216" s="2" t="n">
        <x:v>82.13822205362</x:v>
      </x:c>
      <x:c r="D2216" s="2" t="n">
        <x:v>2025</x:v>
      </x:c>
      <x:c r="E2216" s="2" t="str">
        <x:v>WB_urban</x:v>
      </x:c>
      <x:c r="F2216" s="2" t="str">
        <x:v>Urban population (% of total population)</x:v>
      </x:c>
    </x:row>
    <x:row r="2217" ht="44" customHeight="1">
      <x:c r="A2217" s="2" t="str">
        <x:v>DEU</x:v>
      </x:c>
      <x:c r="B2217" s="2" t="str">
        <x:v>inflation</x:v>
      </x:c>
      <x:c r="C2217" s="2" t="n">
        <x:v>2.17178770949721</x:v>
      </x:c>
      <x:c r="D2217" s="2" t="n">
        <x:v>2025</x:v>
      </x:c>
      <x:c r="E2217" s="2" t="str">
        <x:v>WB_inflation</x:v>
      </x:c>
      <x:c r="F2217" s="2" t="str">
        <x:v>Inflation, consumer prices (annual %)</x:v>
      </x:c>
    </x:row>
    <x:row r="2218" ht="44" customHeight="1">
      <x:c r="A2218" s="2" t="str">
        <x:v>DEU</x:v>
      </x:c>
      <x:c r="B2218" s="2" t="str">
        <x:v>food_index</x:v>
      </x:c>
      <x:c r="C2218" s="2" t="n">
        <x:v>92.71</x:v>
      </x:c>
      <x:c r="D2218" s="2" t="n">
        <x:v>2022</x:v>
      </x:c>
      <x:c r="E2218" s="2" t="str">
        <x:v>WB_food_index</x:v>
      </x:c>
      <x:c r="F2218" s="2" t="str">
        <x:v>Food production index (2014-2016 = 100)</x:v>
      </x:c>
    </x:row>
    <x:row r="2219" ht="44" customHeight="1">
      <x:c r="A2219" s="2" t="str">
        <x:v>DEU</x:v>
      </x:c>
      <x:c r="B2219" s="2" t="str">
        <x:v>food_import_share</x:v>
      </x:c>
      <x:c r="C2219" s="2" t="n">
        <x:v>9.16027792841592</x:v>
      </x:c>
      <x:c r="D2219" s="2" t="n">
        <x:v>2024</x:v>
      </x:c>
      <x:c r="E2219" s="2" t="str">
        <x:v>WB_food_import_share</x:v>
      </x:c>
      <x:c r="F2219" s="2" t="str">
        <x:v>Food imports (% of merchandise imports)</x:v>
      </x:c>
    </x:row>
    <x:row r="2220" ht="44" customHeight="1">
      <x:c r="A2220" s="2" t="str">
        <x:v>DEU</x:v>
      </x:c>
      <x:c r="B2220" s="2" t="str">
        <x:v>food_export_share</x:v>
      </x:c>
      <x:c r="C2220" s="2" t="n">
        <x:v>6.26374809525555</x:v>
      </x:c>
      <x:c r="D2220" s="2" t="n">
        <x:v>2024</x:v>
      </x:c>
      <x:c r="E2220" s="2" t="str">
        <x:v>WB_food_export_share</x:v>
      </x:c>
      <x:c r="F2220" s="2" t="str">
        <x:v>Food exports (% of merchandise exports)</x:v>
      </x:c>
    </x:row>
    <x:row r="2221" ht="44" customHeight="1">
      <x:c r="A2221" s="2" t="str">
        <x:v>DEU</x:v>
      </x:c>
      <x:c r="B2221" s="2" t="str">
        <x:v>imports_usd</x:v>
      </x:c>
      <x:c r="C2221" s="2" t="n">
        <x:v>1542796000000</x:v>
      </x:c>
      <x:c r="D2221" s="2" t="n">
        <x:v>2025</x:v>
      </x:c>
      <x:c r="E2221" s="2" t="str">
        <x:v>WB_imports_usd</x:v>
      </x:c>
      <x:c r="F2221" s="2" t="str">
        <x:v>Merchandise imports (current US$)</x:v>
      </x:c>
    </x:row>
    <x:row r="2222" ht="44" customHeight="1">
      <x:c r="A2222" s="2" t="str">
        <x:v>DEU</x:v>
      </x:c>
      <x:c r="B2222" s="2" t="str">
        <x:v>exports_usd</x:v>
      </x:c>
      <x:c r="C2222" s="2" t="n">
        <x:v>1764188000000</x:v>
      </x:c>
      <x:c r="D2222" s="2" t="n">
        <x:v>2025</x:v>
      </x:c>
      <x:c r="E2222" s="2" t="str">
        <x:v>WB_exports_usd</x:v>
      </x:c>
      <x:c r="F2222" s="2" t="str">
        <x:v>Merchandise exports (current US$)</x:v>
      </x:c>
    </x:row>
    <x:row r="2223" ht="44" customHeight="1">
      <x:c r="A2223" s="2" t="str">
        <x:v>DEU</x:v>
      </x:c>
      <x:c r="B2223" s="2" t="str">
        <x:v>cereal_yield</x:v>
      </x:c>
      <x:c r="C2223" s="2" t="n">
        <x:v>7007.3</x:v>
      </x:c>
      <x:c r="D2223" s="2" t="n">
        <x:v>2023</x:v>
      </x:c>
      <x:c r="E2223" s="2" t="str">
        <x:v>WB_cereal_yield</x:v>
      </x:c>
      <x:c r="F2223" s="2" t="str">
        <x:v>Cereal yield (kg per hectare)</x:v>
      </x:c>
    </x:row>
    <x:row r="2224" ht="44" customHeight="1">
      <x:c r="A2224" s="2" t="str">
        <x:v>DEU</x:v>
      </x:c>
      <x:c r="B2224" s="2" t="str">
        <x:v>water_stress</x:v>
      </x:c>
      <x:c r="C2224" s="2" t="n">
        <x:v>35.35165707</x:v>
      </x:c>
      <x:c r="D2224" s="2" t="n">
        <x:v>2022</x:v>
      </x:c>
      <x:c r="E2224" s="2" t="str">
        <x:v>WB_water_stress</x:v>
      </x:c>
      <x:c r="F2224" s="2" t="str">
        <x:v>Level of water stress: freshwater withdrawal as a proportion of available freshwater resources</x:v>
      </x:c>
    </x:row>
    <x:row r="2225" ht="44" customHeight="1">
      <x:c r="A2225" s="2" t="str">
        <x:v>DEU</x:v>
      </x:c>
      <x:c r="B2225" s="2" t="str">
        <x:v>fertility</x:v>
      </x:c>
      <x:c r="C2225" s="2" t="n">
        <x:v>1.36</x:v>
      </x:c>
      <x:c r="D2225" s="2" t="n">
        <x:v>2024</x:v>
      </x:c>
      <x:c r="E2225" s="2" t="str">
        <x:v>WB_fertility</x:v>
      </x:c>
      <x:c r="F2225" s="2" t="str">
        <x:v>Fertility rate, total (births per woman)</x:v>
      </x:c>
    </x:row>
    <x:row r="2226" ht="44" customHeight="1">
      <x:c r="A2226" s="2" t="str">
        <x:v>DEU</x:v>
      </x:c>
      <x:c r="B2226" s="2" t="str">
        <x:v>life_expectancy</x:v>
      </x:c>
      <x:c r="C2226" s="2" t="n">
        <x:v>80.7926829268293</x:v>
      </x:c>
      <x:c r="D2226" s="2" t="n">
        <x:v>2024</x:v>
      </x:c>
      <x:c r="E2226" s="2" t="str">
        <x:v>WB_life_expectancy</x:v>
      </x:c>
      <x:c r="F2226" s="2" t="str">
        <x:v>Life expectancy at birth, total (years)</x:v>
      </x:c>
    </x:row>
    <x:row r="2227" ht="44" customHeight="1">
      <x:c r="A2227" s="2" t="str">
        <x:v>DEU</x:v>
      </x:c>
      <x:c r="B2227" s="2" t="str">
        <x:v>age_under15</x:v>
      </x:c>
      <x:c r="C2227" s="2" t="n">
        <x:v>13.8859014629835</x:v>
      </x:c>
      <x:c r="D2227" s="2" t="n">
        <x:v>2025</x:v>
      </x:c>
      <x:c r="E2227" s="2" t="str">
        <x:v>WB_age_under15</x:v>
      </x:c>
      <x:c r="F2227" s="2" t="str">
        <x:v>Population ages 0-14 (% of total population)</x:v>
      </x:c>
    </x:row>
    <x:row r="2228" ht="44" customHeight="1">
      <x:c r="A2228" s="2" t="str">
        <x:v>DEU</x:v>
      </x:c>
      <x:c r="B2228" s="2" t="str">
        <x:v>age_over65</x:v>
      </x:c>
      <x:c r="C2228" s="2" t="n">
        <x:v>23.7031981458429</x:v>
      </x:c>
      <x:c r="D2228" s="2" t="n">
        <x:v>2025</x:v>
      </x:c>
      <x:c r="E2228" s="2" t="str">
        <x:v>WB_age_over65</x:v>
      </x:c>
      <x:c r="F2228" s="2" t="str">
        <x:v>Population ages 65 and above (% of total population)</x:v>
      </x:c>
    </x:row>
    <x:row r="2229" ht="44" customHeight="1">
      <x:c r="A2229" s="2" t="str">
        <x:v>DEU</x:v>
      </x:c>
      <x:c r="B2229" s="2" t="str">
        <x:v>dependency_ratio</x:v>
      </x:c>
      <x:c r="C2229" s="2" t="n">
        <x:v>60.2284213984744</x:v>
      </x:c>
      <x:c r="D2229" s="2" t="n">
        <x:v>2025</x:v>
      </x:c>
      <x:c r="E2229" s="2" t="str">
        <x:v>WB_dependency_ratio</x:v>
      </x:c>
      <x:c r="F2229" s="2" t="str">
        <x:v>Age dependency ratio (% of working-age population)</x:v>
      </x:c>
    </x:row>
    <x:row r="2230" ht="44" customHeight="1">
      <x:c r="A2230" s="2" t="str">
        <x:v>DEU</x:v>
      </x:c>
      <x:c r="B2230" s="2" t="str">
        <x:v>net_migration</x:v>
      </x:c>
      <x:c r="C2230" s="2" t="n">
        <x:v>-334072</x:v>
      </x:c>
      <x:c r="D2230" s="2" t="n">
        <x:v>2025</x:v>
      </x:c>
      <x:c r="E2230" s="2" t="str">
        <x:v>WB_net_migration</x:v>
      </x:c>
      <x:c r="F2230" s="2" t="str">
        <x:v>Net migration</x:v>
      </x:c>
    </x:row>
    <x:row r="2231" ht="44" customHeight="1">
      <x:c r="A2231" s="2" t="str">
        <x:v>DEU</x:v>
      </x:c>
      <x:c r="B2231" s="2" t="str">
        <x:v>real_gdp</x:v>
      </x:c>
      <x:c r="C2231" s="2" t="n">
        <x:v>3685858188650.63</x:v>
      </x:c>
      <x:c r="D2231" s="2" t="n">
        <x:v>2025</x:v>
      </x:c>
      <x:c r="E2231" s="2" t="str">
        <x:v>WB_real_gdp</x:v>
      </x:c>
      <x:c r="F2231" s="2" t="str">
        <x:v>GDP (constant 2015 US$)</x:v>
      </x:c>
    </x:row>
    <x:row r="2232" ht="44" customHeight="1">
      <x:c r="A2232" s="2" t="str">
        <x:v>DEU</x:v>
      </x:c>
      <x:c r="B2232" s="2" t="str">
        <x:v>gdp_growth</x:v>
      </x:c>
      <x:c r="C2232" s="2" t="n">
        <x:v>0.239578342117881</x:v>
      </x:c>
      <x:c r="D2232" s="2" t="n">
        <x:v>2025</x:v>
      </x:c>
      <x:c r="E2232" s="2" t="str">
        <x:v>WB_gdp_growth</x:v>
      </x:c>
      <x:c r="F2232" s="2" t="str">
        <x:v>GDP growth (annual %)</x:v>
      </x:c>
    </x:row>
    <x:row r="2233" ht="44" customHeight="1">
      <x:c r="A2233" s="2" t="str">
        <x:v>DEU</x:v>
      </x:c>
      <x:c r="B2233" s="2" t="str">
        <x:v>real_income</x:v>
      </x:c>
      <x:c r="C2233" s="2" t="n">
        <x:v>44146.6409090446</x:v>
      </x:c>
      <x:c r="D2233" s="2" t="n">
        <x:v>2025</x:v>
      </x:c>
      <x:c r="E2233" s="2" t="str">
        <x:v>WB_real_income</x:v>
      </x:c>
      <x:c r="F2233" s="2" t="str">
        <x:v>GDP per capita (constant 2015 US$)</x:v>
      </x:c>
    </x:row>
    <x:row r="2234" ht="44" customHeight="1">
      <x:c r="A2234" s="2" t="str">
        <x:v>DEU</x:v>
      </x:c>
      <x:c r="B2234" s="2" t="str">
        <x:v>agriculture_gdp</x:v>
      </x:c>
      <x:c r="C2234" s="2" t="n">
        <x:v>0.871426941482043</x:v>
      </x:c>
      <x:c r="D2234" s="2" t="n">
        <x:v>2025</x:v>
      </x:c>
      <x:c r="E2234" s="2" t="str">
        <x:v>WB_agriculture_gdp</x:v>
      </x:c>
      <x:c r="F2234" s="2" t="str">
        <x:v>Agriculture, forestry, and fishing, value added (% of GDP)</x:v>
      </x:c>
    </x:row>
    <x:row r="2235" ht="44" customHeight="1">
      <x:c r="A2235" s="2" t="str">
        <x:v>DEU</x:v>
      </x:c>
      <x:c r="B2235" s="2" t="str">
        <x:v>poverty</x:v>
      </x:c>
      <x:c r="C2235" s="2" t="n">
        <x:v>0.7</x:v>
      </x:c>
      <x:c r="D2235" s="2" t="n">
        <x:v>2022</x:v>
      </x:c>
      <x:c r="E2235" s="2" t="str">
        <x:v>WB_poverty</x:v>
      </x:c>
      <x:c r="F2235" s="2" t="str">
        <x:v>Poverty headcount ratio at $3.00 a day (2021 PPP) (% of population)</x:v>
      </x:c>
    </x:row>
    <x:row r="2236" ht="44" customHeight="1">
      <x:c r="A2236" s="2" t="str">
        <x:v>DEU</x:v>
      </x:c>
      <x:c r="B2236" s="2" t="str">
        <x:v>gini</x:v>
      </x:c>
      <x:c r="C2236" s="2" t="n">
        <x:v>33.7</x:v>
      </x:c>
      <x:c r="D2236" s="2" t="n">
        <x:v>2022</x:v>
      </x:c>
      <x:c r="E2236" s="2" t="str">
        <x:v>WB_gini</x:v>
      </x:c>
      <x:c r="F2236" s="2" t="str">
        <x:v>Gini index</x:v>
      </x:c>
    </x:row>
    <x:row r="2237" ht="44" customHeight="1">
      <x:c r="A2237" s="2" t="str">
        <x:v>DEU</x:v>
      </x:c>
      <x:c r="B2237" s="2" t="str">
        <x:v>unemployment</x:v>
      </x:c>
      <x:c r="C2237" s="2" t="n">
        <x:v>3.711</x:v>
      </x:c>
      <x:c r="D2237" s="2" t="n">
        <x:v>2025</x:v>
      </x:c>
      <x:c r="E2237" s="2" t="str">
        <x:v>WB_unemployment</x:v>
      </x:c>
      <x:c r="F2237" s="2" t="str">
        <x:v>Unemployment, total (% of total labor force) (modeled ILO estimate)</x:v>
      </x:c>
    </x:row>
    <x:row r="2238" ht="44" customHeight="1">
      <x:c r="A2238" s="2" t="str">
        <x:v>DEU</x:v>
      </x:c>
      <x:c r="B2238" s="2" t="str">
        <x:v>private_credit</x:v>
      </x:c>
      <x:c r="C2238" s="2" t="n">
        <x:v>77.253484574492</x:v>
      </x:c>
      <x:c r="D2238" s="2" t="n">
        <x:v>2023</x:v>
      </x:c>
      <x:c r="E2238" s="2" t="str">
        <x:v>WB_private_credit</x:v>
      </x:c>
      <x:c r="F2238" s="2" t="str">
        <x:v>Domestic credit to private sector (% of GDP)</x:v>
      </x:c>
    </x:row>
    <x:row r="2239" ht="44" customHeight="1">
      <x:c r="A2239" s="2" t="str">
        <x:v>DEU</x:v>
      </x:c>
      <x:c r="B2239" s="2" t="str">
        <x:v>lending_rate</x:v>
      </x:c>
      <x:c r="C2239" s="2"/>
      <x:c r="D2239" s="2"/>
      <x:c r="E2239" s="2" t="str">
        <x:v>Missing</x:v>
      </x:c>
      <x:c r="F2239" s="2" t="str">
        <x:v>Lending interest rate (%)</x:v>
      </x:c>
    </x:row>
    <x:row r="2240" ht="44" customHeight="1">
      <x:c r="A2240" s="2" t="str">
        <x:v>DEU</x:v>
      </x:c>
      <x:c r="B2240" s="2" t="str">
        <x:v>real_interest</x:v>
      </x:c>
      <x:c r="C2240" s="2"/>
      <x:c r="D2240" s="2"/>
      <x:c r="E2240" s="2" t="str">
        <x:v>Missing</x:v>
      </x:c>
      <x:c r="F2240" s="2" t="str">
        <x:v>Real interest rate (%)</x:v>
      </x:c>
    </x:row>
    <x:row r="2241" ht="44" customHeight="1">
      <x:c r="A2241" s="2" t="str">
        <x:v>DEU</x:v>
      </x:c>
      <x:c r="B2241" s="2" t="str">
        <x:v>government_debt</x:v>
      </x:c>
      <x:c r="C2241" s="2"/>
      <x:c r="D2241" s="2"/>
      <x:c r="E2241" s="2" t="str">
        <x:v>Missing</x:v>
      </x:c>
      <x:c r="F2241" s="2" t="str">
        <x:v>Central government debt, total (% of GDP)</x:v>
      </x:c>
    </x:row>
    <x:row r="2242" ht="44" customHeight="1">
      <x:c r="A2242" s="2" t="str">
        <x:v>DEU</x:v>
      </x:c>
      <x:c r="B2242" s="2" t="str">
        <x:v>electricity_access</x:v>
      </x:c>
      <x:c r="C2242" s="2" t="n">
        <x:v>100</x:v>
      </x:c>
      <x:c r="D2242" s="2" t="n">
        <x:v>2024</x:v>
      </x:c>
      <x:c r="E2242" s="2" t="str">
        <x:v>WB_electricity_access</x:v>
      </x:c>
      <x:c r="F2242" s="2" t="str">
        <x:v>Access to electricity (% of population)</x:v>
      </x:c>
    </x:row>
    <x:row r="2243" ht="44" customHeight="1">
      <x:c r="A2243" s="2" t="str">
        <x:v>DEU</x:v>
      </x:c>
      <x:c r="B2243" s="2" t="str">
        <x:v>irrigated_land</x:v>
      </x:c>
      <x:c r="C2243" s="2" t="n">
        <x:v>3.05212413377523</x:v>
      </x:c>
      <x:c r="D2243" s="2" t="n">
        <x:v>2020</x:v>
      </x:c>
      <x:c r="E2243" s="2" t="str">
        <x:v>WB_irrigated_land</x:v>
      </x:c>
      <x:c r="F2243" s="2" t="str">
        <x:v>Agricultural irrigated land (% of total agricultural land)</x:v>
      </x:c>
    </x:row>
    <x:row r="2244" ht="44" customHeight="1">
      <x:c r="A2244" s="2" t="str">
        <x:v>DEU</x:v>
      </x:c>
      <x:c r="B2244" s="2" t="str">
        <x:v>cereal_area</x:v>
      </x:c>
      <x:c r="C2244" s="2" t="n">
        <x:v>6059800</x:v>
      </x:c>
      <x:c r="D2244" s="2" t="n">
        <x:v>2023</x:v>
      </x:c>
      <x:c r="E2244" s="2" t="str">
        <x:v>WB_cereal_area</x:v>
      </x:c>
      <x:c r="F2244" s="2" t="str">
        <x:v>Land under cereal production (hectares)</x:v>
      </x:c>
    </x:row>
    <x:row r="2245" ht="44" customHeight="1">
      <x:c r="A2245" s="2" t="str">
        <x:v>DEU</x:v>
      </x:c>
      <x:c r="B2245" s="2" t="str">
        <x:v>undernourishment</x:v>
      </x:c>
      <x:c r="C2245" s="2" t="n">
        <x:v>2.5</x:v>
      </x:c>
      <x:c r="D2245" s="2" t="n">
        <x:v>2023</x:v>
      </x:c>
      <x:c r="E2245" s="2" t="str">
        <x:v>WB_undernourishment</x:v>
      </x:c>
      <x:c r="F2245" s="2" t="str">
        <x:v>Prevalence of undernourishment (% of population)</x:v>
      </x:c>
    </x:row>
    <x:row r="2246" ht="44" customHeight="1">
      <x:c r="A2246" s="2" t="str">
        <x:v>DEU</x:v>
      </x:c>
      <x:c r="B2246" s="2" t="str">
        <x:v>agriculture_employment</x:v>
      </x:c>
      <x:c r="C2246" s="2" t="n">
        <x:v>1.07104516806735</x:v>
      </x:c>
      <x:c r="D2246" s="2" t="n">
        <x:v>2025</x:v>
      </x:c>
      <x:c r="E2246" s="2" t="str">
        <x:v>WB_agriculture_employment</x:v>
      </x:c>
      <x:c r="F2246" s="2" t="str">
        <x:v>Employment in agriculture (% of total employment) (modeled ILO estimate)</x:v>
      </x:c>
    </x:row>
    <x:row r="2247" ht="44" customHeight="1">
      <x:c r="A2247" s="2" t="str">
        <x:v>DEU</x:v>
      </x:c>
      <x:c r="B2247" s="2" t="str">
        <x:v>water_withdrawal</x:v>
      </x:c>
      <x:c r="C2247" s="2" t="n">
        <x:v>24.1052046728972</x:v>
      </x:c>
      <x:c r="D2247" s="2" t="n">
        <x:v>2022</x:v>
      </x:c>
      <x:c r="E2247" s="2" t="str">
        <x:v>WB_water_withdrawal</x:v>
      </x:c>
      <x:c r="F2247" s="2" t="str">
        <x:v>Annual freshwater withdrawals, total (% of internal resources)</x:v>
      </x:c>
    </x:row>
    <x:row r="2248" ht="44" customHeight="1">
      <x:c r="A2248" s="2" t="str">
        <x:v>GHA</x:v>
      </x:c>
      <x:c r="B2248" s="2" t="str">
        <x:v>population</x:v>
      </x:c>
      <x:c r="C2248" s="2" t="n">
        <x:v>35064272</x:v>
      </x:c>
      <x:c r="D2248" s="2" t="n">
        <x:v>2025</x:v>
      </x:c>
      <x:c r="E2248" s="2" t="str">
        <x:v>WB_population</x:v>
      </x:c>
      <x:c r="F2248" s="2" t="str">
        <x:v>Population, total</x:v>
      </x:c>
    </x:row>
    <x:row r="2249" ht="44" customHeight="1">
      <x:c r="A2249" s="2" t="str">
        <x:v>GHA</x:v>
      </x:c>
      <x:c r="B2249" s="2" t="str">
        <x:v>income_ppp</x:v>
      </x:c>
      <x:c r="C2249" s="2" t="n">
        <x:v>7357.83332993014</x:v>
      </x:c>
      <x:c r="D2249" s="2" t="n">
        <x:v>2025</x:v>
      </x:c>
      <x:c r="E2249" s="2" t="str">
        <x:v>WB_income_ppp</x:v>
      </x:c>
      <x:c r="F2249" s="2" t="str">
        <x:v>GDP per capita, PPP (constant 2021 international $)</x:v>
      </x:c>
    </x:row>
    <x:row r="2250" ht="44" customHeight="1">
      <x:c r="A2250" s="2" t="str">
        <x:v>GHA</x:v>
      </x:c>
      <x:c r="B2250" s="2" t="str">
        <x:v>urban</x:v>
      </x:c>
      <x:c r="C2250" s="2" t="n">
        <x:v>58.9246861473125</x:v>
      </x:c>
      <x:c r="D2250" s="2" t="n">
        <x:v>2025</x:v>
      </x:c>
      <x:c r="E2250" s="2" t="str">
        <x:v>WB_urban</x:v>
      </x:c>
      <x:c r="F2250" s="2" t="str">
        <x:v>Urban population (% of total population)</x:v>
      </x:c>
    </x:row>
    <x:row r="2251" ht="44" customHeight="1">
      <x:c r="A2251" s="2" t="str">
        <x:v>GHA</x:v>
      </x:c>
      <x:c r="B2251" s="2" t="str">
        <x:v>inflation</x:v>
      </x:c>
      <x:c r="C2251" s="2" t="n">
        <x:v>14.2046755548989</x:v>
      </x:c>
      <x:c r="D2251" s="2" t="n">
        <x:v>2025</x:v>
      </x:c>
      <x:c r="E2251" s="2" t="str">
        <x:v>WB_inflation</x:v>
      </x:c>
      <x:c r="F2251" s="2" t="str">
        <x:v>Inflation, consumer prices (annual %)</x:v>
      </x:c>
    </x:row>
    <x:row r="2252" ht="44" customHeight="1">
      <x:c r="A2252" s="2" t="str">
        <x:v>GHA</x:v>
      </x:c>
      <x:c r="B2252" s="2" t="str">
        <x:v>food_index</x:v>
      </x:c>
      <x:c r="C2252" s="2" t="n">
        <x:v>135.5</x:v>
      </x:c>
      <x:c r="D2252" s="2" t="n">
        <x:v>2022</x:v>
      </x:c>
      <x:c r="E2252" s="2" t="str">
        <x:v>WB_food_index</x:v>
      </x:c>
      <x:c r="F2252" s="2" t="str">
        <x:v>Food production index (2014-2016 = 100)</x:v>
      </x:c>
    </x:row>
    <x:row r="2253" ht="44" customHeight="1">
      <x:c r="A2253" s="2" t="str">
        <x:v>GHA</x:v>
      </x:c>
      <x:c r="B2253" s="2" t="str">
        <x:v>food_import_share</x:v>
      </x:c>
      <x:c r="C2253" s="2" t="n">
        <x:v>13.69452189875</x:v>
      </x:c>
      <x:c r="D2253" s="2" t="n">
        <x:v>2023</x:v>
      </x:c>
      <x:c r="E2253" s="2" t="str">
        <x:v>WB_food_import_share</x:v>
      </x:c>
      <x:c r="F2253" s="2" t="str">
        <x:v>Food imports (% of merchandise imports)</x:v>
      </x:c>
    </x:row>
    <x:row r="2254" ht="44" customHeight="1">
      <x:c r="A2254" s="2" t="str">
        <x:v>GHA</x:v>
      </x:c>
      <x:c r="B2254" s="2" t="str">
        <x:v>food_export_share</x:v>
      </x:c>
      <x:c r="C2254" s="2" t="n">
        <x:v>18.0590476821292</x:v>
      </x:c>
      <x:c r="D2254" s="2" t="n">
        <x:v>2023</x:v>
      </x:c>
      <x:c r="E2254" s="2" t="str">
        <x:v>WB_food_export_share</x:v>
      </x:c>
      <x:c r="F2254" s="2" t="str">
        <x:v>Food exports (% of merchandise exports)</x:v>
      </x:c>
    </x:row>
    <x:row r="2255" ht="44" customHeight="1">
      <x:c r="A2255" s="2" t="str">
        <x:v>GHA</x:v>
      </x:c>
      <x:c r="B2255" s="2" t="str">
        <x:v>imports_usd</x:v>
      </x:c>
      <x:c r="C2255" s="2" t="n">
        <x:v>17452000000</x:v>
      </x:c>
      <x:c r="D2255" s="2" t="n">
        <x:v>2025</x:v>
      </x:c>
      <x:c r="E2255" s="2" t="str">
        <x:v>WB_imports_usd</x:v>
      </x:c>
      <x:c r="F2255" s="2" t="str">
        <x:v>Merchandise imports (current US$)</x:v>
      </x:c>
    </x:row>
    <x:row r="2256" ht="44" customHeight="1">
      <x:c r="A2256" s="2" t="str">
        <x:v>GHA</x:v>
      </x:c>
      <x:c r="B2256" s="2" t="str">
        <x:v>exports_usd</x:v>
      </x:c>
      <x:c r="C2256" s="2" t="n">
        <x:v>31107000000</x:v>
      </x:c>
      <x:c r="D2256" s="2" t="n">
        <x:v>2025</x:v>
      </x:c>
      <x:c r="E2256" s="2" t="str">
        <x:v>WB_exports_usd</x:v>
      </x:c>
      <x:c r="F2256" s="2" t="str">
        <x:v>Merchandise exports (current US$)</x:v>
      </x:c>
    </x:row>
    <x:row r="2257" ht="44" customHeight="1">
      <x:c r="A2257" s="2" t="str">
        <x:v>GHA</x:v>
      </x:c>
      <x:c r="B2257" s="2" t="str">
        <x:v>cereal_yield</x:v>
      </x:c>
      <x:c r="C2257" s="2" t="n">
        <x:v>2687.6</x:v>
      </x:c>
      <x:c r="D2257" s="2" t="n">
        <x:v>2023</x:v>
      </x:c>
      <x:c r="E2257" s="2" t="str">
        <x:v>WB_cereal_yield</x:v>
      </x:c>
      <x:c r="F2257" s="2" t="str">
        <x:v>Cereal yield (kg per hectare)</x:v>
      </x:c>
    </x:row>
    <x:row r="2258" ht="44" customHeight="1">
      <x:c r="A2258" s="2" t="str">
        <x:v>GHA</x:v>
      </x:c>
      <x:c r="B2258" s="2" t="str">
        <x:v>water_stress</x:v>
      </x:c>
      <x:c r="C2258" s="2" t="n">
        <x:v>6.314734089</x:v>
      </x:c>
      <x:c r="D2258" s="2" t="n">
        <x:v>2022</x:v>
      </x:c>
      <x:c r="E2258" s="2" t="str">
        <x:v>WB_water_stress</x:v>
      </x:c>
      <x:c r="F2258" s="2" t="str">
        <x:v>Level of water stress: freshwater withdrawal as a proportion of available freshwater resources</x:v>
      </x:c>
    </x:row>
    <x:row r="2259" ht="44" customHeight="1">
      <x:c r="A2259" s="2" t="str">
        <x:v>GHA</x:v>
      </x:c>
      <x:c r="B2259" s="2" t="str">
        <x:v>fertility</x:v>
      </x:c>
      <x:c r="C2259" s="2" t="n">
        <x:v>3.344</x:v>
      </x:c>
      <x:c r="D2259" s="2" t="n">
        <x:v>2024</x:v>
      </x:c>
      <x:c r="E2259" s="2" t="str">
        <x:v>WB_fertility</x:v>
      </x:c>
      <x:c r="F2259" s="2" t="str">
        <x:v>Fertility rate, total (births per woman)</x:v>
      </x:c>
    </x:row>
    <x:row r="2260" ht="44" customHeight="1">
      <x:c r="A2260" s="2" t="str">
        <x:v>GHA</x:v>
      </x:c>
      <x:c r="B2260" s="2" t="str">
        <x:v>life_expectancy</x:v>
      </x:c>
      <x:c r="C2260" s="2" t="n">
        <x:v>65.695</x:v>
      </x:c>
      <x:c r="D2260" s="2" t="n">
        <x:v>2024</x:v>
      </x:c>
      <x:c r="E2260" s="2" t="str">
        <x:v>WB_life_expectancy</x:v>
      </x:c>
      <x:c r="F2260" s="2" t="str">
        <x:v>Life expectancy at birth, total (years)</x:v>
      </x:c>
    </x:row>
    <x:row r="2261" ht="44" customHeight="1">
      <x:c r="A2261" s="2" t="str">
        <x:v>GHA</x:v>
      </x:c>
      <x:c r="B2261" s="2" t="str">
        <x:v>age_under15</x:v>
      </x:c>
      <x:c r="C2261" s="2" t="n">
        <x:v>35.4296770309437</x:v>
      </x:c>
      <x:c r="D2261" s="2" t="n">
        <x:v>2025</x:v>
      </x:c>
      <x:c r="E2261" s="2" t="str">
        <x:v>WB_age_under15</x:v>
      </x:c>
      <x:c r="F2261" s="2" t="str">
        <x:v>Population ages 0-14 (% of total population)</x:v>
      </x:c>
    </x:row>
    <x:row r="2262" ht="44" customHeight="1">
      <x:c r="A2262" s="2" t="str">
        <x:v>GHA</x:v>
      </x:c>
      <x:c r="B2262" s="2" t="str">
        <x:v>age_over65</x:v>
      </x:c>
      <x:c r="C2262" s="2" t="n">
        <x:v>3.78769586621254</x:v>
      </x:c>
      <x:c r="D2262" s="2" t="n">
        <x:v>2025</x:v>
      </x:c>
      <x:c r="E2262" s="2" t="str">
        <x:v>WB_age_over65</x:v>
      </x:c>
      <x:c r="F2262" s="2" t="str">
        <x:v>Population ages 65 and above (% of total population)</x:v>
      </x:c>
    </x:row>
    <x:row r="2263" ht="44" customHeight="1">
      <x:c r="A2263" s="2" t="str">
        <x:v>GHA</x:v>
      </x:c>
      <x:c r="B2263" s="2" t="str">
        <x:v>dependency_ratio</x:v>
      </x:c>
      <x:c r="C2263" s="2" t="n">
        <x:v>64.5206917510292</x:v>
      </x:c>
      <x:c r="D2263" s="2" t="n">
        <x:v>2025</x:v>
      </x:c>
      <x:c r="E2263" s="2" t="str">
        <x:v>WB_dependency_ratio</x:v>
      </x:c>
      <x:c r="F2263" s="2" t="str">
        <x:v>Age dependency ratio (% of working-age population)</x:v>
      </x:c>
    </x:row>
    <x:row r="2264" ht="44" customHeight="1">
      <x:c r="A2264" s="2" t="str">
        <x:v>GHA</x:v>
      </x:c>
      <x:c r="B2264" s="2" t="str">
        <x:v>net_migration</x:v>
      </x:c>
      <x:c r="C2264" s="2" t="n">
        <x:v>-17079</x:v>
      </x:c>
      <x:c r="D2264" s="2" t="n">
        <x:v>2025</x:v>
      </x:c>
      <x:c r="E2264" s="2" t="str">
        <x:v>WB_net_migration</x:v>
      </x:c>
      <x:c r="F2264" s="2" t="str">
        <x:v>Net migration</x:v>
      </x:c>
    </x:row>
    <x:row r="2265" ht="44" customHeight="1">
      <x:c r="A2265" s="2" t="str">
        <x:v>GHA</x:v>
      </x:c>
      <x:c r="B2265" s="2" t="str">
        <x:v>real_gdp</x:v>
      </x:c>
      <x:c r="C2265" s="2" t="n">
        <x:v>79265436278.5707</x:v>
      </x:c>
      <x:c r="D2265" s="2" t="n">
        <x:v>2025</x:v>
      </x:c>
      <x:c r="E2265" s="2" t="str">
        <x:v>WB_real_gdp</x:v>
      </x:c>
      <x:c r="F2265" s="2" t="str">
        <x:v>GDP (constant 2015 US$)</x:v>
      </x:c>
    </x:row>
    <x:row r="2266" ht="44" customHeight="1">
      <x:c r="A2266" s="2" t="str">
        <x:v>GHA</x:v>
      </x:c>
      <x:c r="B2266" s="2" t="str">
        <x:v>gdp_growth</x:v>
      </x:c>
      <x:c r="C2266" s="2" t="n">
        <x:v>5.95441714756899</x:v>
      </x:c>
      <x:c r="D2266" s="2" t="n">
        <x:v>2025</x:v>
      </x:c>
      <x:c r="E2266" s="2" t="str">
        <x:v>WB_gdp_growth</x:v>
      </x:c>
      <x:c r="F2266" s="2" t="str">
        <x:v>GDP growth (annual %)</x:v>
      </x:c>
    </x:row>
    <x:row r="2267" ht="44" customHeight="1">
      <x:c r="A2267" s="2" t="str">
        <x:v>GHA</x:v>
      </x:c>
      <x:c r="B2267" s="2" t="str">
        <x:v>real_income</x:v>
      </x:c>
      <x:c r="C2267" s="2" t="n">
        <x:v>2260.57555903544</x:v>
      </x:c>
      <x:c r="D2267" s="2" t="n">
        <x:v>2025</x:v>
      </x:c>
      <x:c r="E2267" s="2" t="str">
        <x:v>WB_real_income</x:v>
      </x:c>
      <x:c r="F2267" s="2" t="str">
        <x:v>GDP per capita (constant 2015 US$)</x:v>
      </x:c>
    </x:row>
    <x:row r="2268" ht="44" customHeight="1">
      <x:c r="A2268" s="2" t="str">
        <x:v>GHA</x:v>
      </x:c>
      <x:c r="B2268" s="2" t="str">
        <x:v>agriculture_gdp</x:v>
      </x:c>
      <x:c r="C2268" s="2" t="n">
        <x:v>21.2758634417128</x:v>
      </x:c>
      <x:c r="D2268" s="2" t="n">
        <x:v>2025</x:v>
      </x:c>
      <x:c r="E2268" s="2" t="str">
        <x:v>WB_agriculture_gdp</x:v>
      </x:c>
      <x:c r="F2268" s="2" t="str">
        <x:v>Agriculture, forestry, and fishing, value added (% of GDP)</x:v>
      </x:c>
    </x:row>
    <x:row r="2269" ht="44" customHeight="1">
      <x:c r="A2269" s="2" t="str">
        <x:v>GHA</x:v>
      </x:c>
      <x:c r="B2269" s="2" t="str">
        <x:v>poverty</x:v>
      </x:c>
      <x:c r="C2269" s="2" t="n">
        <x:v>39</x:v>
      </x:c>
      <x:c r="D2269" s="2" t="n">
        <x:v>2016</x:v>
      </x:c>
      <x:c r="E2269" s="2" t="str">
        <x:v>WB_poverty</x:v>
      </x:c>
      <x:c r="F2269" s="2" t="str">
        <x:v>Poverty headcount ratio at $3.00 a day (2021 PPP) (% of population)</x:v>
      </x:c>
    </x:row>
    <x:row r="2270" ht="44" customHeight="1">
      <x:c r="A2270" s="2" t="str">
        <x:v>GHA</x:v>
      </x:c>
      <x:c r="B2270" s="2" t="str">
        <x:v>gini</x:v>
      </x:c>
      <x:c r="C2270" s="2" t="n">
        <x:v>43.5</x:v>
      </x:c>
      <x:c r="D2270" s="2" t="n">
        <x:v>2016</x:v>
      </x:c>
      <x:c r="E2270" s="2" t="str">
        <x:v>WB_gini</x:v>
      </x:c>
      <x:c r="F2270" s="2" t="str">
        <x:v>Gini index</x:v>
      </x:c>
    </x:row>
    <x:row r="2271" ht="44" customHeight="1">
      <x:c r="A2271" s="2" t="str">
        <x:v>GHA</x:v>
      </x:c>
      <x:c r="B2271" s="2" t="str">
        <x:v>unemployment</x:v>
      </x:c>
      <x:c r="C2271" s="2" t="n">
        <x:v>2.979</x:v>
      </x:c>
      <x:c r="D2271" s="2" t="n">
        <x:v>2025</x:v>
      </x:c>
      <x:c r="E2271" s="2" t="str">
        <x:v>WB_unemployment</x:v>
      </x:c>
      <x:c r="F2271" s="2" t="str">
        <x:v>Unemployment, total (% of total labor force) (modeled ILO estimate)</x:v>
      </x:c>
    </x:row>
    <x:row r="2272" ht="44" customHeight="1">
      <x:c r="A2272" s="2" t="str">
        <x:v>GHA</x:v>
      </x:c>
      <x:c r="B2272" s="2" t="str">
        <x:v>private_credit</x:v>
      </x:c>
      <x:c r="C2272" s="2" t="n">
        <x:v>8.92435396216065</x:v>
      </x:c>
      <x:c r="D2272" s="2" t="n">
        <x:v>2024</x:v>
      </x:c>
      <x:c r="E2272" s="2" t="str">
        <x:v>WB_private_credit</x:v>
      </x:c>
      <x:c r="F2272" s="2" t="str">
        <x:v>Domestic credit to private sector (% of GDP)</x:v>
      </x:c>
    </x:row>
    <x:row r="2273" ht="44" customHeight="1">
      <x:c r="A2273" s="2" t="str">
        <x:v>GHA</x:v>
      </x:c>
      <x:c r="B2273" s="2" t="str">
        <x:v>lending_rate</x:v>
      </x:c>
      <x:c r="C2273" s="2"/>
      <x:c r="D2273" s="2"/>
      <x:c r="E2273" s="2" t="str">
        <x:v>Missing</x:v>
      </x:c>
      <x:c r="F2273" s="2" t="str">
        <x:v>Lending interest rate (%)</x:v>
      </x:c>
    </x:row>
    <x:row r="2274" ht="44" customHeight="1">
      <x:c r="A2274" s="2" t="str">
        <x:v>GHA</x:v>
      </x:c>
      <x:c r="B2274" s="2" t="str">
        <x:v>real_interest</x:v>
      </x:c>
      <x:c r="C2274" s="2"/>
      <x:c r="D2274" s="2"/>
      <x:c r="E2274" s="2" t="str">
        <x:v>Missing</x:v>
      </x:c>
      <x:c r="F2274" s="2" t="str">
        <x:v>Real interest rate (%)</x:v>
      </x:c>
    </x:row>
    <x:row r="2275" ht="44" customHeight="1">
      <x:c r="A2275" s="2" t="str">
        <x:v>GHA</x:v>
      </x:c>
      <x:c r="B2275" s="2" t="str">
        <x:v>government_debt</x:v>
      </x:c>
      <x:c r="C2275" s="2"/>
      <x:c r="D2275" s="2"/>
      <x:c r="E2275" s="2" t="str">
        <x:v>Missing</x:v>
      </x:c>
      <x:c r="F2275" s="2" t="str">
        <x:v>Central government debt, total (% of GDP)</x:v>
      </x:c>
    </x:row>
    <x:row r="2276" ht="44" customHeight="1">
      <x:c r="A2276" s="2" t="str">
        <x:v>GHA</x:v>
      </x:c>
      <x:c r="B2276" s="2" t="str">
        <x:v>electricity_access</x:v>
      </x:c>
      <x:c r="C2276" s="2" t="n">
        <x:v>91.9</x:v>
      </x:c>
      <x:c r="D2276" s="2" t="n">
        <x:v>2024</x:v>
      </x:c>
      <x:c r="E2276" s="2" t="str">
        <x:v>WB_electricity_access</x:v>
      </x:c>
      <x:c r="F2276" s="2" t="str">
        <x:v>Access to electricity (% of population)</x:v>
      </x:c>
    </x:row>
    <x:row r="2277" ht="44" customHeight="1">
      <x:c r="A2277" s="2" t="str">
        <x:v>GHA</x:v>
      </x:c>
      <x:c r="B2277" s="2" t="str">
        <x:v>irrigated_land</x:v>
      </x:c>
      <x:c r="C2277" s="2" t="n">
        <x:v>0.29091720602986</x:v>
      </x:c>
      <x:c r="D2277" s="2" t="n">
        <x:v>2014</x:v>
      </x:c>
      <x:c r="E2277" s="2" t="str">
        <x:v>WB_irrigated_land</x:v>
      </x:c>
      <x:c r="F2277" s="2" t="str">
        <x:v>Agricultural irrigated land (% of total agricultural land)</x:v>
      </x:c>
    </x:row>
    <x:row r="2278" ht="44" customHeight="1">
      <x:c r="A2278" s="2" t="str">
        <x:v>GHA</x:v>
      </x:c>
      <x:c r="B2278" s="2" t="str">
        <x:v>cereal_area</x:v>
      </x:c>
      <x:c r="C2278" s="2" t="n">
        <x:v>2145055</x:v>
      </x:c>
      <x:c r="D2278" s="2" t="n">
        <x:v>2023</x:v>
      </x:c>
      <x:c r="E2278" s="2" t="str">
        <x:v>WB_cereal_area</x:v>
      </x:c>
      <x:c r="F2278" s="2" t="str">
        <x:v>Land under cereal production (hectares)</x:v>
      </x:c>
    </x:row>
    <x:row r="2279" ht="44" customHeight="1">
      <x:c r="A2279" s="2" t="str">
        <x:v>GHA</x:v>
      </x:c>
      <x:c r="B2279" s="2" t="str">
        <x:v>undernourishment</x:v>
      </x:c>
      <x:c r="C2279" s="2" t="n">
        <x:v>6.3</x:v>
      </x:c>
      <x:c r="D2279" s="2" t="n">
        <x:v>2023</x:v>
      </x:c>
      <x:c r="E2279" s="2" t="str">
        <x:v>WB_undernourishment</x:v>
      </x:c>
      <x:c r="F2279" s="2" t="str">
        <x:v>Prevalence of undernourishment (% of population)</x:v>
      </x:c>
    </x:row>
    <x:row r="2280" ht="44" customHeight="1">
      <x:c r="A2280" s="2" t="str">
        <x:v>GHA</x:v>
      </x:c>
      <x:c r="B2280" s="2" t="str">
        <x:v>agriculture_employment</x:v>
      </x:c>
      <x:c r="C2280" s="2" t="n">
        <x:v>34.5735834374172</x:v>
      </x:c>
      <x:c r="D2280" s="2" t="n">
        <x:v>2025</x:v>
      </x:c>
      <x:c r="E2280" s="2" t="str">
        <x:v>WB_agriculture_employment</x:v>
      </x:c>
      <x:c r="F2280" s="2" t="str">
        <x:v>Employment in agriculture (% of total employment) (modeled ILO estimate)</x:v>
      </x:c>
    </x:row>
    <x:row r="2281" ht="44" customHeight="1">
      <x:c r="A2281" s="2" t="str">
        <x:v>GHA</x:v>
      </x:c>
      <x:c r="B2281" s="2" t="str">
        <x:v>water_withdrawal</x:v>
      </x:c>
      <x:c r="C2281" s="2" t="n">
        <x:v>4.78085808580858</x:v>
      </x:c>
      <x:c r="D2281" s="2" t="n">
        <x:v>2022</x:v>
      </x:c>
      <x:c r="E2281" s="2" t="str">
        <x:v>WB_water_withdrawal</x:v>
      </x:c>
      <x:c r="F2281" s="2" t="str">
        <x:v>Annual freshwater withdrawals, total (% of internal resources)</x:v>
      </x:c>
    </x:row>
    <x:row r="2282" ht="44" customHeight="1">
      <x:c r="A2282" s="2" t="str">
        <x:v>GRC</x:v>
      </x:c>
      <x:c r="B2282" s="2" t="str">
        <x:v>population</x:v>
      </x:c>
      <x:c r="C2282" s="2" t="n">
        <x:v>10413962</x:v>
      </x:c>
      <x:c r="D2282" s="2" t="n">
        <x:v>2025</x:v>
      </x:c>
      <x:c r="E2282" s="2" t="str">
        <x:v>WB_population</x:v>
      </x:c>
      <x:c r="F2282" s="2" t="str">
        <x:v>Population, total</x:v>
      </x:c>
    </x:row>
    <x:row r="2283" ht="44" customHeight="1">
      <x:c r="A2283" s="2" t="str">
        <x:v>GRC</x:v>
      </x:c>
      <x:c r="B2283" s="2" t="str">
        <x:v>income_ppp</x:v>
      </x:c>
      <x:c r="C2283" s="2" t="n">
        <x:v>38218.721628616</x:v>
      </x:c>
      <x:c r="D2283" s="2" t="n">
        <x:v>2025</x:v>
      </x:c>
      <x:c r="E2283" s="2" t="str">
        <x:v>WB_income_ppp</x:v>
      </x:c>
      <x:c r="F2283" s="2" t="str">
        <x:v>GDP per capita, PPP (constant 2021 international $)</x:v>
      </x:c>
    </x:row>
    <x:row r="2284" ht="44" customHeight="1">
      <x:c r="A2284" s="2" t="str">
        <x:v>GRC</x:v>
      </x:c>
      <x:c r="B2284" s="2" t="str">
        <x:v>urban</x:v>
      </x:c>
      <x:c r="C2284" s="2" t="n">
        <x:v>79.2246082848537</x:v>
      </x:c>
      <x:c r="D2284" s="2" t="n">
        <x:v>2025</x:v>
      </x:c>
      <x:c r="E2284" s="2" t="str">
        <x:v>WB_urban</x:v>
      </x:c>
      <x:c r="F2284" s="2" t="str">
        <x:v>Urban population (% of total population)</x:v>
      </x:c>
    </x:row>
    <x:row r="2285" ht="44" customHeight="1">
      <x:c r="A2285" s="2" t="str">
        <x:v>GRC</x:v>
      </x:c>
      <x:c r="B2285" s="2" t="str">
        <x:v>inflation</x:v>
      </x:c>
      <x:c r="C2285" s="2" t="n">
        <x:v>2.48209745378857</x:v>
      </x:c>
      <x:c r="D2285" s="2" t="n">
        <x:v>2025</x:v>
      </x:c>
      <x:c r="E2285" s="2" t="str">
        <x:v>WB_inflation</x:v>
      </x:c>
      <x:c r="F2285" s="2" t="str">
        <x:v>Inflation, consumer prices (annual %)</x:v>
      </x:c>
    </x:row>
    <x:row r="2286" ht="44" customHeight="1">
      <x:c r="A2286" s="2" t="str">
        <x:v>GRC</x:v>
      </x:c>
      <x:c r="B2286" s="2" t="str">
        <x:v>food_index</x:v>
      </x:c>
      <x:c r="C2286" s="2" t="n">
        <x:v>102.76</x:v>
      </x:c>
      <x:c r="D2286" s="2" t="n">
        <x:v>2022</x:v>
      </x:c>
      <x:c r="E2286" s="2" t="str">
        <x:v>WB_food_index</x:v>
      </x:c>
      <x:c r="F2286" s="2" t="str">
        <x:v>Food production index (2014-2016 = 100)</x:v>
      </x:c>
    </x:row>
    <x:row r="2287" ht="44" customHeight="1">
      <x:c r="A2287" s="2" t="str">
        <x:v>GRC</x:v>
      </x:c>
      <x:c r="B2287" s="2" t="str">
        <x:v>food_import_share</x:v>
      </x:c>
      <x:c r="C2287" s="2" t="n">
        <x:v>13.0629048864452</x:v>
      </x:c>
      <x:c r="D2287" s="2" t="n">
        <x:v>2024</x:v>
      </x:c>
      <x:c r="E2287" s="2" t="str">
        <x:v>WB_food_import_share</x:v>
      </x:c>
      <x:c r="F2287" s="2" t="str">
        <x:v>Food imports (% of merchandise imports)</x:v>
      </x:c>
    </x:row>
    <x:row r="2288" ht="44" customHeight="1">
      <x:c r="A2288" s="2" t="str">
        <x:v>GRC</x:v>
      </x:c>
      <x:c r="B2288" s="2" t="str">
        <x:v>food_export_share</x:v>
      </x:c>
      <x:c r="C2288" s="2" t="n">
        <x:v>21.6980865017661</x:v>
      </x:c>
      <x:c r="D2288" s="2" t="n">
        <x:v>2024</x:v>
      </x:c>
      <x:c r="E2288" s="2" t="str">
        <x:v>WB_food_export_share</x:v>
      </x:c>
      <x:c r="F2288" s="2" t="str">
        <x:v>Food exports (% of merchandise exports)</x:v>
      </x:c>
    </x:row>
    <x:row r="2289" ht="44" customHeight="1">
      <x:c r="A2289" s="2" t="str">
        <x:v>GRC</x:v>
      </x:c>
      <x:c r="B2289" s="2" t="str">
        <x:v>imports_usd</x:v>
      </x:c>
      <x:c r="C2289" s="2" t="n">
        <x:v>92565000000</x:v>
      </x:c>
      <x:c r="D2289" s="2" t="n">
        <x:v>2025</x:v>
      </x:c>
      <x:c r="E2289" s="2" t="str">
        <x:v>WB_imports_usd</x:v>
      </x:c>
      <x:c r="F2289" s="2" t="str">
        <x:v>Merchandise imports (current US$)</x:v>
      </x:c>
    </x:row>
    <x:row r="2290" ht="44" customHeight="1">
      <x:c r="A2290" s="2" t="str">
        <x:v>GRC</x:v>
      </x:c>
      <x:c r="B2290" s="2" t="str">
        <x:v>exports_usd</x:v>
      </x:c>
      <x:c r="C2290" s="2" t="n">
        <x:v>54767000000</x:v>
      </x:c>
      <x:c r="D2290" s="2" t="n">
        <x:v>2025</x:v>
      </x:c>
      <x:c r="E2290" s="2" t="str">
        <x:v>WB_exports_usd</x:v>
      </x:c>
      <x:c r="F2290" s="2" t="str">
        <x:v>Merchandise exports (current US$)</x:v>
      </x:c>
    </x:row>
    <x:row r="2291" ht="44" customHeight="1">
      <x:c r="A2291" s="2" t="str">
        <x:v>GRC</x:v>
      </x:c>
      <x:c r="B2291" s="2" t="str">
        <x:v>cereal_yield</x:v>
      </x:c>
      <x:c r="C2291" s="2" t="n">
        <x:v>4052.9</x:v>
      </x:c>
      <x:c r="D2291" s="2" t="n">
        <x:v>2024</x:v>
      </x:c>
      <x:c r="E2291" s="2" t="str">
        <x:v>WB_cereal_yield</x:v>
      </x:c>
      <x:c r="F2291" s="2" t="str">
        <x:v>Cereal yield (kg per hectare)</x:v>
      </x:c>
    </x:row>
    <x:row r="2292" ht="44" customHeight="1">
      <x:c r="A2292" s="2" t="str">
        <x:v>GRC</x:v>
      </x:c>
      <x:c r="B2292" s="2" t="str">
        <x:v>water_stress</x:v>
      </x:c>
      <x:c r="C2292" s="2" t="n">
        <x:v>20.32571313</x:v>
      </x:c>
      <x:c r="D2292" s="2" t="n">
        <x:v>2022</x:v>
      </x:c>
      <x:c r="E2292" s="2" t="str">
        <x:v>WB_water_stress</x:v>
      </x:c>
      <x:c r="F2292" s="2" t="str">
        <x:v>Level of water stress: freshwater withdrawal as a proportion of available freshwater resources</x:v>
      </x:c>
    </x:row>
    <x:row r="2293" ht="44" customHeight="1">
      <x:c r="A2293" s="2" t="str">
        <x:v>GRC</x:v>
      </x:c>
      <x:c r="B2293" s="2" t="str">
        <x:v>fertility</x:v>
      </x:c>
      <x:c r="C2293" s="2" t="n">
        <x:v>1.24</x:v>
      </x:c>
      <x:c r="D2293" s="2" t="n">
        <x:v>2024</x:v>
      </x:c>
      <x:c r="E2293" s="2" t="str">
        <x:v>WB_fertility</x:v>
      </x:c>
      <x:c r="F2293" s="2" t="str">
        <x:v>Fertility rate, total (births per woman)</x:v>
      </x:c>
    </x:row>
    <x:row r="2294" ht="44" customHeight="1">
      <x:c r="A2294" s="2" t="str">
        <x:v>GRC</x:v>
      </x:c>
      <x:c r="B2294" s="2" t="str">
        <x:v>life_expectancy</x:v>
      </x:c>
      <x:c r="C2294" s="2" t="n">
        <x:v>81.8390243902439</x:v>
      </x:c>
      <x:c r="D2294" s="2" t="n">
        <x:v>2024</x:v>
      </x:c>
      <x:c r="E2294" s="2" t="str">
        <x:v>WB_life_expectancy</x:v>
      </x:c>
      <x:c r="F2294" s="2" t="str">
        <x:v>Life expectancy at birth, total (years)</x:v>
      </x:c>
    </x:row>
    <x:row r="2295" ht="44" customHeight="1">
      <x:c r="A2295" s="2" t="str">
        <x:v>GRC</x:v>
      </x:c>
      <x:c r="B2295" s="2" t="str">
        <x:v>age_under15</x:v>
      </x:c>
      <x:c r="C2295" s="2" t="n">
        <x:v>12.8514587384882</x:v>
      </x:c>
      <x:c r="D2295" s="2" t="n">
        <x:v>2025</x:v>
      </x:c>
      <x:c r="E2295" s="2" t="str">
        <x:v>WB_age_under15</x:v>
      </x:c>
      <x:c r="F2295" s="2" t="str">
        <x:v>Population ages 0-14 (% of total population)</x:v>
      </x:c>
    </x:row>
    <x:row r="2296" ht="44" customHeight="1">
      <x:c r="A2296" s="2" t="str">
        <x:v>GRC</x:v>
      </x:c>
      <x:c r="B2296" s="2" t="str">
        <x:v>age_over65</x:v>
      </x:c>
      <x:c r="C2296" s="2" t="n">
        <x:v>24.3998585549859</x:v>
      </x:c>
      <x:c r="D2296" s="2" t="n">
        <x:v>2025</x:v>
      </x:c>
      <x:c r="E2296" s="2" t="str">
        <x:v>WB_age_over65</x:v>
      </x:c>
      <x:c r="F2296" s="2" t="str">
        <x:v>Population ages 65 and above (% of total population)</x:v>
      </x:c>
    </x:row>
    <x:row r="2297" ht="44" customHeight="1">
      <x:c r="A2297" s="2" t="str">
        <x:v>GRC</x:v>
      </x:c>
      <x:c r="B2297" s="2" t="str">
        <x:v>dependency_ratio</x:v>
      </x:c>
      <x:c r="C2297" s="2" t="n">
        <x:v>59.3658946559129</x:v>
      </x:c>
      <x:c r="D2297" s="2" t="n">
        <x:v>2025</x:v>
      </x:c>
      <x:c r="E2297" s="2" t="str">
        <x:v>WB_dependency_ratio</x:v>
      </x:c>
      <x:c r="F2297" s="2" t="str">
        <x:v>Age dependency ratio (% of working-age population)</x:v>
      </x:c>
    </x:row>
    <x:row r="2298" ht="44" customHeight="1">
      <x:c r="A2298" s="2" t="str">
        <x:v>GRC</x:v>
      </x:c>
      <x:c r="B2298" s="2" t="str">
        <x:v>net_migration</x:v>
      </x:c>
      <x:c r="C2298" s="2" t="n">
        <x:v>16636</x:v>
      </x:c>
      <x:c r="D2298" s="2" t="n">
        <x:v>2025</x:v>
      </x:c>
      <x:c r="E2298" s="2" t="str">
        <x:v>WB_net_migration</x:v>
      </x:c>
      <x:c r="F2298" s="2" t="str">
        <x:v>Net migration</x:v>
      </x:c>
    </x:row>
    <x:row r="2299" ht="44" customHeight="1">
      <x:c r="A2299" s="2" t="str">
        <x:v>GRC</x:v>
      </x:c>
      <x:c r="B2299" s="2" t="str">
        <x:v>real_gdp</x:v>
      </x:c>
      <x:c r="C2299" s="2" t="n">
        <x:v>228291607840.839</x:v>
      </x:c>
      <x:c r="D2299" s="2" t="n">
        <x:v>2025</x:v>
      </x:c>
      <x:c r="E2299" s="2" t="str">
        <x:v>WB_real_gdp</x:v>
      </x:c>
      <x:c r="F2299" s="2" t="str">
        <x:v>GDP (constant 2015 US$)</x:v>
      </x:c>
    </x:row>
    <x:row r="2300" ht="44" customHeight="1">
      <x:c r="A2300" s="2" t="str">
        <x:v>GRC</x:v>
      </x:c>
      <x:c r="B2300" s="2" t="str">
        <x:v>gdp_growth</x:v>
      </x:c>
      <x:c r="C2300" s="2" t="n">
        <x:v>2.07306882481713</x:v>
      </x:c>
      <x:c r="D2300" s="2" t="n">
        <x:v>2025</x:v>
      </x:c>
      <x:c r="E2300" s="2" t="str">
        <x:v>WB_gdp_growth</x:v>
      </x:c>
      <x:c r="F2300" s="2" t="str">
        <x:v>GDP growth (annual %)</x:v>
      </x:c>
    </x:row>
    <x:row r="2301" ht="44" customHeight="1">
      <x:c r="A2301" s="2" t="str">
        <x:v>GRC</x:v>
      </x:c>
      <x:c r="B2301" s="2" t="str">
        <x:v>real_income</x:v>
      </x:c>
      <x:c r="C2301" s="2" t="n">
        <x:v>21921.6862747184</x:v>
      </x:c>
      <x:c r="D2301" s="2" t="n">
        <x:v>2025</x:v>
      </x:c>
      <x:c r="E2301" s="2" t="str">
        <x:v>WB_real_income</x:v>
      </x:c>
      <x:c r="F2301" s="2" t="str">
        <x:v>GDP per capita (constant 2015 US$)</x:v>
      </x:c>
    </x:row>
    <x:row r="2302" ht="44" customHeight="1">
      <x:c r="A2302" s="2" t="str">
        <x:v>GRC</x:v>
      </x:c>
      <x:c r="B2302" s="2" t="str">
        <x:v>agriculture_gdp</x:v>
      </x:c>
      <x:c r="C2302" s="2" t="n">
        <x:v>3.5703052168837</x:v>
      </x:c>
      <x:c r="D2302" s="2" t="n">
        <x:v>2025</x:v>
      </x:c>
      <x:c r="E2302" s="2" t="str">
        <x:v>WB_agriculture_gdp</x:v>
      </x:c>
      <x:c r="F2302" s="2" t="str">
        <x:v>Agriculture, forestry, and fishing, value added (% of GDP)</x:v>
      </x:c>
    </x:row>
    <x:row r="2303" ht="44" customHeight="1">
      <x:c r="A2303" s="2" t="str">
        <x:v>GRC</x:v>
      </x:c>
      <x:c r="B2303" s="2" t="str">
        <x:v>poverty</x:v>
      </x:c>
      <x:c r="C2303" s="2" t="n">
        <x:v>0.6</x:v>
      </x:c>
      <x:c r="D2303" s="2" t="n">
        <x:v>2023</x:v>
      </x:c>
      <x:c r="E2303" s="2" t="str">
        <x:v>WB_poverty</x:v>
      </x:c>
      <x:c r="F2303" s="2" t="str">
        <x:v>Poverty headcount ratio at $3.00 a day (2021 PPP) (% of population)</x:v>
      </x:c>
    </x:row>
    <x:row r="2304" ht="44" customHeight="1">
      <x:c r="A2304" s="2" t="str">
        <x:v>GRC</x:v>
      </x:c>
      <x:c r="B2304" s="2" t="str">
        <x:v>gini</x:v>
      </x:c>
      <x:c r="C2304" s="2" t="n">
        <x:v>33.4</x:v>
      </x:c>
      <x:c r="D2304" s="2" t="n">
        <x:v>2023</x:v>
      </x:c>
      <x:c r="E2304" s="2" t="str">
        <x:v>WB_gini</x:v>
      </x:c>
      <x:c r="F2304" s="2" t="str">
        <x:v>Gini index</x:v>
      </x:c>
    </x:row>
    <x:row r="2305" ht="44" customHeight="1">
      <x:c r="A2305" s="2" t="str">
        <x:v>GRC</x:v>
      </x:c>
      <x:c r="B2305" s="2" t="str">
        <x:v>unemployment</x:v>
      </x:c>
      <x:c r="C2305" s="2" t="n">
        <x:v>8.54</x:v>
      </x:c>
      <x:c r="D2305" s="2" t="n">
        <x:v>2025</x:v>
      </x:c>
      <x:c r="E2305" s="2" t="str">
        <x:v>WB_unemployment</x:v>
      </x:c>
      <x:c r="F2305" s="2" t="str">
        <x:v>Unemployment, total (% of total labor force) (modeled ILO estimate)</x:v>
      </x:c>
    </x:row>
    <x:row r="2306" ht="44" customHeight="1">
      <x:c r="A2306" s="2" t="str">
        <x:v>GRC</x:v>
      </x:c>
      <x:c r="B2306" s="2" t="str">
        <x:v>private_credit</x:v>
      </x:c>
      <x:c r="C2306" s="2" t="n">
        <x:v>48.5410004453358</x:v>
      </x:c>
      <x:c r="D2306" s="2" t="n">
        <x:v>2024</x:v>
      </x:c>
      <x:c r="E2306" s="2" t="str">
        <x:v>WB_private_credit</x:v>
      </x:c>
      <x:c r="F2306" s="2" t="str">
        <x:v>Domestic credit to private sector (% of GDP)</x:v>
      </x:c>
    </x:row>
    <x:row r="2307" ht="44" customHeight="1">
      <x:c r="A2307" s="2" t="str">
        <x:v>GRC</x:v>
      </x:c>
      <x:c r="B2307" s="2" t="str">
        <x:v>lending_rate</x:v>
      </x:c>
      <x:c r="C2307" s="2"/>
      <x:c r="D2307" s="2"/>
      <x:c r="E2307" s="2" t="str">
        <x:v>Missing</x:v>
      </x:c>
      <x:c r="F2307" s="2" t="str">
        <x:v>Lending interest rate (%)</x:v>
      </x:c>
    </x:row>
    <x:row r="2308" ht="44" customHeight="1">
      <x:c r="A2308" s="2" t="str">
        <x:v>GRC</x:v>
      </x:c>
      <x:c r="B2308" s="2" t="str">
        <x:v>real_interest</x:v>
      </x:c>
      <x:c r="C2308" s="2"/>
      <x:c r="D2308" s="2"/>
      <x:c r="E2308" s="2" t="str">
        <x:v>Missing</x:v>
      </x:c>
      <x:c r="F2308" s="2" t="str">
        <x:v>Real interest rate (%)</x:v>
      </x:c>
    </x:row>
    <x:row r="2309" ht="44" customHeight="1">
      <x:c r="A2309" s="2" t="str">
        <x:v>GRC</x:v>
      </x:c>
      <x:c r="B2309" s="2" t="str">
        <x:v>government_debt</x:v>
      </x:c>
      <x:c r="C2309" s="2"/>
      <x:c r="D2309" s="2"/>
      <x:c r="E2309" s="2" t="str">
        <x:v>Missing</x:v>
      </x:c>
      <x:c r="F2309" s="2" t="str">
        <x:v>Central government debt, total (% of GDP)</x:v>
      </x:c>
    </x:row>
    <x:row r="2310" ht="44" customHeight="1">
      <x:c r="A2310" s="2" t="str">
        <x:v>GRC</x:v>
      </x:c>
      <x:c r="B2310" s="2" t="str">
        <x:v>electricity_access</x:v>
      </x:c>
      <x:c r="C2310" s="2" t="n">
        <x:v>100</x:v>
      </x:c>
      <x:c r="D2310" s="2" t="n">
        <x:v>2024</x:v>
      </x:c>
      <x:c r="E2310" s="2" t="str">
        <x:v>WB_electricity_access</x:v>
      </x:c>
      <x:c r="F2310" s="2" t="str">
        <x:v>Access to electricity (% of population)</x:v>
      </x:c>
    </x:row>
    <x:row r="2311" ht="44" customHeight="1">
      <x:c r="A2311" s="2" t="str">
        <x:v>GRC</x:v>
      </x:c>
      <x:c r="B2311" s="2" t="str">
        <x:v>irrigated_land</x:v>
      </x:c>
      <x:c r="C2311" s="2" t="n">
        <x:v>22.2555563495847</x:v>
      </x:c>
      <x:c r="D2311" s="2" t="n">
        <x:v>2023</x:v>
      </x:c>
      <x:c r="E2311" s="2" t="str">
        <x:v>WB_irrigated_land</x:v>
      </x:c>
      <x:c r="F2311" s="2" t="str">
        <x:v>Agricultural irrigated land (% of total agricultural land)</x:v>
      </x:c>
    </x:row>
    <x:row r="2312" ht="44" customHeight="1">
      <x:c r="A2312" s="2" t="str">
        <x:v>GRC</x:v>
      </x:c>
      <x:c r="B2312" s="2" t="str">
        <x:v>cereal_area</x:v>
      </x:c>
      <x:c r="C2312" s="2" t="n">
        <x:v>709120</x:v>
      </x:c>
      <x:c r="D2312" s="2" t="n">
        <x:v>2024</x:v>
      </x:c>
      <x:c r="E2312" s="2" t="str">
        <x:v>WB_cereal_area</x:v>
      </x:c>
      <x:c r="F2312" s="2" t="str">
        <x:v>Land under cereal production (hectares)</x:v>
      </x:c>
    </x:row>
    <x:row r="2313" ht="44" customHeight="1">
      <x:c r="A2313" s="2" t="str">
        <x:v>GRC</x:v>
      </x:c>
      <x:c r="B2313" s="2" t="str">
        <x:v>undernourishment</x:v>
      </x:c>
      <x:c r="C2313" s="2" t="n">
        <x:v>2.5</x:v>
      </x:c>
      <x:c r="D2313" s="2" t="n">
        <x:v>2023</x:v>
      </x:c>
      <x:c r="E2313" s="2" t="str">
        <x:v>WB_undernourishment</x:v>
      </x:c>
      <x:c r="F2313" s="2" t="str">
        <x:v>Prevalence of undernourishment (% of population)</x:v>
      </x:c>
    </x:row>
    <x:row r="2314" ht="44" customHeight="1">
      <x:c r="A2314" s="2" t="str">
        <x:v>GRC</x:v>
      </x:c>
      <x:c r="B2314" s="2" t="str">
        <x:v>agriculture_employment</x:v>
      </x:c>
      <x:c r="C2314" s="2" t="n">
        <x:v>10.6777890345794</x:v>
      </x:c>
      <x:c r="D2314" s="2" t="n">
        <x:v>2025</x:v>
      </x:c>
      <x:c r="E2314" s="2" t="str">
        <x:v>WB_agriculture_employment</x:v>
      </x:c>
      <x:c r="F2314" s="2" t="str">
        <x:v>Employment in agriculture (% of total employment) (modeled ILO estimate)</x:v>
      </x:c>
    </x:row>
    <x:row r="2315" ht="44" customHeight="1">
      <x:c r="A2315" s="2" t="str">
        <x:v>GRC</x:v>
      </x:c>
      <x:c r="B2315" s="2" t="str">
        <x:v>water_withdrawal</x:v>
      </x:c>
      <x:c r="C2315" s="2" t="n">
        <x:v>17.3224137931035</x:v>
      </x:c>
      <x:c r="D2315" s="2" t="n">
        <x:v>2022</x:v>
      </x:c>
      <x:c r="E2315" s="2" t="str">
        <x:v>WB_water_withdrawal</x:v>
      </x:c>
      <x:c r="F2315" s="2" t="str">
        <x:v>Annual freshwater withdrawals, total (% of internal resources)</x:v>
      </x:c>
    </x:row>
    <x:row r="2316" ht="44" customHeight="1">
      <x:c r="A2316" s="2" t="str">
        <x:v>GRD</x:v>
      </x:c>
      <x:c r="B2316" s="2" t="str">
        <x:v>population</x:v>
      </x:c>
      <x:c r="C2316" s="2" t="n">
        <x:v>117303</x:v>
      </x:c>
      <x:c r="D2316" s="2" t="n">
        <x:v>2025</x:v>
      </x:c>
      <x:c r="E2316" s="2" t="str">
        <x:v>WB_population</x:v>
      </x:c>
      <x:c r="F2316" s="2" t="str">
        <x:v>Population, total</x:v>
      </x:c>
    </x:row>
    <x:row r="2317" ht="44" customHeight="1">
      <x:c r="A2317" s="2" t="str">
        <x:v>GRD</x:v>
      </x:c>
      <x:c r="B2317" s="2" t="str">
        <x:v>income_ppp</x:v>
      </x:c>
      <x:c r="C2317" s="2" t="n">
        <x:v>18240.9934237926</x:v>
      </x:c>
      <x:c r="D2317" s="2" t="n">
        <x:v>2025</x:v>
      </x:c>
      <x:c r="E2317" s="2" t="str">
        <x:v>WB_income_ppp</x:v>
      </x:c>
      <x:c r="F2317" s="2" t="str">
        <x:v>GDP per capita, PPP (constant 2021 international $)</x:v>
      </x:c>
    </x:row>
    <x:row r="2318" ht="44" customHeight="1">
      <x:c r="A2318" s="2" t="str">
        <x:v>GRD</x:v>
      </x:c>
      <x:c r="B2318" s="2" t="str">
        <x:v>urban</x:v>
      </x:c>
      <x:c r="C2318" s="2" t="n">
        <x:v>36.6708064336827</x:v>
      </x:c>
      <x:c r="D2318" s="2" t="n">
        <x:v>2025</x:v>
      </x:c>
      <x:c r="E2318" s="2" t="str">
        <x:v>WB_urban</x:v>
      </x:c>
      <x:c r="F2318" s="2" t="str">
        <x:v>Urban population (% of total population)</x:v>
      </x:c>
    </x:row>
    <x:row r="2319" ht="44" customHeight="1">
      <x:c r="A2319" s="2" t="str">
        <x:v>GRD</x:v>
      </x:c>
      <x:c r="B2319" s="2" t="str">
        <x:v>inflation</x:v>
      </x:c>
      <x:c r="C2319" s="2" t="n">
        <x:v>0.610311975893833</x:v>
      </x:c>
      <x:c r="D2319" s="2" t="n">
        <x:v>2025</x:v>
      </x:c>
      <x:c r="E2319" s="2" t="str">
        <x:v>WB_inflation</x:v>
      </x:c>
      <x:c r="F2319" s="2" t="str">
        <x:v>Inflation, consumer prices (annual %)</x:v>
      </x:c>
    </x:row>
    <x:row r="2320" ht="44" customHeight="1">
      <x:c r="A2320" s="2" t="str">
        <x:v>GRD</x:v>
      </x:c>
      <x:c r="B2320" s="2" t="str">
        <x:v>food_index</x:v>
      </x:c>
      <x:c r="C2320" s="2" t="n">
        <x:v>86.71</x:v>
      </x:c>
      <x:c r="D2320" s="2" t="n">
        <x:v>2022</x:v>
      </x:c>
      <x:c r="E2320" s="2" t="str">
        <x:v>WB_food_index</x:v>
      </x:c>
      <x:c r="F2320" s="2" t="str">
        <x:v>Food production index (2014-2016 = 100)</x:v>
      </x:c>
    </x:row>
    <x:row r="2321" ht="44" customHeight="1">
      <x:c r="A2321" s="2" t="str">
        <x:v>GRD</x:v>
      </x:c>
      <x:c r="B2321" s="2" t="str">
        <x:v>food_import_share</x:v>
      </x:c>
      <x:c r="C2321" s="2" t="n">
        <x:v>24.1807071100424</x:v>
      </x:c>
      <x:c r="D2321" s="2" t="n">
        <x:v>2024</x:v>
      </x:c>
      <x:c r="E2321" s="2" t="str">
        <x:v>WB_food_import_share</x:v>
      </x:c>
      <x:c r="F2321" s="2" t="str">
        <x:v>Food imports (% of merchandise imports)</x:v>
      </x:c>
    </x:row>
    <x:row r="2322" ht="44" customHeight="1">
      <x:c r="A2322" s="2" t="str">
        <x:v>GRD</x:v>
      </x:c>
      <x:c r="B2322" s="2" t="str">
        <x:v>food_export_share</x:v>
      </x:c>
      <x:c r="C2322" s="2" t="n">
        <x:v>69.1189336352033</x:v>
      </x:c>
      <x:c r="D2322" s="2" t="n">
        <x:v>2024</x:v>
      </x:c>
      <x:c r="E2322" s="2" t="str">
        <x:v>WB_food_export_share</x:v>
      </x:c>
      <x:c r="F2322" s="2" t="str">
        <x:v>Food exports (% of merchandise exports)</x:v>
      </x:c>
    </x:row>
    <x:row r="2323" ht="44" customHeight="1">
      <x:c r="A2323" s="2" t="str">
        <x:v>GRD</x:v>
      </x:c>
      <x:c r="B2323" s="2" t="str">
        <x:v>imports_usd</x:v>
      </x:c>
      <x:c r="C2323" s="2" t="n">
        <x:v>653000000</x:v>
      </x:c>
      <x:c r="D2323" s="2" t="n">
        <x:v>2025</x:v>
      </x:c>
      <x:c r="E2323" s="2" t="str">
        <x:v>WB_imports_usd</x:v>
      </x:c>
      <x:c r="F2323" s="2" t="str">
        <x:v>Merchandise imports (current US$)</x:v>
      </x:c>
    </x:row>
    <x:row r="2324" ht="44" customHeight="1">
      <x:c r="A2324" s="2" t="str">
        <x:v>GRD</x:v>
      </x:c>
      <x:c r="B2324" s="2" t="str">
        <x:v>exports_usd</x:v>
      </x:c>
      <x:c r="C2324" s="2" t="n">
        <x:v>35000000</x:v>
      </x:c>
      <x:c r="D2324" s="2" t="n">
        <x:v>2025</x:v>
      </x:c>
      <x:c r="E2324" s="2" t="str">
        <x:v>WB_exports_usd</x:v>
      </x:c>
      <x:c r="F2324" s="2" t="str">
        <x:v>Merchandise exports (current US$)</x:v>
      </x:c>
    </x:row>
    <x:row r="2325" ht="44" customHeight="1">
      <x:c r="A2325" s="2" t="str">
        <x:v>GRD</x:v>
      </x:c>
      <x:c r="B2325" s="2" t="str">
        <x:v>cereal_yield</x:v>
      </x:c>
      <x:c r="C2325" s="2" t="n">
        <x:v>996.6</x:v>
      </x:c>
      <x:c r="D2325" s="2" t="n">
        <x:v>2024</x:v>
      </x:c>
      <x:c r="E2325" s="2" t="str">
        <x:v>WB_cereal_yield</x:v>
      </x:c>
      <x:c r="F2325" s="2" t="str">
        <x:v>Cereal yield (kg per hectare)</x:v>
      </x:c>
    </x:row>
    <x:row r="2326" ht="44" customHeight="1">
      <x:c r="A2326" s="2" t="str">
        <x:v>GRD</x:v>
      </x:c>
      <x:c r="B2326" s="2" t="str">
        <x:v>water_stress</x:v>
      </x:c>
      <x:c r="C2326" s="2" t="n">
        <x:v>7.05</x:v>
      </x:c>
      <x:c r="D2326" s="2" t="n">
        <x:v>2022</x:v>
      </x:c>
      <x:c r="E2326" s="2" t="str">
        <x:v>WB_water_stress</x:v>
      </x:c>
      <x:c r="F2326" s="2" t="str">
        <x:v>Level of water stress: freshwater withdrawal as a proportion of available freshwater resources</x:v>
      </x:c>
    </x:row>
    <x:row r="2327" ht="44" customHeight="1">
      <x:c r="A2327" s="2" t="str">
        <x:v>GRD</x:v>
      </x:c>
      <x:c r="B2327" s="2" t="str">
        <x:v>fertility</x:v>
      </x:c>
      <x:c r="C2327" s="2" t="n">
        <x:v>1.472</x:v>
      </x:c>
      <x:c r="D2327" s="2" t="n">
        <x:v>2024</x:v>
      </x:c>
      <x:c r="E2327" s="2" t="str">
        <x:v>WB_fertility</x:v>
      </x:c>
      <x:c r="F2327" s="2" t="str">
        <x:v>Fertility rate, total (births per woman)</x:v>
      </x:c>
    </x:row>
    <x:row r="2328" ht="44" customHeight="1">
      <x:c r="A2328" s="2" t="str">
        <x:v>GRD</x:v>
      </x:c>
      <x:c r="B2328" s="2" t="str">
        <x:v>life_expectancy</x:v>
      </x:c>
      <x:c r="C2328" s="2" t="n">
        <x:v>75.367</x:v>
      </x:c>
      <x:c r="D2328" s="2" t="n">
        <x:v>2024</x:v>
      </x:c>
      <x:c r="E2328" s="2" t="str">
        <x:v>WB_life_expectancy</x:v>
      </x:c>
      <x:c r="F2328" s="2" t="str">
        <x:v>Life expectancy at birth, total (years)</x:v>
      </x:c>
    </x:row>
    <x:row r="2329" ht="44" customHeight="1">
      <x:c r="A2329" s="2" t="str">
        <x:v>GRD</x:v>
      </x:c>
      <x:c r="B2329" s="2" t="str">
        <x:v>age_under15</x:v>
      </x:c>
      <x:c r="C2329" s="2" t="n">
        <x:v>19.0109417025067</x:v>
      </x:c>
      <x:c r="D2329" s="2" t="n">
        <x:v>2025</x:v>
      </x:c>
      <x:c r="E2329" s="2" t="str">
        <x:v>WB_age_under15</x:v>
      </x:c>
      <x:c r="F2329" s="2" t="str">
        <x:v>Population ages 0-14 (% of total population)</x:v>
      </x:c>
    </x:row>
    <x:row r="2330" ht="44" customHeight="1">
      <x:c r="A2330" s="2" t="str">
        <x:v>GRD</x:v>
      </x:c>
      <x:c r="B2330" s="2" t="str">
        <x:v>age_over65</x:v>
      </x:c>
      <x:c r="C2330" s="2" t="n">
        <x:v>12.6253692345071</x:v>
      </x:c>
      <x:c r="D2330" s="2" t="n">
        <x:v>2025</x:v>
      </x:c>
      <x:c r="E2330" s="2" t="str">
        <x:v>WB_age_over65</x:v>
      </x:c>
      <x:c r="F2330" s="2" t="str">
        <x:v>Population ages 65 and above (% of total population)</x:v>
      </x:c>
    </x:row>
    <x:row r="2331" ht="44" customHeight="1">
      <x:c r="A2331" s="2" t="str">
        <x:v>GRD</x:v>
      </x:c>
      <x:c r="B2331" s="2" t="str">
        <x:v>dependency_ratio</x:v>
      </x:c>
      <x:c r="C2331" s="2" t="n">
        <x:v>46.2758594889828</x:v>
      </x:c>
      <x:c r="D2331" s="2" t="n">
        <x:v>2025</x:v>
      </x:c>
      <x:c r="E2331" s="2" t="str">
        <x:v>WB_dependency_ratio</x:v>
      </x:c>
      <x:c r="F2331" s="2" t="str">
        <x:v>Age dependency ratio (% of working-age population)</x:v>
      </x:c>
    </x:row>
    <x:row r="2332" ht="44" customHeight="1">
      <x:c r="A2332" s="2" t="str">
        <x:v>GRD</x:v>
      </x:c>
      <x:c r="B2332" s="2" t="str">
        <x:v>net_migration</x:v>
      </x:c>
      <x:c r="C2332" s="2" t="n">
        <x:v>-185</x:v>
      </x:c>
      <x:c r="D2332" s="2" t="n">
        <x:v>2025</x:v>
      </x:c>
      <x:c r="E2332" s="2" t="str">
        <x:v>WB_net_migration</x:v>
      </x:c>
      <x:c r="F2332" s="2" t="str">
        <x:v>Net migration</x:v>
      </x:c>
    </x:row>
    <x:row r="2333" ht="44" customHeight="1">
      <x:c r="A2333" s="2" t="str">
        <x:v>GRD</x:v>
      </x:c>
      <x:c r="B2333" s="2" t="str">
        <x:v>real_gdp</x:v>
      </x:c>
      <x:c r="C2333" s="2" t="n">
        <x:v>1229001313.63051</x:v>
      </x:c>
      <x:c r="D2333" s="2" t="n">
        <x:v>2025</x:v>
      </x:c>
      <x:c r="E2333" s="2" t="str">
        <x:v>WB_real_gdp</x:v>
      </x:c>
      <x:c r="F2333" s="2" t="str">
        <x:v>GDP (constant 2015 US$)</x:v>
      </x:c>
    </x:row>
    <x:row r="2334" ht="44" customHeight="1">
      <x:c r="A2334" s="2" t="str">
        <x:v>GRD</x:v>
      </x:c>
      <x:c r="B2334" s="2" t="str">
        <x:v>gdp_growth</x:v>
      </x:c>
      <x:c r="C2334" s="2" t="n">
        <x:v>4.41201</x:v>
      </x:c>
      <x:c r="D2334" s="2" t="n">
        <x:v>2025</x:v>
      </x:c>
      <x:c r="E2334" s="2" t="str">
        <x:v>WB_gdp_growth</x:v>
      </x:c>
      <x:c r="F2334" s="2" t="str">
        <x:v>GDP growth (annual %)</x:v>
      </x:c>
    </x:row>
    <x:row r="2335" ht="44" customHeight="1">
      <x:c r="A2335" s="2" t="str">
        <x:v>GRD</x:v>
      </x:c>
      <x:c r="B2335" s="2" t="str">
        <x:v>real_income</x:v>
      </x:c>
      <x:c r="C2335" s="2" t="n">
        <x:v>10477.151595701</x:v>
      </x:c>
      <x:c r="D2335" s="2" t="n">
        <x:v>2025</x:v>
      </x:c>
      <x:c r="E2335" s="2" t="str">
        <x:v>WB_real_income</x:v>
      </x:c>
      <x:c r="F2335" s="2" t="str">
        <x:v>GDP per capita (constant 2015 US$)</x:v>
      </x:c>
    </x:row>
    <x:row r="2336" ht="44" customHeight="1">
      <x:c r="A2336" s="2" t="str">
        <x:v>GRD</x:v>
      </x:c>
      <x:c r="B2336" s="2" t="str">
        <x:v>agriculture_gdp</x:v>
      </x:c>
      <x:c r="C2336" s="2" t="n">
        <x:v>2.53973352148124</x:v>
      </x:c>
      <x:c r="D2336" s="2" t="n">
        <x:v>2025</x:v>
      </x:c>
      <x:c r="E2336" s="2" t="str">
        <x:v>WB_agriculture_gdp</x:v>
      </x:c>
      <x:c r="F2336" s="2" t="str">
        <x:v>Agriculture, forestry, and fishing, value added (% of GDP)</x:v>
      </x:c>
    </x:row>
    <x:row r="2337" ht="44" customHeight="1">
      <x:c r="A2337" s="2" t="str">
        <x:v>GRD</x:v>
      </x:c>
      <x:c r="B2337" s="2" t="str">
        <x:v>poverty</x:v>
      </x:c>
      <x:c r="C2337" s="2" t="n">
        <x:v>0.8</x:v>
      </x:c>
      <x:c r="D2337" s="2" t="n">
        <x:v>2018</x:v>
      </x:c>
      <x:c r="E2337" s="2" t="str">
        <x:v>WB_poverty</x:v>
      </x:c>
      <x:c r="F2337" s="2" t="str">
        <x:v>Poverty headcount ratio at $3.00 a day (2021 PPP) (% of population)</x:v>
      </x:c>
    </x:row>
    <x:row r="2338" ht="44" customHeight="1">
      <x:c r="A2338" s="2" t="str">
        <x:v>GRD</x:v>
      </x:c>
      <x:c r="B2338" s="2" t="str">
        <x:v>gini</x:v>
      </x:c>
      <x:c r="C2338" s="2" t="n">
        <x:v>43.8</x:v>
      </x:c>
      <x:c r="D2338" s="2" t="n">
        <x:v>2018</x:v>
      </x:c>
      <x:c r="E2338" s="2" t="str">
        <x:v>WB_gini</x:v>
      </x:c>
      <x:c r="F2338" s="2" t="str">
        <x:v>Gini index</x:v>
      </x:c>
    </x:row>
    <x:row r="2339" ht="44" customHeight="1">
      <x:c r="A2339" s="2" t="str">
        <x:v>GRD</x:v>
      </x:c>
      <x:c r="B2339" s="2" t="str">
        <x:v>unemployment</x:v>
      </x:c>
      <x:c r="C2339" s="2"/>
      <x:c r="D2339" s="2"/>
      <x:c r="E2339" s="2" t="str">
        <x:v>Missing</x:v>
      </x:c>
      <x:c r="F2339" s="2" t="str">
        <x:v>Unemployment, total (% of total labor force) (modeled ILO estimate)</x:v>
      </x:c>
    </x:row>
    <x:row r="2340" ht="44" customHeight="1">
      <x:c r="A2340" s="2" t="str">
        <x:v>GRD</x:v>
      </x:c>
      <x:c r="B2340" s="2" t="str">
        <x:v>private_credit</x:v>
      </x:c>
      <x:c r="C2340" s="2" t="n">
        <x:v>57.5350521309613</x:v>
      </x:c>
      <x:c r="D2340" s="2" t="n">
        <x:v>2025</x:v>
      </x:c>
      <x:c r="E2340" s="2" t="str">
        <x:v>WB_private_credit</x:v>
      </x:c>
      <x:c r="F2340" s="2" t="str">
        <x:v>Domestic credit to private sector (% of GDP)</x:v>
      </x:c>
    </x:row>
    <x:row r="2341" ht="44" customHeight="1">
      <x:c r="A2341" s="2" t="str">
        <x:v>GRD</x:v>
      </x:c>
      <x:c r="B2341" s="2" t="str">
        <x:v>lending_rate</x:v>
      </x:c>
      <x:c r="C2341" s="2" t="n">
        <x:v>6.8607225</x:v>
      </x:c>
      <x:c r="D2341" s="2" t="n">
        <x:v>2025</x:v>
      </x:c>
      <x:c r="E2341" s="2" t="str">
        <x:v>WB_lending_rate</x:v>
      </x:c>
      <x:c r="F2341" s="2" t="str">
        <x:v>Lending interest rate (%)</x:v>
      </x:c>
    </x:row>
    <x:row r="2342" ht="44" customHeight="1">
      <x:c r="A2342" s="2" t="str">
        <x:v>GRD</x:v>
      </x:c>
      <x:c r="B2342" s="2" t="str">
        <x:v>real_interest</x:v>
      </x:c>
      <x:c r="C2342" s="2" t="n">
        <x:v>6.16209856647967</x:v>
      </x:c>
      <x:c r="D2342" s="2" t="n">
        <x:v>2025</x:v>
      </x:c>
      <x:c r="E2342" s="2" t="str">
        <x:v>WB_real_interest</x:v>
      </x:c>
      <x:c r="F2342" s="2" t="str">
        <x:v>Real interest rate (%)</x:v>
      </x:c>
    </x:row>
    <x:row r="2343" ht="44" customHeight="1">
      <x:c r="A2343" s="2" t="str">
        <x:v>GRD</x:v>
      </x:c>
      <x:c r="B2343" s="2" t="str">
        <x:v>government_debt</x:v>
      </x:c>
      <x:c r="C2343" s="2"/>
      <x:c r="D2343" s="2"/>
      <x:c r="E2343" s="2" t="str">
        <x:v>Missing</x:v>
      </x:c>
      <x:c r="F2343" s="2" t="str">
        <x:v>Central government debt, total (% of GDP)</x:v>
      </x:c>
    </x:row>
    <x:row r="2344" ht="44" customHeight="1">
      <x:c r="A2344" s="2" t="str">
        <x:v>GRD</x:v>
      </x:c>
      <x:c r="B2344" s="2" t="str">
        <x:v>electricity_access</x:v>
      </x:c>
      <x:c r="C2344" s="2" t="n">
        <x:v>95.6</x:v>
      </x:c>
      <x:c r="D2344" s="2" t="n">
        <x:v>2024</x:v>
      </x:c>
      <x:c r="E2344" s="2" t="str">
        <x:v>WB_electricity_access</x:v>
      </x:c>
      <x:c r="F2344" s="2" t="str">
        <x:v>Access to electricity (% of population)</x:v>
      </x:c>
    </x:row>
    <x:row r="2345" ht="44" customHeight="1">
      <x:c r="A2345" s="2" t="str">
        <x:v>GRD</x:v>
      </x:c>
      <x:c r="B2345" s="2" t="str">
        <x:v>irrigated_land</x:v>
      </x:c>
      <x:c r="C2345" s="2" t="n">
        <x:v>2.22222222222222</x:v>
      </x:c>
      <x:c r="D2345" s="2" t="n">
        <x:v>2008</x:v>
      </x:c>
      <x:c r="E2345" s="2" t="str">
        <x:v>WB_irrigated_land</x:v>
      </x:c>
      <x:c r="F2345" s="2" t="str">
        <x:v>Agricultural irrigated land (% of total agricultural land)</x:v>
      </x:c>
    </x:row>
    <x:row r="2346" ht="44" customHeight="1">
      <x:c r="A2346" s="2" t="str">
        <x:v>GRD</x:v>
      </x:c>
      <x:c r="B2346" s="2" t="str">
        <x:v>cereal_area</x:v>
      </x:c>
      <x:c r="C2346" s="2" t="n">
        <x:v>178</x:v>
      </x:c>
      <x:c r="D2346" s="2" t="n">
        <x:v>2024</x:v>
      </x:c>
      <x:c r="E2346" s="2" t="str">
        <x:v>WB_cereal_area</x:v>
      </x:c>
      <x:c r="F2346" s="2" t="str">
        <x:v>Land under cereal production (hectares)</x:v>
      </x:c>
    </x:row>
    <x:row r="2347" ht="44" customHeight="1">
      <x:c r="A2347" s="2" t="str">
        <x:v>GRD</x:v>
      </x:c>
      <x:c r="B2347" s="2" t="str">
        <x:v>undernourishment</x:v>
      </x:c>
      <x:c r="C2347" s="2"/>
      <x:c r="D2347" s="2"/>
      <x:c r="E2347" s="2" t="str">
        <x:v>Missing</x:v>
      </x:c>
      <x:c r="F2347" s="2" t="str">
        <x:v>Prevalence of undernourishment (% of population)</x:v>
      </x:c>
    </x:row>
    <x:row r="2348" ht="44" customHeight="1">
      <x:c r="A2348" s="2" t="str">
        <x:v>GRD</x:v>
      </x:c>
      <x:c r="B2348" s="2" t="str">
        <x:v>agriculture_employment</x:v>
      </x:c>
      <x:c r="C2348" s="2"/>
      <x:c r="D2348" s="2"/>
      <x:c r="E2348" s="2" t="str">
        <x:v>Missing</x:v>
      </x:c>
      <x:c r="F2348" s="2" t="str">
        <x:v>Employment in agriculture (% of total employment) (modeled ILO estimate)</x:v>
      </x:c>
    </x:row>
    <x:row r="2349" ht="44" customHeight="1">
      <x:c r="A2349" s="2" t="str">
        <x:v>GRD</x:v>
      </x:c>
      <x:c r="B2349" s="2" t="str">
        <x:v>water_withdrawal</x:v>
      </x:c>
      <x:c r="C2349" s="2" t="n">
        <x:v>7.05</x:v>
      </x:c>
      <x:c r="D2349" s="2" t="n">
        <x:v>2022</x:v>
      </x:c>
      <x:c r="E2349" s="2" t="str">
        <x:v>WB_water_withdrawal</x:v>
      </x:c>
      <x:c r="F2349" s="2" t="str">
        <x:v>Annual freshwater withdrawals, total (% of internal resources)</x:v>
      </x:c>
    </x:row>
    <x:row r="2350" ht="44" customHeight="1">
      <x:c r="A2350" s="2" t="str">
        <x:v>GTM</x:v>
      </x:c>
      <x:c r="B2350" s="2" t="str">
        <x:v>population</x:v>
      </x:c>
      <x:c r="C2350" s="2" t="n">
        <x:v>18687881</x:v>
      </x:c>
      <x:c r="D2350" s="2" t="n">
        <x:v>2025</x:v>
      </x:c>
      <x:c r="E2350" s="2" t="str">
        <x:v>WB_population</x:v>
      </x:c>
      <x:c r="F2350" s="2" t="str">
        <x:v>Population, total</x:v>
      </x:c>
    </x:row>
    <x:row r="2351" ht="44" customHeight="1">
      <x:c r="A2351" s="2" t="str">
        <x:v>GTM</x:v>
      </x:c>
      <x:c r="B2351" s="2" t="str">
        <x:v>income_ppp</x:v>
      </x:c>
      <x:c r="C2351" s="2" t="n">
        <x:v>12986.5241144632</x:v>
      </x:c>
      <x:c r="D2351" s="2" t="n">
        <x:v>2025</x:v>
      </x:c>
      <x:c r="E2351" s="2" t="str">
        <x:v>WB_income_ppp</x:v>
      </x:c>
      <x:c r="F2351" s="2" t="str">
        <x:v>GDP per capita, PPP (constant 2021 international $)</x:v>
      </x:c>
    </x:row>
    <x:row r="2352" ht="44" customHeight="1">
      <x:c r="A2352" s="2" t="str">
        <x:v>GTM</x:v>
      </x:c>
      <x:c r="B2352" s="2" t="str">
        <x:v>urban</x:v>
      </x:c>
      <x:c r="C2352" s="2" t="n">
        <x:v>56.2972033013999</x:v>
      </x:c>
      <x:c r="D2352" s="2" t="n">
        <x:v>2025</x:v>
      </x:c>
      <x:c r="E2352" s="2" t="str">
        <x:v>WB_urban</x:v>
      </x:c>
      <x:c r="F2352" s="2" t="str">
        <x:v>Urban population (% of total population)</x:v>
      </x:c>
    </x:row>
    <x:row r="2353" ht="44" customHeight="1">
      <x:c r="A2353" s="2" t="str">
        <x:v>GTM</x:v>
      </x:c>
      <x:c r="B2353" s="2" t="str">
        <x:v>inflation</x:v>
      </x:c>
      <x:c r="C2353" s="2" t="n">
        <x:v>1.48841591086169</x:v>
      </x:c>
      <x:c r="D2353" s="2" t="n">
        <x:v>2025</x:v>
      </x:c>
      <x:c r="E2353" s="2" t="str">
        <x:v>WB_inflation</x:v>
      </x:c>
      <x:c r="F2353" s="2" t="str">
        <x:v>Inflation, consumer prices (annual %)</x:v>
      </x:c>
    </x:row>
    <x:row r="2354" ht="44" customHeight="1">
      <x:c r="A2354" s="2" t="str">
        <x:v>GTM</x:v>
      </x:c>
      <x:c r="B2354" s="2" t="str">
        <x:v>food_index</x:v>
      </x:c>
      <x:c r="C2354" s="2" t="n">
        <x:v>107.89</x:v>
      </x:c>
      <x:c r="D2354" s="2" t="n">
        <x:v>2022</x:v>
      </x:c>
      <x:c r="E2354" s="2" t="str">
        <x:v>WB_food_index</x:v>
      </x:c>
      <x:c r="F2354" s="2" t="str">
        <x:v>Food production index (2014-2016 = 100)</x:v>
      </x:c>
    </x:row>
    <x:row r="2355" ht="44" customHeight="1">
      <x:c r="A2355" s="2" t="str">
        <x:v>GTM</x:v>
      </x:c>
      <x:c r="B2355" s="2" t="str">
        <x:v>food_import_share</x:v>
      </x:c>
      <x:c r="C2355" s="2" t="n">
        <x:v>17.4117190728048</x:v>
      </x:c>
      <x:c r="D2355" s="2" t="n">
        <x:v>2024</x:v>
      </x:c>
      <x:c r="E2355" s="2" t="str">
        <x:v>WB_food_import_share</x:v>
      </x:c>
      <x:c r="F2355" s="2" t="str">
        <x:v>Food imports (% of merchandise imports)</x:v>
      </x:c>
    </x:row>
    <x:row r="2356" ht="44" customHeight="1">
      <x:c r="A2356" s="2" t="str">
        <x:v>GTM</x:v>
      </x:c>
      <x:c r="B2356" s="2" t="str">
        <x:v>food_export_share</x:v>
      </x:c>
      <x:c r="C2356" s="2" t="n">
        <x:v>47.4957221104318</x:v>
      </x:c>
      <x:c r="D2356" s="2" t="n">
        <x:v>2024</x:v>
      </x:c>
      <x:c r="E2356" s="2" t="str">
        <x:v>WB_food_export_share</x:v>
      </x:c>
      <x:c r="F2356" s="2" t="str">
        <x:v>Food exports (% of merchandise exports)</x:v>
      </x:c>
    </x:row>
    <x:row r="2357" ht="44" customHeight="1">
      <x:c r="A2357" s="2" t="str">
        <x:v>GTM</x:v>
      </x:c>
      <x:c r="B2357" s="2" t="str">
        <x:v>imports_usd</x:v>
      </x:c>
      <x:c r="C2357" s="2" t="n">
        <x:v>34609000000</x:v>
      </x:c>
      <x:c r="D2357" s="2" t="n">
        <x:v>2025</x:v>
      </x:c>
      <x:c r="E2357" s="2" t="str">
        <x:v>WB_imports_usd</x:v>
      </x:c>
      <x:c r="F2357" s="2" t="str">
        <x:v>Merchandise imports (current US$)</x:v>
      </x:c>
    </x:row>
    <x:row r="2358" ht="44" customHeight="1">
      <x:c r="A2358" s="2" t="str">
        <x:v>GTM</x:v>
      </x:c>
      <x:c r="B2358" s="2" t="str">
        <x:v>exports_usd</x:v>
      </x:c>
      <x:c r="C2358" s="2" t="n">
        <x:v>15558000000</x:v>
      </x:c>
      <x:c r="D2358" s="2" t="n">
        <x:v>2025</x:v>
      </x:c>
      <x:c r="E2358" s="2" t="str">
        <x:v>WB_exports_usd</x:v>
      </x:c>
      <x:c r="F2358" s="2" t="str">
        <x:v>Merchandise exports (current US$)</x:v>
      </x:c>
    </x:row>
    <x:row r="2359" ht="44" customHeight="1">
      <x:c r="A2359" s="2" t="str">
        <x:v>GTM</x:v>
      </x:c>
      <x:c r="B2359" s="2" t="str">
        <x:v>cereal_yield</x:v>
      </x:c>
      <x:c r="C2359" s="2" t="n">
        <x:v>1821.7</x:v>
      </x:c>
      <x:c r="D2359" s="2" t="n">
        <x:v>2023</x:v>
      </x:c>
      <x:c r="E2359" s="2" t="str">
        <x:v>WB_cereal_yield</x:v>
      </x:c>
      <x:c r="F2359" s="2" t="str">
        <x:v>Cereal yield (kg per hectare)</x:v>
      </x:c>
    </x:row>
    <x:row r="2360" ht="44" customHeight="1">
      <x:c r="A2360" s="2" t="str">
        <x:v>GTM</x:v>
      </x:c>
      <x:c r="B2360" s="2" t="str">
        <x:v>water_stress</x:v>
      </x:c>
      <x:c r="C2360" s="2" t="n">
        <x:v>5.742097081</x:v>
      </x:c>
      <x:c r="D2360" s="2" t="n">
        <x:v>2022</x:v>
      </x:c>
      <x:c r="E2360" s="2" t="str">
        <x:v>WB_water_stress</x:v>
      </x:c>
      <x:c r="F2360" s="2" t="str">
        <x:v>Level of water stress: freshwater withdrawal as a proportion of available freshwater resources</x:v>
      </x:c>
    </x:row>
    <x:row r="2361" ht="44" customHeight="1">
      <x:c r="A2361" s="2" t="str">
        <x:v>GTM</x:v>
      </x:c>
      <x:c r="B2361" s="2" t="str">
        <x:v>fertility</x:v>
      </x:c>
      <x:c r="C2361" s="2" t="n">
        <x:v>2.287</x:v>
      </x:c>
      <x:c r="D2361" s="2" t="n">
        <x:v>2024</x:v>
      </x:c>
      <x:c r="E2361" s="2" t="str">
        <x:v>WB_fertility</x:v>
      </x:c>
      <x:c r="F2361" s="2" t="str">
        <x:v>Fertility rate, total (births per woman)</x:v>
      </x:c>
    </x:row>
    <x:row r="2362" ht="44" customHeight="1">
      <x:c r="A2362" s="2" t="str">
        <x:v>GTM</x:v>
      </x:c>
      <x:c r="B2362" s="2" t="str">
        <x:v>life_expectancy</x:v>
      </x:c>
      <x:c r="C2362" s="2" t="n">
        <x:v>72.746</x:v>
      </x:c>
      <x:c r="D2362" s="2" t="n">
        <x:v>2024</x:v>
      </x:c>
      <x:c r="E2362" s="2" t="str">
        <x:v>WB_life_expectancy</x:v>
      </x:c>
      <x:c r="F2362" s="2" t="str">
        <x:v>Life expectancy at birth, total (years)</x:v>
      </x:c>
    </x:row>
    <x:row r="2363" ht="44" customHeight="1">
      <x:c r="A2363" s="2" t="str">
        <x:v>GTM</x:v>
      </x:c>
      <x:c r="B2363" s="2" t="str">
        <x:v>age_under15</x:v>
      </x:c>
      <x:c r="C2363" s="2" t="n">
        <x:v>31.0259646070637</x:v>
      </x:c>
      <x:c r="D2363" s="2" t="n">
        <x:v>2025</x:v>
      </x:c>
      <x:c r="E2363" s="2" t="str">
        <x:v>WB_age_under15</x:v>
      </x:c>
      <x:c r="F2363" s="2" t="str">
        <x:v>Population ages 0-14 (% of total population)</x:v>
      </x:c>
    </x:row>
    <x:row r="2364" ht="44" customHeight="1">
      <x:c r="A2364" s="2" t="str">
        <x:v>GTM</x:v>
      </x:c>
      <x:c r="B2364" s="2" t="str">
        <x:v>age_over65</x:v>
      </x:c>
      <x:c r="C2364" s="2" t="n">
        <x:v>4.9632752647752</x:v>
      </x:c>
      <x:c r="D2364" s="2" t="n">
        <x:v>2025</x:v>
      </x:c>
      <x:c r="E2364" s="2" t="str">
        <x:v>WB_age_over65</x:v>
      </x:c>
      <x:c r="F2364" s="2" t="str">
        <x:v>Population ages 65 and above (% of total population)</x:v>
      </x:c>
    </x:row>
    <x:row r="2365" ht="44" customHeight="1">
      <x:c r="A2365" s="2" t="str">
        <x:v>GTM</x:v>
      </x:c>
      <x:c r="B2365" s="2" t="str">
        <x:v>dependency_ratio</x:v>
      </x:c>
      <x:c r="C2365" s="2" t="n">
        <x:v>56.2237303919704</x:v>
      </x:c>
      <x:c r="D2365" s="2" t="n">
        <x:v>2025</x:v>
      </x:c>
      <x:c r="E2365" s="2" t="str">
        <x:v>WB_dependency_ratio</x:v>
      </x:c>
      <x:c r="F2365" s="2" t="str">
        <x:v>Age dependency ratio (% of working-age population)</x:v>
      </x:c>
    </x:row>
    <x:row r="2366" ht="44" customHeight="1">
      <x:c r="A2366" s="2" t="str">
        <x:v>GTM</x:v>
      </x:c>
      <x:c r="B2366" s="2" t="str">
        <x:v>net_migration</x:v>
      </x:c>
      <x:c r="C2366" s="2" t="n">
        <x:v>-7959</x:v>
      </x:c>
      <x:c r="D2366" s="2" t="n">
        <x:v>2025</x:v>
      </x:c>
      <x:c r="E2366" s="2" t="str">
        <x:v>WB_net_migration</x:v>
      </x:c>
      <x:c r="F2366" s="2" t="str">
        <x:v>Net migration</x:v>
      </x:c>
    </x:row>
    <x:row r="2367" ht="44" customHeight="1">
      <x:c r="A2367" s="2" t="str">
        <x:v>GTM</x:v>
      </x:c>
      <x:c r="B2367" s="2" t="str">
        <x:v>real_gdp</x:v>
      </x:c>
      <x:c r="C2367" s="2" t="n">
        <x:v>87606236290.0643</x:v>
      </x:c>
      <x:c r="D2367" s="2" t="n">
        <x:v>2025</x:v>
      </x:c>
      <x:c r="E2367" s="2" t="str">
        <x:v>WB_real_gdp</x:v>
      </x:c>
      <x:c r="F2367" s="2" t="str">
        <x:v>GDP (constant 2015 US$)</x:v>
      </x:c>
    </x:row>
    <x:row r="2368" ht="44" customHeight="1">
      <x:c r="A2368" s="2" t="str">
        <x:v>GTM</x:v>
      </x:c>
      <x:c r="B2368" s="2" t="str">
        <x:v>gdp_growth</x:v>
      </x:c>
      <x:c r="C2368" s="2" t="n">
        <x:v>4.28003207921405</x:v>
      </x:c>
      <x:c r="D2368" s="2" t="n">
        <x:v>2025</x:v>
      </x:c>
      <x:c r="E2368" s="2" t="str">
        <x:v>WB_gdp_growth</x:v>
      </x:c>
      <x:c r="F2368" s="2" t="str">
        <x:v>GDP growth (annual %)</x:v>
      </x:c>
    </x:row>
    <x:row r="2369" ht="44" customHeight="1">
      <x:c r="A2369" s="2" t="str">
        <x:v>GTM</x:v>
      </x:c>
      <x:c r="B2369" s="2" t="str">
        <x:v>real_income</x:v>
      </x:c>
      <x:c r="C2369" s="2" t="n">
        <x:v>4687.86355660464</x:v>
      </x:c>
      <x:c r="D2369" s="2" t="n">
        <x:v>2025</x:v>
      </x:c>
      <x:c r="E2369" s="2" t="str">
        <x:v>WB_real_income</x:v>
      </x:c>
      <x:c r="F2369" s="2" t="str">
        <x:v>GDP per capita (constant 2015 US$)</x:v>
      </x:c>
    </x:row>
    <x:row r="2370" ht="44" customHeight="1">
      <x:c r="A2370" s="2" t="str">
        <x:v>GTM</x:v>
      </x:c>
      <x:c r="B2370" s="2" t="str">
        <x:v>agriculture_gdp</x:v>
      </x:c>
      <x:c r="C2370" s="2" t="n">
        <x:v>9.55178298050142</x:v>
      </x:c>
      <x:c r="D2370" s="2" t="n">
        <x:v>2025</x:v>
      </x:c>
      <x:c r="E2370" s="2" t="str">
        <x:v>WB_agriculture_gdp</x:v>
      </x:c>
      <x:c r="F2370" s="2" t="str">
        <x:v>Agriculture, forestry, and fishing, value added (% of GDP)</x:v>
      </x:c>
    </x:row>
    <x:row r="2371" ht="44" customHeight="1">
      <x:c r="A2371" s="2" t="str">
        <x:v>GTM</x:v>
      </x:c>
      <x:c r="B2371" s="2" t="str">
        <x:v>poverty</x:v>
      </x:c>
      <x:c r="C2371" s="2" t="n">
        <x:v>9.7</x:v>
      </x:c>
      <x:c r="D2371" s="2" t="n">
        <x:v>2023</x:v>
      </x:c>
      <x:c r="E2371" s="2" t="str">
        <x:v>WB_poverty</x:v>
      </x:c>
      <x:c r="F2371" s="2" t="str">
        <x:v>Poverty headcount ratio at $3.00 a day (2021 PPP) (% of population)</x:v>
      </x:c>
    </x:row>
    <x:row r="2372" ht="44" customHeight="1">
      <x:c r="A2372" s="2" t="str">
        <x:v>GTM</x:v>
      </x:c>
      <x:c r="B2372" s="2" t="str">
        <x:v>gini</x:v>
      </x:c>
      <x:c r="C2372" s="2" t="n">
        <x:v>45.2</x:v>
      </x:c>
      <x:c r="D2372" s="2" t="n">
        <x:v>2023</x:v>
      </x:c>
      <x:c r="E2372" s="2" t="str">
        <x:v>WB_gini</x:v>
      </x:c>
      <x:c r="F2372" s="2" t="str">
        <x:v>Gini index</x:v>
      </x:c>
    </x:row>
    <x:row r="2373" ht="44" customHeight="1">
      <x:c r="A2373" s="2" t="str">
        <x:v>GTM</x:v>
      </x:c>
      <x:c r="B2373" s="2" t="str">
        <x:v>unemployment</x:v>
      </x:c>
      <x:c r="C2373" s="2" t="n">
        <x:v>2.604</x:v>
      </x:c>
      <x:c r="D2373" s="2" t="n">
        <x:v>2025</x:v>
      </x:c>
      <x:c r="E2373" s="2" t="str">
        <x:v>WB_unemployment</x:v>
      </x:c>
      <x:c r="F2373" s="2" t="str">
        <x:v>Unemployment, total (% of total labor force) (modeled ILO estimate)</x:v>
      </x:c>
    </x:row>
    <x:row r="2374" ht="44" customHeight="1">
      <x:c r="A2374" s="2" t="str">
        <x:v>GTM</x:v>
      </x:c>
      <x:c r="B2374" s="2" t="str">
        <x:v>private_credit</x:v>
      </x:c>
      <x:c r="C2374" s="2" t="n">
        <x:v>37.2348814336408</x:v>
      </x:c>
      <x:c r="D2374" s="2" t="n">
        <x:v>2025</x:v>
      </x:c>
      <x:c r="E2374" s="2" t="str">
        <x:v>WB_private_credit</x:v>
      </x:c>
      <x:c r="F2374" s="2" t="str">
        <x:v>Domestic credit to private sector (% of GDP)</x:v>
      </x:c>
    </x:row>
    <x:row r="2375" ht="44" customHeight="1">
      <x:c r="A2375" s="2" t="str">
        <x:v>GTM</x:v>
      </x:c>
      <x:c r="B2375" s="2" t="str">
        <x:v>lending_rate</x:v>
      </x:c>
      <x:c r="C2375" s="2" t="n">
        <x:v>12.8533333333333</x:v>
      </x:c>
      <x:c r="D2375" s="2" t="n">
        <x:v>2025</x:v>
      </x:c>
      <x:c r="E2375" s="2" t="str">
        <x:v>WB_lending_rate</x:v>
      </x:c>
      <x:c r="F2375" s="2" t="str">
        <x:v>Lending interest rate (%)</x:v>
      </x:c>
    </x:row>
    <x:row r="2376" ht="44" customHeight="1">
      <x:c r="A2376" s="2" t="str">
        <x:v>GTM</x:v>
      </x:c>
      <x:c r="B2376" s="2" t="str">
        <x:v>real_interest</x:v>
      </x:c>
      <x:c r="C2376" s="2" t="n">
        <x:v>9.1563705326527</x:v>
      </x:c>
      <x:c r="D2376" s="2" t="n">
        <x:v>2025</x:v>
      </x:c>
      <x:c r="E2376" s="2" t="str">
        <x:v>WB_real_interest</x:v>
      </x:c>
      <x:c r="F2376" s="2" t="str">
        <x:v>Real interest rate (%)</x:v>
      </x:c>
    </x:row>
    <x:row r="2377" ht="44" customHeight="1">
      <x:c r="A2377" s="2" t="str">
        <x:v>GTM</x:v>
      </x:c>
      <x:c r="B2377" s="2" t="str">
        <x:v>government_debt</x:v>
      </x:c>
      <x:c r="C2377" s="2" t="n">
        <x:v>25.2099619740494</x:v>
      </x:c>
      <x:c r="D2377" s="2" t="n">
        <x:v>2013</x:v>
      </x:c>
      <x:c r="E2377" s="2" t="str">
        <x:v>WB_government_debt</x:v>
      </x:c>
      <x:c r="F2377" s="2" t="str">
        <x:v>Central government debt, total (% of GDP)</x:v>
      </x:c>
    </x:row>
    <x:row r="2378" ht="44" customHeight="1">
      <x:c r="A2378" s="2" t="str">
        <x:v>GTM</x:v>
      </x:c>
      <x:c r="B2378" s="2" t="str">
        <x:v>electricity_access</x:v>
      </x:c>
      <x:c r="C2378" s="2" t="n">
        <x:v>90.9</x:v>
      </x:c>
      <x:c r="D2378" s="2" t="n">
        <x:v>2024</x:v>
      </x:c>
      <x:c r="E2378" s="2" t="str">
        <x:v>WB_electricity_access</x:v>
      </x:c>
      <x:c r="F2378" s="2" t="str">
        <x:v>Access to electricity (% of population)</x:v>
      </x:c>
    </x:row>
    <x:row r="2379" ht="44" customHeight="1">
      <x:c r="A2379" s="2" t="str">
        <x:v>GTM</x:v>
      </x:c>
      <x:c r="B2379" s="2" t="str">
        <x:v>irrigated_land</x:v>
      </x:c>
      <x:c r="C2379" s="2" t="n">
        <x:v>6.30632451000202</x:v>
      </x:c>
      <x:c r="D2379" s="2" t="n">
        <x:v>2003</x:v>
      </x:c>
      <x:c r="E2379" s="2" t="str">
        <x:v>WB_irrigated_land</x:v>
      </x:c>
      <x:c r="F2379" s="2" t="str">
        <x:v>Agricultural irrigated land (% of total agricultural land)</x:v>
      </x:c>
    </x:row>
    <x:row r="2380" ht="44" customHeight="1">
      <x:c r="A2380" s="2" t="str">
        <x:v>GTM</x:v>
      </x:c>
      <x:c r="B2380" s="2" t="str">
        <x:v>cereal_area</x:v>
      </x:c>
      <x:c r="C2380" s="2" t="n">
        <x:v>1199195</x:v>
      </x:c>
      <x:c r="D2380" s="2" t="n">
        <x:v>2023</x:v>
      </x:c>
      <x:c r="E2380" s="2" t="str">
        <x:v>WB_cereal_area</x:v>
      </x:c>
      <x:c r="F2380" s="2" t="str">
        <x:v>Land under cereal production (hectares)</x:v>
      </x:c>
    </x:row>
    <x:row r="2381" ht="44" customHeight="1">
      <x:c r="A2381" s="2" t="str">
        <x:v>GTM</x:v>
      </x:c>
      <x:c r="B2381" s="2" t="str">
        <x:v>undernourishment</x:v>
      </x:c>
      <x:c r="C2381" s="2" t="n">
        <x:v>11.8</x:v>
      </x:c>
      <x:c r="D2381" s="2" t="n">
        <x:v>2023</x:v>
      </x:c>
      <x:c r="E2381" s="2" t="str">
        <x:v>WB_undernourishment</x:v>
      </x:c>
      <x:c r="F2381" s="2" t="str">
        <x:v>Prevalence of undernourishment (% of population)</x:v>
      </x:c>
    </x:row>
    <x:row r="2382" ht="44" customHeight="1">
      <x:c r="A2382" s="2" t="str">
        <x:v>GTM</x:v>
      </x:c>
      <x:c r="B2382" s="2" t="str">
        <x:v>agriculture_employment</x:v>
      </x:c>
      <x:c r="C2382" s="2" t="n">
        <x:v>29.052772050081</x:v>
      </x:c>
      <x:c r="D2382" s="2" t="n">
        <x:v>2025</x:v>
      </x:c>
      <x:c r="E2382" s="2" t="str">
        <x:v>WB_agriculture_employment</x:v>
      </x:c>
      <x:c r="F2382" s="2" t="str">
        <x:v>Employment in agriculture (% of total employment) (modeled ILO estimate)</x:v>
      </x:c>
    </x:row>
    <x:row r="2383" ht="44" customHeight="1">
      <x:c r="A2383" s="2" t="str">
        <x:v>GTM</x:v>
      </x:c>
      <x:c r="B2383" s="2" t="str">
        <x:v>water_withdrawal</x:v>
      </x:c>
      <x:c r="C2383" s="2" t="n">
        <x:v>3.04404761904762</x:v>
      </x:c>
      <x:c r="D2383" s="2" t="n">
        <x:v>2022</x:v>
      </x:c>
      <x:c r="E2383" s="2" t="str">
        <x:v>WB_water_withdrawal</x:v>
      </x:c>
      <x:c r="F2383" s="2" t="str">
        <x:v>Annual freshwater withdrawals, total (% of internal resources)</x:v>
      </x:c>
    </x:row>
    <x:row r="2384" ht="44" customHeight="1">
      <x:c r="A2384" s="2" t="str">
        <x:v>GIN</x:v>
      </x:c>
      <x:c r="B2384" s="2" t="str">
        <x:v>population</x:v>
      </x:c>
      <x:c r="C2384" s="2" t="n">
        <x:v>15099727</x:v>
      </x:c>
      <x:c r="D2384" s="2" t="n">
        <x:v>2025</x:v>
      </x:c>
      <x:c r="E2384" s="2" t="str">
        <x:v>WB_population</x:v>
      </x:c>
      <x:c r="F2384" s="2" t="str">
        <x:v>Population, total</x:v>
      </x:c>
    </x:row>
    <x:row r="2385" ht="44" customHeight="1">
      <x:c r="A2385" s="2" t="str">
        <x:v>GIN</x:v>
      </x:c>
      <x:c r="B2385" s="2" t="str">
        <x:v>income_ppp</x:v>
      </x:c>
      <x:c r="C2385" s="2" t="n">
        <x:v>4216.85970804544</x:v>
      </x:c>
      <x:c r="D2385" s="2" t="n">
        <x:v>2025</x:v>
      </x:c>
      <x:c r="E2385" s="2" t="str">
        <x:v>WB_income_ppp</x:v>
      </x:c>
      <x:c r="F2385" s="2" t="str">
        <x:v>GDP per capita, PPP (constant 2021 international $)</x:v>
      </x:c>
    </x:row>
    <x:row r="2386" ht="44" customHeight="1">
      <x:c r="A2386" s="2" t="str">
        <x:v>GIN</x:v>
      </x:c>
      <x:c r="B2386" s="2" t="str">
        <x:v>urban</x:v>
      </x:c>
      <x:c r="C2386" s="2" t="n">
        <x:v>38.5165334466562</x:v>
      </x:c>
      <x:c r="D2386" s="2" t="n">
        <x:v>2025</x:v>
      </x:c>
      <x:c r="E2386" s="2" t="str">
        <x:v>WB_urban</x:v>
      </x:c>
      <x:c r="F2386" s="2" t="str">
        <x:v>Urban population (% of total population)</x:v>
      </x:c>
    </x:row>
    <x:row r="2387" ht="44" customHeight="1">
      <x:c r="A2387" s="2" t="str">
        <x:v>GIN</x:v>
      </x:c>
      <x:c r="B2387" s="2" t="str">
        <x:v>inflation</x:v>
      </x:c>
      <x:c r="C2387" s="2" t="n">
        <x:v>3.54630163142885</x:v>
      </x:c>
      <x:c r="D2387" s="2" t="n">
        <x:v>2025</x:v>
      </x:c>
      <x:c r="E2387" s="2" t="str">
        <x:v>WB_inflation</x:v>
      </x:c>
      <x:c r="F2387" s="2" t="str">
        <x:v>Inflation, consumer prices (annual %)</x:v>
      </x:c>
    </x:row>
    <x:row r="2388" ht="44" customHeight="1">
      <x:c r="A2388" s="2" t="str">
        <x:v>GIN</x:v>
      </x:c>
      <x:c r="B2388" s="2" t="str">
        <x:v>food_index</x:v>
      </x:c>
      <x:c r="C2388" s="2" t="n">
        <x:v>144.8</x:v>
      </x:c>
      <x:c r="D2388" s="2" t="n">
        <x:v>2022</x:v>
      </x:c>
      <x:c r="E2388" s="2" t="str">
        <x:v>WB_food_index</x:v>
      </x:c>
      <x:c r="F2388" s="2" t="str">
        <x:v>Food production index (2014-2016 = 100)</x:v>
      </x:c>
    </x:row>
    <x:row r="2389" ht="44" customHeight="1">
      <x:c r="A2389" s="2" t="str">
        <x:v>GIN</x:v>
      </x:c>
      <x:c r="B2389" s="2" t="str">
        <x:v>food_import_share</x:v>
      </x:c>
      <x:c r="C2389" s="2" t="n">
        <x:v>26.5754022109152</x:v>
      </x:c>
      <x:c r="D2389" s="2" t="n">
        <x:v>2016</x:v>
      </x:c>
      <x:c r="E2389" s="2" t="str">
        <x:v>WB_food_import_share</x:v>
      </x:c>
      <x:c r="F2389" s="2" t="str">
        <x:v>Food imports (% of merchandise imports)</x:v>
      </x:c>
    </x:row>
    <x:row r="2390" ht="44" customHeight="1">
      <x:c r="A2390" s="2" t="str">
        <x:v>GIN</x:v>
      </x:c>
      <x:c r="B2390" s="2" t="str">
        <x:v>food_export_share</x:v>
      </x:c>
      <x:c r="C2390" s="2" t="n">
        <x:v>4.3259011572241</x:v>
      </x:c>
      <x:c r="D2390" s="2" t="n">
        <x:v>2016</x:v>
      </x:c>
      <x:c r="E2390" s="2" t="str">
        <x:v>WB_food_export_share</x:v>
      </x:c>
      <x:c r="F2390" s="2" t="str">
        <x:v>Food exports (% of merchandise exports)</x:v>
      </x:c>
    </x:row>
    <x:row r="2391" ht="44" customHeight="1">
      <x:c r="A2391" s="2" t="str">
        <x:v>GIN</x:v>
      </x:c>
      <x:c r="B2391" s="2" t="str">
        <x:v>imports_usd</x:v>
      </x:c>
      <x:c r="C2391" s="2" t="n">
        <x:v>8344000000</x:v>
      </x:c>
      <x:c r="D2391" s="2" t="n">
        <x:v>2025</x:v>
      </x:c>
      <x:c r="E2391" s="2" t="str">
        <x:v>WB_imports_usd</x:v>
      </x:c>
      <x:c r="F2391" s="2" t="str">
        <x:v>Merchandise imports (current US$)</x:v>
      </x:c>
    </x:row>
    <x:row r="2392" ht="44" customHeight="1">
      <x:c r="A2392" s="2" t="str">
        <x:v>GIN</x:v>
      </x:c>
      <x:c r="B2392" s="2" t="str">
        <x:v>exports_usd</x:v>
      </x:c>
      <x:c r="C2392" s="2" t="n">
        <x:v>15104000000</x:v>
      </x:c>
      <x:c r="D2392" s="2" t="n">
        <x:v>2025</x:v>
      </x:c>
      <x:c r="E2392" s="2" t="str">
        <x:v>WB_exports_usd</x:v>
      </x:c>
      <x:c r="F2392" s="2" t="str">
        <x:v>Merchandise exports (current US$)</x:v>
      </x:c>
    </x:row>
    <x:row r="2393" ht="44" customHeight="1">
      <x:c r="A2393" s="2" t="str">
        <x:v>GIN</x:v>
      </x:c>
      <x:c r="B2393" s="2" t="str">
        <x:v>cereal_yield</x:v>
      </x:c>
      <x:c r="C2393" s="2" t="n">
        <x:v>1351</x:v>
      </x:c>
      <x:c r="D2393" s="2" t="n">
        <x:v>2024</x:v>
      </x:c>
      <x:c r="E2393" s="2" t="str">
        <x:v>WB_cereal_yield</x:v>
      </x:c>
      <x:c r="F2393" s="2" t="str">
        <x:v>Cereal yield (kg per hectare)</x:v>
      </x:c>
    </x:row>
    <x:row r="2394" ht="44" customHeight="1">
      <x:c r="A2394" s="2" t="str">
        <x:v>GIN</x:v>
      </x:c>
      <x:c r="B2394" s="2" t="str">
        <x:v>water_stress</x:v>
      </x:c>
      <x:c r="C2394" s="2" t="n">
        <x:v>1.369230769</x:v>
      </x:c>
      <x:c r="D2394" s="2" t="n">
        <x:v>2022</x:v>
      </x:c>
      <x:c r="E2394" s="2" t="str">
        <x:v>WB_water_stress</x:v>
      </x:c>
      <x:c r="F2394" s="2" t="str">
        <x:v>Level of water stress: freshwater withdrawal as a proportion of available freshwater resources</x:v>
      </x:c>
    </x:row>
    <x:row r="2395" ht="44" customHeight="1">
      <x:c r="A2395" s="2" t="str">
        <x:v>GIN</x:v>
      </x:c>
      <x:c r="B2395" s="2" t="str">
        <x:v>fertility</x:v>
      </x:c>
      <x:c r="C2395" s="2" t="n">
        <x:v>4.131</x:v>
      </x:c>
      <x:c r="D2395" s="2" t="n">
        <x:v>2024</x:v>
      </x:c>
      <x:c r="E2395" s="2" t="str">
        <x:v>WB_fertility</x:v>
      </x:c>
      <x:c r="F2395" s="2" t="str">
        <x:v>Fertility rate, total (births per woman)</x:v>
      </x:c>
    </x:row>
    <x:row r="2396" ht="44" customHeight="1">
      <x:c r="A2396" s="2" t="str">
        <x:v>GIN</x:v>
      </x:c>
      <x:c r="B2396" s="2" t="str">
        <x:v>life_expectancy</x:v>
      </x:c>
      <x:c r="C2396" s="2" t="n">
        <x:v>60.904</x:v>
      </x:c>
      <x:c r="D2396" s="2" t="n">
        <x:v>2024</x:v>
      </x:c>
      <x:c r="E2396" s="2" t="str">
        <x:v>WB_life_expectancy</x:v>
      </x:c>
      <x:c r="F2396" s="2" t="str">
        <x:v>Life expectancy at birth, total (years)</x:v>
      </x:c>
    </x:row>
    <x:row r="2397" ht="44" customHeight="1">
      <x:c r="A2397" s="2" t="str">
        <x:v>GIN</x:v>
      </x:c>
      <x:c r="B2397" s="2" t="str">
        <x:v>age_under15</x:v>
      </x:c>
      <x:c r="C2397" s="2" t="n">
        <x:v>40.5483688546157</x:v>
      </x:c>
      <x:c r="D2397" s="2" t="n">
        <x:v>2025</x:v>
      </x:c>
      <x:c r="E2397" s="2" t="str">
        <x:v>WB_age_under15</x:v>
      </x:c>
      <x:c r="F2397" s="2" t="str">
        <x:v>Population ages 0-14 (% of total population)</x:v>
      </x:c>
    </x:row>
    <x:row r="2398" ht="44" customHeight="1">
      <x:c r="A2398" s="2" t="str">
        <x:v>GIN</x:v>
      </x:c>
      <x:c r="B2398" s="2" t="str">
        <x:v>age_over65</x:v>
      </x:c>
      <x:c r="C2398" s="2" t="n">
        <x:v>3.47302636663564</x:v>
      </x:c>
      <x:c r="D2398" s="2" t="n">
        <x:v>2025</x:v>
      </x:c>
      <x:c r="E2398" s="2" t="str">
        <x:v>WB_age_over65</x:v>
      </x:c>
      <x:c r="F2398" s="2" t="str">
        <x:v>Population ages 65 and above (% of total population)</x:v>
      </x:c>
    </x:row>
    <x:row r="2399" ht="44" customHeight="1">
      <x:c r="A2399" s="2" t="str">
        <x:v>GIN</x:v>
      </x:c>
      <x:c r="B2399" s="2" t="str">
        <x:v>dependency_ratio</x:v>
      </x:c>
      <x:c r="C2399" s="2" t="n">
        <x:v>78.6396897717819</x:v>
      </x:c>
      <x:c r="D2399" s="2" t="n">
        <x:v>2025</x:v>
      </x:c>
      <x:c r="E2399" s="2" t="str">
        <x:v>WB_dependency_ratio</x:v>
      </x:c>
      <x:c r="F2399" s="2" t="str">
        <x:v>Age dependency ratio (% of working-age population)</x:v>
      </x:c>
    </x:row>
    <x:row r="2400" ht="44" customHeight="1">
      <x:c r="A2400" s="2" t="str">
        <x:v>GIN</x:v>
      </x:c>
      <x:c r="B2400" s="2" t="str">
        <x:v>net_migration</x:v>
      </x:c>
      <x:c r="C2400" s="2" t="n">
        <x:v>-16282</x:v>
      </x:c>
      <x:c r="D2400" s="2" t="n">
        <x:v>2025</x:v>
      </x:c>
      <x:c r="E2400" s="2" t="str">
        <x:v>WB_net_migration</x:v>
      </x:c>
      <x:c r="F2400" s="2" t="str">
        <x:v>Net migration</x:v>
      </x:c>
    </x:row>
    <x:row r="2401" ht="44" customHeight="1">
      <x:c r="A2401" s="2" t="str">
        <x:v>GIN</x:v>
      </x:c>
      <x:c r="B2401" s="2" t="str">
        <x:v>real_gdp</x:v>
      </x:c>
      <x:c r="C2401" s="2" t="n">
        <x:v>16581617762.5156</x:v>
      </x:c>
      <x:c r="D2401" s="2" t="n">
        <x:v>2025</x:v>
      </x:c>
      <x:c r="E2401" s="2" t="str">
        <x:v>WB_real_gdp</x:v>
      </x:c>
      <x:c r="F2401" s="2" t="str">
        <x:v>GDP (constant 2015 US$)</x:v>
      </x:c>
    </x:row>
    <x:row r="2402" ht="44" customHeight="1">
      <x:c r="A2402" s="2" t="str">
        <x:v>GIN</x:v>
      </x:c>
      <x:c r="B2402" s="2" t="str">
        <x:v>gdp_growth</x:v>
      </x:c>
      <x:c r="C2402" s="2" t="n">
        <x:v>7.44709668357611</x:v>
      </x:c>
      <x:c r="D2402" s="2" t="n">
        <x:v>2025</x:v>
      </x:c>
      <x:c r="E2402" s="2" t="str">
        <x:v>WB_gdp_growth</x:v>
      </x:c>
      <x:c r="F2402" s="2" t="str">
        <x:v>GDP growth (annual %)</x:v>
      </x:c>
    </x:row>
    <x:row r="2403" ht="44" customHeight="1">
      <x:c r="A2403" s="2" t="str">
        <x:v>GIN</x:v>
      </x:c>
      <x:c r="B2403" s="2" t="str">
        <x:v>real_income</x:v>
      </x:c>
      <x:c r="C2403" s="2" t="n">
        <x:v>1098.14023541721</x:v>
      </x:c>
      <x:c r="D2403" s="2" t="n">
        <x:v>2025</x:v>
      </x:c>
      <x:c r="E2403" s="2" t="str">
        <x:v>WB_real_income</x:v>
      </x:c>
      <x:c r="F2403" s="2" t="str">
        <x:v>GDP per capita (constant 2015 US$)</x:v>
      </x:c>
    </x:row>
    <x:row r="2404" ht="44" customHeight="1">
      <x:c r="A2404" s="2" t="str">
        <x:v>GIN</x:v>
      </x:c>
      <x:c r="B2404" s="2" t="str">
        <x:v>agriculture_gdp</x:v>
      </x:c>
      <x:c r="C2404" s="2" t="n">
        <x:v>31.2924827047092</x:v>
      </x:c>
      <x:c r="D2404" s="2" t="n">
        <x:v>2025</x:v>
      </x:c>
      <x:c r="E2404" s="2" t="str">
        <x:v>WB_agriculture_gdp</x:v>
      </x:c>
      <x:c r="F2404" s="2" t="str">
        <x:v>Agriculture, forestry, and fishing, value added (% of GDP)</x:v>
      </x:c>
    </x:row>
    <x:row r="2405" ht="44" customHeight="1">
      <x:c r="A2405" s="2" t="str">
        <x:v>GIN</x:v>
      </x:c>
      <x:c r="B2405" s="2" t="str">
        <x:v>poverty</x:v>
      </x:c>
      <x:c r="C2405" s="2" t="n">
        <x:v>11.7</x:v>
      </x:c>
      <x:c r="D2405" s="2" t="n">
        <x:v>2018</x:v>
      </x:c>
      <x:c r="E2405" s="2" t="str">
        <x:v>WB_poverty</x:v>
      </x:c>
      <x:c r="F2405" s="2" t="str">
        <x:v>Poverty headcount ratio at $3.00 a day (2021 PPP) (% of population)</x:v>
      </x:c>
    </x:row>
    <x:row r="2406" ht="44" customHeight="1">
      <x:c r="A2406" s="2" t="str">
        <x:v>GIN</x:v>
      </x:c>
      <x:c r="B2406" s="2" t="str">
        <x:v>gini</x:v>
      </x:c>
      <x:c r="C2406" s="2" t="n">
        <x:v>29.6</x:v>
      </x:c>
      <x:c r="D2406" s="2" t="n">
        <x:v>2018</x:v>
      </x:c>
      <x:c r="E2406" s="2" t="str">
        <x:v>WB_gini</x:v>
      </x:c>
      <x:c r="F2406" s="2" t="str">
        <x:v>Gini index</x:v>
      </x:c>
    </x:row>
    <x:row r="2407" ht="44" customHeight="1">
      <x:c r="A2407" s="2" t="str">
        <x:v>GIN</x:v>
      </x:c>
      <x:c r="B2407" s="2" t="str">
        <x:v>unemployment</x:v>
      </x:c>
      <x:c r="C2407" s="2" t="n">
        <x:v>5.163</x:v>
      </x:c>
      <x:c r="D2407" s="2" t="n">
        <x:v>2025</x:v>
      </x:c>
      <x:c r="E2407" s="2" t="str">
        <x:v>WB_unemployment</x:v>
      </x:c>
      <x:c r="F2407" s="2" t="str">
        <x:v>Unemployment, total (% of total labor force) (modeled ILO estimate)</x:v>
      </x:c>
    </x:row>
    <x:row r="2408" ht="44" customHeight="1">
      <x:c r="A2408" s="2" t="str">
        <x:v>GIN</x:v>
      </x:c>
      <x:c r="B2408" s="2" t="str">
        <x:v>private_credit</x:v>
      </x:c>
      <x:c r="C2408" s="2" t="n">
        <x:v>10.5740083117121</x:v>
      </x:c>
      <x:c r="D2408" s="2" t="n">
        <x:v>2025</x:v>
      </x:c>
      <x:c r="E2408" s="2" t="str">
        <x:v>WB_private_credit</x:v>
      </x:c>
      <x:c r="F2408" s="2" t="str">
        <x:v>Domestic credit to private sector (% of GDP)</x:v>
      </x:c>
    </x:row>
    <x:row r="2409" ht="44" customHeight="1">
      <x:c r="A2409" s="2" t="str">
        <x:v>GIN</x:v>
      </x:c>
      <x:c r="B2409" s="2" t="str">
        <x:v>lending_rate</x:v>
      </x:c>
      <x:c r="C2409" s="2" t="n">
        <x:v>12.875</x:v>
      </x:c>
      <x:c r="D2409" s="2" t="n">
        <x:v>2001</x:v>
      </x:c>
      <x:c r="E2409" s="2" t="str">
        <x:v>WB_lending_rate</x:v>
      </x:c>
      <x:c r="F2409" s="2" t="str">
        <x:v>Lending interest rate (%)</x:v>
      </x:c>
    </x:row>
    <x:row r="2410" ht="44" customHeight="1">
      <x:c r="A2410" s="2" t="str">
        <x:v>GIN</x:v>
      </x:c>
      <x:c r="B2410" s="2" t="str">
        <x:v>real_interest</x:v>
      </x:c>
      <x:c r="C2410" s="2" t="n">
        <x:v>10.9310156857046</x:v>
      </x:c>
      <x:c r="D2410" s="2" t="n">
        <x:v>2001</x:v>
      </x:c>
      <x:c r="E2410" s="2" t="str">
        <x:v>WB_real_interest</x:v>
      </x:c>
      <x:c r="F2410" s="2" t="str">
        <x:v>Real interest rate (%)</x:v>
      </x:c>
    </x:row>
    <x:row r="2411" ht="44" customHeight="1">
      <x:c r="A2411" s="2" t="str">
        <x:v>GIN</x:v>
      </x:c>
      <x:c r="B2411" s="2" t="str">
        <x:v>government_debt</x:v>
      </x:c>
      <x:c r="C2411" s="2"/>
      <x:c r="D2411" s="2"/>
      <x:c r="E2411" s="2" t="str">
        <x:v>Missing</x:v>
      </x:c>
      <x:c r="F2411" s="2" t="str">
        <x:v>Central government debt, total (% of GDP)</x:v>
      </x:c>
    </x:row>
    <x:row r="2412" ht="44" customHeight="1">
      <x:c r="A2412" s="2" t="str">
        <x:v>GIN</x:v>
      </x:c>
      <x:c r="B2412" s="2" t="str">
        <x:v>electricity_access</x:v>
      </x:c>
      <x:c r="C2412" s="2" t="n">
        <x:v>53.8</x:v>
      </x:c>
      <x:c r="D2412" s="2" t="n">
        <x:v>2024</x:v>
      </x:c>
      <x:c r="E2412" s="2" t="str">
        <x:v>WB_electricity_access</x:v>
      </x:c>
      <x:c r="F2412" s="2" t="str">
        <x:v>Access to electricity (% of population)</x:v>
      </x:c>
    </x:row>
    <x:row r="2413" ht="44" customHeight="1">
      <x:c r="A2413" s="2" t="str">
        <x:v>GIN</x:v>
      </x:c>
      <x:c r="B2413" s="2" t="str">
        <x:v>irrigated_land</x:v>
      </x:c>
      <x:c r="C2413" s="2" t="n">
        <x:v>0.573996293689601</x:v>
      </x:c>
      <x:c r="D2413" s="2" t="n">
        <x:v>2017</x:v>
      </x:c>
      <x:c r="E2413" s="2" t="str">
        <x:v>WB_irrigated_land</x:v>
      </x:c>
      <x:c r="F2413" s="2" t="str">
        <x:v>Agricultural irrigated land (% of total agricultural land)</x:v>
      </x:c>
    </x:row>
    <x:row r="2414" ht="44" customHeight="1">
      <x:c r="A2414" s="2" t="str">
        <x:v>GIN</x:v>
      </x:c>
      <x:c r="B2414" s="2" t="str">
        <x:v>cereal_area</x:v>
      </x:c>
      <x:c r="C2414" s="2" t="n">
        <x:v>3985943</x:v>
      </x:c>
      <x:c r="D2414" s="2" t="n">
        <x:v>2024</x:v>
      </x:c>
      <x:c r="E2414" s="2" t="str">
        <x:v>WB_cereal_area</x:v>
      </x:c>
      <x:c r="F2414" s="2" t="str">
        <x:v>Land under cereal production (hectares)</x:v>
      </x:c>
    </x:row>
    <x:row r="2415" ht="44" customHeight="1">
      <x:c r="A2415" s="2" t="str">
        <x:v>GIN</x:v>
      </x:c>
      <x:c r="B2415" s="2" t="str">
        <x:v>undernourishment</x:v>
      </x:c>
      <x:c r="C2415" s="2" t="n">
        <x:v>11.4</x:v>
      </x:c>
      <x:c r="D2415" s="2" t="n">
        <x:v>2023</x:v>
      </x:c>
      <x:c r="E2415" s="2" t="str">
        <x:v>WB_undernourishment</x:v>
      </x:c>
      <x:c r="F2415" s="2" t="str">
        <x:v>Prevalence of undernourishment (% of population)</x:v>
      </x:c>
    </x:row>
    <x:row r="2416" ht="44" customHeight="1">
      <x:c r="A2416" s="2" t="str">
        <x:v>GIN</x:v>
      </x:c>
      <x:c r="B2416" s="2" t="str">
        <x:v>agriculture_employment</x:v>
      </x:c>
      <x:c r="C2416" s="2" t="n">
        <x:v>47.3583729943351</x:v>
      </x:c>
      <x:c r="D2416" s="2" t="n">
        <x:v>2025</x:v>
      </x:c>
      <x:c r="E2416" s="2" t="str">
        <x:v>WB_agriculture_employment</x:v>
      </x:c>
      <x:c r="F2416" s="2" t="str">
        <x:v>Employment in agriculture (% of total employment) (modeled ILO estimate)</x:v>
      </x:c>
    </x:row>
    <x:row r="2417" ht="44" customHeight="1">
      <x:c r="A2417" s="2" t="str">
        <x:v>GIN</x:v>
      </x:c>
      <x:c r="B2417" s="2" t="str">
        <x:v>water_withdrawal</x:v>
      </x:c>
      <x:c r="C2417" s="2" t="n">
        <x:v>0.393805309734513</x:v>
      </x:c>
      <x:c r="D2417" s="2" t="n">
        <x:v>2022</x:v>
      </x:c>
      <x:c r="E2417" s="2" t="str">
        <x:v>WB_water_withdrawal</x:v>
      </x:c>
      <x:c r="F2417" s="2" t="str">
        <x:v>Annual freshwater withdrawals, total (% of internal resources)</x:v>
      </x:c>
    </x:row>
    <x:row r="2418" ht="44" customHeight="1">
      <x:c r="A2418" s="2" t="str">
        <x:v>GNB</x:v>
      </x:c>
      <x:c r="B2418" s="2" t="str">
        <x:v>population</x:v>
      </x:c>
      <x:c r="C2418" s="2" t="n">
        <x:v>2249515</x:v>
      </x:c>
      <x:c r="D2418" s="2" t="n">
        <x:v>2025</x:v>
      </x:c>
      <x:c r="E2418" s="2" t="str">
        <x:v>WB_population</x:v>
      </x:c>
      <x:c r="F2418" s="2" t="str">
        <x:v>Population, total</x:v>
      </x:c>
    </x:row>
    <x:row r="2419" ht="44" customHeight="1">
      <x:c r="A2419" s="2" t="str">
        <x:v>GNB</x:v>
      </x:c>
      <x:c r="B2419" s="2" t="str">
        <x:v>income_ppp</x:v>
      </x:c>
      <x:c r="C2419" s="2" t="n">
        <x:v>2814.08355940327</x:v>
      </x:c>
      <x:c r="D2419" s="2" t="n">
        <x:v>2025</x:v>
      </x:c>
      <x:c r="E2419" s="2" t="str">
        <x:v>WB_income_ppp</x:v>
      </x:c>
      <x:c r="F2419" s="2" t="str">
        <x:v>GDP per capita, PPP (constant 2021 international $)</x:v>
      </x:c>
    </x:row>
    <x:row r="2420" ht="44" customHeight="1">
      <x:c r="A2420" s="2" t="str">
        <x:v>GNB</x:v>
      </x:c>
      <x:c r="B2420" s="2" t="str">
        <x:v>urban</x:v>
      </x:c>
      <x:c r="C2420" s="2" t="n">
        <x:v>46.6510315281292</x:v>
      </x:c>
      <x:c r="D2420" s="2" t="n">
        <x:v>2025</x:v>
      </x:c>
      <x:c r="E2420" s="2" t="str">
        <x:v>WB_urban</x:v>
      </x:c>
      <x:c r="F2420" s="2" t="str">
        <x:v>Urban population (% of total population)</x:v>
      </x:c>
    </x:row>
    <x:row r="2421" ht="44" customHeight="1">
      <x:c r="A2421" s="2" t="str">
        <x:v>GNB</x:v>
      </x:c>
      <x:c r="B2421" s="2" t="str">
        <x:v>inflation</x:v>
      </x:c>
      <x:c r="C2421" s="2" t="n">
        <x:v>0.874929691038717</x:v>
      </x:c>
      <x:c r="D2421" s="2" t="n">
        <x:v>2025</x:v>
      </x:c>
      <x:c r="E2421" s="2" t="str">
        <x:v>WB_inflation</x:v>
      </x:c>
      <x:c r="F2421" s="2" t="str">
        <x:v>Inflation, consumer prices (annual %)</x:v>
      </x:c>
    </x:row>
    <x:row r="2422" ht="44" customHeight="1">
      <x:c r="A2422" s="2" t="str">
        <x:v>GNB</x:v>
      </x:c>
      <x:c r="B2422" s="2" t="str">
        <x:v>food_index</x:v>
      </x:c>
      <x:c r="C2422" s="2" t="n">
        <x:v>122.25</x:v>
      </x:c>
      <x:c r="D2422" s="2" t="n">
        <x:v>2022</x:v>
      </x:c>
      <x:c r="E2422" s="2" t="str">
        <x:v>WB_food_index</x:v>
      </x:c>
      <x:c r="F2422" s="2" t="str">
        <x:v>Food production index (2014-2016 = 100)</x:v>
      </x:c>
    </x:row>
    <x:row r="2423" ht="44" customHeight="1">
      <x:c r="A2423" s="2" t="str">
        <x:v>GNB</x:v>
      </x:c>
      <x:c r="B2423" s="2" t="str">
        <x:v>food_import_share</x:v>
      </x:c>
      <x:c r="C2423" s="2" t="n">
        <x:v>41.7103517219214</x:v>
      </x:c>
      <x:c r="D2423" s="2" t="n">
        <x:v>2018</x:v>
      </x:c>
      <x:c r="E2423" s="2" t="str">
        <x:v>WB_food_import_share</x:v>
      </x:c>
      <x:c r="F2423" s="2" t="str">
        <x:v>Food imports (% of merchandise imports)</x:v>
      </x:c>
    </x:row>
    <x:row r="2424" ht="44" customHeight="1">
      <x:c r="A2424" s="2" t="str">
        <x:v>GNB</x:v>
      </x:c>
      <x:c r="B2424" s="2" t="str">
        <x:v>food_export_share</x:v>
      </x:c>
      <x:c r="C2424" s="2" t="n">
        <x:v>68.5471717140003</x:v>
      </x:c>
      <x:c r="D2424" s="2" t="n">
        <x:v>2018</x:v>
      </x:c>
      <x:c r="E2424" s="2" t="str">
        <x:v>WB_food_export_share</x:v>
      </x:c>
      <x:c r="F2424" s="2" t="str">
        <x:v>Food exports (% of merchandise exports)</x:v>
      </x:c>
    </x:row>
    <x:row r="2425" ht="44" customHeight="1">
      <x:c r="A2425" s="2" t="str">
        <x:v>GNB</x:v>
      </x:c>
      <x:c r="B2425" s="2" t="str">
        <x:v>imports_usd</x:v>
      </x:c>
      <x:c r="C2425" s="2" t="n">
        <x:v>489000000</x:v>
      </x:c>
      <x:c r="D2425" s="2" t="n">
        <x:v>2025</x:v>
      </x:c>
      <x:c r="E2425" s="2" t="str">
        <x:v>WB_imports_usd</x:v>
      </x:c>
      <x:c r="F2425" s="2" t="str">
        <x:v>Merchandise imports (current US$)</x:v>
      </x:c>
    </x:row>
    <x:row r="2426" ht="44" customHeight="1">
      <x:c r="A2426" s="2" t="str">
        <x:v>GNB</x:v>
      </x:c>
      <x:c r="B2426" s="2" t="str">
        <x:v>exports_usd</x:v>
      </x:c>
      <x:c r="C2426" s="2" t="n">
        <x:v>313000000</x:v>
      </x:c>
      <x:c r="D2426" s="2" t="n">
        <x:v>2025</x:v>
      </x:c>
      <x:c r="E2426" s="2" t="str">
        <x:v>WB_exports_usd</x:v>
      </x:c>
      <x:c r="F2426" s="2" t="str">
        <x:v>Merchandise exports (current US$)</x:v>
      </x:c>
    </x:row>
    <x:row r="2427" ht="44" customHeight="1">
      <x:c r="A2427" s="2" t="str">
        <x:v>GNB</x:v>
      </x:c>
      <x:c r="B2427" s="2" t="str">
        <x:v>cereal_yield</x:v>
      </x:c>
      <x:c r="C2427" s="2" t="n">
        <x:v>1333.4</x:v>
      </x:c>
      <x:c r="D2427" s="2" t="n">
        <x:v>2024</x:v>
      </x:c>
      <x:c r="E2427" s="2" t="str">
        <x:v>WB_cereal_yield</x:v>
      </x:c>
      <x:c r="F2427" s="2" t="str">
        <x:v>Cereal yield (kg per hectare)</x:v>
      </x:c>
    </x:row>
    <x:row r="2428" ht="44" customHeight="1">
      <x:c r="A2428" s="2" t="str">
        <x:v>GNB</x:v>
      </x:c>
      <x:c r="B2428" s="2" t="str">
        <x:v>water_stress</x:v>
      </x:c>
      <x:c r="C2428" s="2" t="n">
        <x:v>1.495726496</x:v>
      </x:c>
      <x:c r="D2428" s="2" t="n">
        <x:v>2022</x:v>
      </x:c>
      <x:c r="E2428" s="2" t="str">
        <x:v>WB_water_stress</x:v>
      </x:c>
      <x:c r="F2428" s="2" t="str">
        <x:v>Level of water stress: freshwater withdrawal as a proportion of available freshwater resources</x:v>
      </x:c>
    </x:row>
    <x:row r="2429" ht="44" customHeight="1">
      <x:c r="A2429" s="2" t="str">
        <x:v>GNB</x:v>
      </x:c>
      <x:c r="B2429" s="2" t="str">
        <x:v>fertility</x:v>
      </x:c>
      <x:c r="C2429" s="2" t="n">
        <x:v>3.757</x:v>
      </x:c>
      <x:c r="D2429" s="2" t="n">
        <x:v>2024</x:v>
      </x:c>
      <x:c r="E2429" s="2" t="str">
        <x:v>WB_fertility</x:v>
      </x:c>
      <x:c r="F2429" s="2" t="str">
        <x:v>Fertility rate, total (births per woman)</x:v>
      </x:c>
    </x:row>
    <x:row r="2430" ht="44" customHeight="1">
      <x:c r="A2430" s="2" t="str">
        <x:v>GNB</x:v>
      </x:c>
      <x:c r="B2430" s="2" t="str">
        <x:v>life_expectancy</x:v>
      </x:c>
      <x:c r="C2430" s="2" t="n">
        <x:v>64.254</x:v>
      </x:c>
      <x:c r="D2430" s="2" t="n">
        <x:v>2024</x:v>
      </x:c>
      <x:c r="E2430" s="2" t="str">
        <x:v>WB_life_expectancy</x:v>
      </x:c>
      <x:c r="F2430" s="2" t="str">
        <x:v>Life expectancy at birth, total (years)</x:v>
      </x:c>
    </x:row>
    <x:row r="2431" ht="44" customHeight="1">
      <x:c r="A2431" s="2" t="str">
        <x:v>GNB</x:v>
      </x:c>
      <x:c r="B2431" s="2" t="str">
        <x:v>age_under15</x:v>
      </x:c>
      <x:c r="C2431" s="2" t="n">
        <x:v>38.3251723149212</x:v>
      </x:c>
      <x:c r="D2431" s="2" t="n">
        <x:v>2025</x:v>
      </x:c>
      <x:c r="E2431" s="2" t="str">
        <x:v>WB_age_under15</x:v>
      </x:c>
      <x:c r="F2431" s="2" t="str">
        <x:v>Population ages 0-14 (% of total population)</x:v>
      </x:c>
    </x:row>
    <x:row r="2432" ht="44" customHeight="1">
      <x:c r="A2432" s="2" t="str">
        <x:v>GNB</x:v>
      </x:c>
      <x:c r="B2432" s="2" t="str">
        <x:v>age_over65</x:v>
      </x:c>
      <x:c r="C2432" s="2" t="n">
        <x:v>3.23723113648942</x:v>
      </x:c>
      <x:c r="D2432" s="2" t="n">
        <x:v>2025</x:v>
      </x:c>
      <x:c r="E2432" s="2" t="str">
        <x:v>WB_age_over65</x:v>
      </x:c>
      <x:c r="F2432" s="2" t="str">
        <x:v>Population ages 65 and above (% of total population)</x:v>
      </x:c>
    </x:row>
    <x:row r="2433" ht="44" customHeight="1">
      <x:c r="A2433" s="2" t="str">
        <x:v>GNB</x:v>
      </x:c>
      <x:c r="B2433" s="2" t="str">
        <x:v>dependency_ratio</x:v>
      </x:c>
      <x:c r="C2433" s="2" t="n">
        <x:v>71.122646841574</x:v>
      </x:c>
      <x:c r="D2433" s="2" t="n">
        <x:v>2025</x:v>
      </x:c>
      <x:c r="E2433" s="2" t="str">
        <x:v>WB_dependency_ratio</x:v>
      </x:c>
      <x:c r="F2433" s="2" t="str">
        <x:v>Age dependency ratio (% of working-age population)</x:v>
      </x:c>
    </x:row>
    <x:row r="2434" ht="44" customHeight="1">
      <x:c r="A2434" s="2" t="str">
        <x:v>GNB</x:v>
      </x:c>
      <x:c r="B2434" s="2" t="str">
        <x:v>net_migration</x:v>
      </x:c>
      <x:c r="C2434" s="2" t="n">
        <x:v>-1373</x:v>
      </x:c>
      <x:c r="D2434" s="2" t="n">
        <x:v>2025</x:v>
      </x:c>
      <x:c r="E2434" s="2" t="str">
        <x:v>WB_net_migration</x:v>
      </x:c>
      <x:c r="F2434" s="2" t="str">
        <x:v>Net migration</x:v>
      </x:c>
    </x:row>
    <x:row r="2435" ht="44" customHeight="1">
      <x:c r="A2435" s="2" t="str">
        <x:v>GNB</x:v>
      </x:c>
      <x:c r="B2435" s="2" t="str">
        <x:v>real_gdp</x:v>
      </x:c>
      <x:c r="C2435" s="2" t="n">
        <x:v>1830722598.28661</x:v>
      </x:c>
      <x:c r="D2435" s="2" t="n">
        <x:v>2025</x:v>
      </x:c>
      <x:c r="E2435" s="2" t="str">
        <x:v>WB_real_gdp</x:v>
      </x:c>
      <x:c r="F2435" s="2" t="str">
        <x:v>GDP (constant 2015 US$)</x:v>
      </x:c>
    </x:row>
    <x:row r="2436" ht="44" customHeight="1">
      <x:c r="A2436" s="2" t="str">
        <x:v>GNB</x:v>
      </x:c>
      <x:c r="B2436" s="2" t="str">
        <x:v>gdp_growth</x:v>
      </x:c>
      <x:c r="C2436" s="2" t="n">
        <x:v>5.81813762310792</x:v>
      </x:c>
      <x:c r="D2436" s="2" t="n">
        <x:v>2025</x:v>
      </x:c>
      <x:c r="E2436" s="2" t="str">
        <x:v>WB_gdp_growth</x:v>
      </x:c>
      <x:c r="F2436" s="2" t="str">
        <x:v>GDP growth (annual %)</x:v>
      </x:c>
    </x:row>
    <x:row r="2437" ht="44" customHeight="1">
      <x:c r="A2437" s="2" t="str">
        <x:v>GNB</x:v>
      </x:c>
      <x:c r="B2437" s="2" t="str">
        <x:v>real_income</x:v>
      </x:c>
      <x:c r="C2437" s="2" t="n">
        <x:v>813.829913686556</x:v>
      </x:c>
      <x:c r="D2437" s="2" t="n">
        <x:v>2025</x:v>
      </x:c>
      <x:c r="E2437" s="2" t="str">
        <x:v>WB_real_income</x:v>
      </x:c>
      <x:c r="F2437" s="2" t="str">
        <x:v>GDP per capita (constant 2015 US$)</x:v>
      </x:c>
    </x:row>
    <x:row r="2438" ht="44" customHeight="1">
      <x:c r="A2438" s="2" t="str">
        <x:v>GNB</x:v>
      </x:c>
      <x:c r="B2438" s="2" t="str">
        <x:v>agriculture_gdp</x:v>
      </x:c>
      <x:c r="C2438" s="2" t="n">
        <x:v>40.6286009989156</x:v>
      </x:c>
      <x:c r="D2438" s="2" t="n">
        <x:v>2025</x:v>
      </x:c>
      <x:c r="E2438" s="2" t="str">
        <x:v>WB_agriculture_gdp</x:v>
      </x:c>
      <x:c r="F2438" s="2" t="str">
        <x:v>Agriculture, forestry, and fishing, value added (% of GDP)</x:v>
      </x:c>
    </x:row>
    <x:row r="2439" ht="44" customHeight="1">
      <x:c r="A2439" s="2" t="str">
        <x:v>GNB</x:v>
      </x:c>
      <x:c r="B2439" s="2" t="str">
        <x:v>poverty</x:v>
      </x:c>
      <x:c r="C2439" s="2" t="n">
        <x:v>39.9</x:v>
      </x:c>
      <x:c r="D2439" s="2" t="n">
        <x:v>2021</x:v>
      </x:c>
      <x:c r="E2439" s="2" t="str">
        <x:v>WB_poverty</x:v>
      </x:c>
      <x:c r="F2439" s="2" t="str">
        <x:v>Poverty headcount ratio at $3.00 a day (2021 PPP) (% of population)</x:v>
      </x:c>
    </x:row>
    <x:row r="2440" ht="44" customHeight="1">
      <x:c r="A2440" s="2" t="str">
        <x:v>GNB</x:v>
      </x:c>
      <x:c r="B2440" s="2" t="str">
        <x:v>gini</x:v>
      </x:c>
      <x:c r="C2440" s="2" t="n">
        <x:v>33.4</x:v>
      </x:c>
      <x:c r="D2440" s="2" t="n">
        <x:v>2021</x:v>
      </x:c>
      <x:c r="E2440" s="2" t="str">
        <x:v>WB_gini</x:v>
      </x:c>
      <x:c r="F2440" s="2" t="str">
        <x:v>Gini index</x:v>
      </x:c>
    </x:row>
    <x:row r="2441" ht="44" customHeight="1">
      <x:c r="A2441" s="2" t="str">
        <x:v>GNB</x:v>
      </x:c>
      <x:c r="B2441" s="2" t="str">
        <x:v>unemployment</x:v>
      </x:c>
      <x:c r="C2441" s="2" t="n">
        <x:v>2.673</x:v>
      </x:c>
      <x:c r="D2441" s="2" t="n">
        <x:v>2025</x:v>
      </x:c>
      <x:c r="E2441" s="2" t="str">
        <x:v>WB_unemployment</x:v>
      </x:c>
      <x:c r="F2441" s="2" t="str">
        <x:v>Unemployment, total (% of total labor force) (modeled ILO estimate)</x:v>
      </x:c>
    </x:row>
    <x:row r="2442" ht="44" customHeight="1">
      <x:c r="A2442" s="2" t="str">
        <x:v>GNB</x:v>
      </x:c>
      <x:c r="B2442" s="2" t="str">
        <x:v>private_credit</x:v>
      </x:c>
      <x:c r="C2442" s="2" t="n">
        <x:v>9.9872244553091</x:v>
      </x:c>
      <x:c r="D2442" s="2" t="n">
        <x:v>2025</x:v>
      </x:c>
      <x:c r="E2442" s="2" t="str">
        <x:v>WB_private_credit</x:v>
      </x:c>
      <x:c r="F2442" s="2" t="str">
        <x:v>Domestic credit to private sector (% of GDP)</x:v>
      </x:c>
    </x:row>
    <x:row r="2443" ht="44" customHeight="1">
      <x:c r="A2443" s="2" t="str">
        <x:v>GNB</x:v>
      </x:c>
      <x:c r="B2443" s="2" t="str">
        <x:v>lending_rate</x:v>
      </x:c>
      <x:c r="C2443" s="2" t="n">
        <x:v>5.295</x:v>
      </x:c>
      <x:c r="D2443" s="2" t="n">
        <x:v>2016</x:v>
      </x:c>
      <x:c r="E2443" s="2" t="str">
        <x:v>WB_lending_rate</x:v>
      </x:c>
      <x:c r="F2443" s="2" t="str">
        <x:v>Lending interest rate (%)</x:v>
      </x:c>
    </x:row>
    <x:row r="2444" ht="44" customHeight="1">
      <x:c r="A2444" s="2" t="str">
        <x:v>GNB</x:v>
      </x:c>
      <x:c r="B2444" s="2" t="str">
        <x:v>real_interest</x:v>
      </x:c>
      <x:c r="C2444" s="2" t="n">
        <x:v>2.50906461852061</x:v>
      </x:c>
      <x:c r="D2444" s="2" t="n">
        <x:v>2016</x:v>
      </x:c>
      <x:c r="E2444" s="2" t="str">
        <x:v>WB_real_interest</x:v>
      </x:c>
      <x:c r="F2444" s="2" t="str">
        <x:v>Real interest rate (%)</x:v>
      </x:c>
    </x:row>
    <x:row r="2445" ht="44" customHeight="1">
      <x:c r="A2445" s="2" t="str">
        <x:v>GNB</x:v>
      </x:c>
      <x:c r="B2445" s="2" t="str">
        <x:v>government_debt</x:v>
      </x:c>
      <x:c r="C2445" s="2"/>
      <x:c r="D2445" s="2"/>
      <x:c r="E2445" s="2" t="str">
        <x:v>Missing</x:v>
      </x:c>
      <x:c r="F2445" s="2" t="str">
        <x:v>Central government debt, total (% of GDP)</x:v>
      </x:c>
    </x:row>
    <x:row r="2446" ht="44" customHeight="1">
      <x:c r="A2446" s="2" t="str">
        <x:v>GNB</x:v>
      </x:c>
      <x:c r="B2446" s="2" t="str">
        <x:v>electricity_access</x:v>
      </x:c>
      <x:c r="C2446" s="2" t="n">
        <x:v>43.7</x:v>
      </x:c>
      <x:c r="D2446" s="2" t="n">
        <x:v>2024</x:v>
      </x:c>
      <x:c r="E2446" s="2" t="str">
        <x:v>WB_electricity_access</x:v>
      </x:c>
      <x:c r="F2446" s="2" t="str">
        <x:v>Access to electricity (% of population)</x:v>
      </x:c>
    </x:row>
    <x:row r="2447" ht="44" customHeight="1">
      <x:c r="A2447" s="2" t="str">
        <x:v>GNB</x:v>
      </x:c>
      <x:c r="B2447" s="2" t="str">
        <x:v>irrigated_land</x:v>
      </x:c>
      <x:c r="C2447" s="2"/>
      <x:c r="D2447" s="2"/>
      <x:c r="E2447" s="2" t="str">
        <x:v>Missing</x:v>
      </x:c>
      <x:c r="F2447" s="2" t="str">
        <x:v>Agricultural irrigated land (% of total agricultural land)</x:v>
      </x:c>
    </x:row>
    <x:row r="2448" ht="44" customHeight="1">
      <x:c r="A2448" s="2" t="str">
        <x:v>GNB</x:v>
      </x:c>
      <x:c r="B2448" s="2" t="str">
        <x:v>cereal_area</x:v>
      </x:c>
      <x:c r="C2448" s="2" t="n">
        <x:v>242659</x:v>
      </x:c>
      <x:c r="D2448" s="2" t="n">
        <x:v>2024</x:v>
      </x:c>
      <x:c r="E2448" s="2" t="str">
        <x:v>WB_cereal_area</x:v>
      </x:c>
      <x:c r="F2448" s="2" t="str">
        <x:v>Land under cereal production (hectares)</x:v>
      </x:c>
    </x:row>
    <x:row r="2449" ht="44" customHeight="1">
      <x:c r="A2449" s="2" t="str">
        <x:v>GNB</x:v>
      </x:c>
      <x:c r="B2449" s="2" t="str">
        <x:v>undernourishment</x:v>
      </x:c>
      <x:c r="C2449" s="2" t="n">
        <x:v>22.1</x:v>
      </x:c>
      <x:c r="D2449" s="2" t="n">
        <x:v>2023</x:v>
      </x:c>
      <x:c r="E2449" s="2" t="str">
        <x:v>WB_undernourishment</x:v>
      </x:c>
      <x:c r="F2449" s="2" t="str">
        <x:v>Prevalence of undernourishment (% of population)</x:v>
      </x:c>
    </x:row>
    <x:row r="2450" ht="44" customHeight="1">
      <x:c r="A2450" s="2" t="str">
        <x:v>GNB</x:v>
      </x:c>
      <x:c r="B2450" s="2" t="str">
        <x:v>agriculture_employment</x:v>
      </x:c>
      <x:c r="C2450" s="2" t="n">
        <x:v>61.0725985308216</x:v>
      </x:c>
      <x:c r="D2450" s="2" t="n">
        <x:v>2025</x:v>
      </x:c>
      <x:c r="E2450" s="2" t="str">
        <x:v>WB_agriculture_employment</x:v>
      </x:c>
      <x:c r="F2450" s="2" t="str">
        <x:v>Employment in agriculture (% of total employment) (modeled ILO estimate)</x:v>
      </x:c>
    </x:row>
    <x:row r="2451" ht="44" customHeight="1">
      <x:c r="A2451" s="2" t="str">
        <x:v>GNB</x:v>
      </x:c>
      <x:c r="B2451" s="2" t="str">
        <x:v>water_withdrawal</x:v>
      </x:c>
      <x:c r="C2451" s="2" t="n">
        <x:v>1.09375</x:v>
      </x:c>
      <x:c r="D2451" s="2" t="n">
        <x:v>2022</x:v>
      </x:c>
      <x:c r="E2451" s="2" t="str">
        <x:v>WB_water_withdrawal</x:v>
      </x:c>
      <x:c r="F2451" s="2" t="str">
        <x:v>Annual freshwater withdrawals, total (% of internal resources)</x:v>
      </x:c>
    </x:row>
    <x:row r="2452" ht="44" customHeight="1">
      <x:c r="A2452" s="2" t="str">
        <x:v>GUY</x:v>
      </x:c>
      <x:c r="B2452" s="2" t="str">
        <x:v>population</x:v>
      </x:c>
      <x:c r="C2452" s="2" t="n">
        <x:v>835986</x:v>
      </x:c>
      <x:c r="D2452" s="2" t="n">
        <x:v>2025</x:v>
      </x:c>
      <x:c r="E2452" s="2" t="str">
        <x:v>WB_population</x:v>
      </x:c>
      <x:c r="F2452" s="2" t="str">
        <x:v>Population, total</x:v>
      </x:c>
    </x:row>
    <x:row r="2453" ht="44" customHeight="1">
      <x:c r="A2453" s="2" t="str">
        <x:v>GUY</x:v>
      </x:c>
      <x:c r="B2453" s="2" t="str">
        <x:v>income_ppp</x:v>
      </x:c>
      <x:c r="C2453" s="2" t="n">
        <x:v>83658.6773475997</x:v>
      </x:c>
      <x:c r="D2453" s="2" t="n">
        <x:v>2025</x:v>
      </x:c>
      <x:c r="E2453" s="2" t="str">
        <x:v>WB_income_ppp</x:v>
      </x:c>
      <x:c r="F2453" s="2" t="str">
        <x:v>GDP per capita, PPP (constant 2021 international $)</x:v>
      </x:c>
    </x:row>
    <x:row r="2454" ht="44" customHeight="1">
      <x:c r="A2454" s="2" t="str">
        <x:v>GUY</x:v>
      </x:c>
      <x:c r="B2454" s="2" t="str">
        <x:v>urban</x:v>
      </x:c>
      <x:c r="C2454" s="2" t="n">
        <x:v>26.4913876548981</x:v>
      </x:c>
      <x:c r="D2454" s="2" t="n">
        <x:v>2025</x:v>
      </x:c>
      <x:c r="E2454" s="2" t="str">
        <x:v>WB_urban</x:v>
      </x:c>
      <x:c r="F2454" s="2" t="str">
        <x:v>Urban population (% of total population)</x:v>
      </x:c>
    </x:row>
    <x:row r="2455" ht="44" customHeight="1">
      <x:c r="A2455" s="2" t="str">
        <x:v>GUY</x:v>
      </x:c>
      <x:c r="B2455" s="2" t="str">
        <x:v>inflation</x:v>
      </x:c>
      <x:c r="C2455" s="2" t="n">
        <x:v>3.32982339132475</x:v>
      </x:c>
      <x:c r="D2455" s="2" t="n">
        <x:v>2025</x:v>
      </x:c>
      <x:c r="E2455" s="2" t="str">
        <x:v>WB_inflation</x:v>
      </x:c>
      <x:c r="F2455" s="2" t="str">
        <x:v>Inflation, consumer prices (annual %)</x:v>
      </x:c>
    </x:row>
    <x:row r="2456" ht="44" customHeight="1">
      <x:c r="A2456" s="2" t="str">
        <x:v>GUY</x:v>
      </x:c>
      <x:c r="B2456" s="2" t="str">
        <x:v>food_index</x:v>
      </x:c>
      <x:c r="C2456" s="2" t="n">
        <x:v>111.69</x:v>
      </x:c>
      <x:c r="D2456" s="2" t="n">
        <x:v>2022</x:v>
      </x:c>
      <x:c r="E2456" s="2" t="str">
        <x:v>WB_food_index</x:v>
      </x:c>
      <x:c r="F2456" s="2" t="str">
        <x:v>Food production index (2014-2016 = 100)</x:v>
      </x:c>
    </x:row>
    <x:row r="2457" ht="44" customHeight="1">
      <x:c r="A2457" s="2" t="str">
        <x:v>GUY</x:v>
      </x:c>
      <x:c r="B2457" s="2" t="str">
        <x:v>food_import_share</x:v>
      </x:c>
      <x:c r="C2457" s="2" t="n">
        <x:v>6.47595558326526</x:v>
      </x:c>
      <x:c r="D2457" s="2" t="n">
        <x:v>2025</x:v>
      </x:c>
      <x:c r="E2457" s="2" t="str">
        <x:v>WB_food_import_share</x:v>
      </x:c>
      <x:c r="F2457" s="2" t="str">
        <x:v>Food imports (% of merchandise imports)</x:v>
      </x:c>
    </x:row>
    <x:row r="2458" ht="44" customHeight="1">
      <x:c r="A2458" s="2" t="str">
        <x:v>GUY</x:v>
      </x:c>
      <x:c r="B2458" s="2" t="str">
        <x:v>food_export_share</x:v>
      </x:c>
      <x:c r="C2458" s="2" t="n">
        <x:v>1.504227189285</x:v>
      </x:c>
      <x:c r="D2458" s="2" t="n">
        <x:v>2025</x:v>
      </x:c>
      <x:c r="E2458" s="2" t="str">
        <x:v>WB_food_export_share</x:v>
      </x:c>
      <x:c r="F2458" s="2" t="str">
        <x:v>Food exports (% of merchandise exports)</x:v>
      </x:c>
    </x:row>
    <x:row r="2459" ht="44" customHeight="1">
      <x:c r="A2459" s="2" t="str">
        <x:v>GUY</x:v>
      </x:c>
      <x:c r="B2459" s="2" t="str">
        <x:v>imports_usd</x:v>
      </x:c>
      <x:c r="C2459" s="2" t="n">
        <x:v>10217000000</x:v>
      </x:c>
      <x:c r="D2459" s="2" t="n">
        <x:v>2025</x:v>
      </x:c>
      <x:c r="E2459" s="2" t="str">
        <x:v>WB_imports_usd</x:v>
      </x:c>
      <x:c r="F2459" s="2" t="str">
        <x:v>Merchandise imports (current US$)</x:v>
      </x:c>
    </x:row>
    <x:row r="2460" ht="44" customHeight="1">
      <x:c r="A2460" s="2" t="str">
        <x:v>GUY</x:v>
      </x:c>
      <x:c r="B2460" s="2" t="str">
        <x:v>exports_usd</x:v>
      </x:c>
      <x:c r="C2460" s="2" t="n">
        <x:v>18693000000</x:v>
      </x:c>
      <x:c r="D2460" s="2" t="n">
        <x:v>2025</x:v>
      </x:c>
      <x:c r="E2460" s="2" t="str">
        <x:v>WB_exports_usd</x:v>
      </x:c>
      <x:c r="F2460" s="2" t="str">
        <x:v>Merchandise exports (current US$)</x:v>
      </x:c>
    </x:row>
    <x:row r="2461" ht="44" customHeight="1">
      <x:c r="A2461" s="2" t="str">
        <x:v>GUY</x:v>
      </x:c>
      <x:c r="B2461" s="2" t="str">
        <x:v>cereal_yield</x:v>
      </x:c>
      <x:c r="C2461" s="2" t="n">
        <x:v>6028.1</x:v>
      </x:c>
      <x:c r="D2461" s="2" t="n">
        <x:v>2023</x:v>
      </x:c>
      <x:c r="E2461" s="2" t="str">
        <x:v>WB_cereal_yield</x:v>
      </x:c>
      <x:c r="F2461" s="2" t="str">
        <x:v>Cereal yield (kg per hectare)</x:v>
      </x:c>
    </x:row>
    <x:row r="2462" ht="44" customHeight="1">
      <x:c r="A2462" s="2" t="str">
        <x:v>GUY</x:v>
      </x:c>
      <x:c r="B2462" s="2" t="str">
        <x:v>water_stress</x:v>
      </x:c>
      <x:c r="C2462" s="2" t="n">
        <x:v>3.298401827</x:v>
      </x:c>
      <x:c r="D2462" s="2" t="n">
        <x:v>2022</x:v>
      </x:c>
      <x:c r="E2462" s="2" t="str">
        <x:v>WB_water_stress</x:v>
      </x:c>
      <x:c r="F2462" s="2" t="str">
        <x:v>Level of water stress: freshwater withdrawal as a proportion of available freshwater resources</x:v>
      </x:c>
    </x:row>
    <x:row r="2463" ht="44" customHeight="1">
      <x:c r="A2463" s="2" t="str">
        <x:v>GUY</x:v>
      </x:c>
      <x:c r="B2463" s="2" t="str">
        <x:v>fertility</x:v>
      </x:c>
      <x:c r="C2463" s="2" t="n">
        <x:v>2.395</x:v>
      </x:c>
      <x:c r="D2463" s="2" t="n">
        <x:v>2024</x:v>
      </x:c>
      <x:c r="E2463" s="2" t="str">
        <x:v>WB_fertility</x:v>
      </x:c>
      <x:c r="F2463" s="2" t="str">
        <x:v>Fertility rate, total (births per woman)</x:v>
      </x:c>
    </x:row>
    <x:row r="2464" ht="44" customHeight="1">
      <x:c r="A2464" s="2" t="str">
        <x:v>GUY</x:v>
      </x:c>
      <x:c r="B2464" s="2" t="str">
        <x:v>life_expectancy</x:v>
      </x:c>
      <x:c r="C2464" s="2" t="n">
        <x:v>70.319</x:v>
      </x:c>
      <x:c r="D2464" s="2" t="n">
        <x:v>2024</x:v>
      </x:c>
      <x:c r="E2464" s="2" t="str">
        <x:v>WB_life_expectancy</x:v>
      </x:c>
      <x:c r="F2464" s="2" t="str">
        <x:v>Life expectancy at birth, total (years)</x:v>
      </x:c>
    </x:row>
    <x:row r="2465" ht="44" customHeight="1">
      <x:c r="A2465" s="2" t="str">
        <x:v>GUY</x:v>
      </x:c>
      <x:c r="B2465" s="2" t="str">
        <x:v>age_under15</x:v>
      </x:c>
      <x:c r="C2465" s="2" t="n">
        <x:v>28.9333194575029</x:v>
      </x:c>
      <x:c r="D2465" s="2" t="n">
        <x:v>2025</x:v>
      </x:c>
      <x:c r="E2465" s="2" t="str">
        <x:v>WB_age_under15</x:v>
      </x:c>
      <x:c r="F2465" s="2" t="str">
        <x:v>Population ages 0-14 (% of total population)</x:v>
      </x:c>
    </x:row>
    <x:row r="2466" ht="44" customHeight="1">
      <x:c r="A2466" s="2" t="str">
        <x:v>GUY</x:v>
      </x:c>
      <x:c r="B2466" s="2" t="str">
        <x:v>age_over65</x:v>
      </x:c>
      <x:c r="C2466" s="2" t="n">
        <x:v>6.98073891189565</x:v>
      </x:c>
      <x:c r="D2466" s="2" t="n">
        <x:v>2025</x:v>
      </x:c>
      <x:c r="E2466" s="2" t="str">
        <x:v>WB_age_over65</x:v>
      </x:c>
      <x:c r="F2466" s="2" t="str">
        <x:v>Population ages 65 and above (% of total population)</x:v>
      </x:c>
    </x:row>
    <x:row r="2467" ht="44" customHeight="1">
      <x:c r="A2467" s="2" t="str">
        <x:v>GUY</x:v>
      </x:c>
      <x:c r="B2467" s="2" t="str">
        <x:v>dependency_ratio</x:v>
      </x:c>
      <x:c r="C2467" s="2" t="n">
        <x:v>56.0405039664022</x:v>
      </x:c>
      <x:c r="D2467" s="2" t="n">
        <x:v>2025</x:v>
      </x:c>
      <x:c r="E2467" s="2" t="str">
        <x:v>WB_dependency_ratio</x:v>
      </x:c>
      <x:c r="F2467" s="2" t="str">
        <x:v>Age dependency ratio (% of working-age population)</x:v>
      </x:c>
    </x:row>
    <x:row r="2468" ht="44" customHeight="1">
      <x:c r="A2468" s="2" t="str">
        <x:v>GUY</x:v>
      </x:c>
      <x:c r="B2468" s="2" t="str">
        <x:v>net_migration</x:v>
      </x:c>
      <x:c r="C2468" s="2" t="n">
        <x:v>-5092</x:v>
      </x:c>
      <x:c r="D2468" s="2" t="n">
        <x:v>2025</x:v>
      </x:c>
      <x:c r="E2468" s="2" t="str">
        <x:v>WB_net_migration</x:v>
      </x:c>
      <x:c r="F2468" s="2" t="str">
        <x:v>Net migration</x:v>
      </x:c>
    </x:row>
    <x:row r="2469" ht="44" customHeight="1">
      <x:c r="A2469" s="2" t="str">
        <x:v>GUY</x:v>
      </x:c>
      <x:c r="B2469" s="2" t="str">
        <x:v>real_gdp</x:v>
      </x:c>
      <x:c r="C2469" s="2" t="n">
        <x:v>32763601884.4747</x:v>
      </x:c>
      <x:c r="D2469" s="2" t="n">
        <x:v>2025</x:v>
      </x:c>
      <x:c r="E2469" s="2" t="str">
        <x:v>WB_real_gdp</x:v>
      </x:c>
      <x:c r="F2469" s="2" t="str">
        <x:v>GDP (constant 2015 US$)</x:v>
      </x:c>
    </x:row>
    <x:row r="2470" ht="44" customHeight="1">
      <x:c r="A2470" s="2" t="str">
        <x:v>GUY</x:v>
      </x:c>
      <x:c r="B2470" s="2" t="str">
        <x:v>gdp_growth</x:v>
      </x:c>
      <x:c r="C2470" s="2" t="n">
        <x:v>19.3360097091818</x:v>
      </x:c>
      <x:c r="D2470" s="2" t="n">
        <x:v>2025</x:v>
      </x:c>
      <x:c r="E2470" s="2" t="str">
        <x:v>WB_gdp_growth</x:v>
      </x:c>
      <x:c r="F2470" s="2" t="str">
        <x:v>GDP growth (annual %)</x:v>
      </x:c>
    </x:row>
    <x:row r="2471" ht="44" customHeight="1">
      <x:c r="A2471" s="2" t="str">
        <x:v>GUY</x:v>
      </x:c>
      <x:c r="B2471" s="2" t="str">
        <x:v>real_income</x:v>
      </x:c>
      <x:c r="C2471" s="2" t="n">
        <x:v>39191.5676631842</x:v>
      </x:c>
      <x:c r="D2471" s="2" t="n">
        <x:v>2025</x:v>
      </x:c>
      <x:c r="E2471" s="2" t="str">
        <x:v>WB_real_income</x:v>
      </x:c>
      <x:c r="F2471" s="2" t="str">
        <x:v>GDP per capita (constant 2015 US$)</x:v>
      </x:c>
    </x:row>
    <x:row r="2472" ht="44" customHeight="1">
      <x:c r="A2472" s="2" t="str">
        <x:v>GUY</x:v>
      </x:c>
      <x:c r="B2472" s="2" t="str">
        <x:v>agriculture_gdp</x:v>
      </x:c>
      <x:c r="C2472" s="2" t="n">
        <x:v>7.73438252235822</x:v>
      </x:c>
      <x:c r="D2472" s="2" t="n">
        <x:v>2025</x:v>
      </x:c>
      <x:c r="E2472" s="2" t="str">
        <x:v>WB_agriculture_gdp</x:v>
      </x:c>
      <x:c r="F2472" s="2" t="str">
        <x:v>Agriculture, forestry, and fishing, value added (% of GDP)</x:v>
      </x:c>
    </x:row>
    <x:row r="2473" ht="44" customHeight="1">
      <x:c r="A2473" s="2" t="str">
        <x:v>GUY</x:v>
      </x:c>
      <x:c r="B2473" s="2" t="str">
        <x:v>poverty</x:v>
      </x:c>
      <x:c r="C2473" s="2"/>
      <x:c r="D2473" s="2"/>
      <x:c r="E2473" s="2" t="str">
        <x:v>Missing</x:v>
      </x:c>
      <x:c r="F2473" s="2" t="str">
        <x:v>Poverty headcount ratio at $3.00 a day (2021 PPP) (% of population)</x:v>
      </x:c>
    </x:row>
    <x:row r="2474" ht="44" customHeight="1">
      <x:c r="A2474" s="2" t="str">
        <x:v>GUY</x:v>
      </x:c>
      <x:c r="B2474" s="2" t="str">
        <x:v>gini</x:v>
      </x:c>
      <x:c r="C2474" s="2"/>
      <x:c r="D2474" s="2"/>
      <x:c r="E2474" s="2" t="str">
        <x:v>Missing</x:v>
      </x:c>
      <x:c r="F2474" s="2" t="str">
        <x:v>Gini index</x:v>
      </x:c>
    </x:row>
    <x:row r="2475" ht="44" customHeight="1">
      <x:c r="A2475" s="2" t="str">
        <x:v>GUY</x:v>
      </x:c>
      <x:c r="B2475" s="2" t="str">
        <x:v>unemployment</x:v>
      </x:c>
      <x:c r="C2475" s="2" t="n">
        <x:v>11.962</x:v>
      </x:c>
      <x:c r="D2475" s="2" t="n">
        <x:v>2025</x:v>
      </x:c>
      <x:c r="E2475" s="2" t="str">
        <x:v>WB_unemployment</x:v>
      </x:c>
      <x:c r="F2475" s="2" t="str">
        <x:v>Unemployment, total (% of total labor force) (modeled ILO estimate)</x:v>
      </x:c>
    </x:row>
    <x:row r="2476" ht="44" customHeight="1">
      <x:c r="A2476" s="2" t="str">
        <x:v>GUY</x:v>
      </x:c>
      <x:c r="B2476" s="2" t="str">
        <x:v>private_credit</x:v>
      </x:c>
      <x:c r="C2476" s="2" t="n">
        <x:v>15.6083103980058</x:v>
      </x:c>
      <x:c r="D2476" s="2" t="n">
        <x:v>2025</x:v>
      </x:c>
      <x:c r="E2476" s="2" t="str">
        <x:v>WB_private_credit</x:v>
      </x:c>
      <x:c r="F2476" s="2" t="str">
        <x:v>Domestic credit to private sector (% of GDP)</x:v>
      </x:c>
    </x:row>
    <x:row r="2477" ht="44" customHeight="1">
      <x:c r="A2477" s="2" t="str">
        <x:v>GUY</x:v>
      </x:c>
      <x:c r="B2477" s="2" t="str">
        <x:v>lending_rate</x:v>
      </x:c>
      <x:c r="C2477" s="2" t="n">
        <x:v>8.23263888888889</x:v>
      </x:c>
      <x:c r="D2477" s="2" t="n">
        <x:v>2025</x:v>
      </x:c>
      <x:c r="E2477" s="2" t="str">
        <x:v>WB_lending_rate</x:v>
      </x:c>
      <x:c r="F2477" s="2" t="str">
        <x:v>Lending interest rate (%)</x:v>
      </x:c>
    </x:row>
    <x:row r="2478" ht="44" customHeight="1">
      <x:c r="A2478" s="2" t="str">
        <x:v>GUY</x:v>
      </x:c>
      <x:c r="B2478" s="2" t="str">
        <x:v>real_interest</x:v>
      </x:c>
      <x:c r="C2478" s="2" t="n">
        <x:v>17.5551817690695</x:v>
      </x:c>
      <x:c r="D2478" s="2" t="n">
        <x:v>2025</x:v>
      </x:c>
      <x:c r="E2478" s="2" t="str">
        <x:v>WB_real_interest</x:v>
      </x:c>
      <x:c r="F2478" s="2" t="str">
        <x:v>Real interest rate (%)</x:v>
      </x:c>
    </x:row>
    <x:row r="2479" ht="44" customHeight="1">
      <x:c r="A2479" s="2" t="str">
        <x:v>GUY</x:v>
      </x:c>
      <x:c r="B2479" s="2" t="str">
        <x:v>government_debt</x:v>
      </x:c>
      <x:c r="C2479" s="2"/>
      <x:c r="D2479" s="2"/>
      <x:c r="E2479" s="2" t="str">
        <x:v>Missing</x:v>
      </x:c>
      <x:c r="F2479" s="2" t="str">
        <x:v>Central government debt, total (% of GDP)</x:v>
      </x:c>
    </x:row>
    <x:row r="2480" ht="44" customHeight="1">
      <x:c r="A2480" s="2" t="str">
        <x:v>GUY</x:v>
      </x:c>
      <x:c r="B2480" s="2" t="str">
        <x:v>electricity_access</x:v>
      </x:c>
      <x:c r="C2480" s="2" t="n">
        <x:v>93</x:v>
      </x:c>
      <x:c r="D2480" s="2" t="n">
        <x:v>2024</x:v>
      </x:c>
      <x:c r="E2480" s="2" t="str">
        <x:v>WB_electricity_access</x:v>
      </x:c>
      <x:c r="F2480" s="2" t="str">
        <x:v>Access to electricity (% of population)</x:v>
      </x:c>
    </x:row>
    <x:row r="2481" ht="44" customHeight="1">
      <x:c r="A2481" s="2" t="str">
        <x:v>GUY</x:v>
      </x:c>
      <x:c r="B2481" s="2" t="str">
        <x:v>irrigated_land</x:v>
      </x:c>
      <x:c r="C2481" s="2" t="n">
        <x:v>17.7542527353385</x:v>
      </x:c>
      <x:c r="D2481" s="2" t="n">
        <x:v>2003</x:v>
      </x:c>
      <x:c r="E2481" s="2" t="str">
        <x:v>WB_irrigated_land</x:v>
      </x:c>
      <x:c r="F2481" s="2" t="str">
        <x:v>Agricultural irrigated land (% of total agricultural land)</x:v>
      </x:c>
    </x:row>
    <x:row r="2482" ht="44" customHeight="1">
      <x:c r="A2482" s="2" t="str">
        <x:v>GUY</x:v>
      </x:c>
      <x:c r="B2482" s="2" t="str">
        <x:v>cereal_area</x:v>
      </x:c>
      <x:c r="C2482" s="2" t="n">
        <x:v>165725</x:v>
      </x:c>
      <x:c r="D2482" s="2" t="n">
        <x:v>2023</x:v>
      </x:c>
      <x:c r="E2482" s="2" t="str">
        <x:v>WB_cereal_area</x:v>
      </x:c>
      <x:c r="F2482" s="2" t="str">
        <x:v>Land under cereal production (hectares)</x:v>
      </x:c>
    </x:row>
    <x:row r="2483" ht="44" customHeight="1">
      <x:c r="A2483" s="2" t="str">
        <x:v>GUY</x:v>
      </x:c>
      <x:c r="B2483" s="2" t="str">
        <x:v>undernourishment</x:v>
      </x:c>
      <x:c r="C2483" s="2" t="n">
        <x:v>2.5</x:v>
      </x:c>
      <x:c r="D2483" s="2" t="n">
        <x:v>2023</x:v>
      </x:c>
      <x:c r="E2483" s="2" t="str">
        <x:v>WB_undernourishment</x:v>
      </x:c>
      <x:c r="F2483" s="2" t="str">
        <x:v>Prevalence of undernourishment (% of population)</x:v>
      </x:c>
    </x:row>
    <x:row r="2484" ht="44" customHeight="1">
      <x:c r="A2484" s="2" t="str">
        <x:v>GUY</x:v>
      </x:c>
      <x:c r="B2484" s="2" t="str">
        <x:v>agriculture_employment</x:v>
      </x:c>
      <x:c r="C2484" s="2" t="n">
        <x:v>12.2137112617045</x:v>
      </x:c>
      <x:c r="D2484" s="2" t="n">
        <x:v>2025</x:v>
      </x:c>
      <x:c r="E2484" s="2" t="str">
        <x:v>WB_agriculture_employment</x:v>
      </x:c>
      <x:c r="F2484" s="2" t="str">
        <x:v>Employment in agriculture (% of total employment) (modeled ILO estimate)</x:v>
      </x:c>
    </x:row>
    <x:row r="2485" ht="44" customHeight="1">
      <x:c r="A2485" s="2" t="str">
        <x:v>GUY</x:v>
      </x:c>
      <x:c r="B2485" s="2" t="str">
        <x:v>water_withdrawal</x:v>
      </x:c>
      <x:c r="C2485" s="2" t="n">
        <x:v>0.599460580912863</x:v>
      </x:c>
      <x:c r="D2485" s="2" t="n">
        <x:v>2022</x:v>
      </x:c>
      <x:c r="E2485" s="2" t="str">
        <x:v>WB_water_withdrawal</x:v>
      </x:c>
      <x:c r="F2485" s="2" t="str">
        <x:v>Annual freshwater withdrawals, total (% of internal resources)</x:v>
      </x:c>
    </x:row>
    <x:row r="2486" ht="44" customHeight="1">
      <x:c r="A2486" s="2" t="str">
        <x:v>HTI</x:v>
      </x:c>
      <x:c r="B2486" s="2" t="str">
        <x:v>population</x:v>
      </x:c>
      <x:c r="C2486" s="2" t="n">
        <x:v>11906095</x:v>
      </x:c>
      <x:c r="D2486" s="2" t="n">
        <x:v>2025</x:v>
      </x:c>
      <x:c r="E2486" s="2" t="str">
        <x:v>WB_population</x:v>
      </x:c>
      <x:c r="F2486" s="2" t="str">
        <x:v>Population, total</x:v>
      </x:c>
    </x:row>
    <x:row r="2487" ht="44" customHeight="1">
      <x:c r="A2487" s="2" t="str">
        <x:v>HTI</x:v>
      </x:c>
      <x:c r="B2487" s="2" t="str">
        <x:v>income_ppp</x:v>
      </x:c>
      <x:c r="C2487" s="2" t="n">
        <x:v>2677.89385325549</x:v>
      </x:c>
      <x:c r="D2487" s="2" t="n">
        <x:v>2025</x:v>
      </x:c>
      <x:c r="E2487" s="2" t="str">
        <x:v>WB_income_ppp</x:v>
      </x:c>
      <x:c r="F2487" s="2" t="str">
        <x:v>GDP per capita, PPP (constant 2021 international $)</x:v>
      </x:c>
    </x:row>
    <x:row r="2488" ht="44" customHeight="1">
      <x:c r="A2488" s="2" t="str">
        <x:v>HTI</x:v>
      </x:c>
      <x:c r="B2488" s="2" t="str">
        <x:v>urban</x:v>
      </x:c>
      <x:c r="C2488" s="2" t="n">
        <x:v>55.6148855859942</x:v>
      </x:c>
      <x:c r="D2488" s="2" t="n">
        <x:v>2025</x:v>
      </x:c>
      <x:c r="E2488" s="2" t="str">
        <x:v>WB_urban</x:v>
      </x:c>
      <x:c r="F2488" s="2" t="str">
        <x:v>Urban population (% of total population)</x:v>
      </x:c>
    </x:row>
    <x:row r="2489" ht="44" customHeight="1">
      <x:c r="A2489" s="2" t="str">
        <x:v>HTI</x:v>
      </x:c>
      <x:c r="B2489" s="2" t="str">
        <x:v>inflation</x:v>
      </x:c>
      <x:c r="C2489" s="2" t="n">
        <x:v>28.6427976686095</x:v>
      </x:c>
      <x:c r="D2489" s="2" t="n">
        <x:v>2025</x:v>
      </x:c>
      <x:c r="E2489" s="2" t="str">
        <x:v>WB_inflation</x:v>
      </x:c>
      <x:c r="F2489" s="2" t="str">
        <x:v>Inflation, consumer prices (annual %)</x:v>
      </x:c>
    </x:row>
    <x:row r="2490" ht="44" customHeight="1">
      <x:c r="A2490" s="2" t="str">
        <x:v>HTI</x:v>
      </x:c>
      <x:c r="B2490" s="2" t="str">
        <x:v>food_index</x:v>
      </x:c>
      <x:c r="C2490" s="2" t="n">
        <x:v>77.85</x:v>
      </x:c>
      <x:c r="D2490" s="2" t="n">
        <x:v>2022</x:v>
      </x:c>
      <x:c r="E2490" s="2" t="str">
        <x:v>WB_food_index</x:v>
      </x:c>
      <x:c r="F2490" s="2" t="str">
        <x:v>Food production index (2014-2016 = 100)</x:v>
      </x:c>
    </x:row>
    <x:row r="2491" ht="44" customHeight="1">
      <x:c r="A2491" s="2" t="str">
        <x:v>HTI</x:v>
      </x:c>
      <x:c r="B2491" s="2" t="str">
        <x:v>food_import_share</x:v>
      </x:c>
      <x:c r="C2491" s="2" t="n">
        <x:v>37.2613985987692</x:v>
      </x:c>
      <x:c r="D2491" s="2" t="n">
        <x:v>2016</x:v>
      </x:c>
      <x:c r="E2491" s="2" t="str">
        <x:v>WB_food_import_share</x:v>
      </x:c>
      <x:c r="F2491" s="2" t="str">
        <x:v>Food imports (% of merchandise imports)</x:v>
      </x:c>
    </x:row>
    <x:row r="2492" ht="44" customHeight="1">
      <x:c r="A2492" s="2" t="str">
        <x:v>HTI</x:v>
      </x:c>
      <x:c r="B2492" s="2" t="str">
        <x:v>food_export_share</x:v>
      </x:c>
      <x:c r="C2492" s="2" t="n">
        <x:v>16.4440430350328</x:v>
      </x:c>
      <x:c r="D2492" s="2" t="n">
        <x:v>2016</x:v>
      </x:c>
      <x:c r="E2492" s="2" t="str">
        <x:v>WB_food_export_share</x:v>
      </x:c>
      <x:c r="F2492" s="2" t="str">
        <x:v>Food exports (% of merchandise exports)</x:v>
      </x:c>
    </x:row>
    <x:row r="2493" ht="44" customHeight="1">
      <x:c r="A2493" s="2" t="str">
        <x:v>HTI</x:v>
      </x:c>
      <x:c r="B2493" s="2" t="str">
        <x:v>imports_usd</x:v>
      </x:c>
      <x:c r="C2493" s="2" t="n">
        <x:v>4628000000</x:v>
      </x:c>
      <x:c r="D2493" s="2" t="n">
        <x:v>2025</x:v>
      </x:c>
      <x:c r="E2493" s="2" t="str">
        <x:v>WB_imports_usd</x:v>
      </x:c>
      <x:c r="F2493" s="2" t="str">
        <x:v>Merchandise imports (current US$)</x:v>
      </x:c>
    </x:row>
    <x:row r="2494" ht="44" customHeight="1">
      <x:c r="A2494" s="2" t="str">
        <x:v>HTI</x:v>
      </x:c>
      <x:c r="B2494" s="2" t="str">
        <x:v>exports_usd</x:v>
      </x:c>
      <x:c r="C2494" s="2" t="n">
        <x:v>554000000</x:v>
      </x:c>
      <x:c r="D2494" s="2" t="n">
        <x:v>2025</x:v>
      </x:c>
      <x:c r="E2494" s="2" t="str">
        <x:v>WB_exports_usd</x:v>
      </x:c>
      <x:c r="F2494" s="2" t="str">
        <x:v>Merchandise exports (current US$)</x:v>
      </x:c>
    </x:row>
    <x:row r="2495" ht="44" customHeight="1">
      <x:c r="A2495" s="2" t="str">
        <x:v>HTI</x:v>
      </x:c>
      <x:c r="B2495" s="2" t="str">
        <x:v>cereal_yield</x:v>
      </x:c>
      <x:c r="C2495" s="2" t="n">
        <x:v>1062.6</x:v>
      </x:c>
      <x:c r="D2495" s="2" t="n">
        <x:v>2023</x:v>
      </x:c>
      <x:c r="E2495" s="2" t="str">
        <x:v>WB_cereal_yield</x:v>
      </x:c>
      <x:c r="F2495" s="2" t="str">
        <x:v>Cereal yield (kg per hectare)</x:v>
      </x:c>
    </x:row>
    <x:row r="2496" ht="44" customHeight="1">
      <x:c r="A2496" s="2" t="str">
        <x:v>HTI</x:v>
      </x:c>
      <x:c r="B2496" s="2" t="str">
        <x:v>water_stress</x:v>
      </x:c>
      <x:c r="C2496" s="2" t="n">
        <x:v>13.38379177</x:v>
      </x:c>
      <x:c r="D2496" s="2" t="n">
        <x:v>2022</x:v>
      </x:c>
      <x:c r="E2496" s="2" t="str">
        <x:v>WB_water_stress</x:v>
      </x:c>
      <x:c r="F2496" s="2" t="str">
        <x:v>Level of water stress: freshwater withdrawal as a proportion of available freshwater resources</x:v>
      </x:c>
    </x:row>
    <x:row r="2497" ht="44" customHeight="1">
      <x:c r="A2497" s="2" t="str">
        <x:v>HTI</x:v>
      </x:c>
      <x:c r="B2497" s="2" t="str">
        <x:v>fertility</x:v>
      </x:c>
      <x:c r="C2497" s="2" t="n">
        <x:v>2.625</x:v>
      </x:c>
      <x:c r="D2497" s="2" t="n">
        <x:v>2024</x:v>
      </x:c>
      <x:c r="E2497" s="2" t="str">
        <x:v>WB_fertility</x:v>
      </x:c>
      <x:c r="F2497" s="2" t="str">
        <x:v>Fertility rate, total (births per woman)</x:v>
      </x:c>
    </x:row>
    <x:row r="2498" ht="44" customHeight="1">
      <x:c r="A2498" s="2" t="str">
        <x:v>HTI</x:v>
      </x:c>
      <x:c r="B2498" s="2" t="str">
        <x:v>life_expectancy</x:v>
      </x:c>
      <x:c r="C2498" s="2" t="n">
        <x:v>65.119</x:v>
      </x:c>
      <x:c r="D2498" s="2" t="n">
        <x:v>2024</x:v>
      </x:c>
      <x:c r="E2498" s="2" t="str">
        <x:v>WB_life_expectancy</x:v>
      </x:c>
      <x:c r="F2498" s="2" t="str">
        <x:v>Life expectancy at birth, total (years)</x:v>
      </x:c>
    </x:row>
    <x:row r="2499" ht="44" customHeight="1">
      <x:c r="A2499" s="2" t="str">
        <x:v>HTI</x:v>
      </x:c>
      <x:c r="B2499" s="2" t="str">
        <x:v>age_under15</x:v>
      </x:c>
      <x:c r="C2499" s="2" t="n">
        <x:v>30.7870535726847</x:v>
      </x:c>
      <x:c r="D2499" s="2" t="n">
        <x:v>2025</x:v>
      </x:c>
      <x:c r="E2499" s="2" t="str">
        <x:v>WB_age_under15</x:v>
      </x:c>
      <x:c r="F2499" s="2" t="str">
        <x:v>Population ages 0-14 (% of total population)</x:v>
      </x:c>
    </x:row>
    <x:row r="2500" ht="44" customHeight="1">
      <x:c r="A2500" s="2" t="str">
        <x:v>HTI</x:v>
      </x:c>
      <x:c r="B2500" s="2" t="str">
        <x:v>age_over65</x:v>
      </x:c>
      <x:c r="C2500" s="2" t="n">
        <x:v>4.79172202171568</x:v>
      </x:c>
      <x:c r="D2500" s="2" t="n">
        <x:v>2025</x:v>
      </x:c>
      <x:c r="E2500" s="2" t="str">
        <x:v>WB_age_over65</x:v>
      </x:c>
      <x:c r="F2500" s="2" t="str">
        <x:v>Population ages 65 and above (% of total population)</x:v>
      </x:c>
    </x:row>
    <x:row r="2501" ht="44" customHeight="1">
      <x:c r="A2501" s="2" t="str">
        <x:v>HTI</x:v>
      </x:c>
      <x:c r="B2501" s="2" t="str">
        <x:v>dependency_ratio</x:v>
      </x:c>
      <x:c r="C2501" s="2" t="n">
        <x:v>55.2283478651774</x:v>
      </x:c>
      <x:c r="D2501" s="2" t="n">
        <x:v>2025</x:v>
      </x:c>
      <x:c r="E2501" s="2" t="str">
        <x:v>WB_dependency_ratio</x:v>
      </x:c>
      <x:c r="F2501" s="2" t="str">
        <x:v>Age dependency ratio (% of working-age population)</x:v>
      </x:c>
    </x:row>
    <x:row r="2502" ht="44" customHeight="1">
      <x:c r="A2502" s="2" t="str">
        <x:v>HTI</x:v>
      </x:c>
      <x:c r="B2502" s="2" t="str">
        <x:v>net_migration</x:v>
      </x:c>
      <x:c r="C2502" s="2" t="n">
        <x:v>-32052</x:v>
      </x:c>
      <x:c r="D2502" s="2" t="n">
        <x:v>2025</x:v>
      </x:c>
      <x:c r="E2502" s="2" t="str">
        <x:v>WB_net_migration</x:v>
      </x:c>
      <x:c r="F2502" s="2" t="str">
        <x:v>Net migration</x:v>
      </x:c>
    </x:row>
    <x:row r="2503" ht="44" customHeight="1">
      <x:c r="A2503" s="2" t="str">
        <x:v>HTI</x:v>
      </x:c>
      <x:c r="B2503" s="2" t="str">
        <x:v>real_gdp</x:v>
      </x:c>
      <x:c r="C2503" s="2" t="n">
        <x:v>13224852042.6065</x:v>
      </x:c>
      <x:c r="D2503" s="2" t="n">
        <x:v>2025</x:v>
      </x:c>
      <x:c r="E2503" s="2" t="str">
        <x:v>WB_real_gdp</x:v>
      </x:c>
      <x:c r="F2503" s="2" t="str">
        <x:v>GDP (constant 2015 US$)</x:v>
      </x:c>
    </x:row>
    <x:row r="2504" ht="44" customHeight="1">
      <x:c r="A2504" s="2" t="str">
        <x:v>HTI</x:v>
      </x:c>
      <x:c r="B2504" s="2" t="str">
        <x:v>gdp_growth</x:v>
      </x:c>
      <x:c r="C2504" s="2" t="n">
        <x:v>-2.71291075761471</x:v>
      </x:c>
      <x:c r="D2504" s="2" t="n">
        <x:v>2025</x:v>
      </x:c>
      <x:c r="E2504" s="2" t="str">
        <x:v>WB_gdp_growth</x:v>
      </x:c>
      <x:c r="F2504" s="2" t="str">
        <x:v>GDP growth (annual %)</x:v>
      </x:c>
    </x:row>
    <x:row r="2505" ht="44" customHeight="1">
      <x:c r="A2505" s="2" t="str">
        <x:v>HTI</x:v>
      </x:c>
      <x:c r="B2505" s="2" t="str">
        <x:v>real_income</x:v>
      </x:c>
      <x:c r="C2505" s="2" t="n">
        <x:v>1110.76318831712</x:v>
      </x:c>
      <x:c r="D2505" s="2" t="n">
        <x:v>2025</x:v>
      </x:c>
      <x:c r="E2505" s="2" t="str">
        <x:v>WB_real_income</x:v>
      </x:c>
      <x:c r="F2505" s="2" t="str">
        <x:v>GDP per capita (constant 2015 US$)</x:v>
      </x:c>
    </x:row>
    <x:row r="2506" ht="44" customHeight="1">
      <x:c r="A2506" s="2" t="str">
        <x:v>HTI</x:v>
      </x:c>
      <x:c r="B2506" s="2" t="str">
        <x:v>agriculture_gdp</x:v>
      </x:c>
      <x:c r="C2506" s="2" t="n">
        <x:v>15.8072127258079</x:v>
      </x:c>
      <x:c r="D2506" s="2" t="n">
        <x:v>2025</x:v>
      </x:c>
      <x:c r="E2506" s="2" t="str">
        <x:v>WB_agriculture_gdp</x:v>
      </x:c>
      <x:c r="F2506" s="2" t="str">
        <x:v>Agriculture, forestry, and fishing, value added (% of GDP)</x:v>
      </x:c>
    </x:row>
    <x:row r="2507" ht="44" customHeight="1">
      <x:c r="A2507" s="2" t="str">
        <x:v>HTI</x:v>
      </x:c>
      <x:c r="B2507" s="2" t="str">
        <x:v>poverty</x:v>
      </x:c>
      <x:c r="C2507" s="2" t="n">
        <x:v>40.4</x:v>
      </x:c>
      <x:c r="D2507" s="2" t="n">
        <x:v>2012</x:v>
      </x:c>
      <x:c r="E2507" s="2" t="str">
        <x:v>WB_poverty</x:v>
      </x:c>
      <x:c r="F2507" s="2" t="str">
        <x:v>Poverty headcount ratio at $3.00 a day (2021 PPP) (% of population)</x:v>
      </x:c>
    </x:row>
    <x:row r="2508" ht="44" customHeight="1">
      <x:c r="A2508" s="2" t="str">
        <x:v>HTI</x:v>
      </x:c>
      <x:c r="B2508" s="2" t="str">
        <x:v>gini</x:v>
      </x:c>
      <x:c r="C2508" s="2" t="n">
        <x:v>41.1</x:v>
      </x:c>
      <x:c r="D2508" s="2" t="n">
        <x:v>2012</x:v>
      </x:c>
      <x:c r="E2508" s="2" t="str">
        <x:v>WB_gini</x:v>
      </x:c>
      <x:c r="F2508" s="2" t="str">
        <x:v>Gini index</x:v>
      </x:c>
    </x:row>
    <x:row r="2509" ht="44" customHeight="1">
      <x:c r="A2509" s="2" t="str">
        <x:v>HTI</x:v>
      </x:c>
      <x:c r="B2509" s="2" t="str">
        <x:v>unemployment</x:v>
      </x:c>
      <x:c r="C2509" s="2" t="n">
        <x:v>14.944</x:v>
      </x:c>
      <x:c r="D2509" s="2" t="n">
        <x:v>2025</x:v>
      </x:c>
      <x:c r="E2509" s="2" t="str">
        <x:v>WB_unemployment</x:v>
      </x:c>
      <x:c r="F2509" s="2" t="str">
        <x:v>Unemployment, total (% of total labor force) (modeled ILO estimate)</x:v>
      </x:c>
    </x:row>
    <x:row r="2510" ht="44" customHeight="1">
      <x:c r="A2510" s="2" t="str">
        <x:v>HTI</x:v>
      </x:c>
      <x:c r="B2510" s="2" t="str">
        <x:v>private_credit</x:v>
      </x:c>
      <x:c r="C2510" s="2" t="n">
        <x:v>3.2083317013116</x:v>
      </x:c>
      <x:c r="D2510" s="2" t="n">
        <x:v>2025</x:v>
      </x:c>
      <x:c r="E2510" s="2" t="str">
        <x:v>WB_private_credit</x:v>
      </x:c>
      <x:c r="F2510" s="2" t="str">
        <x:v>Domestic credit to private sector (% of GDP)</x:v>
      </x:c>
    </x:row>
    <x:row r="2511" ht="44" customHeight="1">
      <x:c r="A2511" s="2" t="str">
        <x:v>HTI</x:v>
      </x:c>
      <x:c r="B2511" s="2" t="str">
        <x:v>lending_rate</x:v>
      </x:c>
      <x:c r="C2511" s="2" t="n">
        <x:v>13.0083333333333</x:v>
      </x:c>
      <x:c r="D2511" s="2" t="n">
        <x:v>2025</x:v>
      </x:c>
      <x:c r="E2511" s="2" t="str">
        <x:v>WB_lending_rate</x:v>
      </x:c>
      <x:c r="F2511" s="2" t="str">
        <x:v>Lending interest rate (%)</x:v>
      </x:c>
    </x:row>
    <x:row r="2512" ht="44" customHeight="1">
      <x:c r="A2512" s="2" t="str">
        <x:v>HTI</x:v>
      </x:c>
      <x:c r="B2512" s="2" t="str">
        <x:v>real_interest</x:v>
      </x:c>
      <x:c r="C2512" s="2" t="n">
        <x:v>-15.9128837350677</x:v>
      </x:c>
      <x:c r="D2512" s="2" t="n">
        <x:v>2025</x:v>
      </x:c>
      <x:c r="E2512" s="2" t="str">
        <x:v>WB_real_interest</x:v>
      </x:c>
      <x:c r="F2512" s="2" t="str">
        <x:v>Real interest rate (%)</x:v>
      </x:c>
    </x:row>
    <x:row r="2513" ht="44" customHeight="1">
      <x:c r="A2513" s="2" t="str">
        <x:v>HTI</x:v>
      </x:c>
      <x:c r="B2513" s="2" t="str">
        <x:v>government_debt</x:v>
      </x:c>
      <x:c r="C2513" s="2"/>
      <x:c r="D2513" s="2"/>
      <x:c r="E2513" s="2" t="str">
        <x:v>Missing</x:v>
      </x:c>
      <x:c r="F2513" s="2" t="str">
        <x:v>Central government debt, total (% of GDP)</x:v>
      </x:c>
    </x:row>
    <x:row r="2514" ht="44" customHeight="1">
      <x:c r="A2514" s="2" t="str">
        <x:v>HTI</x:v>
      </x:c>
      <x:c r="B2514" s="2" t="str">
        <x:v>electricity_access</x:v>
      </x:c>
      <x:c r="C2514" s="2" t="n">
        <x:v>53.9</x:v>
      </x:c>
      <x:c r="D2514" s="2" t="n">
        <x:v>2024</x:v>
      </x:c>
      <x:c r="E2514" s="2" t="str">
        <x:v>WB_electricity_access</x:v>
      </x:c>
      <x:c r="F2514" s="2" t="str">
        <x:v>Access to electricity (% of population)</x:v>
      </x:c>
    </x:row>
    <x:row r="2515" ht="44" customHeight="1">
      <x:c r="A2515" s="2" t="str">
        <x:v>HTI</x:v>
      </x:c>
      <x:c r="B2515" s="2" t="str">
        <x:v>irrigated_land</x:v>
      </x:c>
      <x:c r="C2515" s="2" t="n">
        <x:v>3.86847195357834</x:v>
      </x:c>
      <x:c r="D2515" s="2" t="n">
        <x:v>2013</x:v>
      </x:c>
      <x:c r="E2515" s="2" t="str">
        <x:v>WB_irrigated_land</x:v>
      </x:c>
      <x:c r="F2515" s="2" t="str">
        <x:v>Agricultural irrigated land (% of total agricultural land)</x:v>
      </x:c>
    </x:row>
    <x:row r="2516" ht="44" customHeight="1">
      <x:c r="A2516" s="2" t="str">
        <x:v>HTI</x:v>
      </x:c>
      <x:c r="B2516" s="2" t="str">
        <x:v>cereal_area</x:v>
      </x:c>
      <x:c r="C2516" s="2" t="n">
        <x:v>310565</x:v>
      </x:c>
      <x:c r="D2516" s="2" t="n">
        <x:v>2023</x:v>
      </x:c>
      <x:c r="E2516" s="2" t="str">
        <x:v>WB_cereal_area</x:v>
      </x:c>
      <x:c r="F2516" s="2" t="str">
        <x:v>Land under cereal production (hectares)</x:v>
      </x:c>
    </x:row>
    <x:row r="2517" ht="44" customHeight="1">
      <x:c r="A2517" s="2" t="str">
        <x:v>HTI</x:v>
      </x:c>
      <x:c r="B2517" s="2" t="str">
        <x:v>undernourishment</x:v>
      </x:c>
      <x:c r="C2517" s="2" t="n">
        <x:v>54.2</x:v>
      </x:c>
      <x:c r="D2517" s="2" t="n">
        <x:v>2023</x:v>
      </x:c>
      <x:c r="E2517" s="2" t="str">
        <x:v>WB_undernourishment</x:v>
      </x:c>
      <x:c r="F2517" s="2" t="str">
        <x:v>Prevalence of undernourishment (% of population)</x:v>
      </x:c>
    </x:row>
    <x:row r="2518" ht="44" customHeight="1">
      <x:c r="A2518" s="2" t="str">
        <x:v>HTI</x:v>
      </x:c>
      <x:c r="B2518" s="2" t="str">
        <x:v>agriculture_employment</x:v>
      </x:c>
      <x:c r="C2518" s="2" t="n">
        <x:v>46.6145273090021</x:v>
      </x:c>
      <x:c r="D2518" s="2" t="n">
        <x:v>2025</x:v>
      </x:c>
      <x:c r="E2518" s="2" t="str">
        <x:v>WB_agriculture_employment</x:v>
      </x:c>
      <x:c r="F2518" s="2" t="str">
        <x:v>Employment in agriculture (% of total employment) (modeled ILO estimate)</x:v>
      </x:c>
    </x:row>
    <x:row r="2519" ht="44" customHeight="1">
      <x:c r="A2519" s="2" t="str">
        <x:v>HTI</x:v>
      </x:c>
      <x:c r="B2519" s="2" t="str">
        <x:v>water_withdrawal</x:v>
      </x:c>
      <x:c r="C2519" s="2" t="n">
        <x:v>11.1478434689014</x:v>
      </x:c>
      <x:c r="D2519" s="2" t="n">
        <x:v>2022</x:v>
      </x:c>
      <x:c r="E2519" s="2" t="str">
        <x:v>WB_water_withdrawal</x:v>
      </x:c>
      <x:c r="F2519" s="2" t="str">
        <x:v>Annual freshwater withdrawals, total (% of internal resources)</x:v>
      </x:c>
    </x:row>
    <x:row r="2520" ht="44" customHeight="1">
      <x:c r="A2520" s="2" t="str">
        <x:v>VAT</x:v>
      </x:c>
      <x:c r="B2520" s="2" t="str">
        <x:v>population</x:v>
      </x:c>
      <x:c r="C2520" s="2"/>
      <x:c r="D2520" s="2"/>
      <x:c r="E2520" s="2" t="str">
        <x:v>Missing</x:v>
      </x:c>
      <x:c r="F2520" s="2" t="str">
        <x:v>Population, total</x:v>
      </x:c>
    </x:row>
    <x:row r="2521" ht="44" customHeight="1">
      <x:c r="A2521" s="2" t="str">
        <x:v>VAT</x:v>
      </x:c>
      <x:c r="B2521" s="2" t="str">
        <x:v>income_ppp</x:v>
      </x:c>
      <x:c r="C2521" s="2"/>
      <x:c r="D2521" s="2"/>
      <x:c r="E2521" s="2" t="str">
        <x:v>Missing</x:v>
      </x:c>
      <x:c r="F2521" s="2" t="str">
        <x:v>GDP per capita, PPP (constant 2021 international $)</x:v>
      </x:c>
    </x:row>
    <x:row r="2522" ht="44" customHeight="1">
      <x:c r="A2522" s="2" t="str">
        <x:v>VAT</x:v>
      </x:c>
      <x:c r="B2522" s="2" t="str">
        <x:v>urban</x:v>
      </x:c>
      <x:c r="C2522" s="2"/>
      <x:c r="D2522" s="2"/>
      <x:c r="E2522" s="2" t="str">
        <x:v>Missing</x:v>
      </x:c>
      <x:c r="F2522" s="2" t="str">
        <x:v>Urban population (% of total population)</x:v>
      </x:c>
    </x:row>
    <x:row r="2523" ht="44" customHeight="1">
      <x:c r="A2523" s="2" t="str">
        <x:v>VAT</x:v>
      </x:c>
      <x:c r="B2523" s="2" t="str">
        <x:v>inflation</x:v>
      </x:c>
      <x:c r="C2523" s="2"/>
      <x:c r="D2523" s="2"/>
      <x:c r="E2523" s="2" t="str">
        <x:v>Missing</x:v>
      </x:c>
      <x:c r="F2523" s="2" t="str">
        <x:v>Inflation, consumer prices (annual %)</x:v>
      </x:c>
    </x:row>
    <x:row r="2524" ht="44" customHeight="1">
      <x:c r="A2524" s="2" t="str">
        <x:v>VAT</x:v>
      </x:c>
      <x:c r="B2524" s="2" t="str">
        <x:v>food_index</x:v>
      </x:c>
      <x:c r="C2524" s="2"/>
      <x:c r="D2524" s="2"/>
      <x:c r="E2524" s="2" t="str">
        <x:v>Missing</x:v>
      </x:c>
      <x:c r="F2524" s="2" t="str">
        <x:v>Food production index (2014-2016 = 100)</x:v>
      </x:c>
    </x:row>
    <x:row r="2525" ht="44" customHeight="1">
      <x:c r="A2525" s="2" t="str">
        <x:v>VAT</x:v>
      </x:c>
      <x:c r="B2525" s="2" t="str">
        <x:v>food_import_share</x:v>
      </x:c>
      <x:c r="C2525" s="2"/>
      <x:c r="D2525" s="2"/>
      <x:c r="E2525" s="2" t="str">
        <x:v>Missing</x:v>
      </x:c>
      <x:c r="F2525" s="2" t="str">
        <x:v>Food imports (% of merchandise imports)</x:v>
      </x:c>
    </x:row>
    <x:row r="2526" ht="44" customHeight="1">
      <x:c r="A2526" s="2" t="str">
        <x:v>VAT</x:v>
      </x:c>
      <x:c r="B2526" s="2" t="str">
        <x:v>food_export_share</x:v>
      </x:c>
      <x:c r="C2526" s="2"/>
      <x:c r="D2526" s="2"/>
      <x:c r="E2526" s="2" t="str">
        <x:v>Missing</x:v>
      </x:c>
      <x:c r="F2526" s="2" t="str">
        <x:v>Food exports (% of merchandise exports)</x:v>
      </x:c>
    </x:row>
    <x:row r="2527" ht="44" customHeight="1">
      <x:c r="A2527" s="2" t="str">
        <x:v>VAT</x:v>
      </x:c>
      <x:c r="B2527" s="2" t="str">
        <x:v>imports_usd</x:v>
      </x:c>
      <x:c r="C2527" s="2"/>
      <x:c r="D2527" s="2"/>
      <x:c r="E2527" s="2" t="str">
        <x:v>Missing</x:v>
      </x:c>
      <x:c r="F2527" s="2" t="str">
        <x:v>Merchandise imports (current US$)</x:v>
      </x:c>
    </x:row>
    <x:row r="2528" ht="44" customHeight="1">
      <x:c r="A2528" s="2" t="str">
        <x:v>VAT</x:v>
      </x:c>
      <x:c r="B2528" s="2" t="str">
        <x:v>exports_usd</x:v>
      </x:c>
      <x:c r="C2528" s="2"/>
      <x:c r="D2528" s="2"/>
      <x:c r="E2528" s="2" t="str">
        <x:v>Missing</x:v>
      </x:c>
      <x:c r="F2528" s="2" t="str">
        <x:v>Merchandise exports (current US$)</x:v>
      </x:c>
    </x:row>
    <x:row r="2529" ht="44" customHeight="1">
      <x:c r="A2529" s="2" t="str">
        <x:v>VAT</x:v>
      </x:c>
      <x:c r="B2529" s="2" t="str">
        <x:v>cereal_yield</x:v>
      </x:c>
      <x:c r="C2529" s="2"/>
      <x:c r="D2529" s="2"/>
      <x:c r="E2529" s="2" t="str">
        <x:v>Missing</x:v>
      </x:c>
      <x:c r="F2529" s="2" t="str">
        <x:v>Cereal yield (kg per hectare)</x:v>
      </x:c>
    </x:row>
    <x:row r="2530" ht="44" customHeight="1">
      <x:c r="A2530" s="2" t="str">
        <x:v>VAT</x:v>
      </x:c>
      <x:c r="B2530" s="2" t="str">
        <x:v>water_stress</x:v>
      </x:c>
      <x:c r="C2530" s="2"/>
      <x:c r="D2530" s="2"/>
      <x:c r="E2530" s="2" t="str">
        <x:v>Missing</x:v>
      </x:c>
      <x:c r="F2530" s="2" t="str">
        <x:v>Level of water stress: freshwater withdrawal as a proportion of available freshwater resources</x:v>
      </x:c>
    </x:row>
    <x:row r="2531" ht="44" customHeight="1">
      <x:c r="A2531" s="2" t="str">
        <x:v>VAT</x:v>
      </x:c>
      <x:c r="B2531" s="2" t="str">
        <x:v>fertility</x:v>
      </x:c>
      <x:c r="C2531" s="2"/>
      <x:c r="D2531" s="2"/>
      <x:c r="E2531" s="2" t="str">
        <x:v>Missing</x:v>
      </x:c>
      <x:c r="F2531" s="2" t="str">
        <x:v>Fertility rate, total (births per woman)</x:v>
      </x:c>
    </x:row>
    <x:row r="2532" ht="44" customHeight="1">
      <x:c r="A2532" s="2" t="str">
        <x:v>VAT</x:v>
      </x:c>
      <x:c r="B2532" s="2" t="str">
        <x:v>life_expectancy</x:v>
      </x:c>
      <x:c r="C2532" s="2"/>
      <x:c r="D2532" s="2"/>
      <x:c r="E2532" s="2" t="str">
        <x:v>Missing</x:v>
      </x:c>
      <x:c r="F2532" s="2" t="str">
        <x:v>Life expectancy at birth, total (years)</x:v>
      </x:c>
    </x:row>
    <x:row r="2533" ht="44" customHeight="1">
      <x:c r="A2533" s="2" t="str">
        <x:v>VAT</x:v>
      </x:c>
      <x:c r="B2533" s="2" t="str">
        <x:v>age_under15</x:v>
      </x:c>
      <x:c r="C2533" s="2"/>
      <x:c r="D2533" s="2"/>
      <x:c r="E2533" s="2" t="str">
        <x:v>Missing</x:v>
      </x:c>
      <x:c r="F2533" s="2" t="str">
        <x:v>Population ages 0-14 (% of total population)</x:v>
      </x:c>
    </x:row>
    <x:row r="2534" ht="44" customHeight="1">
      <x:c r="A2534" s="2" t="str">
        <x:v>VAT</x:v>
      </x:c>
      <x:c r="B2534" s="2" t="str">
        <x:v>age_over65</x:v>
      </x:c>
      <x:c r="C2534" s="2"/>
      <x:c r="D2534" s="2"/>
      <x:c r="E2534" s="2" t="str">
        <x:v>Missing</x:v>
      </x:c>
      <x:c r="F2534" s="2" t="str">
        <x:v>Population ages 65 and above (% of total population)</x:v>
      </x:c>
    </x:row>
    <x:row r="2535" ht="44" customHeight="1">
      <x:c r="A2535" s="2" t="str">
        <x:v>VAT</x:v>
      </x:c>
      <x:c r="B2535" s="2" t="str">
        <x:v>dependency_ratio</x:v>
      </x:c>
      <x:c r="C2535" s="2"/>
      <x:c r="D2535" s="2"/>
      <x:c r="E2535" s="2" t="str">
        <x:v>Missing</x:v>
      </x:c>
      <x:c r="F2535" s="2" t="str">
        <x:v>Age dependency ratio (% of working-age population)</x:v>
      </x:c>
    </x:row>
    <x:row r="2536" ht="44" customHeight="1">
      <x:c r="A2536" s="2" t="str">
        <x:v>VAT</x:v>
      </x:c>
      <x:c r="B2536" s="2" t="str">
        <x:v>net_migration</x:v>
      </x:c>
      <x:c r="C2536" s="2"/>
      <x:c r="D2536" s="2"/>
      <x:c r="E2536" s="2" t="str">
        <x:v>Missing</x:v>
      </x:c>
      <x:c r="F2536" s="2" t="str">
        <x:v>Net migration</x:v>
      </x:c>
    </x:row>
    <x:row r="2537" ht="44" customHeight="1">
      <x:c r="A2537" s="2" t="str">
        <x:v>VAT</x:v>
      </x:c>
      <x:c r="B2537" s="2" t="str">
        <x:v>real_gdp</x:v>
      </x:c>
      <x:c r="C2537" s="2"/>
      <x:c r="D2537" s="2"/>
      <x:c r="E2537" s="2" t="str">
        <x:v>Missing</x:v>
      </x:c>
      <x:c r="F2537" s="2" t="str">
        <x:v>GDP (constant 2015 US$)</x:v>
      </x:c>
    </x:row>
    <x:row r="2538" ht="44" customHeight="1">
      <x:c r="A2538" s="2" t="str">
        <x:v>VAT</x:v>
      </x:c>
      <x:c r="B2538" s="2" t="str">
        <x:v>gdp_growth</x:v>
      </x:c>
      <x:c r="C2538" s="2"/>
      <x:c r="D2538" s="2"/>
      <x:c r="E2538" s="2" t="str">
        <x:v>Missing</x:v>
      </x:c>
      <x:c r="F2538" s="2" t="str">
        <x:v>GDP growth (annual %)</x:v>
      </x:c>
    </x:row>
    <x:row r="2539" ht="44" customHeight="1">
      <x:c r="A2539" s="2" t="str">
        <x:v>VAT</x:v>
      </x:c>
      <x:c r="B2539" s="2" t="str">
        <x:v>real_income</x:v>
      </x:c>
      <x:c r="C2539" s="2"/>
      <x:c r="D2539" s="2"/>
      <x:c r="E2539" s="2" t="str">
        <x:v>Missing</x:v>
      </x:c>
      <x:c r="F2539" s="2" t="str">
        <x:v>GDP per capita (constant 2015 US$)</x:v>
      </x:c>
    </x:row>
    <x:row r="2540" ht="44" customHeight="1">
      <x:c r="A2540" s="2" t="str">
        <x:v>VAT</x:v>
      </x:c>
      <x:c r="B2540" s="2" t="str">
        <x:v>agriculture_gdp</x:v>
      </x:c>
      <x:c r="C2540" s="2"/>
      <x:c r="D2540" s="2"/>
      <x:c r="E2540" s="2" t="str">
        <x:v>Missing</x:v>
      </x:c>
      <x:c r="F2540" s="2" t="str">
        <x:v>Agriculture, forestry, and fishing, value added (% of GDP)</x:v>
      </x:c>
    </x:row>
    <x:row r="2541" ht="44" customHeight="1">
      <x:c r="A2541" s="2" t="str">
        <x:v>VAT</x:v>
      </x:c>
      <x:c r="B2541" s="2" t="str">
        <x:v>poverty</x:v>
      </x:c>
      <x:c r="C2541" s="2"/>
      <x:c r="D2541" s="2"/>
      <x:c r="E2541" s="2" t="str">
        <x:v>Missing</x:v>
      </x:c>
      <x:c r="F2541" s="2" t="str">
        <x:v>Poverty headcount ratio at $3.00 a day (2021 PPP) (% of population)</x:v>
      </x:c>
    </x:row>
    <x:row r="2542" ht="44" customHeight="1">
      <x:c r="A2542" s="2" t="str">
        <x:v>VAT</x:v>
      </x:c>
      <x:c r="B2542" s="2" t="str">
        <x:v>gini</x:v>
      </x:c>
      <x:c r="C2542" s="2"/>
      <x:c r="D2542" s="2"/>
      <x:c r="E2542" s="2" t="str">
        <x:v>Missing</x:v>
      </x:c>
      <x:c r="F2542" s="2" t="str">
        <x:v>Gini index</x:v>
      </x:c>
    </x:row>
    <x:row r="2543" ht="44" customHeight="1">
      <x:c r="A2543" s="2" t="str">
        <x:v>VAT</x:v>
      </x:c>
      <x:c r="B2543" s="2" t="str">
        <x:v>unemployment</x:v>
      </x:c>
      <x:c r="C2543" s="2"/>
      <x:c r="D2543" s="2"/>
      <x:c r="E2543" s="2" t="str">
        <x:v>Missing</x:v>
      </x:c>
      <x:c r="F2543" s="2" t="str">
        <x:v>Unemployment, total (% of total labor force) (modeled ILO estimate)</x:v>
      </x:c>
    </x:row>
    <x:row r="2544" ht="44" customHeight="1">
      <x:c r="A2544" s="2" t="str">
        <x:v>VAT</x:v>
      </x:c>
      <x:c r="B2544" s="2" t="str">
        <x:v>private_credit</x:v>
      </x:c>
      <x:c r="C2544" s="2"/>
      <x:c r="D2544" s="2"/>
      <x:c r="E2544" s="2" t="str">
        <x:v>Missing</x:v>
      </x:c>
      <x:c r="F2544" s="2" t="str">
        <x:v>Domestic credit to private sector (% of GDP)</x:v>
      </x:c>
    </x:row>
    <x:row r="2545" ht="44" customHeight="1">
      <x:c r="A2545" s="2" t="str">
        <x:v>VAT</x:v>
      </x:c>
      <x:c r="B2545" s="2" t="str">
        <x:v>lending_rate</x:v>
      </x:c>
      <x:c r="C2545" s="2"/>
      <x:c r="D2545" s="2"/>
      <x:c r="E2545" s="2" t="str">
        <x:v>Missing</x:v>
      </x:c>
      <x:c r="F2545" s="2" t="str">
        <x:v>Lending interest rate (%)</x:v>
      </x:c>
    </x:row>
    <x:row r="2546" ht="44" customHeight="1">
      <x:c r="A2546" s="2" t="str">
        <x:v>VAT</x:v>
      </x:c>
      <x:c r="B2546" s="2" t="str">
        <x:v>real_interest</x:v>
      </x:c>
      <x:c r="C2546" s="2"/>
      <x:c r="D2546" s="2"/>
      <x:c r="E2546" s="2" t="str">
        <x:v>Missing</x:v>
      </x:c>
      <x:c r="F2546" s="2" t="str">
        <x:v>Real interest rate (%)</x:v>
      </x:c>
    </x:row>
    <x:row r="2547" ht="44" customHeight="1">
      <x:c r="A2547" s="2" t="str">
        <x:v>VAT</x:v>
      </x:c>
      <x:c r="B2547" s="2" t="str">
        <x:v>government_debt</x:v>
      </x:c>
      <x:c r="C2547" s="2"/>
      <x:c r="D2547" s="2"/>
      <x:c r="E2547" s="2" t="str">
        <x:v>Missing</x:v>
      </x:c>
      <x:c r="F2547" s="2" t="str">
        <x:v>Central government debt, total (% of GDP)</x:v>
      </x:c>
    </x:row>
    <x:row r="2548" ht="44" customHeight="1">
      <x:c r="A2548" s="2" t="str">
        <x:v>VAT</x:v>
      </x:c>
      <x:c r="B2548" s="2" t="str">
        <x:v>electricity_access</x:v>
      </x:c>
      <x:c r="C2548" s="2"/>
      <x:c r="D2548" s="2"/>
      <x:c r="E2548" s="2" t="str">
        <x:v>Missing</x:v>
      </x:c>
      <x:c r="F2548" s="2" t="str">
        <x:v>Access to electricity (% of population)</x:v>
      </x:c>
    </x:row>
    <x:row r="2549" ht="44" customHeight="1">
      <x:c r="A2549" s="2" t="str">
        <x:v>VAT</x:v>
      </x:c>
      <x:c r="B2549" s="2" t="str">
        <x:v>irrigated_land</x:v>
      </x:c>
      <x:c r="C2549" s="2"/>
      <x:c r="D2549" s="2"/>
      <x:c r="E2549" s="2" t="str">
        <x:v>Missing</x:v>
      </x:c>
      <x:c r="F2549" s="2" t="str">
        <x:v>Agricultural irrigated land (% of total agricultural land)</x:v>
      </x:c>
    </x:row>
    <x:row r="2550" ht="44" customHeight="1">
      <x:c r="A2550" s="2" t="str">
        <x:v>VAT</x:v>
      </x:c>
      <x:c r="B2550" s="2" t="str">
        <x:v>cereal_area</x:v>
      </x:c>
      <x:c r="C2550" s="2"/>
      <x:c r="D2550" s="2"/>
      <x:c r="E2550" s="2" t="str">
        <x:v>Missing</x:v>
      </x:c>
      <x:c r="F2550" s="2" t="str">
        <x:v>Land under cereal production (hectares)</x:v>
      </x:c>
    </x:row>
    <x:row r="2551" ht="44" customHeight="1">
      <x:c r="A2551" s="2" t="str">
        <x:v>VAT</x:v>
      </x:c>
      <x:c r="B2551" s="2" t="str">
        <x:v>undernourishment</x:v>
      </x:c>
      <x:c r="C2551" s="2"/>
      <x:c r="D2551" s="2"/>
      <x:c r="E2551" s="2" t="str">
        <x:v>Missing</x:v>
      </x:c>
      <x:c r="F2551" s="2" t="str">
        <x:v>Prevalence of undernourishment (% of population)</x:v>
      </x:c>
    </x:row>
    <x:row r="2552" ht="44" customHeight="1">
      <x:c r="A2552" s="2" t="str">
        <x:v>VAT</x:v>
      </x:c>
      <x:c r="B2552" s="2" t="str">
        <x:v>agriculture_employment</x:v>
      </x:c>
      <x:c r="C2552" s="2"/>
      <x:c r="D2552" s="2"/>
      <x:c r="E2552" s="2" t="str">
        <x:v>Missing</x:v>
      </x:c>
      <x:c r="F2552" s="2" t="str">
        <x:v>Employment in agriculture (% of total employment) (modeled ILO estimate)</x:v>
      </x:c>
    </x:row>
    <x:row r="2553" ht="44" customHeight="1">
      <x:c r="A2553" s="2" t="str">
        <x:v>VAT</x:v>
      </x:c>
      <x:c r="B2553" s="2" t="str">
        <x:v>water_withdrawal</x:v>
      </x:c>
      <x:c r="C2553" s="2"/>
      <x:c r="D2553" s="2"/>
      <x:c r="E2553" s="2" t="str">
        <x:v>Missing</x:v>
      </x:c>
      <x:c r="F2553" s="2" t="str">
        <x:v>Annual freshwater withdrawals, total (% of internal resources)</x:v>
      </x:c>
    </x:row>
    <x:row r="2554" ht="44" customHeight="1">
      <x:c r="A2554" s="2" t="str">
        <x:v>HND</x:v>
      </x:c>
      <x:c r="B2554" s="2" t="str">
        <x:v>population</x:v>
      </x:c>
      <x:c r="C2554" s="2" t="n">
        <x:v>11005850</x:v>
      </x:c>
      <x:c r="D2554" s="2" t="n">
        <x:v>2025</x:v>
      </x:c>
      <x:c r="E2554" s="2" t="str">
        <x:v>WB_population</x:v>
      </x:c>
      <x:c r="F2554" s="2" t="str">
        <x:v>Population, total</x:v>
      </x:c>
    </x:row>
    <x:row r="2555" ht="44" customHeight="1">
      <x:c r="A2555" s="2" t="str">
        <x:v>HND</x:v>
      </x:c>
      <x:c r="B2555" s="2" t="str">
        <x:v>income_ppp</x:v>
      </x:c>
      <x:c r="C2555" s="2" t="n">
        <x:v>6726.16685066658</x:v>
      </x:c>
      <x:c r="D2555" s="2" t="n">
        <x:v>2025</x:v>
      </x:c>
      <x:c r="E2555" s="2" t="str">
        <x:v>WB_income_ppp</x:v>
      </x:c>
      <x:c r="F2555" s="2" t="str">
        <x:v>GDP per capita, PPP (constant 2021 international $)</x:v>
      </x:c>
    </x:row>
    <x:row r="2556" ht="44" customHeight="1">
      <x:c r="A2556" s="2" t="str">
        <x:v>HND</x:v>
      </x:c>
      <x:c r="B2556" s="2" t="str">
        <x:v>urban</x:v>
      </x:c>
      <x:c r="C2556" s="2" t="n">
        <x:v>59.2517075900659</x:v>
      </x:c>
      <x:c r="D2556" s="2" t="n">
        <x:v>2025</x:v>
      </x:c>
      <x:c r="E2556" s="2" t="str">
        <x:v>WB_urban</x:v>
      </x:c>
      <x:c r="F2556" s="2" t="str">
        <x:v>Urban population (% of total population)</x:v>
      </x:c>
    </x:row>
    <x:row r="2557" ht="44" customHeight="1">
      <x:c r="A2557" s="2" t="str">
        <x:v>HND</x:v>
      </x:c>
      <x:c r="B2557" s="2" t="str">
        <x:v>inflation</x:v>
      </x:c>
      <x:c r="C2557" s="2" t="n">
        <x:v>4.59657982325258</x:v>
      </x:c>
      <x:c r="D2557" s="2" t="n">
        <x:v>2025</x:v>
      </x:c>
      <x:c r="E2557" s="2" t="str">
        <x:v>WB_inflation</x:v>
      </x:c>
      <x:c r="F2557" s="2" t="str">
        <x:v>Inflation, consumer prices (annual %)</x:v>
      </x:c>
    </x:row>
    <x:row r="2558" ht="44" customHeight="1">
      <x:c r="A2558" s="2" t="str">
        <x:v>HND</x:v>
      </x:c>
      <x:c r="B2558" s="2" t="str">
        <x:v>food_index</x:v>
      </x:c>
      <x:c r="C2558" s="2" t="n">
        <x:v>107</x:v>
      </x:c>
      <x:c r="D2558" s="2" t="n">
        <x:v>2022</x:v>
      </x:c>
      <x:c r="E2558" s="2" t="str">
        <x:v>WB_food_index</x:v>
      </x:c>
      <x:c r="F2558" s="2" t="str">
        <x:v>Food production index (2014-2016 = 100)</x:v>
      </x:c>
    </x:row>
    <x:row r="2559" ht="44" customHeight="1">
      <x:c r="A2559" s="2" t="str">
        <x:v>HND</x:v>
      </x:c>
      <x:c r="B2559" s="2" t="str">
        <x:v>food_import_share</x:v>
      </x:c>
      <x:c r="C2559" s="2" t="n">
        <x:v>19.4660573087506</x:v>
      </x:c>
      <x:c r="D2559" s="2" t="n">
        <x:v>2024</x:v>
      </x:c>
      <x:c r="E2559" s="2" t="str">
        <x:v>WB_food_import_share</x:v>
      </x:c>
      <x:c r="F2559" s="2" t="str">
        <x:v>Food imports (% of merchandise imports)</x:v>
      </x:c>
    </x:row>
    <x:row r="2560" ht="44" customHeight="1">
      <x:c r="A2560" s="2" t="str">
        <x:v>HND</x:v>
      </x:c>
      <x:c r="B2560" s="2" t="str">
        <x:v>food_export_share</x:v>
      </x:c>
      <x:c r="C2560" s="2" t="n">
        <x:v>53.4958434446021</x:v>
      </x:c>
      <x:c r="D2560" s="2" t="n">
        <x:v>2024</x:v>
      </x:c>
      <x:c r="E2560" s="2" t="str">
        <x:v>WB_food_export_share</x:v>
      </x:c>
      <x:c r="F2560" s="2" t="str">
        <x:v>Food exports (% of merchandise exports)</x:v>
      </x:c>
    </x:row>
    <x:row r="2561" ht="44" customHeight="1">
      <x:c r="A2561" s="2" t="str">
        <x:v>HND</x:v>
      </x:c>
      <x:c r="B2561" s="2" t="str">
        <x:v>imports_usd</x:v>
      </x:c>
      <x:c r="C2561" s="2" t="n">
        <x:v>18636000000</x:v>
      </x:c>
      <x:c r="D2561" s="2" t="n">
        <x:v>2025</x:v>
      </x:c>
      <x:c r="E2561" s="2" t="str">
        <x:v>WB_imports_usd</x:v>
      </x:c>
      <x:c r="F2561" s="2" t="str">
        <x:v>Merchandise imports (current US$)</x:v>
      </x:c>
    </x:row>
    <x:row r="2562" ht="44" customHeight="1">
      <x:c r="A2562" s="2" t="str">
        <x:v>HND</x:v>
      </x:c>
      <x:c r="B2562" s="2" t="str">
        <x:v>exports_usd</x:v>
      </x:c>
      <x:c r="C2562" s="2" t="n">
        <x:v>12004000000</x:v>
      </x:c>
      <x:c r="D2562" s="2" t="n">
        <x:v>2025</x:v>
      </x:c>
      <x:c r="E2562" s="2" t="str">
        <x:v>WB_exports_usd</x:v>
      </x:c>
      <x:c r="F2562" s="2" t="str">
        <x:v>Merchandise exports (current US$)</x:v>
      </x:c>
    </x:row>
    <x:row r="2563" ht="44" customHeight="1">
      <x:c r="A2563" s="2" t="str">
        <x:v>HND</x:v>
      </x:c>
      <x:c r="B2563" s="2" t="str">
        <x:v>cereal_yield</x:v>
      </x:c>
      <x:c r="C2563" s="2" t="n">
        <x:v>1887.4</x:v>
      </x:c>
      <x:c r="D2563" s="2" t="n">
        <x:v>2023</x:v>
      </x:c>
      <x:c r="E2563" s="2" t="str">
        <x:v>WB_cereal_yield</x:v>
      </x:c>
      <x:c r="F2563" s="2" t="str">
        <x:v>Cereal yield (kg per hectare)</x:v>
      </x:c>
    </x:row>
    <x:row r="2564" ht="44" customHeight="1">
      <x:c r="A2564" s="2" t="str">
        <x:v>HND</x:v>
      </x:c>
      <x:c r="B2564" s="2" t="str">
        <x:v>water_stress</x:v>
      </x:c>
      <x:c r="C2564" s="2" t="n">
        <x:v>4.621268764</x:v>
      </x:c>
      <x:c r="D2564" s="2" t="n">
        <x:v>2022</x:v>
      </x:c>
      <x:c r="E2564" s="2" t="str">
        <x:v>WB_water_stress</x:v>
      </x:c>
      <x:c r="F2564" s="2" t="str">
        <x:v>Level of water stress: freshwater withdrawal as a proportion of available freshwater resources</x:v>
      </x:c>
    </x:row>
    <x:row r="2565" ht="44" customHeight="1">
      <x:c r="A2565" s="2" t="str">
        <x:v>HND</x:v>
      </x:c>
      <x:c r="B2565" s="2" t="str">
        <x:v>fertility</x:v>
      </x:c>
      <x:c r="C2565" s="2" t="n">
        <x:v>2.476</x:v>
      </x:c>
      <x:c r="D2565" s="2" t="n">
        <x:v>2024</x:v>
      </x:c>
      <x:c r="E2565" s="2" t="str">
        <x:v>WB_fertility</x:v>
      </x:c>
      <x:c r="F2565" s="2" t="str">
        <x:v>Fertility rate, total (births per woman)</x:v>
      </x:c>
    </x:row>
    <x:row r="2566" ht="44" customHeight="1">
      <x:c r="A2566" s="2" t="str">
        <x:v>HND</x:v>
      </x:c>
      <x:c r="B2566" s="2" t="str">
        <x:v>life_expectancy</x:v>
      </x:c>
      <x:c r="C2566" s="2" t="n">
        <x:v>73.044</x:v>
      </x:c>
      <x:c r="D2566" s="2" t="n">
        <x:v>2024</x:v>
      </x:c>
      <x:c r="E2566" s="2" t="str">
        <x:v>WB_life_expectancy</x:v>
      </x:c>
      <x:c r="F2566" s="2" t="str">
        <x:v>Life expectancy at birth, total (years)</x:v>
      </x:c>
    </x:row>
    <x:row r="2567" ht="44" customHeight="1">
      <x:c r="A2567" s="2" t="str">
        <x:v>HND</x:v>
      </x:c>
      <x:c r="B2567" s="2" t="str">
        <x:v>age_under15</x:v>
      </x:c>
      <x:c r="C2567" s="2" t="n">
        <x:v>30.2626526012372</x:v>
      </x:c>
      <x:c r="D2567" s="2" t="n">
        <x:v>2025</x:v>
      </x:c>
      <x:c r="E2567" s="2" t="str">
        <x:v>WB_age_under15</x:v>
      </x:c>
      <x:c r="F2567" s="2" t="str">
        <x:v>Population ages 0-14 (% of total population)</x:v>
      </x:c>
    </x:row>
    <x:row r="2568" ht="44" customHeight="1">
      <x:c r="A2568" s="2" t="str">
        <x:v>HND</x:v>
      </x:c>
      <x:c r="B2568" s="2" t="str">
        <x:v>age_over65</x:v>
      </x:c>
      <x:c r="C2568" s="2" t="n">
        <x:v>4.54210281541647</x:v>
      </x:c>
      <x:c r="D2568" s="2" t="n">
        <x:v>2025</x:v>
      </x:c>
      <x:c r="E2568" s="2" t="str">
        <x:v>WB_age_over65</x:v>
      </x:c>
      <x:c r="F2568" s="2" t="str">
        <x:v>Population ages 65 and above (% of total population)</x:v>
      </x:c>
    </x:row>
    <x:row r="2569" ht="44" customHeight="1">
      <x:c r="A2569" s="2" t="str">
        <x:v>HND</x:v>
      </x:c>
      <x:c r="B2569" s="2" t="str">
        <x:v>dependency_ratio</x:v>
      </x:c>
      <x:c r="C2569" s="2" t="n">
        <x:v>53.3854167029602</x:v>
      </x:c>
      <x:c r="D2569" s="2" t="n">
        <x:v>2025</x:v>
      </x:c>
      <x:c r="E2569" s="2" t="str">
        <x:v>WB_dependency_ratio</x:v>
      </x:c>
      <x:c r="F2569" s="2" t="str">
        <x:v>Age dependency ratio (% of working-age population)</x:v>
      </x:c>
    </x:row>
    <x:row r="2570" ht="44" customHeight="1">
      <x:c r="A2570" s="2" t="str">
        <x:v>HND</x:v>
      </x:c>
      <x:c r="B2570" s="2" t="str">
        <x:v>net_migration</x:v>
      </x:c>
      <x:c r="C2570" s="2" t="n">
        <x:v>-4778</x:v>
      </x:c>
      <x:c r="D2570" s="2" t="n">
        <x:v>2025</x:v>
      </x:c>
      <x:c r="E2570" s="2" t="str">
        <x:v>WB_net_migration</x:v>
      </x:c>
      <x:c r="F2570" s="2" t="str">
        <x:v>Net migration</x:v>
      </x:c>
    </x:row>
    <x:row r="2571" ht="44" customHeight="1">
      <x:c r="A2571" s="2" t="str">
        <x:v>HND</x:v>
      </x:c>
      <x:c r="B2571" s="2" t="str">
        <x:v>real_gdp</x:v>
      </x:c>
      <x:c r="C2571" s="2" t="n">
        <x:v>28925544388.8026</x:v>
      </x:c>
      <x:c r="D2571" s="2" t="n">
        <x:v>2025</x:v>
      </x:c>
      <x:c r="E2571" s="2" t="str">
        <x:v>WB_real_gdp</x:v>
      </x:c>
      <x:c r="F2571" s="2" t="str">
        <x:v>GDP (constant 2015 US$)</x:v>
      </x:c>
    </x:row>
    <x:row r="2572" ht="44" customHeight="1">
      <x:c r="A2572" s="2" t="str">
        <x:v>HND</x:v>
      </x:c>
      <x:c r="B2572" s="2" t="str">
        <x:v>gdp_growth</x:v>
      </x:c>
      <x:c r="C2572" s="2" t="n">
        <x:v>3.75143102801252</x:v>
      </x:c>
      <x:c r="D2572" s="2" t="n">
        <x:v>2025</x:v>
      </x:c>
      <x:c r="E2572" s="2" t="str">
        <x:v>WB_gdp_growth</x:v>
      </x:c>
      <x:c r="F2572" s="2" t="str">
        <x:v>GDP growth (annual %)</x:v>
      </x:c>
    </x:row>
    <x:row r="2573" ht="44" customHeight="1">
      <x:c r="A2573" s="2" t="str">
        <x:v>HND</x:v>
      </x:c>
      <x:c r="B2573" s="2" t="str">
        <x:v>real_income</x:v>
      </x:c>
      <x:c r="C2573" s="2" t="n">
        <x:v>2628.19722136887</x:v>
      </x:c>
      <x:c r="D2573" s="2" t="n">
        <x:v>2025</x:v>
      </x:c>
      <x:c r="E2573" s="2" t="str">
        <x:v>WB_real_income</x:v>
      </x:c>
      <x:c r="F2573" s="2" t="str">
        <x:v>GDP per capita (constant 2015 US$)</x:v>
      </x:c>
    </x:row>
    <x:row r="2574" ht="44" customHeight="1">
      <x:c r="A2574" s="2" t="str">
        <x:v>HND</x:v>
      </x:c>
      <x:c r="B2574" s="2" t="str">
        <x:v>agriculture_gdp</x:v>
      </x:c>
      <x:c r="C2574" s="2" t="n">
        <x:v>13.3192833947532</x:v>
      </x:c>
      <x:c r="D2574" s="2" t="n">
        <x:v>2025</x:v>
      </x:c>
      <x:c r="E2574" s="2" t="str">
        <x:v>WB_agriculture_gdp</x:v>
      </x:c>
      <x:c r="F2574" s="2" t="str">
        <x:v>Agriculture, forestry, and fishing, value added (% of GDP)</x:v>
      </x:c>
    </x:row>
    <x:row r="2575" ht="44" customHeight="1">
      <x:c r="A2575" s="2" t="str">
        <x:v>HND</x:v>
      </x:c>
      <x:c r="B2575" s="2" t="str">
        <x:v>poverty</x:v>
      </x:c>
      <x:c r="C2575" s="2" t="n">
        <x:v>15.7</x:v>
      </x:c>
      <x:c r="D2575" s="2" t="n">
        <x:v>2024</x:v>
      </x:c>
      <x:c r="E2575" s="2" t="str">
        <x:v>WB_poverty</x:v>
      </x:c>
      <x:c r="F2575" s="2" t="str">
        <x:v>Poverty headcount ratio at $3.00 a day (2021 PPP) (% of population)</x:v>
      </x:c>
    </x:row>
    <x:row r="2576" ht="44" customHeight="1">
      <x:c r="A2576" s="2" t="str">
        <x:v>HND</x:v>
      </x:c>
      <x:c r="B2576" s="2" t="str">
        <x:v>gini</x:v>
      </x:c>
      <x:c r="C2576" s="2" t="n">
        <x:v>45.7</x:v>
      </x:c>
      <x:c r="D2576" s="2" t="n">
        <x:v>2024</x:v>
      </x:c>
      <x:c r="E2576" s="2" t="str">
        <x:v>WB_gini</x:v>
      </x:c>
      <x:c r="F2576" s="2" t="str">
        <x:v>Gini index</x:v>
      </x:c>
    </x:row>
    <x:row r="2577" ht="44" customHeight="1">
      <x:c r="A2577" s="2" t="str">
        <x:v>HND</x:v>
      </x:c>
      <x:c r="B2577" s="2" t="str">
        <x:v>unemployment</x:v>
      </x:c>
      <x:c r="C2577" s="2" t="n">
        <x:v>4.92</x:v>
      </x:c>
      <x:c r="D2577" s="2" t="n">
        <x:v>2025</x:v>
      </x:c>
      <x:c r="E2577" s="2" t="str">
        <x:v>WB_unemployment</x:v>
      </x:c>
      <x:c r="F2577" s="2" t="str">
        <x:v>Unemployment, total (% of total labor force) (modeled ILO estimate)</x:v>
      </x:c>
    </x:row>
    <x:row r="2578" ht="44" customHeight="1">
      <x:c r="A2578" s="2" t="str">
        <x:v>HND</x:v>
      </x:c>
      <x:c r="B2578" s="2" t="str">
        <x:v>private_credit</x:v>
      </x:c>
      <x:c r="C2578" s="2" t="n">
        <x:v>78.4633014261956</x:v>
      </x:c>
      <x:c r="D2578" s="2" t="n">
        <x:v>2024</x:v>
      </x:c>
      <x:c r="E2578" s="2" t="str">
        <x:v>WB_private_credit</x:v>
      </x:c>
      <x:c r="F2578" s="2" t="str">
        <x:v>Domestic credit to private sector (% of GDP)</x:v>
      </x:c>
    </x:row>
    <x:row r="2579" ht="44" customHeight="1">
      <x:c r="A2579" s="2" t="str">
        <x:v>HND</x:v>
      </x:c>
      <x:c r="B2579" s="2" t="str">
        <x:v>lending_rate</x:v>
      </x:c>
      <x:c r="C2579" s="2" t="n">
        <x:v>18.5835047339888</x:v>
      </x:c>
      <x:c r="D2579" s="2" t="n">
        <x:v>2025</x:v>
      </x:c>
      <x:c r="E2579" s="2" t="str">
        <x:v>WB_lending_rate</x:v>
      </x:c>
      <x:c r="F2579" s="2" t="str">
        <x:v>Lending interest rate (%)</x:v>
      </x:c>
    </x:row>
    <x:row r="2580" ht="44" customHeight="1">
      <x:c r="A2580" s="2" t="str">
        <x:v>HND</x:v>
      </x:c>
      <x:c r="B2580" s="2" t="str">
        <x:v>real_interest</x:v>
      </x:c>
      <x:c r="C2580" s="2" t="n">
        <x:v>9.78263163573964</x:v>
      </x:c>
      <x:c r="D2580" s="2" t="n">
        <x:v>2025</x:v>
      </x:c>
      <x:c r="E2580" s="2" t="str">
        <x:v>WB_real_interest</x:v>
      </x:c>
      <x:c r="F2580" s="2" t="str">
        <x:v>Real interest rate (%)</x:v>
      </x:c>
    </x:row>
    <x:row r="2581" ht="44" customHeight="1">
      <x:c r="A2581" s="2" t="str">
        <x:v>HND</x:v>
      </x:c>
      <x:c r="B2581" s="2" t="str">
        <x:v>government_debt</x:v>
      </x:c>
      <x:c r="C2581" s="2"/>
      <x:c r="D2581" s="2"/>
      <x:c r="E2581" s="2" t="str">
        <x:v>Missing</x:v>
      </x:c>
      <x:c r="F2581" s="2" t="str">
        <x:v>Central government debt, total (% of GDP)</x:v>
      </x:c>
    </x:row>
    <x:row r="2582" ht="44" customHeight="1">
      <x:c r="A2582" s="2" t="str">
        <x:v>HND</x:v>
      </x:c>
      <x:c r="B2582" s="2" t="str">
        <x:v>electricity_access</x:v>
      </x:c>
      <x:c r="C2582" s="2" t="n">
        <x:v>95.5</x:v>
      </x:c>
      <x:c r="D2582" s="2" t="n">
        <x:v>2024</x:v>
      </x:c>
      <x:c r="E2582" s="2" t="str">
        <x:v>WB_electricity_access</x:v>
      </x:c>
      <x:c r="F2582" s="2" t="str">
        <x:v>Access to electricity (% of population)</x:v>
      </x:c>
    </x:row>
    <x:row r="2583" ht="44" customHeight="1">
      <x:c r="A2583" s="2" t="str">
        <x:v>HND</x:v>
      </x:c>
      <x:c r="B2583" s="2" t="str">
        <x:v>irrigated_land</x:v>
      </x:c>
      <x:c r="C2583" s="2" t="n">
        <x:v>2.59142857142857</x:v>
      </x:c>
      <x:c r="D2583" s="2" t="n">
        <x:v>2005</x:v>
      </x:c>
      <x:c r="E2583" s="2" t="str">
        <x:v>WB_irrigated_land</x:v>
      </x:c>
      <x:c r="F2583" s="2" t="str">
        <x:v>Agricultural irrigated land (% of total agricultural land)</x:v>
      </x:c>
    </x:row>
    <x:row r="2584" ht="44" customHeight="1">
      <x:c r="A2584" s="2" t="str">
        <x:v>HND</x:v>
      </x:c>
      <x:c r="B2584" s="2" t="str">
        <x:v>cereal_area</x:v>
      </x:c>
      <x:c r="C2584" s="2" t="n">
        <x:v>410005</x:v>
      </x:c>
      <x:c r="D2584" s="2" t="n">
        <x:v>2023</x:v>
      </x:c>
      <x:c r="E2584" s="2" t="str">
        <x:v>WB_cereal_area</x:v>
      </x:c>
      <x:c r="F2584" s="2" t="str">
        <x:v>Land under cereal production (hectares)</x:v>
      </x:c>
    </x:row>
    <x:row r="2585" ht="44" customHeight="1">
      <x:c r="A2585" s="2" t="str">
        <x:v>HND</x:v>
      </x:c>
      <x:c r="B2585" s="2" t="str">
        <x:v>undernourishment</x:v>
      </x:c>
      <x:c r="C2585" s="2" t="n">
        <x:v>14.8</x:v>
      </x:c>
      <x:c r="D2585" s="2" t="n">
        <x:v>2023</x:v>
      </x:c>
      <x:c r="E2585" s="2" t="str">
        <x:v>WB_undernourishment</x:v>
      </x:c>
      <x:c r="F2585" s="2" t="str">
        <x:v>Prevalence of undernourishment (% of population)</x:v>
      </x:c>
    </x:row>
    <x:row r="2586" ht="44" customHeight="1">
      <x:c r="A2586" s="2" t="str">
        <x:v>HND</x:v>
      </x:c>
      <x:c r="B2586" s="2" t="str">
        <x:v>agriculture_employment</x:v>
      </x:c>
      <x:c r="C2586" s="2" t="n">
        <x:v>22.4237635603666</x:v>
      </x:c>
      <x:c r="D2586" s="2" t="n">
        <x:v>2025</x:v>
      </x:c>
      <x:c r="E2586" s="2" t="str">
        <x:v>WB_agriculture_employment</x:v>
      </x:c>
      <x:c r="F2586" s="2" t="str">
        <x:v>Employment in agriculture (% of total employment) (modeled ILO estimate)</x:v>
      </x:c>
    </x:row>
    <x:row r="2587" ht="44" customHeight="1">
      <x:c r="A2587" s="2" t="str">
        <x:v>HND</x:v>
      </x:c>
      <x:c r="B2587" s="2" t="str">
        <x:v>water_withdrawal</x:v>
      </x:c>
      <x:c r="C2587" s="2" t="n">
        <x:v>1.77255680564747</x:v>
      </x:c>
      <x:c r="D2587" s="2" t="n">
        <x:v>2022</x:v>
      </x:c>
      <x:c r="E2587" s="2" t="str">
        <x:v>WB_water_withdrawal</x:v>
      </x:c>
      <x:c r="F2587" s="2" t="str">
        <x:v>Annual freshwater withdrawals, total (% of internal resources)</x:v>
      </x:c>
    </x:row>
    <x:row r="2588" ht="44" customHeight="1">
      <x:c r="A2588" s="2" t="str">
        <x:v>HUN</x:v>
      </x:c>
      <x:c r="B2588" s="2" t="str">
        <x:v>population</x:v>
      </x:c>
      <x:c r="C2588" s="2" t="n">
        <x:v>9514251</x:v>
      </x:c>
      <x:c r="D2588" s="2" t="n">
        <x:v>2025</x:v>
      </x:c>
      <x:c r="E2588" s="2" t="str">
        <x:v>WB_population</x:v>
      </x:c>
      <x:c r="F2588" s="2" t="str">
        <x:v>Population, total</x:v>
      </x:c>
    </x:row>
    <x:row r="2589" ht="44" customHeight="1">
      <x:c r="A2589" s="2" t="str">
        <x:v>HUN</x:v>
      </x:c>
      <x:c r="B2589" s="2" t="str">
        <x:v>income_ppp</x:v>
      </x:c>
      <x:c r="C2589" s="2" t="n">
        <x:v>41160.6419140983</x:v>
      </x:c>
      <x:c r="D2589" s="2" t="n">
        <x:v>2025</x:v>
      </x:c>
      <x:c r="E2589" s="2" t="str">
        <x:v>WB_income_ppp</x:v>
      </x:c>
      <x:c r="F2589" s="2" t="str">
        <x:v>GDP per capita, PPP (constant 2021 international $)</x:v>
      </x:c>
    </x:row>
    <x:row r="2590" ht="44" customHeight="1">
      <x:c r="A2590" s="2" t="str">
        <x:v>HUN</x:v>
      </x:c>
      <x:c r="B2590" s="2" t="str">
        <x:v>urban</x:v>
      </x:c>
      <x:c r="C2590" s="2" t="n">
        <x:v>70.6936831786278</x:v>
      </x:c>
      <x:c r="D2590" s="2" t="n">
        <x:v>2025</x:v>
      </x:c>
      <x:c r="E2590" s="2" t="str">
        <x:v>WB_urban</x:v>
      </x:c>
      <x:c r="F2590" s="2" t="str">
        <x:v>Urban population (% of total population)</x:v>
      </x:c>
    </x:row>
    <x:row r="2591" ht="44" customHeight="1">
      <x:c r="A2591" s="2" t="str">
        <x:v>HUN</x:v>
      </x:c>
      <x:c r="B2591" s="2" t="str">
        <x:v>inflation</x:v>
      </x:c>
      <x:c r="C2591" s="2" t="n">
        <x:v>4.41198445905562</x:v>
      </x:c>
      <x:c r="D2591" s="2" t="n">
        <x:v>2025</x:v>
      </x:c>
      <x:c r="E2591" s="2" t="str">
        <x:v>WB_inflation</x:v>
      </x:c>
      <x:c r="F2591" s="2" t="str">
        <x:v>Inflation, consumer prices (annual %)</x:v>
      </x:c>
    </x:row>
    <x:row r="2592" ht="44" customHeight="1">
      <x:c r="A2592" s="2" t="str">
        <x:v>HUN</x:v>
      </x:c>
      <x:c r="B2592" s="2" t="str">
        <x:v>food_index</x:v>
      </x:c>
      <x:c r="C2592" s="2" t="n">
        <x:v>74.66</x:v>
      </x:c>
      <x:c r="D2592" s="2" t="n">
        <x:v>2022</x:v>
      </x:c>
      <x:c r="E2592" s="2" t="str">
        <x:v>WB_food_index</x:v>
      </x:c>
      <x:c r="F2592" s="2" t="str">
        <x:v>Food production index (2014-2016 = 100)</x:v>
      </x:c>
    </x:row>
    <x:row r="2593" ht="44" customHeight="1">
      <x:c r="A2593" s="2" t="str">
        <x:v>HUN</x:v>
      </x:c>
      <x:c r="B2593" s="2" t="str">
        <x:v>food_import_share</x:v>
      </x:c>
      <x:c r="C2593" s="2" t="n">
        <x:v>7.04985961089042</x:v>
      </x:c>
      <x:c r="D2593" s="2" t="n">
        <x:v>2025</x:v>
      </x:c>
      <x:c r="E2593" s="2" t="str">
        <x:v>WB_food_import_share</x:v>
      </x:c>
      <x:c r="F2593" s="2" t="str">
        <x:v>Food imports (% of merchandise imports)</x:v>
      </x:c>
    </x:row>
    <x:row r="2594" ht="44" customHeight="1">
      <x:c r="A2594" s="2" t="str">
        <x:v>HUN</x:v>
      </x:c>
      <x:c r="B2594" s="2" t="str">
        <x:v>food_export_share</x:v>
      </x:c>
      <x:c r="C2594" s="2" t="n">
        <x:v>8.64933493962594</x:v>
      </x:c>
      <x:c r="D2594" s="2" t="n">
        <x:v>2025</x:v>
      </x:c>
      <x:c r="E2594" s="2" t="str">
        <x:v>WB_food_export_share</x:v>
      </x:c>
      <x:c r="F2594" s="2" t="str">
        <x:v>Food exports (% of merchandise exports)</x:v>
      </x:c>
    </x:row>
    <x:row r="2595" ht="44" customHeight="1">
      <x:c r="A2595" s="2" t="str">
        <x:v>HUN</x:v>
      </x:c>
      <x:c r="B2595" s="2" t="str">
        <x:v>imports_usd</x:v>
      </x:c>
      <x:c r="C2595" s="2" t="n">
        <x:v>159200000000</x:v>
      </x:c>
      <x:c r="D2595" s="2" t="n">
        <x:v>2025</x:v>
      </x:c>
      <x:c r="E2595" s="2" t="str">
        <x:v>WB_imports_usd</x:v>
      </x:c>
      <x:c r="F2595" s="2" t="str">
        <x:v>Merchandise imports (current US$)</x:v>
      </x:c>
    </x:row>
    <x:row r="2596" ht="44" customHeight="1">
      <x:c r="A2596" s="2" t="str">
        <x:v>HUN</x:v>
      </x:c>
      <x:c r="B2596" s="2" t="str">
        <x:v>exports_usd</x:v>
      </x:c>
      <x:c r="C2596" s="2" t="n">
        <x:v>168841000000</x:v>
      </x:c>
      <x:c r="D2596" s="2" t="n">
        <x:v>2025</x:v>
      </x:c>
      <x:c r="E2596" s="2" t="str">
        <x:v>WB_exports_usd</x:v>
      </x:c>
      <x:c r="F2596" s="2" t="str">
        <x:v>Merchandise exports (current US$)</x:v>
      </x:c>
    </x:row>
    <x:row r="2597" ht="44" customHeight="1">
      <x:c r="A2597" s="2" t="str">
        <x:v>HUN</x:v>
      </x:c>
      <x:c r="B2597" s="2" t="str">
        <x:v>cereal_yield</x:v>
      </x:c>
      <x:c r="C2597" s="2" t="n">
        <x:v>5629.7</x:v>
      </x:c>
      <x:c r="D2597" s="2" t="n">
        <x:v>2024</x:v>
      </x:c>
      <x:c r="E2597" s="2" t="str">
        <x:v>WB_cereal_yield</x:v>
      </x:c>
      <x:c r="F2597" s="2" t="str">
        <x:v>Cereal yield (kg per hectare)</x:v>
      </x:c>
    </x:row>
    <x:row r="2598" ht="44" customHeight="1">
      <x:c r="A2598" s="2" t="str">
        <x:v>HUN</x:v>
      </x:c>
      <x:c r="B2598" s="2" t="str">
        <x:v>water_stress</x:v>
      </x:c>
      <x:c r="C2598" s="2" t="n">
        <x:v>8.108497409</x:v>
      </x:c>
      <x:c r="D2598" s="2" t="n">
        <x:v>2022</x:v>
      </x:c>
      <x:c r="E2598" s="2" t="str">
        <x:v>WB_water_stress</x:v>
      </x:c>
      <x:c r="F2598" s="2" t="str">
        <x:v>Level of water stress: freshwater withdrawal as a proportion of available freshwater resources</x:v>
      </x:c>
    </x:row>
    <x:row r="2599" ht="44" customHeight="1">
      <x:c r="A2599" s="2" t="str">
        <x:v>HUN</x:v>
      </x:c>
      <x:c r="B2599" s="2" t="str">
        <x:v>fertility</x:v>
      </x:c>
      <x:c r="C2599" s="2" t="n">
        <x:v>1.41</x:v>
      </x:c>
      <x:c r="D2599" s="2" t="n">
        <x:v>2024</x:v>
      </x:c>
      <x:c r="E2599" s="2" t="str">
        <x:v>WB_fertility</x:v>
      </x:c>
      <x:c r="F2599" s="2" t="str">
        <x:v>Fertility rate, total (births per woman)</x:v>
      </x:c>
    </x:row>
    <x:row r="2600" ht="44" customHeight="1">
      <x:c r="A2600" s="2" t="str">
        <x:v>HUN</x:v>
      </x:c>
      <x:c r="B2600" s="2" t="str">
        <x:v>life_expectancy</x:v>
      </x:c>
      <x:c r="C2600" s="2" t="n">
        <x:v>76.7243902439025</x:v>
      </x:c>
      <x:c r="D2600" s="2" t="n">
        <x:v>2024</x:v>
      </x:c>
      <x:c r="E2600" s="2" t="str">
        <x:v>WB_life_expectancy</x:v>
      </x:c>
      <x:c r="F2600" s="2" t="str">
        <x:v>Life expectancy at birth, total (years)</x:v>
      </x:c>
    </x:row>
    <x:row r="2601" ht="44" customHeight="1">
      <x:c r="A2601" s="2" t="str">
        <x:v>HUN</x:v>
      </x:c>
      <x:c r="B2601" s="2" t="str">
        <x:v>age_under15</x:v>
      </x:c>
      <x:c r="C2601" s="2" t="n">
        <x:v>14.352453368551</x:v>
      </x:c>
      <x:c r="D2601" s="2" t="n">
        <x:v>2025</x:v>
      </x:c>
      <x:c r="E2601" s="2" t="str">
        <x:v>WB_age_under15</x:v>
      </x:c>
      <x:c r="F2601" s="2" t="str">
        <x:v>Population ages 0-14 (% of total population)</x:v>
      </x:c>
    </x:row>
    <x:row r="2602" ht="44" customHeight="1">
      <x:c r="A2602" s="2" t="str">
        <x:v>HUN</x:v>
      </x:c>
      <x:c r="B2602" s="2" t="str">
        <x:v>age_over65</x:v>
      </x:c>
      <x:c r="C2602" s="2" t="n">
        <x:v>21.1574623970403</x:v>
      </x:c>
      <x:c r="D2602" s="2" t="n">
        <x:v>2025</x:v>
      </x:c>
      <x:c r="E2602" s="2" t="str">
        <x:v>WB_age_over65</x:v>
      </x:c>
      <x:c r="F2602" s="2" t="str">
        <x:v>Population ages 65 and above (% of total population)</x:v>
      </x:c>
    </x:row>
    <x:row r="2603" ht="44" customHeight="1">
      <x:c r="A2603" s="2" t="str">
        <x:v>HUN</x:v>
      </x:c>
      <x:c r="B2603" s="2" t="str">
        <x:v>dependency_ratio</x:v>
      </x:c>
      <x:c r="C2603" s="2" t="n">
        <x:v>55.06259383534</x:v>
      </x:c>
      <x:c r="D2603" s="2" t="n">
        <x:v>2025</x:v>
      </x:c>
      <x:c r="E2603" s="2" t="str">
        <x:v>WB_dependency_ratio</x:v>
      </x:c>
      <x:c r="F2603" s="2" t="str">
        <x:v>Age dependency ratio (% of working-age population)</x:v>
      </x:c>
    </x:row>
    <x:row r="2604" ht="44" customHeight="1">
      <x:c r="A2604" s="2" t="str">
        <x:v>HUN</x:v>
      </x:c>
      <x:c r="B2604" s="2" t="str">
        <x:v>net_migration</x:v>
      </x:c>
      <x:c r="C2604" s="2" t="n">
        <x:v>-16331</x:v>
      </x:c>
      <x:c r="D2604" s="2" t="n">
        <x:v>2025</x:v>
      </x:c>
      <x:c r="E2604" s="2" t="str">
        <x:v>WB_net_migration</x:v>
      </x:c>
      <x:c r="F2604" s="2" t="str">
        <x:v>Net migration</x:v>
      </x:c>
    </x:row>
    <x:row r="2605" ht="44" customHeight="1">
      <x:c r="A2605" s="2" t="str">
        <x:v>HUN</x:v>
      </x:c>
      <x:c r="B2605" s="2" t="str">
        <x:v>real_gdp</x:v>
      </x:c>
      <x:c r="C2605" s="2" t="n">
        <x:v>158992270290.276</x:v>
      </x:c>
      <x:c r="D2605" s="2" t="n">
        <x:v>2025</x:v>
      </x:c>
      <x:c r="E2605" s="2" t="str">
        <x:v>WB_real_gdp</x:v>
      </x:c>
      <x:c r="F2605" s="2" t="str">
        <x:v>GDP (constant 2015 US$)</x:v>
      </x:c>
    </x:row>
    <x:row r="2606" ht="44" customHeight="1">
      <x:c r="A2606" s="2" t="str">
        <x:v>HUN</x:v>
      </x:c>
      <x:c r="B2606" s="2" t="str">
        <x:v>gdp_growth</x:v>
      </x:c>
      <x:c r="C2606" s="2" t="n">
        <x:v>0.509542309726868</x:v>
      </x:c>
      <x:c r="D2606" s="2" t="n">
        <x:v>2025</x:v>
      </x:c>
      <x:c r="E2606" s="2" t="str">
        <x:v>WB_gdp_growth</x:v>
      </x:c>
      <x:c r="F2606" s="2" t="str">
        <x:v>GDP growth (annual %)</x:v>
      </x:c>
    </x:row>
    <x:row r="2607" ht="44" customHeight="1">
      <x:c r="A2607" s="2" t="str">
        <x:v>HUN</x:v>
      </x:c>
      <x:c r="B2607" s="2" t="str">
        <x:v>real_income</x:v>
      </x:c>
      <x:c r="C2607" s="2" t="n">
        <x:v>16710.9602521813</x:v>
      </x:c>
      <x:c r="D2607" s="2" t="n">
        <x:v>2025</x:v>
      </x:c>
      <x:c r="E2607" s="2" t="str">
        <x:v>WB_real_income</x:v>
      </x:c>
      <x:c r="F2607" s="2" t="str">
        <x:v>GDP per capita (constant 2015 US$)</x:v>
      </x:c>
    </x:row>
    <x:row r="2608" ht="44" customHeight="1">
      <x:c r="A2608" s="2" t="str">
        <x:v>HUN</x:v>
      </x:c>
      <x:c r="B2608" s="2" t="str">
        <x:v>agriculture_gdp</x:v>
      </x:c>
      <x:c r="C2608" s="2" t="n">
        <x:v>2.65399769872221</x:v>
      </x:c>
      <x:c r="D2608" s="2" t="n">
        <x:v>2025</x:v>
      </x:c>
      <x:c r="E2608" s="2" t="str">
        <x:v>WB_agriculture_gdp</x:v>
      </x:c>
      <x:c r="F2608" s="2" t="str">
        <x:v>Agriculture, forestry, and fishing, value added (% of GDP)</x:v>
      </x:c>
    </x:row>
    <x:row r="2609" ht="44" customHeight="1">
      <x:c r="A2609" s="2" t="str">
        <x:v>HUN</x:v>
      </x:c>
      <x:c r="B2609" s="2" t="str">
        <x:v>poverty</x:v>
      </x:c>
      <x:c r="C2609" s="2" t="n">
        <x:v>0.9</x:v>
      </x:c>
      <x:c r="D2609" s="2" t="n">
        <x:v>2017</x:v>
      </x:c>
      <x:c r="E2609" s="2" t="str">
        <x:v>WB_poverty</x:v>
      </x:c>
      <x:c r="F2609" s="2" t="str">
        <x:v>Poverty headcount ratio at $3.00 a day (2021 PPP) (% of population)</x:v>
      </x:c>
    </x:row>
    <x:row r="2610" ht="44" customHeight="1">
      <x:c r="A2610" s="2" t="str">
        <x:v>HUN</x:v>
      </x:c>
      <x:c r="B2610" s="2" t="str">
        <x:v>gini</x:v>
      </x:c>
      <x:c r="C2610" s="2" t="n">
        <x:v>30.6</x:v>
      </x:c>
      <x:c r="D2610" s="2" t="n">
        <x:v>2017</x:v>
      </x:c>
      <x:c r="E2610" s="2" t="str">
        <x:v>WB_gini</x:v>
      </x:c>
      <x:c r="F2610" s="2" t="str">
        <x:v>Gini index</x:v>
      </x:c>
    </x:row>
    <x:row r="2611" ht="44" customHeight="1">
      <x:c r="A2611" s="2" t="str">
        <x:v>HUN</x:v>
      </x:c>
      <x:c r="B2611" s="2" t="str">
        <x:v>unemployment</x:v>
      </x:c>
      <x:c r="C2611" s="2" t="n">
        <x:v>4.521</x:v>
      </x:c>
      <x:c r="D2611" s="2" t="n">
        <x:v>2025</x:v>
      </x:c>
      <x:c r="E2611" s="2" t="str">
        <x:v>WB_unemployment</x:v>
      </x:c>
      <x:c r="F2611" s="2" t="str">
        <x:v>Unemployment, total (% of total labor force) (modeled ILO estimate)</x:v>
      </x:c>
    </x:row>
    <x:row r="2612" ht="44" customHeight="1">
      <x:c r="A2612" s="2" t="str">
        <x:v>HUN</x:v>
      </x:c>
      <x:c r="B2612" s="2" t="str">
        <x:v>private_credit</x:v>
      </x:c>
      <x:c r="C2612" s="2" t="n">
        <x:v>32.3662527124233</x:v>
      </x:c>
      <x:c r="D2612" s="2" t="n">
        <x:v>2024</x:v>
      </x:c>
      <x:c r="E2612" s="2" t="str">
        <x:v>WB_private_credit</x:v>
      </x:c>
      <x:c r="F2612" s="2" t="str">
        <x:v>Domestic credit to private sector (% of GDP)</x:v>
      </x:c>
    </x:row>
    <x:row r="2613" ht="44" customHeight="1">
      <x:c r="A2613" s="2" t="str">
        <x:v>HUN</x:v>
      </x:c>
      <x:c r="B2613" s="2" t="str">
        <x:v>lending_rate</x:v>
      </x:c>
      <x:c r="C2613" s="2" t="n">
        <x:v>8.01151582250833</x:v>
      </x:c>
      <x:c r="D2613" s="2" t="n">
        <x:v>2025</x:v>
      </x:c>
      <x:c r="E2613" s="2" t="str">
        <x:v>WB_lending_rate</x:v>
      </x:c>
      <x:c r="F2613" s="2" t="str">
        <x:v>Lending interest rate (%)</x:v>
      </x:c>
    </x:row>
    <x:row r="2614" ht="44" customHeight="1">
      <x:c r="A2614" s="2" t="str">
        <x:v>HUN</x:v>
      </x:c>
      <x:c r="B2614" s="2" t="str">
        <x:v>real_interest</x:v>
      </x:c>
      <x:c r="C2614" s="2" t="n">
        <x:v>1.63750344608746</x:v>
      </x:c>
      <x:c r="D2614" s="2" t="n">
        <x:v>2025</x:v>
      </x:c>
      <x:c r="E2614" s="2" t="str">
        <x:v>WB_real_interest</x:v>
      </x:c>
      <x:c r="F2614" s="2" t="str">
        <x:v>Real interest rate (%)</x:v>
      </x:c>
    </x:row>
    <x:row r="2615" ht="44" customHeight="1">
      <x:c r="A2615" s="2" t="str">
        <x:v>HUN</x:v>
      </x:c>
      <x:c r="B2615" s="2" t="str">
        <x:v>government_debt</x:v>
      </x:c>
      <x:c r="C2615" s="2" t="n">
        <x:v>81.9885115322258</x:v>
      </x:c>
      <x:c r="D2615" s="2" t="n">
        <x:v>2024</x:v>
      </x:c>
      <x:c r="E2615" s="2" t="str">
        <x:v>WB_government_debt</x:v>
      </x:c>
      <x:c r="F2615" s="2" t="str">
        <x:v>Central government debt, total (% of GDP)</x:v>
      </x:c>
    </x:row>
    <x:row r="2616" ht="44" customHeight="1">
      <x:c r="A2616" s="2" t="str">
        <x:v>HUN</x:v>
      </x:c>
      <x:c r="B2616" s="2" t="str">
        <x:v>electricity_access</x:v>
      </x:c>
      <x:c r="C2616" s="2" t="n">
        <x:v>100</x:v>
      </x:c>
      <x:c r="D2616" s="2" t="n">
        <x:v>2024</x:v>
      </x:c>
      <x:c r="E2616" s="2" t="str">
        <x:v>WB_electricity_access</x:v>
      </x:c>
      <x:c r="F2616" s="2" t="str">
        <x:v>Access to electricity (% of population)</x:v>
      </x:c>
    </x:row>
    <x:row r="2617" ht="44" customHeight="1">
      <x:c r="A2617" s="2" t="str">
        <x:v>HUN</x:v>
      </x:c>
      <x:c r="B2617" s="2" t="str">
        <x:v>irrigated_land</x:v>
      </x:c>
      <x:c r="C2617" s="2" t="n">
        <x:v>2.34471614067628</x:v>
      </x:c>
      <x:c r="D2617" s="2" t="n">
        <x:v>2023</x:v>
      </x:c>
      <x:c r="E2617" s="2" t="str">
        <x:v>WB_irrigated_land</x:v>
      </x:c>
      <x:c r="F2617" s="2" t="str">
        <x:v>Agricultural irrigated land (% of total agricultural land)</x:v>
      </x:c>
    </x:row>
    <x:row r="2618" ht="44" customHeight="1">
      <x:c r="A2618" s="2" t="str">
        <x:v>HUN</x:v>
      </x:c>
      <x:c r="B2618" s="2" t="str">
        <x:v>cereal_area</x:v>
      </x:c>
      <x:c r="C2618" s="2" t="n">
        <x:v>2254010</x:v>
      </x:c>
      <x:c r="D2618" s="2" t="n">
        <x:v>2024</x:v>
      </x:c>
      <x:c r="E2618" s="2" t="str">
        <x:v>WB_cereal_area</x:v>
      </x:c>
      <x:c r="F2618" s="2" t="str">
        <x:v>Land under cereal production (hectares)</x:v>
      </x:c>
    </x:row>
    <x:row r="2619" ht="44" customHeight="1">
      <x:c r="A2619" s="2" t="str">
        <x:v>HUN</x:v>
      </x:c>
      <x:c r="B2619" s="2" t="str">
        <x:v>undernourishment</x:v>
      </x:c>
      <x:c r="C2619" s="2" t="n">
        <x:v>2.5</x:v>
      </x:c>
      <x:c r="D2619" s="2" t="n">
        <x:v>2023</x:v>
      </x:c>
      <x:c r="E2619" s="2" t="str">
        <x:v>WB_undernourishment</x:v>
      </x:c>
      <x:c r="F2619" s="2" t="str">
        <x:v>Prevalence of undernourishment (% of population)</x:v>
      </x:c>
    </x:row>
    <x:row r="2620" ht="44" customHeight="1">
      <x:c r="A2620" s="2" t="str">
        <x:v>HUN</x:v>
      </x:c>
      <x:c r="B2620" s="2" t="str">
        <x:v>agriculture_employment</x:v>
      </x:c>
      <x:c r="C2620" s="2" t="n">
        <x:v>4.11368257895561</x:v>
      </x:c>
      <x:c r="D2620" s="2" t="n">
        <x:v>2025</x:v>
      </x:c>
      <x:c r="E2620" s="2" t="str">
        <x:v>WB_agriculture_employment</x:v>
      </x:c>
      <x:c r="F2620" s="2" t="str">
        <x:v>Employment in agriculture (% of total employment) (modeled ILO estimate)</x:v>
      </x:c>
    </x:row>
    <x:row r="2621" ht="44" customHeight="1">
      <x:c r="A2621" s="2" t="str">
        <x:v>HUN</x:v>
      </x:c>
      <x:c r="B2621" s="2" t="str">
        <x:v>water_withdrawal</x:v>
      </x:c>
      <x:c r="C2621" s="2" t="n">
        <x:v>78.247</x:v>
      </x:c>
      <x:c r="D2621" s="2" t="n">
        <x:v>2022</x:v>
      </x:c>
      <x:c r="E2621" s="2" t="str">
        <x:v>WB_water_withdrawal</x:v>
      </x:c>
      <x:c r="F2621" s="2" t="str">
        <x:v>Annual freshwater withdrawals, total (% of internal resources)</x:v>
      </x:c>
    </x:row>
    <x:row r="2622" ht="44" customHeight="1">
      <x:c r="A2622" s="2" t="str">
        <x:v>ISL</x:v>
      </x:c>
      <x:c r="B2622" s="2" t="str">
        <x:v>population</x:v>
      </x:c>
      <x:c r="C2622" s="2" t="n">
        <x:v>392404</x:v>
      </x:c>
      <x:c r="D2622" s="2" t="n">
        <x:v>2025</x:v>
      </x:c>
      <x:c r="E2622" s="2" t="str">
        <x:v>WB_population</x:v>
      </x:c>
      <x:c r="F2622" s="2" t="str">
        <x:v>Population, total</x:v>
      </x:c>
    </x:row>
    <x:row r="2623" ht="44" customHeight="1">
      <x:c r="A2623" s="2" t="str">
        <x:v>ISL</x:v>
      </x:c>
      <x:c r="B2623" s="2" t="str">
        <x:v>income_ppp</x:v>
      </x:c>
      <x:c r="C2623" s="2" t="n">
        <x:v>68064.6854551866</x:v>
      </x:c>
      <x:c r="D2623" s="2" t="n">
        <x:v>2025</x:v>
      </x:c>
      <x:c r="E2623" s="2" t="str">
        <x:v>WB_income_ppp</x:v>
      </x:c>
      <x:c r="F2623" s="2" t="str">
        <x:v>GDP per capita, PPP (constant 2021 international $)</x:v>
      </x:c>
    </x:row>
    <x:row r="2624" ht="44" customHeight="1">
      <x:c r="A2624" s="2" t="str">
        <x:v>ISL</x:v>
      </x:c>
      <x:c r="B2624" s="2" t="str">
        <x:v>urban</x:v>
      </x:c>
      <x:c r="C2624" s="2" t="n">
        <x:v>94.2179320191117</x:v>
      </x:c>
      <x:c r="D2624" s="2" t="n">
        <x:v>2025</x:v>
      </x:c>
      <x:c r="E2624" s="2" t="str">
        <x:v>WB_urban</x:v>
      </x:c>
      <x:c r="F2624" s="2" t="str">
        <x:v>Urban population (% of total population)</x:v>
      </x:c>
    </x:row>
    <x:row r="2625" ht="44" customHeight="1">
      <x:c r="A2625" s="2" t="str">
        <x:v>ISL</x:v>
      </x:c>
      <x:c r="B2625" s="2" t="str">
        <x:v>inflation</x:v>
      </x:c>
      <x:c r="C2625" s="2" t="n">
        <x:v>4.09085056006515</x:v>
      </x:c>
      <x:c r="D2625" s="2" t="n">
        <x:v>2025</x:v>
      </x:c>
      <x:c r="E2625" s="2" t="str">
        <x:v>WB_inflation</x:v>
      </x:c>
      <x:c r="F2625" s="2" t="str">
        <x:v>Inflation, consumer prices (annual %)</x:v>
      </x:c>
    </x:row>
    <x:row r="2626" ht="44" customHeight="1">
      <x:c r="A2626" s="2" t="str">
        <x:v>ISL</x:v>
      </x:c>
      <x:c r="B2626" s="2" t="str">
        <x:v>food_index</x:v>
      </x:c>
      <x:c r="C2626" s="2" t="n">
        <x:v>102.07</x:v>
      </x:c>
      <x:c r="D2626" s="2" t="n">
        <x:v>2022</x:v>
      </x:c>
      <x:c r="E2626" s="2" t="str">
        <x:v>WB_food_index</x:v>
      </x:c>
      <x:c r="F2626" s="2" t="str">
        <x:v>Food production index (2014-2016 = 100)</x:v>
      </x:c>
    </x:row>
    <x:row r="2627" ht="44" customHeight="1">
      <x:c r="A2627" s="2" t="str">
        <x:v>ISL</x:v>
      </x:c>
      <x:c r="B2627" s="2" t="str">
        <x:v>food_import_share</x:v>
      </x:c>
      <x:c r="C2627" s="2" t="n">
        <x:v>11.068331520439</x:v>
      </x:c>
      <x:c r="D2627" s="2" t="n">
        <x:v>2025</x:v>
      </x:c>
      <x:c r="E2627" s="2" t="str">
        <x:v>WB_food_import_share</x:v>
      </x:c>
      <x:c r="F2627" s="2" t="str">
        <x:v>Food imports (% of merchandise imports)</x:v>
      </x:c>
    </x:row>
    <x:row r="2628" ht="44" customHeight="1">
      <x:c r="A2628" s="2" t="str">
        <x:v>ISL</x:v>
      </x:c>
      <x:c r="B2628" s="2" t="str">
        <x:v>food_export_share</x:v>
      </x:c>
      <x:c r="C2628" s="2" t="n">
        <x:v>46.9221782334603</x:v>
      </x:c>
      <x:c r="D2628" s="2" t="n">
        <x:v>2025</x:v>
      </x:c>
      <x:c r="E2628" s="2" t="str">
        <x:v>WB_food_export_share</x:v>
      </x:c>
      <x:c r="F2628" s="2" t="str">
        <x:v>Food exports (% of merchandise exports)</x:v>
      </x:c>
    </x:row>
    <x:row r="2629" ht="44" customHeight="1">
      <x:c r="A2629" s="2" t="str">
        <x:v>ISL</x:v>
      </x:c>
      <x:c r="B2629" s="2" t="str">
        <x:v>imports_usd</x:v>
      </x:c>
      <x:c r="C2629" s="2" t="n">
        <x:v>10944000000</x:v>
      </x:c>
      <x:c r="D2629" s="2" t="n">
        <x:v>2025</x:v>
      </x:c>
      <x:c r="E2629" s="2" t="str">
        <x:v>WB_imports_usd</x:v>
      </x:c>
      <x:c r="F2629" s="2" t="str">
        <x:v>Merchandise imports (current US$)</x:v>
      </x:c>
    </x:row>
    <x:row r="2630" ht="44" customHeight="1">
      <x:c r="A2630" s="2" t="str">
        <x:v>ISL</x:v>
      </x:c>
      <x:c r="B2630" s="2" t="str">
        <x:v>exports_usd</x:v>
      </x:c>
      <x:c r="C2630" s="2" t="n">
        <x:v>7167000000</x:v>
      </x:c>
      <x:c r="D2630" s="2" t="n">
        <x:v>2025</x:v>
      </x:c>
      <x:c r="E2630" s="2" t="str">
        <x:v>WB_exports_usd</x:v>
      </x:c>
      <x:c r="F2630" s="2" t="str">
        <x:v>Merchandise exports (current US$)</x:v>
      </x:c>
    </x:row>
    <x:row r="2631" ht="44" customHeight="1">
      <x:c r="A2631" s="2" t="str">
        <x:v>ISL</x:v>
      </x:c>
      <x:c r="B2631" s="2" t="str">
        <x:v>cereal_yield</x:v>
      </x:c>
      <x:c r="C2631" s="2" t="n">
        <x:v>2430.1</x:v>
      </x:c>
      <x:c r="D2631" s="2" t="n">
        <x:v>2023</x:v>
      </x:c>
      <x:c r="E2631" s="2" t="str">
        <x:v>WB_cereal_yield</x:v>
      </x:c>
      <x:c r="F2631" s="2" t="str">
        <x:v>Cereal yield (kg per hectare)</x:v>
      </x:c>
    </x:row>
    <x:row r="2632" ht="44" customHeight="1">
      <x:c r="A2632" s="2" t="str">
        <x:v>ISL</x:v>
      </x:c>
      <x:c r="B2632" s="2" t="str">
        <x:v>water_stress</x:v>
      </x:c>
      <x:c r="C2632" s="2" t="n">
        <x:v>0.394075282</x:v>
      </x:c>
      <x:c r="D2632" s="2" t="n">
        <x:v>2022</x:v>
      </x:c>
      <x:c r="E2632" s="2" t="str">
        <x:v>WB_water_stress</x:v>
      </x:c>
      <x:c r="F2632" s="2" t="str">
        <x:v>Level of water stress: freshwater withdrawal as a proportion of available freshwater resources</x:v>
      </x:c>
    </x:row>
    <x:row r="2633" ht="44" customHeight="1">
      <x:c r="A2633" s="2" t="str">
        <x:v>ISL</x:v>
      </x:c>
      <x:c r="B2633" s="2" t="str">
        <x:v>fertility</x:v>
      </x:c>
      <x:c r="C2633" s="2" t="n">
        <x:v>1.56</x:v>
      </x:c>
      <x:c r="D2633" s="2" t="n">
        <x:v>2024</x:v>
      </x:c>
      <x:c r="E2633" s="2" t="str">
        <x:v>WB_fertility</x:v>
      </x:c>
      <x:c r="F2633" s="2" t="str">
        <x:v>Fertility rate, total (births per woman)</x:v>
      </x:c>
    </x:row>
    <x:row r="2634" ht="44" customHeight="1">
      <x:c r="A2634" s="2" t="str">
        <x:v>ISL</x:v>
      </x:c>
      <x:c r="B2634" s="2" t="str">
        <x:v>life_expectancy</x:v>
      </x:c>
      <x:c r="C2634" s="2" t="n">
        <x:v>82.809756097561</x:v>
      </x:c>
      <x:c r="D2634" s="2" t="n">
        <x:v>2024</x:v>
      </x:c>
      <x:c r="E2634" s="2" t="str">
        <x:v>WB_life_expectancy</x:v>
      </x:c>
      <x:c r="F2634" s="2" t="str">
        <x:v>Life expectancy at birth, total (years)</x:v>
      </x:c>
    </x:row>
    <x:row r="2635" ht="44" customHeight="1">
      <x:c r="A2635" s="2" t="str">
        <x:v>ISL</x:v>
      </x:c>
      <x:c r="B2635" s="2" t="str">
        <x:v>age_under15</x:v>
      </x:c>
      <x:c r="C2635" s="2" t="n">
        <x:v>17.5179402710751</x:v>
      </x:c>
      <x:c r="D2635" s="2" t="n">
        <x:v>2025</x:v>
      </x:c>
      <x:c r="E2635" s="2" t="str">
        <x:v>WB_age_under15</x:v>
      </x:c>
      <x:c r="F2635" s="2" t="str">
        <x:v>Population ages 0-14 (% of total population)</x:v>
      </x:c>
    </x:row>
    <x:row r="2636" ht="44" customHeight="1">
      <x:c r="A2636" s="2" t="str">
        <x:v>ISL</x:v>
      </x:c>
      <x:c r="B2636" s="2" t="str">
        <x:v>age_over65</x:v>
      </x:c>
      <x:c r="C2636" s="2" t="n">
        <x:v>15.9770103398231</x:v>
      </x:c>
      <x:c r="D2636" s="2" t="n">
        <x:v>2025</x:v>
      </x:c>
      <x:c r="E2636" s="2" t="str">
        <x:v>WB_age_over65</x:v>
      </x:c>
      <x:c r="F2636" s="2" t="str">
        <x:v>Population ages 65 and above (% of total population)</x:v>
      </x:c>
    </x:row>
    <x:row r="2637" ht="44" customHeight="1">
      <x:c r="A2637" s="2" t="str">
        <x:v>ISL</x:v>
      </x:c>
      <x:c r="B2637" s="2" t="str">
        <x:v>dependency_ratio</x:v>
      </x:c>
      <x:c r="C2637" s="2" t="n">
        <x:v>50.3644124950185</x:v>
      </x:c>
      <x:c r="D2637" s="2" t="n">
        <x:v>2025</x:v>
      </x:c>
      <x:c r="E2637" s="2" t="str">
        <x:v>WB_dependency_ratio</x:v>
      </x:c>
      <x:c r="F2637" s="2" t="str">
        <x:v>Age dependency ratio (% of working-age population)</x:v>
      </x:c>
    </x:row>
    <x:row r="2638" ht="44" customHeight="1">
      <x:c r="A2638" s="2" t="str">
        <x:v>ISL</x:v>
      </x:c>
      <x:c r="B2638" s="2" t="str">
        <x:v>net_migration</x:v>
      </x:c>
      <x:c r="C2638" s="2" t="n">
        <x:v>2709</x:v>
      </x:c>
      <x:c r="D2638" s="2" t="n">
        <x:v>2025</x:v>
      </x:c>
      <x:c r="E2638" s="2" t="str">
        <x:v>WB_net_migration</x:v>
      </x:c>
      <x:c r="F2638" s="2" t="str">
        <x:v>Net migration</x:v>
      </x:c>
    </x:row>
    <x:row r="2639" ht="44" customHeight="1">
      <x:c r="A2639" s="2" t="str">
        <x:v>ISL</x:v>
      </x:c>
      <x:c r="B2639" s="2" t="str">
        <x:v>real_gdp</x:v>
      </x:c>
      <x:c r="C2639" s="2" t="n">
        <x:v>23116588684.0143</x:v>
      </x:c>
      <x:c r="D2639" s="2" t="n">
        <x:v>2025</x:v>
      </x:c>
      <x:c r="E2639" s="2" t="str">
        <x:v>WB_real_gdp</x:v>
      </x:c>
      <x:c r="F2639" s="2" t="str">
        <x:v>GDP (constant 2015 US$)</x:v>
      </x:c>
    </x:row>
    <x:row r="2640" ht="44" customHeight="1">
      <x:c r="A2640" s="2" t="str">
        <x:v>ISL</x:v>
      </x:c>
      <x:c r="B2640" s="2" t="str">
        <x:v>gdp_growth</x:v>
      </x:c>
      <x:c r="C2640" s="2" t="n">
        <x:v>1.27946207863934</x:v>
      </x:c>
      <x:c r="D2640" s="2" t="n">
        <x:v>2025</x:v>
      </x:c>
      <x:c r="E2640" s="2" t="str">
        <x:v>WB_gdp_growth</x:v>
      </x:c>
      <x:c r="F2640" s="2" t="str">
        <x:v>GDP growth (annual %)</x:v>
      </x:c>
    </x:row>
    <x:row r="2641" ht="44" customHeight="1">
      <x:c r="A2641" s="2" t="str">
        <x:v>ISL</x:v>
      </x:c>
      <x:c r="B2641" s="2" t="str">
        <x:v>real_income</x:v>
      </x:c>
      <x:c r="C2641" s="2" t="n">
        <x:v>58910.1759513518</x:v>
      </x:c>
      <x:c r="D2641" s="2" t="n">
        <x:v>2025</x:v>
      </x:c>
      <x:c r="E2641" s="2" t="str">
        <x:v>WB_real_income</x:v>
      </x:c>
      <x:c r="F2641" s="2" t="str">
        <x:v>GDP per capita (constant 2015 US$)</x:v>
      </x:c>
    </x:row>
    <x:row r="2642" ht="44" customHeight="1">
      <x:c r="A2642" s="2" t="str">
        <x:v>ISL</x:v>
      </x:c>
      <x:c r="B2642" s="2" t="str">
        <x:v>agriculture_gdp</x:v>
      </x:c>
      <x:c r="C2642" s="2" t="n">
        <x:v>3.65415170778729</x:v>
      </x:c>
      <x:c r="D2642" s="2" t="n">
        <x:v>2025</x:v>
      </x:c>
      <x:c r="E2642" s="2" t="str">
        <x:v>WB_agriculture_gdp</x:v>
      </x:c>
      <x:c r="F2642" s="2" t="str">
        <x:v>Agriculture, forestry, and fishing, value added (% of GDP)</x:v>
      </x:c>
    </x:row>
    <x:row r="2643" ht="44" customHeight="1">
      <x:c r="A2643" s="2" t="str">
        <x:v>ISL</x:v>
      </x:c>
      <x:c r="B2643" s="2" t="str">
        <x:v>poverty</x:v>
      </x:c>
      <x:c r="C2643" s="2" t="n">
        <x:v>0.1</x:v>
      </x:c>
      <x:c r="D2643" s="2" t="n">
        <x:v>2019</x:v>
      </x:c>
      <x:c r="E2643" s="2" t="str">
        <x:v>WB_poverty</x:v>
      </x:c>
      <x:c r="F2643" s="2" t="str">
        <x:v>Poverty headcount ratio at $3.00 a day (2021 PPP) (% of population)</x:v>
      </x:c>
    </x:row>
    <x:row r="2644" ht="44" customHeight="1">
      <x:c r="A2644" s="2" t="str">
        <x:v>ISL</x:v>
      </x:c>
      <x:c r="B2644" s="2" t="str">
        <x:v>gini</x:v>
      </x:c>
      <x:c r="C2644" s="2" t="n">
        <x:v>26.8</x:v>
      </x:c>
      <x:c r="D2644" s="2" t="n">
        <x:v>2019</x:v>
      </x:c>
      <x:c r="E2644" s="2" t="str">
        <x:v>WB_gini</x:v>
      </x:c>
      <x:c r="F2644" s="2" t="str">
        <x:v>Gini index</x:v>
      </x:c>
    </x:row>
    <x:row r="2645" ht="44" customHeight="1">
      <x:c r="A2645" s="2" t="str">
        <x:v>ISL</x:v>
      </x:c>
      <x:c r="B2645" s="2" t="str">
        <x:v>unemployment</x:v>
      </x:c>
      <x:c r="C2645" s="2" t="n">
        <x:v>3.625</x:v>
      </x:c>
      <x:c r="D2645" s="2" t="n">
        <x:v>2025</x:v>
      </x:c>
      <x:c r="E2645" s="2" t="str">
        <x:v>WB_unemployment</x:v>
      </x:c>
      <x:c r="F2645" s="2" t="str">
        <x:v>Unemployment, total (% of total labor force) (modeled ILO estimate)</x:v>
      </x:c>
    </x:row>
    <x:row r="2646" ht="44" customHeight="1">
      <x:c r="A2646" s="2" t="str">
        <x:v>ISL</x:v>
      </x:c>
      <x:c r="B2646" s="2" t="str">
        <x:v>private_credit</x:v>
      </x:c>
      <x:c r="C2646" s="2" t="n">
        <x:v>89.24179373685</x:v>
      </x:c>
      <x:c r="D2646" s="2" t="n">
        <x:v>2025</x:v>
      </x:c>
      <x:c r="E2646" s="2" t="str">
        <x:v>WB_private_credit</x:v>
      </x:c>
      <x:c r="F2646" s="2" t="str">
        <x:v>Domestic credit to private sector (% of GDP)</x:v>
      </x:c>
    </x:row>
    <x:row r="2647" ht="44" customHeight="1">
      <x:c r="A2647" s="2" t="str">
        <x:v>ISL</x:v>
      </x:c>
      <x:c r="B2647" s="2" t="str">
        <x:v>lending_rate</x:v>
      </x:c>
      <x:c r="C2647" s="2" t="n">
        <x:v>11.008035068816</x:v>
      </x:c>
      <x:c r="D2647" s="2" t="n">
        <x:v>2025</x:v>
      </x:c>
      <x:c r="E2647" s="2" t="str">
        <x:v>WB_lending_rate</x:v>
      </x:c>
      <x:c r="F2647" s="2" t="str">
        <x:v>Lending interest rate (%)</x:v>
      </x:c>
    </x:row>
    <x:row r="2648" ht="44" customHeight="1">
      <x:c r="A2648" s="2" t="str">
        <x:v>ISL</x:v>
      </x:c>
      <x:c r="B2648" s="2" t="str">
        <x:v>real_interest</x:v>
      </x:c>
      <x:c r="C2648" s="2" t="n">
        <x:v>3.86992205011689</x:v>
      </x:c>
      <x:c r="D2648" s="2" t="n">
        <x:v>2025</x:v>
      </x:c>
      <x:c r="E2648" s="2" t="str">
        <x:v>WB_real_interest</x:v>
      </x:c>
      <x:c r="F2648" s="2" t="str">
        <x:v>Real interest rate (%)</x:v>
      </x:c>
    </x:row>
    <x:row r="2649" ht="44" customHeight="1">
      <x:c r="A2649" s="2" t="str">
        <x:v>ISL</x:v>
      </x:c>
      <x:c r="B2649" s="2" t="str">
        <x:v>government_debt</x:v>
      </x:c>
      <x:c r="C2649" s="2" t="n">
        <x:v>80.0942484071315</x:v>
      </x:c>
      <x:c r="D2649" s="2" t="n">
        <x:v>2023</x:v>
      </x:c>
      <x:c r="E2649" s="2" t="str">
        <x:v>WB_government_debt</x:v>
      </x:c>
      <x:c r="F2649" s="2" t="str">
        <x:v>Central government debt, total (% of GDP)</x:v>
      </x:c>
    </x:row>
    <x:row r="2650" ht="44" customHeight="1">
      <x:c r="A2650" s="2" t="str">
        <x:v>ISL</x:v>
      </x:c>
      <x:c r="B2650" s="2" t="str">
        <x:v>electricity_access</x:v>
      </x:c>
      <x:c r="C2650" s="2" t="n">
        <x:v>100</x:v>
      </x:c>
      <x:c r="D2650" s="2" t="n">
        <x:v>2024</x:v>
      </x:c>
      <x:c r="E2650" s="2" t="str">
        <x:v>WB_electricity_access</x:v>
      </x:c>
      <x:c r="F2650" s="2" t="str">
        <x:v>Access to electricity (% of population)</x:v>
      </x:c>
    </x:row>
    <x:row r="2651" ht="44" customHeight="1">
      <x:c r="A2651" s="2" t="str">
        <x:v>ISL</x:v>
      </x:c>
      <x:c r="B2651" s="2" t="str">
        <x:v>irrigated_land</x:v>
      </x:c>
      <x:c r="C2651" s="2" t="n">
        <x:v>0.00305250305250305</x:v>
      </x:c>
      <x:c r="D2651" s="2" t="n">
        <x:v>2023</x:v>
      </x:c>
      <x:c r="E2651" s="2" t="str">
        <x:v>WB_irrigated_land</x:v>
      </x:c>
      <x:c r="F2651" s="2" t="str">
        <x:v>Agricultural irrigated land (% of total agricultural land)</x:v>
      </x:c>
    </x:row>
    <x:row r="2652" ht="44" customHeight="1">
      <x:c r="A2652" s="2" t="str">
        <x:v>ISL</x:v>
      </x:c>
      <x:c r="B2652" s="2" t="str">
        <x:v>cereal_area</x:v>
      </x:c>
      <x:c r="C2652" s="2" t="n">
        <x:v>3160</x:v>
      </x:c>
      <x:c r="D2652" s="2" t="n">
        <x:v>2023</x:v>
      </x:c>
      <x:c r="E2652" s="2" t="str">
        <x:v>WB_cereal_area</x:v>
      </x:c>
      <x:c r="F2652" s="2" t="str">
        <x:v>Land under cereal production (hectares)</x:v>
      </x:c>
    </x:row>
    <x:row r="2653" ht="44" customHeight="1">
      <x:c r="A2653" s="2" t="str">
        <x:v>ISL</x:v>
      </x:c>
      <x:c r="B2653" s="2" t="str">
        <x:v>undernourishment</x:v>
      </x:c>
      <x:c r="C2653" s="2" t="n">
        <x:v>2.5</x:v>
      </x:c>
      <x:c r="D2653" s="2" t="n">
        <x:v>2023</x:v>
      </x:c>
      <x:c r="E2653" s="2" t="str">
        <x:v>WB_undernourishment</x:v>
      </x:c>
      <x:c r="F2653" s="2" t="str">
        <x:v>Prevalence of undernourishment (% of population)</x:v>
      </x:c>
    </x:row>
    <x:row r="2654" ht="44" customHeight="1">
      <x:c r="A2654" s="2" t="str">
        <x:v>ISL</x:v>
      </x:c>
      <x:c r="B2654" s="2" t="str">
        <x:v>agriculture_employment</x:v>
      </x:c>
      <x:c r="C2654" s="2" t="n">
        <x:v>3.60655461263791</x:v>
      </x:c>
      <x:c r="D2654" s="2" t="n">
        <x:v>2025</x:v>
      </x:c>
      <x:c r="E2654" s="2" t="str">
        <x:v>WB_agriculture_employment</x:v>
      </x:c>
      <x:c r="F2654" s="2" t="str">
        <x:v>Employment in agriculture (% of total employment) (modeled ILO estimate)</x:v>
      </x:c>
    </x:row>
    <x:row r="2655" ht="44" customHeight="1">
      <x:c r="A2655" s="2" t="str">
        <x:v>ISL</x:v>
      </x:c>
      <x:c r="B2655" s="2" t="str">
        <x:v>water_withdrawal</x:v>
      </x:c>
      <x:c r="C2655" s="2" t="n">
        <x:v>0.170588235294118</x:v>
      </x:c>
      <x:c r="D2655" s="2" t="n">
        <x:v>2022</x:v>
      </x:c>
      <x:c r="E2655" s="2" t="str">
        <x:v>WB_water_withdrawal</x:v>
      </x:c>
      <x:c r="F2655" s="2" t="str">
        <x:v>Annual freshwater withdrawals, total (% of internal resources)</x:v>
      </x:c>
    </x:row>
    <x:row r="2656" ht="44" customHeight="1">
      <x:c r="A2656" s="2" t="str">
        <x:v>IND</x:v>
      </x:c>
      <x:c r="B2656" s="2" t="str">
        <x:v>population</x:v>
      </x:c>
      <x:c r="C2656" s="2" t="n">
        <x:v>1463865525</x:v>
      </x:c>
      <x:c r="D2656" s="2" t="n">
        <x:v>2025</x:v>
      </x:c>
      <x:c r="E2656" s="2" t="str">
        <x:v>WB_population</x:v>
      </x:c>
      <x:c r="F2656" s="2" t="str">
        <x:v>Population, total</x:v>
      </x:c>
    </x:row>
    <x:row r="2657" ht="44" customHeight="1">
      <x:c r="A2657" s="2" t="str">
        <x:v>IND</x:v>
      </x:c>
      <x:c r="B2657" s="2" t="str">
        <x:v>income_ppp</x:v>
      </x:c>
      <x:c r="C2657" s="2" t="n">
        <x:v>10039.0708910587</x:v>
      </x:c>
      <x:c r="D2657" s="2" t="n">
        <x:v>2025</x:v>
      </x:c>
      <x:c r="E2657" s="2" t="str">
        <x:v>WB_income_ppp</x:v>
      </x:c>
      <x:c r="F2657" s="2" t="str">
        <x:v>GDP per capita, PPP (constant 2021 international $)</x:v>
      </x:c>
    </x:row>
    <x:row r="2658" ht="44" customHeight="1">
      <x:c r="A2658" s="2" t="str">
        <x:v>IND</x:v>
      </x:c>
      <x:c r="B2658" s="2" t="str">
        <x:v>urban</x:v>
      </x:c>
      <x:c r="C2658" s="2" t="n">
        <x:v>35.689155772396</x:v>
      </x:c>
      <x:c r="D2658" s="2" t="n">
        <x:v>2025</x:v>
      </x:c>
      <x:c r="E2658" s="2" t="str">
        <x:v>WB_urban</x:v>
      </x:c>
      <x:c r="F2658" s="2" t="str">
        <x:v>Urban population (% of total population)</x:v>
      </x:c>
    </x:row>
    <x:row r="2659" ht="44" customHeight="1">
      <x:c r="A2659" s="2" t="str">
        <x:v>IND</x:v>
      </x:c>
      <x:c r="B2659" s="2" t="str">
        <x:v>inflation</x:v>
      </x:c>
      <x:c r="C2659" s="2" t="n">
        <x:v>2.39884954182294</x:v>
      </x:c>
      <x:c r="D2659" s="2" t="n">
        <x:v>2025</x:v>
      </x:c>
      <x:c r="E2659" s="2" t="str">
        <x:v>WB_inflation</x:v>
      </x:c>
      <x:c r="F2659" s="2" t="str">
        <x:v>Inflation, consumer prices (annual %)</x:v>
      </x:c>
    </x:row>
    <x:row r="2660" ht="44" customHeight="1">
      <x:c r="A2660" s="2" t="str">
        <x:v>IND</x:v>
      </x:c>
      <x:c r="B2660" s="2" t="str">
        <x:v>food_index</x:v>
      </x:c>
      <x:c r="C2660" s="2" t="n">
        <x:v>127.82</x:v>
      </x:c>
      <x:c r="D2660" s="2" t="n">
        <x:v>2022</x:v>
      </x:c>
      <x:c r="E2660" s="2" t="str">
        <x:v>WB_food_index</x:v>
      </x:c>
      <x:c r="F2660" s="2" t="str">
        <x:v>Food production index (2014-2016 = 100)</x:v>
      </x:c>
    </x:row>
    <x:row r="2661" ht="44" customHeight="1">
      <x:c r="A2661" s="2" t="str">
        <x:v>IND</x:v>
      </x:c>
      <x:c r="B2661" s="2" t="str">
        <x:v>food_import_share</x:v>
      </x:c>
      <x:c r="C2661" s="2" t="n">
        <x:v>5.06115292488684</x:v>
      </x:c>
      <x:c r="D2661" s="2" t="n">
        <x:v>2024</x:v>
      </x:c>
      <x:c r="E2661" s="2" t="str">
        <x:v>WB_food_import_share</x:v>
      </x:c>
      <x:c r="F2661" s="2" t="str">
        <x:v>Food imports (% of merchandise imports)</x:v>
      </x:c>
    </x:row>
    <x:row r="2662" ht="44" customHeight="1">
      <x:c r="A2662" s="2" t="str">
        <x:v>IND</x:v>
      </x:c>
      <x:c r="B2662" s="2" t="str">
        <x:v>food_export_share</x:v>
      </x:c>
      <x:c r="C2662" s="2" t="n">
        <x:v>11.128054885403</x:v>
      </x:c>
      <x:c r="D2662" s="2" t="n">
        <x:v>2024</x:v>
      </x:c>
      <x:c r="E2662" s="2" t="str">
        <x:v>WB_food_export_share</x:v>
      </x:c>
      <x:c r="F2662" s="2" t="str">
        <x:v>Food exports (% of merchandise exports)</x:v>
      </x:c>
    </x:row>
    <x:row r="2663" ht="44" customHeight="1">
      <x:c r="A2663" s="2" t="str">
        <x:v>IND</x:v>
      </x:c>
      <x:c r="B2663" s="2" t="str">
        <x:v>imports_usd</x:v>
      </x:c>
      <x:c r="C2663" s="2" t="n">
        <x:v>753481000000</x:v>
      </x:c>
      <x:c r="D2663" s="2" t="n">
        <x:v>2025</x:v>
      </x:c>
      <x:c r="E2663" s="2" t="str">
        <x:v>WB_imports_usd</x:v>
      </x:c>
      <x:c r="F2663" s="2" t="str">
        <x:v>Merchandise imports (current US$)</x:v>
      </x:c>
    </x:row>
    <x:row r="2664" ht="44" customHeight="1">
      <x:c r="A2664" s="2" t="str">
        <x:v>IND</x:v>
      </x:c>
      <x:c r="B2664" s="2" t="str">
        <x:v>exports_usd</x:v>
      </x:c>
      <x:c r="C2664" s="2" t="n">
        <x:v>445278000000</x:v>
      </x:c>
      <x:c r="D2664" s="2" t="n">
        <x:v>2025</x:v>
      </x:c>
      <x:c r="E2664" s="2" t="str">
        <x:v>WB_exports_usd</x:v>
      </x:c>
      <x:c r="F2664" s="2" t="str">
        <x:v>Merchandise exports (current US$)</x:v>
      </x:c>
    </x:row>
    <x:row r="2665" ht="44" customHeight="1">
      <x:c r="A2665" s="2" t="str">
        <x:v>IND</x:v>
      </x:c>
      <x:c r="B2665" s="2" t="str">
        <x:v>cereal_yield</x:v>
      </x:c>
      <x:c r="C2665" s="2" t="n">
        <x:v>3632.5</x:v>
      </x:c>
      <x:c r="D2665" s="2" t="n">
        <x:v>2024</x:v>
      </x:c>
      <x:c r="E2665" s="2" t="str">
        <x:v>WB_cereal_yield</x:v>
      </x:c>
      <x:c r="F2665" s="2" t="str">
        <x:v>Cereal yield (kg per hectare)</x:v>
      </x:c>
    </x:row>
    <x:row r="2666" ht="44" customHeight="1">
      <x:c r="A2666" s="2" t="str">
        <x:v>IND</x:v>
      </x:c>
      <x:c r="B2666" s="2" t="str">
        <x:v>water_stress</x:v>
      </x:c>
      <x:c r="C2666" s="2" t="n">
        <x:v>66.49209283</x:v>
      </x:c>
      <x:c r="D2666" s="2" t="n">
        <x:v>2022</x:v>
      </x:c>
      <x:c r="E2666" s="2" t="str">
        <x:v>WB_water_stress</x:v>
      </x:c>
      <x:c r="F2666" s="2" t="str">
        <x:v>Level of water stress: freshwater withdrawal as a proportion of available freshwater resources</x:v>
      </x:c>
    </x:row>
    <x:row r="2667" ht="44" customHeight="1">
      <x:c r="A2667" s="2" t="str">
        <x:v>IND</x:v>
      </x:c>
      <x:c r="B2667" s="2" t="str">
        <x:v>fertility</x:v>
      </x:c>
      <x:c r="C2667" s="2" t="n">
        <x:v>1.962</x:v>
      </x:c>
      <x:c r="D2667" s="2" t="n">
        <x:v>2024</x:v>
      </x:c>
      <x:c r="E2667" s="2" t="str">
        <x:v>WB_fertility</x:v>
      </x:c>
      <x:c r="F2667" s="2" t="str">
        <x:v>Fertility rate, total (births per woman)</x:v>
      </x:c>
    </x:row>
    <x:row r="2668" ht="44" customHeight="1">
      <x:c r="A2668" s="2" t="str">
        <x:v>IND</x:v>
      </x:c>
      <x:c r="B2668" s="2" t="str">
        <x:v>life_expectancy</x:v>
      </x:c>
      <x:c r="C2668" s="2" t="n">
        <x:v>72.235</x:v>
      </x:c>
      <x:c r="D2668" s="2" t="n">
        <x:v>2024</x:v>
      </x:c>
      <x:c r="E2668" s="2" t="str">
        <x:v>WB_life_expectancy</x:v>
      </x:c>
      <x:c r="F2668" s="2" t="str">
        <x:v>Life expectancy at birth, total (years)</x:v>
      </x:c>
    </x:row>
    <x:row r="2669" ht="44" customHeight="1">
      <x:c r="A2669" s="2" t="str">
        <x:v>IND</x:v>
      </x:c>
      <x:c r="B2669" s="2" t="str">
        <x:v>age_under15</x:v>
      </x:c>
      <x:c r="C2669" s="2" t="n">
        <x:v>24.1952667831956</x:v>
      </x:c>
      <x:c r="D2669" s="2" t="n">
        <x:v>2025</x:v>
      </x:c>
      <x:c r="E2669" s="2" t="str">
        <x:v>WB_age_under15</x:v>
      </x:c>
      <x:c r="F2669" s="2" t="str">
        <x:v>Population ages 0-14 (% of total population)</x:v>
      </x:c>
    </x:row>
    <x:row r="2670" ht="44" customHeight="1">
      <x:c r="A2670" s="2" t="str">
        <x:v>IND</x:v>
      </x:c>
      <x:c r="B2670" s="2" t="str">
        <x:v>age_over65</x:v>
      </x:c>
      <x:c r="C2670" s="2" t="n">
        <x:v>7.37657146047502</x:v>
      </x:c>
      <x:c r="D2670" s="2" t="n">
        <x:v>2025</x:v>
      </x:c>
      <x:c r="E2670" s="2" t="str">
        <x:v>WB_age_over65</x:v>
      </x:c>
      <x:c r="F2670" s="2" t="str">
        <x:v>Population ages 65 and above (% of total population)</x:v>
      </x:c>
    </x:row>
    <x:row r="2671" ht="44" customHeight="1">
      <x:c r="A2671" s="2" t="str">
        <x:v>IND</x:v>
      </x:c>
      <x:c r="B2671" s="2" t="str">
        <x:v>dependency_ratio</x:v>
      </x:c>
      <x:c r="C2671" s="2" t="n">
        <x:v>46.1386620179175</x:v>
      </x:c>
      <x:c r="D2671" s="2" t="n">
        <x:v>2025</x:v>
      </x:c>
      <x:c r="E2671" s="2" t="str">
        <x:v>WB_dependency_ratio</x:v>
      </x:c>
      <x:c r="F2671" s="2" t="str">
        <x:v>Age dependency ratio (% of working-age population)</x:v>
      </x:c>
    </x:row>
    <x:row r="2672" ht="44" customHeight="1">
      <x:c r="A2672" s="2" t="str">
        <x:v>IND</x:v>
      </x:c>
      <x:c r="B2672" s="2" t="str">
        <x:v>net_migration</x:v>
      </x:c>
      <x:c r="C2672" s="2" t="n">
        <x:v>-495753</x:v>
      </x:c>
      <x:c r="D2672" s="2" t="n">
        <x:v>2025</x:v>
      </x:c>
      <x:c r="E2672" s="2" t="str">
        <x:v>WB_net_migration</x:v>
      </x:c>
      <x:c r="F2672" s="2" t="str">
        <x:v>Net migration</x:v>
      </x:c>
    </x:row>
    <x:row r="2673" ht="44" customHeight="1">
      <x:c r="A2673" s="2" t="str">
        <x:v>IND</x:v>
      </x:c>
      <x:c r="B2673" s="2" t="str">
        <x:v>real_gdp</x:v>
      </x:c>
      <x:c r="C2673" s="2" t="n">
        <x:v>3693970992045.56</x:v>
      </x:c>
      <x:c r="D2673" s="2" t="n">
        <x:v>2025</x:v>
      </x:c>
      <x:c r="E2673" s="2" t="str">
        <x:v>WB_real_gdp</x:v>
      </x:c>
      <x:c r="F2673" s="2" t="str">
        <x:v>GDP (constant 2015 US$)</x:v>
      </x:c>
    </x:row>
    <x:row r="2674" ht="44" customHeight="1">
      <x:c r="A2674" s="2" t="str">
        <x:v>IND</x:v>
      </x:c>
      <x:c r="B2674" s="2" t="str">
        <x:v>gdp_growth</x:v>
      </x:c>
      <x:c r="C2674" s="2" t="n">
        <x:v>7.56666179284244</x:v>
      </x:c>
      <x:c r="D2674" s="2" t="n">
        <x:v>2025</x:v>
      </x:c>
      <x:c r="E2674" s="2" t="str">
        <x:v>WB_gdp_growth</x:v>
      </x:c>
      <x:c r="F2674" s="2" t="str">
        <x:v>GDP growth (annual %)</x:v>
      </x:c>
    </x:row>
    <x:row r="2675" ht="44" customHeight="1">
      <x:c r="A2675" s="2" t="str">
        <x:v>IND</x:v>
      </x:c>
      <x:c r="B2675" s="2" t="str">
        <x:v>real_income</x:v>
      </x:c>
      <x:c r="C2675" s="2" t="n">
        <x:v>2523.43601851376</x:v>
      </x:c>
      <x:c r="D2675" s="2" t="n">
        <x:v>2025</x:v>
      </x:c>
      <x:c r="E2675" s="2" t="str">
        <x:v>WB_real_income</x:v>
      </x:c>
      <x:c r="F2675" s="2" t="str">
        <x:v>GDP per capita (constant 2015 US$)</x:v>
      </x:c>
    </x:row>
    <x:row r="2676" ht="44" customHeight="1">
      <x:c r="A2676" s="2" t="str">
        <x:v>IND</x:v>
      </x:c>
      <x:c r="B2676" s="2" t="str">
        <x:v>agriculture_gdp</x:v>
      </x:c>
      <x:c r="C2676" s="2" t="n">
        <x:v>16.2342483910129</x:v>
      </x:c>
      <x:c r="D2676" s="2" t="n">
        <x:v>2025</x:v>
      </x:c>
      <x:c r="E2676" s="2" t="str">
        <x:v>WB_agriculture_gdp</x:v>
      </x:c>
      <x:c r="F2676" s="2" t="str">
        <x:v>Agriculture, forestry, and fishing, value added (% of GDP)</x:v>
      </x:c>
    </x:row>
    <x:row r="2677" ht="44" customHeight="1">
      <x:c r="A2677" s="2" t="str">
        <x:v>IND</x:v>
      </x:c>
      <x:c r="B2677" s="2" t="str">
        <x:v>poverty</x:v>
      </x:c>
      <x:c r="C2677" s="2" t="n">
        <x:v>5.3</x:v>
      </x:c>
      <x:c r="D2677" s="2" t="n">
        <x:v>2022</x:v>
      </x:c>
      <x:c r="E2677" s="2" t="str">
        <x:v>WB_poverty</x:v>
      </x:c>
      <x:c r="F2677" s="2" t="str">
        <x:v>Poverty headcount ratio at $3.00 a day (2021 PPP) (% of population)</x:v>
      </x:c>
    </x:row>
    <x:row r="2678" ht="44" customHeight="1">
      <x:c r="A2678" s="2" t="str">
        <x:v>IND</x:v>
      </x:c>
      <x:c r="B2678" s="2" t="str">
        <x:v>gini</x:v>
      </x:c>
      <x:c r="C2678" s="2" t="n">
        <x:v>25.5</x:v>
      </x:c>
      <x:c r="D2678" s="2" t="n">
        <x:v>2022</x:v>
      </x:c>
      <x:c r="E2678" s="2" t="str">
        <x:v>WB_gini</x:v>
      </x:c>
      <x:c r="F2678" s="2" t="str">
        <x:v>Gini index</x:v>
      </x:c>
    </x:row>
    <x:row r="2679" ht="44" customHeight="1">
      <x:c r="A2679" s="2" t="str">
        <x:v>IND</x:v>
      </x:c>
      <x:c r="B2679" s="2" t="str">
        <x:v>unemployment</x:v>
      </x:c>
      <x:c r="C2679" s="2" t="n">
        <x:v>4.219</x:v>
      </x:c>
      <x:c r="D2679" s="2" t="n">
        <x:v>2025</x:v>
      </x:c>
      <x:c r="E2679" s="2" t="str">
        <x:v>WB_unemployment</x:v>
      </x:c>
      <x:c r="F2679" s="2" t="str">
        <x:v>Unemployment, total (% of total labor force) (modeled ILO estimate)</x:v>
      </x:c>
    </x:row>
    <x:row r="2680" ht="44" customHeight="1">
      <x:c r="A2680" s="2" t="str">
        <x:v>IND</x:v>
      </x:c>
      <x:c r="B2680" s="2" t="str">
        <x:v>private_credit</x:v>
      </x:c>
      <x:c r="C2680" s="2" t="n">
        <x:v>44.0250903358104</x:v>
      </x:c>
      <x:c r="D2680" s="2" t="n">
        <x:v>2025</x:v>
      </x:c>
      <x:c r="E2680" s="2" t="str">
        <x:v>WB_private_credit</x:v>
      </x:c>
      <x:c r="F2680" s="2" t="str">
        <x:v>Domestic credit to private sector (% of GDP)</x:v>
      </x:c>
    </x:row>
    <x:row r="2681" ht="44" customHeight="1">
      <x:c r="A2681" s="2" t="str">
        <x:v>IND</x:v>
      </x:c>
      <x:c r="B2681" s="2" t="str">
        <x:v>lending_rate</x:v>
      </x:c>
      <x:c r="C2681" s="2" t="n">
        <x:v>8.56714285714286</x:v>
      </x:c>
      <x:c r="D2681" s="2" t="n">
        <x:v>2022</x:v>
      </x:c>
      <x:c r="E2681" s="2" t="str">
        <x:v>WB_lending_rate</x:v>
      </x:c>
      <x:c r="F2681" s="2" t="str">
        <x:v>Lending interest rate (%)</x:v>
      </x:c>
    </x:row>
    <x:row r="2682" ht="44" customHeight="1">
      <x:c r="A2682" s="2" t="str">
        <x:v>IND</x:v>
      </x:c>
      <x:c r="B2682" s="2" t="str">
        <x:v>real_interest</x:v>
      </x:c>
      <x:c r="C2682" s="2" t="n">
        <x:v>5.55501946152238</x:v>
      </x:c>
      <x:c r="D2682" s="2" t="n">
        <x:v>2022</x:v>
      </x:c>
      <x:c r="E2682" s="2" t="str">
        <x:v>WB_real_interest</x:v>
      </x:c>
      <x:c r="F2682" s="2" t="str">
        <x:v>Real interest rate (%)</x:v>
      </x:c>
    </x:row>
    <x:row r="2683" ht="44" customHeight="1">
      <x:c r="A2683" s="2" t="str">
        <x:v>IND</x:v>
      </x:c>
      <x:c r="B2683" s="2" t="str">
        <x:v>government_debt</x:v>
      </x:c>
      <x:c r="C2683" s="2" t="n">
        <x:v>46.5224986659322</x:v>
      </x:c>
      <x:c r="D2683" s="2" t="n">
        <x:v>2018</x:v>
      </x:c>
      <x:c r="E2683" s="2" t="str">
        <x:v>WB_government_debt</x:v>
      </x:c>
      <x:c r="F2683" s="2" t="str">
        <x:v>Central government debt, total (% of GDP)</x:v>
      </x:c>
    </x:row>
    <x:row r="2684" ht="44" customHeight="1">
      <x:c r="A2684" s="2" t="str">
        <x:v>IND</x:v>
      </x:c>
      <x:c r="B2684" s="2" t="str">
        <x:v>electricity_access</x:v>
      </x:c>
      <x:c r="C2684" s="2" t="n">
        <x:v>99.9</x:v>
      </x:c>
      <x:c r="D2684" s="2" t="n">
        <x:v>2024</x:v>
      </x:c>
      <x:c r="E2684" s="2" t="str">
        <x:v>WB_electricity_access</x:v>
      </x:c>
      <x:c r="F2684" s="2" t="str">
        <x:v>Access to electricity (% of population)</x:v>
      </x:c>
    </x:row>
    <x:row r="2685" ht="44" customHeight="1">
      <x:c r="A2685" s="2" t="str">
        <x:v>IND</x:v>
      </x:c>
      <x:c r="B2685" s="2" t="str">
        <x:v>irrigated_land</x:v>
      </x:c>
      <x:c r="C2685" s="2" t="n">
        <x:v>44.4148265955838</x:v>
      </x:c>
      <x:c r="D2685" s="2" t="n">
        <x:v>2023</x:v>
      </x:c>
      <x:c r="E2685" s="2" t="str">
        <x:v>WB_irrigated_land</x:v>
      </x:c>
      <x:c r="F2685" s="2" t="str">
        <x:v>Agricultural irrigated land (% of total agricultural land)</x:v>
      </x:c>
    </x:row>
    <x:row r="2686" ht="44" customHeight="1">
      <x:c r="A2686" s="2" t="str">
        <x:v>IND</x:v>
      </x:c>
      <x:c r="B2686" s="2" t="str">
        <x:v>cereal_area</x:v>
      </x:c>
      <x:c r="C2686" s="2" t="n">
        <x:v>107673781</x:v>
      </x:c>
      <x:c r="D2686" s="2" t="n">
        <x:v>2024</x:v>
      </x:c>
      <x:c r="E2686" s="2" t="str">
        <x:v>WB_cereal_area</x:v>
      </x:c>
      <x:c r="F2686" s="2" t="str">
        <x:v>Land under cereal production (hectares)</x:v>
      </x:c>
    </x:row>
    <x:row r="2687" ht="44" customHeight="1">
      <x:c r="A2687" s="2" t="str">
        <x:v>IND</x:v>
      </x:c>
      <x:c r="B2687" s="2" t="str">
        <x:v>undernourishment</x:v>
      </x:c>
      <x:c r="C2687" s="2" t="n">
        <x:v>12</x:v>
      </x:c>
      <x:c r="D2687" s="2" t="n">
        <x:v>2023</x:v>
      </x:c>
      <x:c r="E2687" s="2" t="str">
        <x:v>WB_undernourishment</x:v>
      </x:c>
      <x:c r="F2687" s="2" t="str">
        <x:v>Prevalence of undernourishment (% of population)</x:v>
      </x:c>
    </x:row>
    <x:row r="2688" ht="44" customHeight="1">
      <x:c r="A2688" s="2" t="str">
        <x:v>IND</x:v>
      </x:c>
      <x:c r="B2688" s="2" t="str">
        <x:v>agriculture_employment</x:v>
      </x:c>
      <x:c r="C2688" s="2" t="n">
        <x:v>41.6251280877573</x:v>
      </x:c>
      <x:c r="D2688" s="2" t="n">
        <x:v>2025</x:v>
      </x:c>
      <x:c r="E2688" s="2" t="str">
        <x:v>WB_agriculture_employment</x:v>
      </x:c>
      <x:c r="F2688" s="2" t="str">
        <x:v>Employment in agriculture (% of total employment) (modeled ILO estimate)</x:v>
      </x:c>
    </x:row>
    <x:row r="2689" ht="44" customHeight="1">
      <x:c r="A2689" s="2" t="str">
        <x:v>IND</x:v>
      </x:c>
      <x:c r="B2689" s="2" t="str">
        <x:v>water_withdrawal</x:v>
      </x:c>
      <x:c r="C2689" s="2" t="n">
        <x:v>44.7786998616874</x:v>
      </x:c>
      <x:c r="D2689" s="2" t="n">
        <x:v>2022</x:v>
      </x:c>
      <x:c r="E2689" s="2" t="str">
        <x:v>WB_water_withdrawal</x:v>
      </x:c>
      <x:c r="F2689" s="2" t="str">
        <x:v>Annual freshwater withdrawals, total (% of internal resources)</x:v>
      </x:c>
    </x:row>
    <x:row r="2690" ht="44" customHeight="1">
      <x:c r="A2690" s="2" t="str">
        <x:v>IDN</x:v>
      </x:c>
      <x:c r="B2690" s="2" t="str">
        <x:v>population</x:v>
      </x:c>
      <x:c r="C2690" s="2" t="n">
        <x:v>285721236</x:v>
      </x:c>
      <x:c r="D2690" s="2" t="n">
        <x:v>2025</x:v>
      </x:c>
      <x:c r="E2690" s="2" t="str">
        <x:v>WB_population</x:v>
      </x:c>
      <x:c r="F2690" s="2" t="str">
        <x:v>Population, total</x:v>
      </x:c>
    </x:row>
    <x:row r="2691" ht="44" customHeight="1">
      <x:c r="A2691" s="2" t="str">
        <x:v>IDN</x:v>
      </x:c>
      <x:c r="B2691" s="2" t="str">
        <x:v>income_ppp</x:v>
      </x:c>
      <x:c r="C2691" s="2" t="n">
        <x:v>15091.0088604652</x:v>
      </x:c>
      <x:c r="D2691" s="2" t="n">
        <x:v>2025</x:v>
      </x:c>
      <x:c r="E2691" s="2" t="str">
        <x:v>WB_income_ppp</x:v>
      </x:c>
      <x:c r="F2691" s="2" t="str">
        <x:v>GDP per capita, PPP (constant 2021 international $)</x:v>
      </x:c>
    </x:row>
    <x:row r="2692" ht="44" customHeight="1">
      <x:c r="A2692" s="2" t="str">
        <x:v>IDN</x:v>
      </x:c>
      <x:c r="B2692" s="2" t="str">
        <x:v>urban</x:v>
      </x:c>
      <x:c r="C2692" s="2" t="n">
        <x:v>59.3929063969984</x:v>
      </x:c>
      <x:c r="D2692" s="2" t="n">
        <x:v>2025</x:v>
      </x:c>
      <x:c r="E2692" s="2" t="str">
        <x:v>WB_urban</x:v>
      </x:c>
      <x:c r="F2692" s="2" t="str">
        <x:v>Urban population (% of total population)</x:v>
      </x:c>
    </x:row>
    <x:row r="2693" ht="44" customHeight="1">
      <x:c r="A2693" s="2" t="str">
        <x:v>IDN</x:v>
      </x:c>
      <x:c r="B2693" s="2" t="str">
        <x:v>inflation</x:v>
      </x:c>
      <x:c r="C2693" s="2" t="n">
        <x:v>1.9133344329508</x:v>
      </x:c>
      <x:c r="D2693" s="2" t="n">
        <x:v>2025</x:v>
      </x:c>
      <x:c r="E2693" s="2" t="str">
        <x:v>WB_inflation</x:v>
      </x:c>
      <x:c r="F2693" s="2" t="str">
        <x:v>Inflation, consumer prices (annual %)</x:v>
      </x:c>
    </x:row>
    <x:row r="2694" ht="44" customHeight="1">
      <x:c r="A2694" s="2" t="str">
        <x:v>IDN</x:v>
      </x:c>
      <x:c r="B2694" s="2" t="str">
        <x:v>food_index</x:v>
      </x:c>
      <x:c r="C2694" s="2" t="n">
        <x:v>117.14</x:v>
      </x:c>
      <x:c r="D2694" s="2" t="n">
        <x:v>2022</x:v>
      </x:c>
      <x:c r="E2694" s="2" t="str">
        <x:v>WB_food_index</x:v>
      </x:c>
      <x:c r="F2694" s="2" t="str">
        <x:v>Food production index (2014-2016 = 100)</x:v>
      </x:c>
    </x:row>
    <x:row r="2695" ht="44" customHeight="1">
      <x:c r="A2695" s="2" t="str">
        <x:v>IDN</x:v>
      </x:c>
      <x:c r="B2695" s="2" t="str">
        <x:v>food_import_share</x:v>
      </x:c>
      <x:c r="C2695" s="2" t="n">
        <x:v>10.2078672862174</x:v>
      </x:c>
      <x:c r="D2695" s="2" t="n">
        <x:v>2025</x:v>
      </x:c>
      <x:c r="E2695" s="2" t="str">
        <x:v>WB_food_import_share</x:v>
      </x:c>
      <x:c r="F2695" s="2" t="str">
        <x:v>Food imports (% of merchandise imports)</x:v>
      </x:c>
    </x:row>
    <x:row r="2696" ht="44" customHeight="1">
      <x:c r="A2696" s="2" t="str">
        <x:v>IDN</x:v>
      </x:c>
      <x:c r="B2696" s="2" t="str">
        <x:v>food_export_share</x:v>
      </x:c>
      <x:c r="C2696" s="2" t="n">
        <x:v>22.924230601164</x:v>
      </x:c>
      <x:c r="D2696" s="2" t="n">
        <x:v>2025</x:v>
      </x:c>
      <x:c r="E2696" s="2" t="str">
        <x:v>WB_food_export_share</x:v>
      </x:c>
      <x:c r="F2696" s="2" t="str">
        <x:v>Food exports (% of merchandise exports)</x:v>
      </x:c>
    </x:row>
    <x:row r="2697" ht="44" customHeight="1">
      <x:c r="A2697" s="2" t="str">
        <x:v>IDN</x:v>
      </x:c>
      <x:c r="B2697" s="2" t="str">
        <x:v>imports_usd</x:v>
      </x:c>
      <x:c r="C2697" s="2" t="n">
        <x:v>241857000000</x:v>
      </x:c>
      <x:c r="D2697" s="2" t="n">
        <x:v>2025</x:v>
      </x:c>
      <x:c r="E2697" s="2" t="str">
        <x:v>WB_imports_usd</x:v>
      </x:c>
      <x:c r="F2697" s="2" t="str">
        <x:v>Merchandise imports (current US$)</x:v>
      </x:c>
    </x:row>
    <x:row r="2698" ht="44" customHeight="1">
      <x:c r="A2698" s="2" t="str">
        <x:v>IDN</x:v>
      </x:c>
      <x:c r="B2698" s="2" t="str">
        <x:v>exports_usd</x:v>
      </x:c>
      <x:c r="C2698" s="2" t="n">
        <x:v>282909000000</x:v>
      </x:c>
      <x:c r="D2698" s="2" t="n">
        <x:v>2025</x:v>
      </x:c>
      <x:c r="E2698" s="2" t="str">
        <x:v>WB_exports_usd</x:v>
      </x:c>
      <x:c r="F2698" s="2" t="str">
        <x:v>Merchandise exports (current US$)</x:v>
      </x:c>
    </x:row>
    <x:row r="2699" ht="44" customHeight="1">
      <x:c r="A2699" s="2" t="str">
        <x:v>IDN</x:v>
      </x:c>
      <x:c r="B2699" s="2" t="str">
        <x:v>cereal_yield</x:v>
      </x:c>
      <x:c r="C2699" s="2" t="n">
        <x:v>5828.8</x:v>
      </x:c>
      <x:c r="D2699" s="2" t="n">
        <x:v>2023</x:v>
      </x:c>
      <x:c r="E2699" s="2" t="str">
        <x:v>WB_cereal_yield</x:v>
      </x:c>
      <x:c r="F2699" s="2" t="str">
        <x:v>Cereal yield (kg per hectare)</x:v>
      </x:c>
    </x:row>
    <x:row r="2700" ht="44" customHeight="1">
      <x:c r="A2700" s="2" t="str">
        <x:v>IDN</x:v>
      </x:c>
      <x:c r="B2700" s="2" t="str">
        <x:v>water_stress</x:v>
      </x:c>
      <x:c r="C2700" s="2" t="n">
        <x:v>29.69654528</x:v>
      </x:c>
      <x:c r="D2700" s="2" t="n">
        <x:v>2022</x:v>
      </x:c>
      <x:c r="E2700" s="2" t="str">
        <x:v>WB_water_stress</x:v>
      </x:c>
      <x:c r="F2700" s="2" t="str">
        <x:v>Level of water stress: freshwater withdrawal as a proportion of available freshwater resources</x:v>
      </x:c>
    </x:row>
    <x:row r="2701" ht="44" customHeight="1">
      <x:c r="A2701" s="2" t="str">
        <x:v>IDN</x:v>
      </x:c>
      <x:c r="B2701" s="2" t="str">
        <x:v>fertility</x:v>
      </x:c>
      <x:c r="C2701" s="2" t="n">
        <x:v>2.115</x:v>
      </x:c>
      <x:c r="D2701" s="2" t="n">
        <x:v>2024</x:v>
      </x:c>
      <x:c r="E2701" s="2" t="str">
        <x:v>WB_fertility</x:v>
      </x:c>
      <x:c r="F2701" s="2" t="str">
        <x:v>Fertility rate, total (births per woman)</x:v>
      </x:c>
    </x:row>
    <x:row r="2702" ht="44" customHeight="1">
      <x:c r="A2702" s="2" t="str">
        <x:v>IDN</x:v>
      </x:c>
      <x:c r="B2702" s="2" t="str">
        <x:v>life_expectancy</x:v>
      </x:c>
      <x:c r="C2702" s="2" t="n">
        <x:v>71.288</x:v>
      </x:c>
      <x:c r="D2702" s="2" t="n">
        <x:v>2024</x:v>
      </x:c>
      <x:c r="E2702" s="2" t="str">
        <x:v>WB_life_expectancy</x:v>
      </x:c>
      <x:c r="F2702" s="2" t="str">
        <x:v>Life expectancy at birth, total (years)</x:v>
      </x:c>
    </x:row>
    <x:row r="2703" ht="44" customHeight="1">
      <x:c r="A2703" s="2" t="str">
        <x:v>IDN</x:v>
      </x:c>
      <x:c r="B2703" s="2" t="str">
        <x:v>age_under15</x:v>
      </x:c>
      <x:c r="C2703" s="2" t="n">
        <x:v>24.2472504288188</x:v>
      </x:c>
      <x:c r="D2703" s="2" t="n">
        <x:v>2025</x:v>
      </x:c>
      <x:c r="E2703" s="2" t="str">
        <x:v>WB_age_under15</x:v>
      </x:c>
      <x:c r="F2703" s="2" t="str">
        <x:v>Population ages 0-14 (% of total population)</x:v>
      </x:c>
    </x:row>
    <x:row r="2704" ht="44" customHeight="1">
      <x:c r="A2704" s="2" t="str">
        <x:v>IDN</x:v>
      </x:c>
      <x:c r="B2704" s="2" t="str">
        <x:v>age_over65</x:v>
      </x:c>
      <x:c r="C2704" s="2" t="n">
        <x:v>7.542769252795</x:v>
      </x:c>
      <x:c r="D2704" s="2" t="n">
        <x:v>2025</x:v>
      </x:c>
      <x:c r="E2704" s="2" t="str">
        <x:v>WB_age_over65</x:v>
      </x:c>
      <x:c r="F2704" s="2" t="str">
        <x:v>Population ages 65 and above (% of total population)</x:v>
      </x:c>
    </x:row>
    <x:row r="2705" ht="44" customHeight="1">
      <x:c r="A2705" s="2" t="str">
        <x:v>IDN</x:v>
      </x:c>
      <x:c r="B2705" s="2" t="str">
        <x:v>dependency_ratio</x:v>
      </x:c>
      <x:c r="C2705" s="2" t="n">
        <x:v>46.6061121871889</x:v>
      </x:c>
      <x:c r="D2705" s="2" t="n">
        <x:v>2025</x:v>
      </x:c>
      <x:c r="E2705" s="2" t="str">
        <x:v>WB_dependency_ratio</x:v>
      </x:c>
      <x:c r="F2705" s="2" t="str">
        <x:v>Age dependency ratio (% of working-age population)</x:v>
      </x:c>
    </x:row>
    <x:row r="2706" ht="44" customHeight="1">
      <x:c r="A2706" s="2" t="str">
        <x:v>IDN</x:v>
      </x:c>
      <x:c r="B2706" s="2" t="str">
        <x:v>net_migration</x:v>
      </x:c>
      <x:c r="C2706" s="2" t="n">
        <x:v>-39509</x:v>
      </x:c>
      <x:c r="D2706" s="2" t="n">
        <x:v>2025</x:v>
      </x:c>
      <x:c r="E2706" s="2" t="str">
        <x:v>WB_net_migration</x:v>
      </x:c>
      <x:c r="F2706" s="2" t="str">
        <x:v>Net migration</x:v>
      </x:c>
    </x:row>
    <x:row r="2707" ht="44" customHeight="1">
      <x:c r="A2707" s="2" t="str">
        <x:v>IDN</x:v>
      </x:c>
      <x:c r="B2707" s="2" t="str">
        <x:v>real_gdp</x:v>
      </x:c>
      <x:c r="C2707" s="2" t="n">
        <x:v>1301511819008.36</x:v>
      </x:c>
      <x:c r="D2707" s="2" t="n">
        <x:v>2025</x:v>
      </x:c>
      <x:c r="E2707" s="2" t="str">
        <x:v>WB_real_gdp</x:v>
      </x:c>
      <x:c r="F2707" s="2" t="str">
        <x:v>GDP (constant 2015 US$)</x:v>
      </x:c>
    </x:row>
    <x:row r="2708" ht="44" customHeight="1">
      <x:c r="A2708" s="2" t="str">
        <x:v>IDN</x:v>
      </x:c>
      <x:c r="B2708" s="2" t="str">
        <x:v>gdp_growth</x:v>
      </x:c>
      <x:c r="C2708" s="2" t="n">
        <x:v>5.10808904438025</x:v>
      </x:c>
      <x:c r="D2708" s="2" t="n">
        <x:v>2025</x:v>
      </x:c>
      <x:c r="E2708" s="2" t="str">
        <x:v>WB_gdp_growth</x:v>
      </x:c>
      <x:c r="F2708" s="2" t="str">
        <x:v>GDP growth (annual %)</x:v>
      </x:c>
    </x:row>
    <x:row r="2709" ht="44" customHeight="1">
      <x:c r="A2709" s="2" t="str">
        <x:v>IDN</x:v>
      </x:c>
      <x:c r="B2709" s="2" t="str">
        <x:v>real_income</x:v>
      </x:c>
      <x:c r="C2709" s="2" t="n">
        <x:v>4555.18055720702</x:v>
      </x:c>
      <x:c r="D2709" s="2" t="n">
        <x:v>2025</x:v>
      </x:c>
      <x:c r="E2709" s="2" t="str">
        <x:v>WB_real_income</x:v>
      </x:c>
      <x:c r="F2709" s="2" t="str">
        <x:v>GDP per capita (constant 2015 US$)</x:v>
      </x:c>
    </x:row>
    <x:row r="2710" ht="44" customHeight="1">
      <x:c r="A2710" s="2" t="str">
        <x:v>IDN</x:v>
      </x:c>
      <x:c r="B2710" s="2" t="str">
        <x:v>agriculture_gdp</x:v>
      </x:c>
      <x:c r="C2710" s="2" t="n">
        <x:v>13.0995463199278</x:v>
      </x:c>
      <x:c r="D2710" s="2" t="n">
        <x:v>2025</x:v>
      </x:c>
      <x:c r="E2710" s="2" t="str">
        <x:v>WB_agriculture_gdp</x:v>
      </x:c>
      <x:c r="F2710" s="2" t="str">
        <x:v>Agriculture, forestry, and fishing, value added (% of GDP)</x:v>
      </x:c>
    </x:row>
    <x:row r="2711" ht="44" customHeight="1">
      <x:c r="A2711" s="2" t="str">
        <x:v>IDN</x:v>
      </x:c>
      <x:c r="B2711" s="2" t="str">
        <x:v>poverty</x:v>
      </x:c>
      <x:c r="C2711" s="2" t="n">
        <x:v>4</x:v>
      </x:c>
      <x:c r="D2711" s="2" t="n">
        <x:v>2025</x:v>
      </x:c>
      <x:c r="E2711" s="2" t="str">
        <x:v>WB_poverty</x:v>
      </x:c>
      <x:c r="F2711" s="2" t="str">
        <x:v>Poverty headcount ratio at $3.00 a day (2021 PPP) (% of population)</x:v>
      </x:c>
    </x:row>
    <x:row r="2712" ht="44" customHeight="1">
      <x:c r="A2712" s="2" t="str">
        <x:v>IDN</x:v>
      </x:c>
      <x:c r="B2712" s="2" t="str">
        <x:v>gini</x:v>
      </x:c>
      <x:c r="C2712" s="2" t="n">
        <x:v>34.4</x:v>
      </x:c>
      <x:c r="D2712" s="2" t="n">
        <x:v>2025</x:v>
      </x:c>
      <x:c r="E2712" s="2" t="str">
        <x:v>WB_gini</x:v>
      </x:c>
      <x:c r="F2712" s="2" t="str">
        <x:v>Gini index</x:v>
      </x:c>
    </x:row>
    <x:row r="2713" ht="44" customHeight="1">
      <x:c r="A2713" s="2" t="str">
        <x:v>IDN</x:v>
      </x:c>
      <x:c r="B2713" s="2" t="str">
        <x:v>unemployment</x:v>
      </x:c>
      <x:c r="C2713" s="2" t="n">
        <x:v>3.237</x:v>
      </x:c>
      <x:c r="D2713" s="2" t="n">
        <x:v>2025</x:v>
      </x:c>
      <x:c r="E2713" s="2" t="str">
        <x:v>WB_unemployment</x:v>
      </x:c>
      <x:c r="F2713" s="2" t="str">
        <x:v>Unemployment, total (% of total labor force) (modeled ILO estimate)</x:v>
      </x:c>
    </x:row>
    <x:row r="2714" ht="44" customHeight="1">
      <x:c r="A2714" s="2" t="str">
        <x:v>IDN</x:v>
      </x:c>
      <x:c r="B2714" s="2" t="str">
        <x:v>private_credit</x:v>
      </x:c>
      <x:c r="C2714" s="2" t="n">
        <x:v>36.2832983305564</x:v>
      </x:c>
      <x:c r="D2714" s="2" t="n">
        <x:v>2025</x:v>
      </x:c>
      <x:c r="E2714" s="2" t="str">
        <x:v>WB_private_credit</x:v>
      </x:c>
      <x:c r="F2714" s="2" t="str">
        <x:v>Domestic credit to private sector (% of GDP)</x:v>
      </x:c>
    </x:row>
    <x:row r="2715" ht="44" customHeight="1">
      <x:c r="A2715" s="2" t="str">
        <x:v>IDN</x:v>
      </x:c>
      <x:c r="B2715" s="2" t="str">
        <x:v>lending_rate</x:v>
      </x:c>
      <x:c r="C2715" s="2" t="n">
        <x:v>8.50158323159017</x:v>
      </x:c>
      <x:c r="D2715" s="2" t="n">
        <x:v>2025</x:v>
      </x:c>
      <x:c r="E2715" s="2" t="str">
        <x:v>WB_lending_rate</x:v>
      </x:c>
      <x:c r="F2715" s="2" t="str">
        <x:v>Lending interest rate (%)</x:v>
      </x:c>
    </x:row>
    <x:row r="2716" ht="44" customHeight="1">
      <x:c r="A2716" s="2" t="str">
        <x:v>IDN</x:v>
      </x:c>
      <x:c r="B2716" s="2" t="str">
        <x:v>real_interest</x:v>
      </x:c>
      <x:c r="C2716" s="2" t="n">
        <x:v>5.99079693113722</x:v>
      </x:c>
      <x:c r="D2716" s="2" t="n">
        <x:v>2025</x:v>
      </x:c>
      <x:c r="E2716" s="2" t="str">
        <x:v>WB_real_interest</x:v>
      </x:c>
      <x:c r="F2716" s="2" t="str">
        <x:v>Real interest rate (%)</x:v>
      </x:c>
    </x:row>
    <x:row r="2717" ht="44" customHeight="1">
      <x:c r="A2717" s="2" t="str">
        <x:v>IDN</x:v>
      </x:c>
      <x:c r="B2717" s="2" t="str">
        <x:v>government_debt</x:v>
      </x:c>
      <x:c r="C2717" s="2" t="n">
        <x:v>29.997306381567</x:v>
      </x:c>
      <x:c r="D2717" s="2" t="n">
        <x:v>2009</x:v>
      </x:c>
      <x:c r="E2717" s="2" t="str">
        <x:v>WB_government_debt</x:v>
      </x:c>
      <x:c r="F2717" s="2" t="str">
        <x:v>Central government debt, total (% of GDP)</x:v>
      </x:c>
    </x:row>
    <x:row r="2718" ht="44" customHeight="1">
      <x:c r="A2718" s="2" t="str">
        <x:v>IDN</x:v>
      </x:c>
      <x:c r="B2718" s="2" t="str">
        <x:v>electricity_access</x:v>
      </x:c>
      <x:c r="C2718" s="2" t="n">
        <x:v>99.9</x:v>
      </x:c>
      <x:c r="D2718" s="2" t="n">
        <x:v>2024</x:v>
      </x:c>
      <x:c r="E2718" s="2" t="str">
        <x:v>WB_electricity_access</x:v>
      </x:c>
      <x:c r="F2718" s="2" t="str">
        <x:v>Access to electricity (% of population)</x:v>
      </x:c>
    </x:row>
    <x:row r="2719" ht="44" customHeight="1">
      <x:c r="A2719" s="2" t="str">
        <x:v>IDN</x:v>
      </x:c>
      <x:c r="B2719" s="2" t="str">
        <x:v>irrigated_land</x:v>
      </x:c>
      <x:c r="C2719" s="2"/>
      <x:c r="D2719" s="2"/>
      <x:c r="E2719" s="2" t="str">
        <x:v>Missing</x:v>
      </x:c>
      <x:c r="F2719" s="2" t="str">
        <x:v>Agricultural irrigated land (% of total agricultural land)</x:v>
      </x:c>
    </x:row>
    <x:row r="2720" ht="44" customHeight="1">
      <x:c r="A2720" s="2" t="str">
        <x:v>IDN</x:v>
      </x:c>
      <x:c r="B2720" s="2" t="str">
        <x:v>cereal_area</x:v>
      </x:c>
      <x:c r="C2720" s="2" t="n">
        <x:v>12689796</x:v>
      </x:c>
      <x:c r="D2720" s="2" t="n">
        <x:v>2023</x:v>
      </x:c>
      <x:c r="E2720" s="2" t="str">
        <x:v>WB_cereal_area</x:v>
      </x:c>
      <x:c r="F2720" s="2" t="str">
        <x:v>Land under cereal production (hectares)</x:v>
      </x:c>
    </x:row>
    <x:row r="2721" ht="44" customHeight="1">
      <x:c r="A2721" s="2" t="str">
        <x:v>IDN</x:v>
      </x:c>
      <x:c r="B2721" s="2" t="str">
        <x:v>undernourishment</x:v>
      </x:c>
      <x:c r="C2721" s="2" t="n">
        <x:v>6.3</x:v>
      </x:c>
      <x:c r="D2721" s="2" t="n">
        <x:v>2023</x:v>
      </x:c>
      <x:c r="E2721" s="2" t="str">
        <x:v>WB_undernourishment</x:v>
      </x:c>
      <x:c r="F2721" s="2" t="str">
        <x:v>Prevalence of undernourishment (% of population)</x:v>
      </x:c>
    </x:row>
    <x:row r="2722" ht="44" customHeight="1">
      <x:c r="A2722" s="2" t="str">
        <x:v>IDN</x:v>
      </x:c>
      <x:c r="B2722" s="2" t="str">
        <x:v>agriculture_employment</x:v>
      </x:c>
      <x:c r="C2722" s="2" t="n">
        <x:v>27.2969124578361</x:v>
      </x:c>
      <x:c r="D2722" s="2" t="n">
        <x:v>2025</x:v>
      </x:c>
      <x:c r="E2722" s="2" t="str">
        <x:v>WB_agriculture_employment</x:v>
      </x:c>
      <x:c r="F2722" s="2" t="str">
        <x:v>Employment in agriculture (% of total employment) (modeled ILO estimate)</x:v>
      </x:c>
    </x:row>
    <x:row r="2723" ht="44" customHeight="1">
      <x:c r="A2723" s="2" t="str">
        <x:v>IDN</x:v>
      </x:c>
      <x:c r="B2723" s="2" t="str">
        <x:v>water_withdrawal</x:v>
      </x:c>
      <x:c r="C2723" s="2" t="n">
        <x:v>11.0286322881062</x:v>
      </x:c>
      <x:c r="D2723" s="2" t="n">
        <x:v>2022</x:v>
      </x:c>
      <x:c r="E2723" s="2" t="str">
        <x:v>WB_water_withdrawal</x:v>
      </x:c>
      <x:c r="F2723" s="2" t="str">
        <x:v>Annual freshwater withdrawals, total (% of internal resources)</x:v>
      </x:c>
    </x:row>
    <x:row r="2724" ht="44" customHeight="1">
      <x:c r="A2724" s="2" t="str">
        <x:v>IRN</x:v>
      </x:c>
      <x:c r="B2724" s="2" t="str">
        <x:v>population</x:v>
      </x:c>
      <x:c r="C2724" s="2" t="n">
        <x:v>92417681</x:v>
      </x:c>
      <x:c r="D2724" s="2" t="n">
        <x:v>2025</x:v>
      </x:c>
      <x:c r="E2724" s="2" t="str">
        <x:v>WB_population</x:v>
      </x:c>
      <x:c r="F2724" s="2" t="str">
        <x:v>Population, total</x:v>
      </x:c>
    </x:row>
    <x:row r="2725" ht="44" customHeight="1">
      <x:c r="A2725" s="2" t="str">
        <x:v>IRN</x:v>
      </x:c>
      <x:c r="B2725" s="2" t="str">
        <x:v>income_ppp</x:v>
      </x:c>
      <x:c r="C2725" s="2" t="n">
        <x:v>16833.7821677117</x:v>
      </x:c>
      <x:c r="D2725" s="2" t="n">
        <x:v>2025</x:v>
      </x:c>
      <x:c r="E2725" s="2" t="str">
        <x:v>WB_income_ppp</x:v>
      </x:c>
      <x:c r="F2725" s="2" t="str">
        <x:v>GDP per capita, PPP (constant 2021 international $)</x:v>
      </x:c>
    </x:row>
    <x:row r="2726" ht="44" customHeight="1">
      <x:c r="A2726" s="2" t="str">
        <x:v>IRN</x:v>
      </x:c>
      <x:c r="B2726" s="2" t="str">
        <x:v>urban</x:v>
      </x:c>
      <x:c r="C2726" s="2" t="n">
        <x:v>77.3761530941751</x:v>
      </x:c>
      <x:c r="D2726" s="2" t="n">
        <x:v>2025</x:v>
      </x:c>
      <x:c r="E2726" s="2" t="str">
        <x:v>WB_urban</x:v>
      </x:c>
      <x:c r="F2726" s="2" t="str">
        <x:v>Urban population (% of total population)</x:v>
      </x:c>
    </x:row>
    <x:row r="2727" ht="44" customHeight="1">
      <x:c r="A2727" s="2" t="str">
        <x:v>IRN</x:v>
      </x:c>
      <x:c r="B2727" s="2" t="str">
        <x:v>inflation</x:v>
      </x:c>
      <x:c r="C2727" s="2" t="n">
        <x:v>42.1712244965444</x:v>
      </x:c>
      <x:c r="D2727" s="2" t="n">
        <x:v>2025</x:v>
      </x:c>
      <x:c r="E2727" s="2" t="str">
        <x:v>WB_inflation</x:v>
      </x:c>
      <x:c r="F2727" s="2" t="str">
        <x:v>Inflation, consumer prices (annual %)</x:v>
      </x:c>
    </x:row>
    <x:row r="2728" ht="44" customHeight="1">
      <x:c r="A2728" s="2" t="str">
        <x:v>IRN</x:v>
      </x:c>
      <x:c r="B2728" s="2" t="str">
        <x:v>food_index</x:v>
      </x:c>
      <x:c r="C2728" s="2" t="n">
        <x:v>83.89</x:v>
      </x:c>
      <x:c r="D2728" s="2" t="n">
        <x:v>2022</x:v>
      </x:c>
      <x:c r="E2728" s="2" t="str">
        <x:v>WB_food_index</x:v>
      </x:c>
      <x:c r="F2728" s="2" t="str">
        <x:v>Food production index (2014-2016 = 100)</x:v>
      </x:c>
    </x:row>
    <x:row r="2729" ht="44" customHeight="1">
      <x:c r="A2729" s="2" t="str">
        <x:v>IRN</x:v>
      </x:c>
      <x:c r="B2729" s="2" t="str">
        <x:v>food_import_share</x:v>
      </x:c>
      <x:c r="C2729" s="2" t="n">
        <x:v>29.4601700206271</x:v>
      </x:c>
      <x:c r="D2729" s="2" t="n">
        <x:v>2022</x:v>
      </x:c>
      <x:c r="E2729" s="2" t="str">
        <x:v>WB_food_import_share</x:v>
      </x:c>
      <x:c r="F2729" s="2" t="str">
        <x:v>Food imports (% of merchandise imports)</x:v>
      </x:c>
    </x:row>
    <x:row r="2730" ht="44" customHeight="1">
      <x:c r="A2730" s="2" t="str">
        <x:v>IRN</x:v>
      </x:c>
      <x:c r="B2730" s="2" t="str">
        <x:v>food_export_share</x:v>
      </x:c>
      <x:c r="C2730" s="2" t="n">
        <x:v>5.93159350718198</x:v>
      </x:c>
      <x:c r="D2730" s="2" t="n">
        <x:v>2022</x:v>
      </x:c>
      <x:c r="E2730" s="2" t="str">
        <x:v>WB_food_export_share</x:v>
      </x:c>
      <x:c r="F2730" s="2" t="str">
        <x:v>Food exports (% of merchandise exports)</x:v>
      </x:c>
    </x:row>
    <x:row r="2731" ht="44" customHeight="1">
      <x:c r="A2731" s="2" t="str">
        <x:v>IRN</x:v>
      </x:c>
      <x:c r="B2731" s="2" t="str">
        <x:v>imports_usd</x:v>
      </x:c>
      <x:c r="C2731" s="2" t="n">
        <x:v>65632000000</x:v>
      </x:c>
      <x:c r="D2731" s="2" t="n">
        <x:v>2025</x:v>
      </x:c>
      <x:c r="E2731" s="2" t="str">
        <x:v>WB_imports_usd</x:v>
      </x:c>
      <x:c r="F2731" s="2" t="str">
        <x:v>Merchandise imports (current US$)</x:v>
      </x:c>
    </x:row>
    <x:row r="2732" ht="44" customHeight="1">
      <x:c r="A2732" s="2" t="str">
        <x:v>IRN</x:v>
      </x:c>
      <x:c r="B2732" s="2" t="str">
        <x:v>exports_usd</x:v>
      </x:c>
      <x:c r="C2732" s="2" t="n">
        <x:v>113225000000</x:v>
      </x:c>
      <x:c r="D2732" s="2" t="n">
        <x:v>2025</x:v>
      </x:c>
      <x:c r="E2732" s="2" t="str">
        <x:v>WB_exports_usd</x:v>
      </x:c>
      <x:c r="F2732" s="2" t="str">
        <x:v>Merchandise exports (current US$)</x:v>
      </x:c>
    </x:row>
    <x:row r="2733" ht="44" customHeight="1">
      <x:c r="A2733" s="2" t="str">
        <x:v>IRN</x:v>
      </x:c>
      <x:c r="B2733" s="2" t="str">
        <x:v>cereal_yield</x:v>
      </x:c>
      <x:c r="C2733" s="2" t="n">
        <x:v>2420.4</x:v>
      </x:c>
      <x:c r="D2733" s="2" t="n">
        <x:v>2023</x:v>
      </x:c>
      <x:c r="E2733" s="2" t="str">
        <x:v>WB_cereal_yield</x:v>
      </x:c>
      <x:c r="F2733" s="2" t="str">
        <x:v>Cereal yield (kg per hectare)</x:v>
      </x:c>
    </x:row>
    <x:row r="2734" ht="44" customHeight="1">
      <x:c r="A2734" s="2" t="str">
        <x:v>IRN</x:v>
      </x:c>
      <x:c r="B2734" s="2" t="str">
        <x:v>water_stress</x:v>
      </x:c>
      <x:c r="C2734" s="2" t="n">
        <x:v>81.28908129</x:v>
      </x:c>
      <x:c r="D2734" s="2" t="n">
        <x:v>2022</x:v>
      </x:c>
      <x:c r="E2734" s="2" t="str">
        <x:v>WB_water_stress</x:v>
      </x:c>
      <x:c r="F2734" s="2" t="str">
        <x:v>Level of water stress: freshwater withdrawal as a proportion of available freshwater resources</x:v>
      </x:c>
    </x:row>
    <x:row r="2735" ht="44" customHeight="1">
      <x:c r="A2735" s="2" t="str">
        <x:v>IRN</x:v>
      </x:c>
      <x:c r="B2735" s="2" t="str">
        <x:v>fertility</x:v>
      </x:c>
      <x:c r="C2735" s="2" t="n">
        <x:v>1.684</x:v>
      </x:c>
      <x:c r="D2735" s="2" t="n">
        <x:v>2024</x:v>
      </x:c>
      <x:c r="E2735" s="2" t="str">
        <x:v>WB_fertility</x:v>
      </x:c>
      <x:c r="F2735" s="2" t="str">
        <x:v>Fertility rate, total (births per woman)</x:v>
      </x:c>
    </x:row>
    <x:row r="2736" ht="44" customHeight="1">
      <x:c r="A2736" s="2" t="str">
        <x:v>IRN</x:v>
      </x:c>
      <x:c r="B2736" s="2" t="str">
        <x:v>life_expectancy</x:v>
      </x:c>
      <x:c r="C2736" s="2" t="n">
        <x:v>77.854</x:v>
      </x:c>
      <x:c r="D2736" s="2" t="n">
        <x:v>2024</x:v>
      </x:c>
      <x:c r="E2736" s="2" t="str">
        <x:v>WB_life_expectancy</x:v>
      </x:c>
      <x:c r="F2736" s="2" t="str">
        <x:v>Life expectancy at birth, total (years)</x:v>
      </x:c>
    </x:row>
    <x:row r="2737" ht="44" customHeight="1">
      <x:c r="A2737" s="2" t="str">
        <x:v>IRN</x:v>
      </x:c>
      <x:c r="B2737" s="2" t="str">
        <x:v>age_under15</x:v>
      </x:c>
      <x:c r="C2737" s="2" t="n">
        <x:v>22.0217357542222</x:v>
      </x:c>
      <x:c r="D2737" s="2" t="n">
        <x:v>2025</x:v>
      </x:c>
      <x:c r="E2737" s="2" t="str">
        <x:v>WB_age_under15</x:v>
      </x:c>
      <x:c r="F2737" s="2" t="str">
        <x:v>Population ages 0-14 (% of total population)</x:v>
      </x:c>
    </x:row>
    <x:row r="2738" ht="44" customHeight="1">
      <x:c r="A2738" s="2" t="str">
        <x:v>IRN</x:v>
      </x:c>
      <x:c r="B2738" s="2" t="str">
        <x:v>age_over65</x:v>
      </x:c>
      <x:c r="C2738" s="2" t="n">
        <x:v>8.58114314727287</x:v>
      </x:c>
      <x:c r="D2738" s="2" t="n">
        <x:v>2025</x:v>
      </x:c>
      <x:c r="E2738" s="2" t="str">
        <x:v>WB_age_over65</x:v>
      </x:c>
      <x:c r="F2738" s="2" t="str">
        <x:v>Population ages 65 and above (% of total population)</x:v>
      </x:c>
    </x:row>
    <x:row r="2739" ht="44" customHeight="1">
      <x:c r="A2739" s="2" t="str">
        <x:v>IRN</x:v>
      </x:c>
      <x:c r="B2739" s="2" t="str">
        <x:v>dependency_ratio</x:v>
      </x:c>
      <x:c r="C2739" s="2" t="n">
        <x:v>44.0981981660308</x:v>
      </x:c>
      <x:c r="D2739" s="2" t="n">
        <x:v>2025</x:v>
      </x:c>
      <x:c r="E2739" s="2" t="str">
        <x:v>WB_dependency_ratio</x:v>
      </x:c>
      <x:c r="F2739" s="2" t="str">
        <x:v>Age dependency ratio (% of working-age population)</x:v>
      </x:c>
    </x:row>
    <x:row r="2740" ht="44" customHeight="1">
      <x:c r="A2740" s="2" t="str">
        <x:v>IRN</x:v>
      </x:c>
      <x:c r="B2740" s="2" t="str">
        <x:v>net_migration</x:v>
      </x:c>
      <x:c r="C2740" s="2" t="n">
        <x:v>116786</x:v>
      </x:c>
      <x:c r="D2740" s="2" t="n">
        <x:v>2025</x:v>
      </x:c>
      <x:c r="E2740" s="2" t="str">
        <x:v>WB_net_migration</x:v>
      </x:c>
      <x:c r="F2740" s="2" t="str">
        <x:v>Net migration</x:v>
      </x:c>
    </x:row>
    <x:row r="2741" ht="44" customHeight="1">
      <x:c r="A2741" s="2" t="str">
        <x:v>IRN</x:v>
      </x:c>
      <x:c r="B2741" s="2" t="str">
        <x:v>real_gdp</x:v>
      </x:c>
      <x:c r="C2741" s="2" t="n">
        <x:v>519149083728.835</x:v>
      </x:c>
      <x:c r="D2741" s="2" t="n">
        <x:v>2025</x:v>
      </x:c>
      <x:c r="E2741" s="2" t="str">
        <x:v>WB_real_gdp</x:v>
      </x:c>
      <x:c r="F2741" s="2" t="str">
        <x:v>GDP (constant 2015 US$)</x:v>
      </x:c>
    </x:row>
    <x:row r="2742" ht="44" customHeight="1">
      <x:c r="A2742" s="2" t="str">
        <x:v>IRN</x:v>
      </x:c>
      <x:c r="B2742" s="2" t="str">
        <x:v>gdp_growth</x:v>
      </x:c>
      <x:c r="C2742" s="2" t="n">
        <x:v>-2.82597163290347</x:v>
      </x:c>
      <x:c r="D2742" s="2" t="n">
        <x:v>2025</x:v>
      </x:c>
      <x:c r="E2742" s="2" t="str">
        <x:v>WB_gdp_growth</x:v>
      </x:c>
      <x:c r="F2742" s="2" t="str">
        <x:v>GDP growth (annual %)</x:v>
      </x:c>
    </x:row>
    <x:row r="2743" ht="44" customHeight="1">
      <x:c r="A2743" s="2" t="str">
        <x:v>IRN</x:v>
      </x:c>
      <x:c r="B2743" s="2" t="str">
        <x:v>real_income</x:v>
      </x:c>
      <x:c r="C2743" s="2" t="n">
        <x:v>5617.42166770918</x:v>
      </x:c>
      <x:c r="D2743" s="2" t="n">
        <x:v>2025</x:v>
      </x:c>
      <x:c r="E2743" s="2" t="str">
        <x:v>WB_real_income</x:v>
      </x:c>
      <x:c r="F2743" s="2" t="str">
        <x:v>GDP per capita (constant 2015 US$)</x:v>
      </x:c>
    </x:row>
    <x:row r="2744" ht="44" customHeight="1">
      <x:c r="A2744" s="2" t="str">
        <x:v>IRN</x:v>
      </x:c>
      <x:c r="B2744" s="2" t="str">
        <x:v>agriculture_gdp</x:v>
      </x:c>
      <x:c r="C2744" s="2" t="n">
        <x:v>10.5944482254371</x:v>
      </x:c>
      <x:c r="D2744" s="2" t="n">
        <x:v>2025</x:v>
      </x:c>
      <x:c r="E2744" s="2" t="str">
        <x:v>WB_agriculture_gdp</x:v>
      </x:c>
      <x:c r="F2744" s="2" t="str">
        <x:v>Agriculture, forestry, and fishing, value added (% of GDP)</x:v>
      </x:c>
    </x:row>
    <x:row r="2745" ht="44" customHeight="1">
      <x:c r="A2745" s="2" t="str">
        <x:v>IRN</x:v>
      </x:c>
      <x:c r="B2745" s="2" t="str">
        <x:v>poverty</x:v>
      </x:c>
      <x:c r="C2745" s="2" t="n">
        <x:v>2.5</x:v>
      </x:c>
      <x:c r="D2745" s="2" t="n">
        <x:v>2023</x:v>
      </x:c>
      <x:c r="E2745" s="2" t="str">
        <x:v>WB_poverty</x:v>
      </x:c>
      <x:c r="F2745" s="2" t="str">
        <x:v>Poverty headcount ratio at $3.00 a day (2021 PPP) (% of population)</x:v>
      </x:c>
    </x:row>
    <x:row r="2746" ht="44" customHeight="1">
      <x:c r="A2746" s="2" t="str">
        <x:v>IRN</x:v>
      </x:c>
      <x:c r="B2746" s="2" t="str">
        <x:v>gini</x:v>
      </x:c>
      <x:c r="C2746" s="2" t="n">
        <x:v>35.9</x:v>
      </x:c>
      <x:c r="D2746" s="2" t="n">
        <x:v>2023</x:v>
      </x:c>
      <x:c r="E2746" s="2" t="str">
        <x:v>WB_gini</x:v>
      </x:c>
      <x:c r="F2746" s="2" t="str">
        <x:v>Gini index</x:v>
      </x:c>
    </x:row>
    <x:row r="2747" ht="44" customHeight="1">
      <x:c r="A2747" s="2" t="str">
        <x:v>IRN</x:v>
      </x:c>
      <x:c r="B2747" s="2" t="str">
        <x:v>unemployment</x:v>
      </x:c>
      <x:c r="C2747" s="2" t="n">
        <x:v>8.301</x:v>
      </x:c>
      <x:c r="D2747" s="2" t="n">
        <x:v>2025</x:v>
      </x:c>
      <x:c r="E2747" s="2" t="str">
        <x:v>WB_unemployment</x:v>
      </x:c>
      <x:c r="F2747" s="2" t="str">
        <x:v>Unemployment, total (% of total labor force) (modeled ILO estimate)</x:v>
      </x:c>
    </x:row>
    <x:row r="2748" ht="44" customHeight="1">
      <x:c r="A2748" s="2" t="str">
        <x:v>IRN</x:v>
      </x:c>
      <x:c r="B2748" s="2" t="str">
        <x:v>private_credit</x:v>
      </x:c>
      <x:c r="C2748" s="2" t="n">
        <x:v>57.8313383703997</x:v>
      </x:c>
      <x:c r="D2748" s="2" t="n">
        <x:v>2016</x:v>
      </x:c>
      <x:c r="E2748" s="2" t="str">
        <x:v>WB_private_credit</x:v>
      </x:c>
      <x:c r="F2748" s="2" t="str">
        <x:v>Domestic credit to private sector (% of GDP)</x:v>
      </x:c>
    </x:row>
    <x:row r="2749" ht="44" customHeight="1">
      <x:c r="A2749" s="2" t="str">
        <x:v>IRN</x:v>
      </x:c>
      <x:c r="B2749" s="2" t="str">
        <x:v>lending_rate</x:v>
      </x:c>
      <x:c r="C2749" s="2" t="n">
        <x:v>18</x:v>
      </x:c>
      <x:c r="D2749" s="2" t="n">
        <x:v>2016</x:v>
      </x:c>
      <x:c r="E2749" s="2" t="str">
        <x:v>WB_lending_rate</x:v>
      </x:c>
      <x:c r="F2749" s="2" t="str">
        <x:v>Lending interest rate (%)</x:v>
      </x:c>
    </x:row>
    <x:row r="2750" ht="44" customHeight="1">
      <x:c r="A2750" s="2" t="str">
        <x:v>IRN</x:v>
      </x:c>
      <x:c r="B2750" s="2" t="str">
        <x:v>real_interest</x:v>
      </x:c>
      <x:c r="C2750" s="2" t="n">
        <x:v>3.4497687580534</x:v>
      </x:c>
      <x:c r="D2750" s="2" t="n">
        <x:v>2016</x:v>
      </x:c>
      <x:c r="E2750" s="2" t="str">
        <x:v>WB_real_interest</x:v>
      </x:c>
      <x:c r="F2750" s="2" t="str">
        <x:v>Real interest rate (%)</x:v>
      </x:c>
    </x:row>
    <x:row r="2751" ht="44" customHeight="1">
      <x:c r="A2751" s="2" t="str">
        <x:v>IRN</x:v>
      </x:c>
      <x:c r="B2751" s="2" t="str">
        <x:v>government_debt</x:v>
      </x:c>
      <x:c r="C2751" s="2"/>
      <x:c r="D2751" s="2"/>
      <x:c r="E2751" s="2" t="str">
        <x:v>Missing</x:v>
      </x:c>
      <x:c r="F2751" s="2" t="str">
        <x:v>Central government debt, total (% of GDP)</x:v>
      </x:c>
    </x:row>
    <x:row r="2752" ht="44" customHeight="1">
      <x:c r="A2752" s="2" t="str">
        <x:v>IRN</x:v>
      </x:c>
      <x:c r="B2752" s="2" t="str">
        <x:v>electricity_access</x:v>
      </x:c>
      <x:c r="C2752" s="2" t="n">
        <x:v>100</x:v>
      </x:c>
      <x:c r="D2752" s="2" t="n">
        <x:v>2024</x:v>
      </x:c>
      <x:c r="E2752" s="2" t="str">
        <x:v>WB_electricity_access</x:v>
      </x:c>
      <x:c r="F2752" s="2" t="str">
        <x:v>Access to electricity (% of population)</x:v>
      </x:c>
    </x:row>
    <x:row r="2753" ht="44" customHeight="1">
      <x:c r="A2753" s="2" t="str">
        <x:v>IRN</x:v>
      </x:c>
      <x:c r="B2753" s="2" t="str">
        <x:v>irrigated_land</x:v>
      </x:c>
      <x:c r="C2753" s="2" t="n">
        <x:v>16.937557099454</x:v>
      </x:c>
      <x:c r="D2753" s="2" t="n">
        <x:v>2023</x:v>
      </x:c>
      <x:c r="E2753" s="2" t="str">
        <x:v>WB_irrigated_land</x:v>
      </x:c>
      <x:c r="F2753" s="2" t="str">
        <x:v>Agricultural irrigated land (% of total agricultural land)</x:v>
      </x:c>
    </x:row>
    <x:row r="2754" ht="44" customHeight="1">
      <x:c r="A2754" s="2" t="str">
        <x:v>IRN</x:v>
      </x:c>
      <x:c r="B2754" s="2" t="str">
        <x:v>cereal_area</x:v>
      </x:c>
      <x:c r="C2754" s="2" t="n">
        <x:v>8661544</x:v>
      </x:c>
      <x:c r="D2754" s="2" t="n">
        <x:v>2023</x:v>
      </x:c>
      <x:c r="E2754" s="2" t="str">
        <x:v>WB_cereal_area</x:v>
      </x:c>
      <x:c r="F2754" s="2" t="str">
        <x:v>Land under cereal production (hectares)</x:v>
      </x:c>
    </x:row>
    <x:row r="2755" ht="44" customHeight="1">
      <x:c r="A2755" s="2" t="str">
        <x:v>IRN</x:v>
      </x:c>
      <x:c r="B2755" s="2" t="str">
        <x:v>undernourishment</x:v>
      </x:c>
      <x:c r="C2755" s="2" t="n">
        <x:v>6.8</x:v>
      </x:c>
      <x:c r="D2755" s="2" t="n">
        <x:v>2023</x:v>
      </x:c>
      <x:c r="E2755" s="2" t="str">
        <x:v>WB_undernourishment</x:v>
      </x:c>
      <x:c r="F2755" s="2" t="str">
        <x:v>Prevalence of undernourishment (% of population)</x:v>
      </x:c>
    </x:row>
    <x:row r="2756" ht="44" customHeight="1">
      <x:c r="A2756" s="2" t="str">
        <x:v>IRN</x:v>
      </x:c>
      <x:c r="B2756" s="2" t="str">
        <x:v>agriculture_employment</x:v>
      </x:c>
      <x:c r="C2756" s="2" t="n">
        <x:v>13.6239047350303</x:v>
      </x:c>
      <x:c r="D2756" s="2" t="n">
        <x:v>2025</x:v>
      </x:c>
      <x:c r="E2756" s="2" t="str">
        <x:v>WB_agriculture_employment</x:v>
      </x:c>
      <x:c r="F2756" s="2" t="str">
        <x:v>Employment in agriculture (% of total employment) (modeled ILO estimate)</x:v>
      </x:c>
    </x:row>
    <x:row r="2757" ht="44" customHeight="1">
      <x:c r="A2757" s="2" t="str">
        <x:v>IRN</x:v>
      </x:c>
      <x:c r="B2757" s="2" t="str">
        <x:v>water_withdrawal</x:v>
      </x:c>
      <x:c r="C2757" s="2" t="n">
        <x:v>72.3346303501945</x:v>
      </x:c>
      <x:c r="D2757" s="2" t="n">
        <x:v>2022</x:v>
      </x:c>
      <x:c r="E2757" s="2" t="str">
        <x:v>WB_water_withdrawal</x:v>
      </x:c>
      <x:c r="F2757" s="2" t="str">
        <x:v>Annual freshwater withdrawals, total (% of internal resources)</x:v>
      </x:c>
    </x:row>
    <x:row r="2758" ht="44" customHeight="1">
      <x:c r="A2758" s="2" t="str">
        <x:v>IRQ</x:v>
      </x:c>
      <x:c r="B2758" s="2" t="str">
        <x:v>population</x:v>
      </x:c>
      <x:c r="C2758" s="2" t="n">
        <x:v>47020774</x:v>
      </x:c>
      <x:c r="D2758" s="2" t="n">
        <x:v>2025</x:v>
      </x:c>
      <x:c r="E2758" s="2" t="str">
        <x:v>WB_population</x:v>
      </x:c>
      <x:c r="F2758" s="2" t="str">
        <x:v>Population, total</x:v>
      </x:c>
    </x:row>
    <x:row r="2759" ht="44" customHeight="1">
      <x:c r="A2759" s="2" t="str">
        <x:v>IRQ</x:v>
      </x:c>
      <x:c r="B2759" s="2" t="str">
        <x:v>income_ppp</x:v>
      </x:c>
      <x:c r="C2759" s="2" t="n">
        <x:v>12191.5564658302</x:v>
      </x:c>
      <x:c r="D2759" s="2" t="n">
        <x:v>2025</x:v>
      </x:c>
      <x:c r="E2759" s="2" t="str">
        <x:v>WB_income_ppp</x:v>
      </x:c>
      <x:c r="F2759" s="2" t="str">
        <x:v>GDP per capita, PPP (constant 2021 international $)</x:v>
      </x:c>
    </x:row>
    <x:row r="2760" ht="44" customHeight="1">
      <x:c r="A2760" s="2" t="str">
        <x:v>IRQ</x:v>
      </x:c>
      <x:c r="B2760" s="2" t="str">
        <x:v>urban</x:v>
      </x:c>
      <x:c r="C2760" s="2" t="n">
        <x:v>69.9396739468105</x:v>
      </x:c>
      <x:c r="D2760" s="2" t="n">
        <x:v>2025</x:v>
      </x:c>
      <x:c r="E2760" s="2" t="str">
        <x:v>WB_urban</x:v>
      </x:c>
      <x:c r="F2760" s="2" t="str">
        <x:v>Urban population (% of total population)</x:v>
      </x:c>
    </x:row>
    <x:row r="2761" ht="44" customHeight="1">
      <x:c r="A2761" s="2" t="str">
        <x:v>IRQ</x:v>
      </x:c>
      <x:c r="B2761" s="2" t="str">
        <x:v>inflation</x:v>
      </x:c>
      <x:c r="C2761" s="2" t="n">
        <x:v>0.303454715219382</x:v>
      </x:c>
      <x:c r="D2761" s="2" t="n">
        <x:v>2025</x:v>
      </x:c>
      <x:c r="E2761" s="2" t="str">
        <x:v>WB_inflation</x:v>
      </x:c>
      <x:c r="F2761" s="2" t="str">
        <x:v>Inflation, consumer prices (annual %)</x:v>
      </x:c>
    </x:row>
    <x:row r="2762" ht="44" customHeight="1">
      <x:c r="A2762" s="2" t="str">
        <x:v>IRQ</x:v>
      </x:c>
      <x:c r="B2762" s="2" t="str">
        <x:v>food_index</x:v>
      </x:c>
      <x:c r="C2762" s="2" t="n">
        <x:v>106.36</x:v>
      </x:c>
      <x:c r="D2762" s="2" t="n">
        <x:v>2022</x:v>
      </x:c>
      <x:c r="E2762" s="2" t="str">
        <x:v>WB_food_index</x:v>
      </x:c>
      <x:c r="F2762" s="2" t="str">
        <x:v>Food production index (2014-2016 = 100)</x:v>
      </x:c>
    </x:row>
    <x:row r="2763" ht="44" customHeight="1">
      <x:c r="A2763" s="2" t="str">
        <x:v>IRQ</x:v>
      </x:c>
      <x:c r="B2763" s="2" t="str">
        <x:v>food_import_share</x:v>
      </x:c>
      <x:c r="C2763" s="2" t="n">
        <x:v>7.1958972279023</x:v>
      </x:c>
      <x:c r="D2763" s="2" t="n">
        <x:v>2014</x:v>
      </x:c>
      <x:c r="E2763" s="2" t="str">
        <x:v>WB_food_import_share</x:v>
      </x:c>
      <x:c r="F2763" s="2" t="str">
        <x:v>Food imports (% of merchandise imports)</x:v>
      </x:c>
    </x:row>
    <x:row r="2764" ht="44" customHeight="1">
      <x:c r="A2764" s="2" t="str">
        <x:v>IRQ</x:v>
      </x:c>
      <x:c r="B2764" s="2" t="str">
        <x:v>food_export_share</x:v>
      </x:c>
      <x:c r="C2764" s="2" t="n">
        <x:v>0.000808881655654649</x:v>
      </x:c>
      <x:c r="D2764" s="2" t="n">
        <x:v>2016</x:v>
      </x:c>
      <x:c r="E2764" s="2" t="str">
        <x:v>WB_food_export_share</x:v>
      </x:c>
      <x:c r="F2764" s="2" t="str">
        <x:v>Food exports (% of merchandise exports)</x:v>
      </x:c>
    </x:row>
    <x:row r="2765" ht="44" customHeight="1">
      <x:c r="A2765" s="2" t="str">
        <x:v>IRQ</x:v>
      </x:c>
      <x:c r="B2765" s="2" t="str">
        <x:v>imports_usd</x:v>
      </x:c>
      <x:c r="C2765" s="2" t="n">
        <x:v>85185000000</x:v>
      </x:c>
      <x:c r="D2765" s="2" t="n">
        <x:v>2025</x:v>
      </x:c>
      <x:c r="E2765" s="2" t="str">
        <x:v>WB_imports_usd</x:v>
      </x:c>
      <x:c r="F2765" s="2" t="str">
        <x:v>Merchandise imports (current US$)</x:v>
      </x:c>
    </x:row>
    <x:row r="2766" ht="44" customHeight="1">
      <x:c r="A2766" s="2" t="str">
        <x:v>IRQ</x:v>
      </x:c>
      <x:c r="B2766" s="2" t="str">
        <x:v>exports_usd</x:v>
      </x:c>
      <x:c r="C2766" s="2" t="n">
        <x:v>92912000000</x:v>
      </x:c>
      <x:c r="D2766" s="2" t="n">
        <x:v>2025</x:v>
      </x:c>
      <x:c r="E2766" s="2" t="str">
        <x:v>WB_exports_usd</x:v>
      </x:c>
      <x:c r="F2766" s="2" t="str">
        <x:v>Merchandise exports (current US$)</x:v>
      </x:c>
    </x:row>
    <x:row r="2767" ht="44" customHeight="1">
      <x:c r="A2767" s="2" t="str">
        <x:v>IRQ</x:v>
      </x:c>
      <x:c r="B2767" s="2" t="str">
        <x:v>cereal_yield</x:v>
      </x:c>
      <x:c r="C2767" s="2" t="n">
        <x:v>2748.9</x:v>
      </x:c>
      <x:c r="D2767" s="2" t="n">
        <x:v>2023</x:v>
      </x:c>
      <x:c r="E2767" s="2" t="str">
        <x:v>WB_cereal_yield</x:v>
      </x:c>
      <x:c r="F2767" s="2" t="str">
        <x:v>Cereal yield (kg per hectare)</x:v>
      </x:c>
    </x:row>
    <x:row r="2768" ht="44" customHeight="1">
      <x:c r="A2768" s="2" t="str">
        <x:v>IRQ</x:v>
      </x:c>
      <x:c r="B2768" s="2" t="str">
        <x:v>water_stress</x:v>
      </x:c>
      <x:c r="C2768" s="2" t="n">
        <x:v>59.58384831</x:v>
      </x:c>
      <x:c r="D2768" s="2" t="n">
        <x:v>2022</x:v>
      </x:c>
      <x:c r="E2768" s="2" t="str">
        <x:v>WB_water_stress</x:v>
      </x:c>
      <x:c r="F2768" s="2" t="str">
        <x:v>Level of water stress: freshwater withdrawal as a proportion of available freshwater resources</x:v>
      </x:c>
    </x:row>
    <x:row r="2769" ht="44" customHeight="1">
      <x:c r="A2769" s="2" t="str">
        <x:v>IRQ</x:v>
      </x:c>
      <x:c r="B2769" s="2" t="str">
        <x:v>fertility</x:v>
      </x:c>
      <x:c r="C2769" s="2" t="n">
        <x:v>3.221</x:v>
      </x:c>
      <x:c r="D2769" s="2" t="n">
        <x:v>2024</x:v>
      </x:c>
      <x:c r="E2769" s="2" t="str">
        <x:v>WB_fertility</x:v>
      </x:c>
      <x:c r="F2769" s="2" t="str">
        <x:v>Fertility rate, total (births per woman)</x:v>
      </x:c>
    </x:row>
    <x:row r="2770" ht="44" customHeight="1">
      <x:c r="A2770" s="2" t="str">
        <x:v>IRQ</x:v>
      </x:c>
      <x:c r="B2770" s="2" t="str">
        <x:v>life_expectancy</x:v>
      </x:c>
      <x:c r="C2770" s="2" t="n">
        <x:v>72.424</x:v>
      </x:c>
      <x:c r="D2770" s="2" t="n">
        <x:v>2024</x:v>
      </x:c>
      <x:c r="E2770" s="2" t="str">
        <x:v>WB_life_expectancy</x:v>
      </x:c>
      <x:c r="F2770" s="2" t="str">
        <x:v>Life expectancy at birth, total (years)</x:v>
      </x:c>
    </x:row>
    <x:row r="2771" ht="44" customHeight="1">
      <x:c r="A2771" s="2" t="str">
        <x:v>IRQ</x:v>
      </x:c>
      <x:c r="B2771" s="2" t="str">
        <x:v>age_under15</x:v>
      </x:c>
      <x:c r="C2771" s="2" t="n">
        <x:v>36.0269984071296</x:v>
      </x:c>
      <x:c r="D2771" s="2" t="n">
        <x:v>2025</x:v>
      </x:c>
      <x:c r="E2771" s="2" t="str">
        <x:v>WB_age_under15</x:v>
      </x:c>
      <x:c r="F2771" s="2" t="str">
        <x:v>Population ages 0-14 (% of total population)</x:v>
      </x:c>
    </x:row>
    <x:row r="2772" ht="44" customHeight="1">
      <x:c r="A2772" s="2" t="str">
        <x:v>IRQ</x:v>
      </x:c>
      <x:c r="B2772" s="2" t="str">
        <x:v>age_over65</x:v>
      </x:c>
      <x:c r="C2772" s="2" t="n">
        <x:v>3.44918716140232</x:v>
      </x:c>
      <x:c r="D2772" s="2" t="n">
        <x:v>2025</x:v>
      </x:c>
      <x:c r="E2772" s="2" t="str">
        <x:v>WB_age_over65</x:v>
      </x:c>
      <x:c r="F2772" s="2" t="str">
        <x:v>Population ages 65 and above (% of total population)</x:v>
      </x:c>
    </x:row>
    <x:row r="2773" ht="44" customHeight="1">
      <x:c r="A2773" s="2" t="str">
        <x:v>IRQ</x:v>
      </x:c>
      <x:c r="B2773" s="2" t="str">
        <x:v>dependency_ratio</x:v>
      </x:c>
      <x:c r="C2773" s="2" t="n">
        <x:v>65.2242230039068</x:v>
      </x:c>
      <x:c r="D2773" s="2" t="n">
        <x:v>2025</x:v>
      </x:c>
      <x:c r="E2773" s="2" t="str">
        <x:v>WB_dependency_ratio</x:v>
      </x:c>
      <x:c r="F2773" s="2" t="str">
        <x:v>Age dependency ratio (% of working-age population)</x:v>
      </x:c>
    </x:row>
    <x:row r="2774" ht="44" customHeight="1">
      <x:c r="A2774" s="2" t="str">
        <x:v>IRQ</x:v>
      </x:c>
      <x:c r="B2774" s="2" t="str">
        <x:v>net_migration</x:v>
      </x:c>
      <x:c r="C2774" s="2" t="n">
        <x:v>-1064</x:v>
      </x:c>
      <x:c r="D2774" s="2" t="n">
        <x:v>2025</x:v>
      </x:c>
      <x:c r="E2774" s="2" t="str">
        <x:v>WB_net_migration</x:v>
      </x:c>
      <x:c r="F2774" s="2" t="str">
        <x:v>Net migration</x:v>
      </x:c>
    </x:row>
    <x:row r="2775" ht="44" customHeight="1">
      <x:c r="A2775" s="2" t="str">
        <x:v>IRQ</x:v>
      </x:c>
      <x:c r="B2775" s="2" t="str">
        <x:v>real_gdp</x:v>
      </x:c>
      <x:c r="C2775" s="2" t="n">
        <x:v>188320119060.069</x:v>
      </x:c>
      <x:c r="D2775" s="2" t="n">
        <x:v>2025</x:v>
      </x:c>
      <x:c r="E2775" s="2" t="str">
        <x:v>WB_real_gdp</x:v>
      </x:c>
      <x:c r="F2775" s="2" t="str">
        <x:v>GDP (constant 2015 US$)</x:v>
      </x:c>
    </x:row>
    <x:row r="2776" ht="44" customHeight="1">
      <x:c r="A2776" s="2" t="str">
        <x:v>IRQ</x:v>
      </x:c>
      <x:c r="B2776" s="2" t="str">
        <x:v>gdp_growth</x:v>
      </x:c>
      <x:c r="C2776" s="2" t="n">
        <x:v>-2.15574219066178</x:v>
      </x:c>
      <x:c r="D2776" s="2" t="n">
        <x:v>2025</x:v>
      </x:c>
      <x:c r="E2776" s="2" t="str">
        <x:v>WB_gdp_growth</x:v>
      </x:c>
      <x:c r="F2776" s="2" t="str">
        <x:v>GDP growth (annual %)</x:v>
      </x:c>
    </x:row>
    <x:row r="2777" ht="44" customHeight="1">
      <x:c r="A2777" s="2" t="str">
        <x:v>IRQ</x:v>
      </x:c>
      <x:c r="B2777" s="2" t="str">
        <x:v>real_income</x:v>
      </x:c>
      <x:c r="C2777" s="2" t="n">
        <x:v>4005.04081579067</x:v>
      </x:c>
      <x:c r="D2777" s="2" t="n">
        <x:v>2025</x:v>
      </x:c>
      <x:c r="E2777" s="2" t="str">
        <x:v>WB_real_income</x:v>
      </x:c>
      <x:c r="F2777" s="2" t="str">
        <x:v>GDP per capita (constant 2015 US$)</x:v>
      </x:c>
    </x:row>
    <x:row r="2778" ht="44" customHeight="1">
      <x:c r="A2778" s="2" t="str">
        <x:v>IRQ</x:v>
      </x:c>
      <x:c r="B2778" s="2" t="str">
        <x:v>agriculture_gdp</x:v>
      </x:c>
      <x:c r="C2778" s="2" t="n">
        <x:v>3.41368848141125</x:v>
      </x:c>
      <x:c r="D2778" s="2" t="n">
        <x:v>2025</x:v>
      </x:c>
      <x:c r="E2778" s="2" t="str">
        <x:v>WB_agriculture_gdp</x:v>
      </x:c>
      <x:c r="F2778" s="2" t="str">
        <x:v>Agriculture, forestry, and fishing, value added (% of GDP)</x:v>
      </x:c>
    </x:row>
    <x:row r="2779" ht="44" customHeight="1">
      <x:c r="A2779" s="2" t="str">
        <x:v>IRQ</x:v>
      </x:c>
      <x:c r="B2779" s="2" t="str">
        <x:v>poverty</x:v>
      </x:c>
      <x:c r="C2779" s="2" t="n">
        <x:v>0.5</x:v>
      </x:c>
      <x:c r="D2779" s="2" t="n">
        <x:v>2023</x:v>
      </x:c>
      <x:c r="E2779" s="2" t="str">
        <x:v>WB_poverty</x:v>
      </x:c>
      <x:c r="F2779" s="2" t="str">
        <x:v>Poverty headcount ratio at $3.00 a day (2021 PPP) (% of population)</x:v>
      </x:c>
    </x:row>
    <x:row r="2780" ht="44" customHeight="1">
      <x:c r="A2780" s="2" t="str">
        <x:v>IRQ</x:v>
      </x:c>
      <x:c r="B2780" s="2" t="str">
        <x:v>gini</x:v>
      </x:c>
      <x:c r="C2780" s="2" t="n">
        <x:v>29.8</x:v>
      </x:c>
      <x:c r="D2780" s="2" t="n">
        <x:v>2023</x:v>
      </x:c>
      <x:c r="E2780" s="2" t="str">
        <x:v>WB_gini</x:v>
      </x:c>
      <x:c r="F2780" s="2" t="str">
        <x:v>Gini index</x:v>
      </x:c>
    </x:row>
    <x:row r="2781" ht="44" customHeight="1">
      <x:c r="A2781" s="2" t="str">
        <x:v>IRQ</x:v>
      </x:c>
      <x:c r="B2781" s="2" t="str">
        <x:v>unemployment</x:v>
      </x:c>
      <x:c r="C2781" s="2" t="n">
        <x:v>15.485</x:v>
      </x:c>
      <x:c r="D2781" s="2" t="n">
        <x:v>2025</x:v>
      </x:c>
      <x:c r="E2781" s="2" t="str">
        <x:v>WB_unemployment</x:v>
      </x:c>
      <x:c r="F2781" s="2" t="str">
        <x:v>Unemployment, total (% of total labor force) (modeled ILO estimate)</x:v>
      </x:c>
    </x:row>
    <x:row r="2782" ht="44" customHeight="1">
      <x:c r="A2782" s="2" t="str">
        <x:v>IRQ</x:v>
      </x:c>
      <x:c r="B2782" s="2" t="str">
        <x:v>private_credit</x:v>
      </x:c>
      <x:c r="C2782" s="2" t="n">
        <x:v>13.9914475902598</x:v>
      </x:c>
      <x:c r="D2782" s="2" t="n">
        <x:v>2024</x:v>
      </x:c>
      <x:c r="E2782" s="2" t="str">
        <x:v>WB_private_credit</x:v>
      </x:c>
      <x:c r="F2782" s="2" t="str">
        <x:v>Domestic credit to private sector (% of GDP)</x:v>
      </x:c>
    </x:row>
    <x:row r="2783" ht="44" customHeight="1">
      <x:c r="A2783" s="2" t="str">
        <x:v>IRQ</x:v>
      </x:c>
      <x:c r="B2783" s="2" t="str">
        <x:v>lending_rate</x:v>
      </x:c>
      <x:c r="C2783" s="2" t="n">
        <x:v>12.2925</x:v>
      </x:c>
      <x:c r="D2783" s="2" t="n">
        <x:v>2015</x:v>
      </x:c>
      <x:c r="E2783" s="2" t="str">
        <x:v>WB_lending_rate</x:v>
      </x:c>
      <x:c r="F2783" s="2" t="str">
        <x:v>Lending interest rate (%)</x:v>
      </x:c>
    </x:row>
    <x:row r="2784" ht="44" customHeight="1">
      <x:c r="A2784" s="2" t="str">
        <x:v>IRQ</x:v>
      </x:c>
      <x:c r="B2784" s="2" t="str">
        <x:v>real_interest</x:v>
      </x:c>
      <x:c r="C2784" s="2" t="n">
        <x:v>57.625931221869</x:v>
      </x:c>
      <x:c r="D2784" s="2" t="n">
        <x:v>2015</x:v>
      </x:c>
      <x:c r="E2784" s="2" t="str">
        <x:v>WB_real_interest</x:v>
      </x:c>
      <x:c r="F2784" s="2" t="str">
        <x:v>Real interest rate (%)</x:v>
      </x:c>
    </x:row>
    <x:row r="2785" ht="44" customHeight="1">
      <x:c r="A2785" s="2" t="str">
        <x:v>IRQ</x:v>
      </x:c>
      <x:c r="B2785" s="2" t="str">
        <x:v>government_debt</x:v>
      </x:c>
      <x:c r="C2785" s="2" t="n">
        <x:v>27.438248367378</x:v>
      </x:c>
      <x:c r="D2785" s="2" t="n">
        <x:v>2018</x:v>
      </x:c>
      <x:c r="E2785" s="2" t="str">
        <x:v>WB_government_debt</x:v>
      </x:c>
      <x:c r="F2785" s="2" t="str">
        <x:v>Central government debt, total (% of GDP)</x:v>
      </x:c>
    </x:row>
    <x:row r="2786" ht="44" customHeight="1">
      <x:c r="A2786" s="2" t="str">
        <x:v>IRQ</x:v>
      </x:c>
      <x:c r="B2786" s="2" t="str">
        <x:v>electricity_access</x:v>
      </x:c>
      <x:c r="C2786" s="2" t="n">
        <x:v>100</x:v>
      </x:c>
      <x:c r="D2786" s="2" t="n">
        <x:v>2024</x:v>
      </x:c>
      <x:c r="E2786" s="2" t="str">
        <x:v>WB_electricity_access</x:v>
      </x:c>
      <x:c r="F2786" s="2" t="str">
        <x:v>Access to electricity (% of population)</x:v>
      </x:c>
    </x:row>
    <x:row r="2787" ht="44" customHeight="1">
      <x:c r="A2787" s="2" t="str">
        <x:v>IRQ</x:v>
      </x:c>
      <x:c r="B2787" s="2" t="str">
        <x:v>irrigated_land</x:v>
      </x:c>
      <x:c r="C2787" s="2"/>
      <x:c r="D2787" s="2"/>
      <x:c r="E2787" s="2" t="str">
        <x:v>Missing</x:v>
      </x:c>
      <x:c r="F2787" s="2" t="str">
        <x:v>Agricultural irrigated land (% of total agricultural land)</x:v>
      </x:c>
    </x:row>
    <x:row r="2788" ht="44" customHeight="1">
      <x:c r="A2788" s="2" t="str">
        <x:v>IRQ</x:v>
      </x:c>
      <x:c r="B2788" s="2" t="str">
        <x:v>cereal_area</x:v>
      </x:c>
      <x:c r="C2788" s="2" t="n">
        <x:v>1900509</x:v>
      </x:c>
      <x:c r="D2788" s="2" t="n">
        <x:v>2023</x:v>
      </x:c>
      <x:c r="E2788" s="2" t="str">
        <x:v>WB_cereal_area</x:v>
      </x:c>
      <x:c r="F2788" s="2" t="str">
        <x:v>Land under cereal production (hectares)</x:v>
      </x:c>
    </x:row>
    <x:row r="2789" ht="44" customHeight="1">
      <x:c r="A2789" s="2" t="str">
        <x:v>IRQ</x:v>
      </x:c>
      <x:c r="B2789" s="2" t="str">
        <x:v>undernourishment</x:v>
      </x:c>
      <x:c r="C2789" s="2" t="n">
        <x:v>14.9</x:v>
      </x:c>
      <x:c r="D2789" s="2" t="n">
        <x:v>2023</x:v>
      </x:c>
      <x:c r="E2789" s="2" t="str">
        <x:v>WB_undernourishment</x:v>
      </x:c>
      <x:c r="F2789" s="2" t="str">
        <x:v>Prevalence of undernourishment (% of population)</x:v>
      </x:c>
    </x:row>
    <x:row r="2790" ht="44" customHeight="1">
      <x:c r="A2790" s="2" t="str">
        <x:v>IRQ</x:v>
      </x:c>
      <x:c r="B2790" s="2" t="str">
        <x:v>agriculture_employment</x:v>
      </x:c>
      <x:c r="C2790" s="2" t="n">
        <x:v>8.16872836237607</x:v>
      </x:c>
      <x:c r="D2790" s="2" t="n">
        <x:v>2025</x:v>
      </x:c>
      <x:c r="E2790" s="2" t="str">
        <x:v>WB_agriculture_employment</x:v>
      </x:c>
      <x:c r="F2790" s="2" t="str">
        <x:v>Employment in agriculture (% of total employment) (modeled ILO estimate)</x:v>
      </x:c>
    </x:row>
    <x:row r="2791" ht="44" customHeight="1">
      <x:c r="A2791" s="2" t="str">
        <x:v>IRQ</x:v>
      </x:c>
      <x:c r="B2791" s="2" t="str">
        <x:v>water_withdrawal</x:v>
      </x:c>
      <x:c r="C2791" s="2" t="n">
        <x:v>120.521875</x:v>
      </x:c>
      <x:c r="D2791" s="2" t="n">
        <x:v>2022</x:v>
      </x:c>
      <x:c r="E2791" s="2" t="str">
        <x:v>WB_water_withdrawal</x:v>
      </x:c>
      <x:c r="F2791" s="2" t="str">
        <x:v>Annual freshwater withdrawals, total (% of internal resources)</x:v>
      </x:c>
    </x:row>
    <x:row r="2792" ht="44" customHeight="1">
      <x:c r="A2792" s="2" t="str">
        <x:v>IRL</x:v>
      </x:c>
      <x:c r="B2792" s="2" t="str">
        <x:v>population</x:v>
      </x:c>
      <x:c r="C2792" s="2" t="n">
        <x:v>5484367</x:v>
      </x:c>
      <x:c r="D2792" s="2" t="n">
        <x:v>2025</x:v>
      </x:c>
      <x:c r="E2792" s="2" t="str">
        <x:v>WB_population</x:v>
      </x:c>
      <x:c r="F2792" s="2" t="str">
        <x:v>Population, total</x:v>
      </x:c>
    </x:row>
    <x:row r="2793" ht="44" customHeight="1">
      <x:c r="A2793" s="2" t="str">
        <x:v>IRL</x:v>
      </x:c>
      <x:c r="B2793" s="2" t="str">
        <x:v>income_ppp</x:v>
      </x:c>
      <x:c r="C2793" s="2" t="n">
        <x:v>131338.444745041</x:v>
      </x:c>
      <x:c r="D2793" s="2" t="n">
        <x:v>2025</x:v>
      </x:c>
      <x:c r="E2793" s="2" t="str">
        <x:v>WB_income_ppp</x:v>
      </x:c>
      <x:c r="F2793" s="2" t="str">
        <x:v>GDP per capita, PPP (constant 2021 international $)</x:v>
      </x:c>
    </x:row>
    <x:row r="2794" ht="44" customHeight="1">
      <x:c r="A2794" s="2" t="str">
        <x:v>IRL</x:v>
      </x:c>
      <x:c r="B2794" s="2" t="str">
        <x:v>urban</x:v>
      </x:c>
      <x:c r="C2794" s="2" t="n">
        <x:v>64.5875793756168</x:v>
      </x:c>
      <x:c r="D2794" s="2" t="n">
        <x:v>2025</x:v>
      </x:c>
      <x:c r="E2794" s="2" t="str">
        <x:v>WB_urban</x:v>
      </x:c>
      <x:c r="F2794" s="2" t="str">
        <x:v>Urban population (% of total population)</x:v>
      </x:c>
    </x:row>
    <x:row r="2795" ht="44" customHeight="1">
      <x:c r="A2795" s="2" t="str">
        <x:v>IRL</x:v>
      </x:c>
      <x:c r="B2795" s="2" t="str">
        <x:v>inflation</x:v>
      </x:c>
      <x:c r="C2795" s="2" t="n">
        <x:v>2.21044788475857</x:v>
      </x:c>
      <x:c r="D2795" s="2" t="n">
        <x:v>2025</x:v>
      </x:c>
      <x:c r="E2795" s="2" t="str">
        <x:v>WB_inflation</x:v>
      </x:c>
      <x:c r="F2795" s="2" t="str">
        <x:v>Inflation, consumer prices (annual %)</x:v>
      </x:c>
    </x:row>
    <x:row r="2796" ht="44" customHeight="1">
      <x:c r="A2796" s="2" t="str">
        <x:v>IRL</x:v>
      </x:c>
      <x:c r="B2796" s="2" t="str">
        <x:v>food_index</x:v>
      </x:c>
      <x:c r="C2796" s="2" t="n">
        <x:v>121.51</x:v>
      </x:c>
      <x:c r="D2796" s="2" t="n">
        <x:v>2022</x:v>
      </x:c>
      <x:c r="E2796" s="2" t="str">
        <x:v>WB_food_index</x:v>
      </x:c>
      <x:c r="F2796" s="2" t="str">
        <x:v>Food production index (2014-2016 = 100)</x:v>
      </x:c>
    </x:row>
    <x:row r="2797" ht="44" customHeight="1">
      <x:c r="A2797" s="2" t="str">
        <x:v>IRL</x:v>
      </x:c>
      <x:c r="B2797" s="2" t="str">
        <x:v>food_import_share</x:v>
      </x:c>
      <x:c r="C2797" s="2" t="n">
        <x:v>9.40933912604292</x:v>
      </x:c>
      <x:c r="D2797" s="2" t="n">
        <x:v>2024</x:v>
      </x:c>
      <x:c r="E2797" s="2" t="str">
        <x:v>WB_food_import_share</x:v>
      </x:c>
      <x:c r="F2797" s="2" t="str">
        <x:v>Food imports (% of merchandise imports)</x:v>
      </x:c>
    </x:row>
    <x:row r="2798" ht="44" customHeight="1">
      <x:c r="A2798" s="2" t="str">
        <x:v>IRL</x:v>
      </x:c>
      <x:c r="B2798" s="2" t="str">
        <x:v>food_export_share</x:v>
      </x:c>
      <x:c r="C2798" s="2" t="n">
        <x:v>7.92642072110279</x:v>
      </x:c>
      <x:c r="D2798" s="2" t="n">
        <x:v>2024</x:v>
      </x:c>
      <x:c r="E2798" s="2" t="str">
        <x:v>WB_food_export_share</x:v>
      </x:c>
      <x:c r="F2798" s="2" t="str">
        <x:v>Food exports (% of merchandise exports)</x:v>
      </x:c>
    </x:row>
    <x:row r="2799" ht="44" customHeight="1">
      <x:c r="A2799" s="2" t="str">
        <x:v>IRL</x:v>
      </x:c>
      <x:c r="B2799" s="2" t="str">
        <x:v>imports_usd</x:v>
      </x:c>
      <x:c r="C2799" s="2" t="n">
        <x:v>159218000000</x:v>
      </x:c>
      <x:c r="D2799" s="2" t="n">
        <x:v>2025</x:v>
      </x:c>
      <x:c r="E2799" s="2" t="str">
        <x:v>WB_imports_usd</x:v>
      </x:c>
      <x:c r="F2799" s="2" t="str">
        <x:v>Merchandise imports (current US$)</x:v>
      </x:c>
    </x:row>
    <x:row r="2800" ht="44" customHeight="1">
      <x:c r="A2800" s="2" t="str">
        <x:v>IRL</x:v>
      </x:c>
      <x:c r="B2800" s="2" t="str">
        <x:v>exports_usd</x:v>
      </x:c>
      <x:c r="C2800" s="2" t="n">
        <x:v>293418000000</x:v>
      </x:c>
      <x:c r="D2800" s="2" t="n">
        <x:v>2025</x:v>
      </x:c>
      <x:c r="E2800" s="2" t="str">
        <x:v>WB_exports_usd</x:v>
      </x:c>
      <x:c r="F2800" s="2" t="str">
        <x:v>Merchandise exports (current US$)</x:v>
      </x:c>
    </x:row>
    <x:row r="2801" ht="44" customHeight="1">
      <x:c r="A2801" s="2" t="str">
        <x:v>IRL</x:v>
      </x:c>
      <x:c r="B2801" s="2" t="str">
        <x:v>cereal_yield</x:v>
      </x:c>
      <x:c r="C2801" s="2" t="n">
        <x:v>7324.7</x:v>
      </x:c>
      <x:c r="D2801" s="2" t="n">
        <x:v>2024</x:v>
      </x:c>
      <x:c r="E2801" s="2" t="str">
        <x:v>WB_cereal_yield</x:v>
      </x:c>
      <x:c r="F2801" s="2" t="str">
        <x:v>Cereal yield (kg per hectare)</x:v>
      </x:c>
    </x:row>
    <x:row r="2802" ht="44" customHeight="1">
      <x:c r="A2802" s="2" t="str">
        <x:v>IRL</x:v>
      </x:c>
      <x:c r="B2802" s="2" t="str">
        <x:v>water_stress</x:v>
      </x:c>
      <x:c r="C2802" s="2" t="n">
        <x:v>8.051010587</x:v>
      </x:c>
      <x:c r="D2802" s="2" t="n">
        <x:v>2022</x:v>
      </x:c>
      <x:c r="E2802" s="2" t="str">
        <x:v>WB_water_stress</x:v>
      </x:c>
      <x:c r="F2802" s="2" t="str">
        <x:v>Level of water stress: freshwater withdrawal as a proportion of available freshwater resources</x:v>
      </x:c>
    </x:row>
    <x:row r="2803" ht="44" customHeight="1">
      <x:c r="A2803" s="2" t="str">
        <x:v>IRL</x:v>
      </x:c>
      <x:c r="B2803" s="2" t="str">
        <x:v>fertility</x:v>
      </x:c>
      <x:c r="C2803" s="2" t="n">
        <x:v>1.47</x:v>
      </x:c>
      <x:c r="D2803" s="2" t="n">
        <x:v>2024</x:v>
      </x:c>
      <x:c r="E2803" s="2" t="str">
        <x:v>WB_fertility</x:v>
      </x:c>
      <x:c r="F2803" s="2" t="str">
        <x:v>Fertility rate, total (births per woman)</x:v>
      </x:c>
    </x:row>
    <x:row r="2804" ht="44" customHeight="1">
      <x:c r="A2804" s="2" t="str">
        <x:v>IRL</x:v>
      </x:c>
      <x:c r="B2804" s="2" t="str">
        <x:v>life_expectancy</x:v>
      </x:c>
      <x:c r="C2804" s="2" t="n">
        <x:v>83.009756097561</x:v>
      </x:c>
      <x:c r="D2804" s="2" t="n">
        <x:v>2024</x:v>
      </x:c>
      <x:c r="E2804" s="2" t="str">
        <x:v>WB_life_expectancy</x:v>
      </x:c>
      <x:c r="F2804" s="2" t="str">
        <x:v>Life expectancy at birth, total (years)</x:v>
      </x:c>
    </x:row>
    <x:row r="2805" ht="44" customHeight="1">
      <x:c r="A2805" s="2" t="str">
        <x:v>IRL</x:v>
      </x:c>
      <x:c r="B2805" s="2" t="str">
        <x:v>age_under15</x:v>
      </x:c>
      <x:c r="C2805" s="2" t="n">
        <x:v>18.0959201693884</x:v>
      </x:c>
      <x:c r="D2805" s="2" t="n">
        <x:v>2025</x:v>
      </x:c>
      <x:c r="E2805" s="2" t="str">
        <x:v>WB_age_under15</x:v>
      </x:c>
      <x:c r="F2805" s="2" t="str">
        <x:v>Population ages 0-14 (% of total population)</x:v>
      </x:c>
    </x:row>
    <x:row r="2806" ht="44" customHeight="1">
      <x:c r="A2806" s="2" t="str">
        <x:v>IRL</x:v>
      </x:c>
      <x:c r="B2806" s="2" t="str">
        <x:v>age_over65</x:v>
      </x:c>
      <x:c r="C2806" s="2" t="n">
        <x:v>16.2081043488942</x:v>
      </x:c>
      <x:c r="D2806" s="2" t="n">
        <x:v>2025</x:v>
      </x:c>
      <x:c r="E2806" s="2" t="str">
        <x:v>WB_age_over65</x:v>
      </x:c>
      <x:c r="F2806" s="2" t="str">
        <x:v>Population ages 65 and above (% of total population)</x:v>
      </x:c>
    </x:row>
    <x:row r="2807" ht="44" customHeight="1">
      <x:c r="A2807" s="2" t="str">
        <x:v>IRL</x:v>
      </x:c>
      <x:c r="B2807" s="2" t="str">
        <x:v>dependency_ratio</x:v>
      </x:c>
      <x:c r="C2807" s="2" t="n">
        <x:v>52.2163425670995</x:v>
      </x:c>
      <x:c r="D2807" s="2" t="n">
        <x:v>2025</x:v>
      </x:c>
      <x:c r="E2807" s="2" t="str">
        <x:v>WB_dependency_ratio</x:v>
      </x:c>
      <x:c r="F2807" s="2" t="str">
        <x:v>Age dependency ratio (% of working-age population)</x:v>
      </x:c>
    </x:row>
    <x:row r="2808" ht="44" customHeight="1">
      <x:c r="A2808" s="2" t="str">
        <x:v>IRL</x:v>
      </x:c>
      <x:c r="B2808" s="2" t="str">
        <x:v>net_migration</x:v>
      </x:c>
      <x:c r="C2808" s="2" t="n">
        <x:v>35417</x:v>
      </x:c>
      <x:c r="D2808" s="2" t="n">
        <x:v>2025</x:v>
      </x:c>
      <x:c r="E2808" s="2" t="str">
        <x:v>WB_net_migration</x:v>
      </x:c>
      <x:c r="F2808" s="2" t="str">
        <x:v>Net migration</x:v>
      </x:c>
    </x:row>
    <x:row r="2809" ht="44" customHeight="1">
      <x:c r="A2809" s="2" t="str">
        <x:v>IRL</x:v>
      </x:c>
      <x:c r="B2809" s="2" t="str">
        <x:v>real_gdp</x:v>
      </x:c>
      <x:c r="C2809" s="2" t="n">
        <x:v>572660227885.924</x:v>
      </x:c>
      <x:c r="D2809" s="2" t="n">
        <x:v>2025</x:v>
      </x:c>
      <x:c r="E2809" s="2" t="str">
        <x:v>WB_real_gdp</x:v>
      </x:c>
      <x:c r="F2809" s="2" t="str">
        <x:v>GDP (constant 2015 US$)</x:v>
      </x:c>
    </x:row>
    <x:row r="2810" ht="44" customHeight="1">
      <x:c r="A2810" s="2" t="str">
        <x:v>IRL</x:v>
      </x:c>
      <x:c r="B2810" s="2" t="str">
        <x:v>gdp_growth</x:v>
      </x:c>
      <x:c r="C2810" s="2" t="n">
        <x:v>12.3375990291434</x:v>
      </x:c>
      <x:c r="D2810" s="2" t="n">
        <x:v>2025</x:v>
      </x:c>
      <x:c r="E2810" s="2" t="str">
        <x:v>WB_gdp_growth</x:v>
      </x:c>
      <x:c r="F2810" s="2" t="str">
        <x:v>GDP growth (annual %)</x:v>
      </x:c>
    </x:row>
    <x:row r="2811" ht="44" customHeight="1">
      <x:c r="A2811" s="2" t="str">
        <x:v>IRL</x:v>
      </x:c>
      <x:c r="B2811" s="2" t="str">
        <x:v>real_income</x:v>
      </x:c>
      <x:c r="C2811" s="2" t="n">
        <x:v>104416.83204022</x:v>
      </x:c>
      <x:c r="D2811" s="2" t="n">
        <x:v>2025</x:v>
      </x:c>
      <x:c r="E2811" s="2" t="str">
        <x:v>WB_real_income</x:v>
      </x:c>
      <x:c r="F2811" s="2" t="str">
        <x:v>GDP per capita (constant 2015 US$)</x:v>
      </x:c>
    </x:row>
    <x:row r="2812" ht="44" customHeight="1">
      <x:c r="A2812" s="2" t="str">
        <x:v>IRL</x:v>
      </x:c>
      <x:c r="B2812" s="2" t="str">
        <x:v>agriculture_gdp</x:v>
      </x:c>
      <x:c r="C2812" s="2" t="n">
        <x:v>1.05705676036934</x:v>
      </x:c>
      <x:c r="D2812" s="2" t="n">
        <x:v>2025</x:v>
      </x:c>
      <x:c r="E2812" s="2" t="str">
        <x:v>WB_agriculture_gdp</x:v>
      </x:c>
      <x:c r="F2812" s="2" t="str">
        <x:v>Agriculture, forestry, and fishing, value added (% of GDP)</x:v>
      </x:c>
    </x:row>
    <x:row r="2813" ht="44" customHeight="1">
      <x:c r="A2813" s="2" t="str">
        <x:v>IRL</x:v>
      </x:c>
      <x:c r="B2813" s="2" t="str">
        <x:v>poverty</x:v>
      </x:c>
      <x:c r="C2813" s="2" t="n">
        <x:v>0.1</x:v>
      </x:c>
      <x:c r="D2813" s="2" t="n">
        <x:v>2023</x:v>
      </x:c>
      <x:c r="E2813" s="2" t="str">
        <x:v>WB_poverty</x:v>
      </x:c>
      <x:c r="F2813" s="2" t="str">
        <x:v>Poverty headcount ratio at $3.00 a day (2021 PPP) (% of population)</x:v>
      </x:c>
    </x:row>
    <x:row r="2814" ht="44" customHeight="1">
      <x:c r="A2814" s="2" t="str">
        <x:v>IRL</x:v>
      </x:c>
      <x:c r="B2814" s="2" t="str">
        <x:v>gini</x:v>
      </x:c>
      <x:c r="C2814" s="2" t="n">
        <x:v>29</x:v>
      </x:c>
      <x:c r="D2814" s="2" t="n">
        <x:v>2023</x:v>
      </x:c>
      <x:c r="E2814" s="2" t="str">
        <x:v>WB_gini</x:v>
      </x:c>
      <x:c r="F2814" s="2" t="str">
        <x:v>Gini index</x:v>
      </x:c>
    </x:row>
    <x:row r="2815" ht="44" customHeight="1">
      <x:c r="A2815" s="2" t="str">
        <x:v>IRL</x:v>
      </x:c>
      <x:c r="B2815" s="2" t="str">
        <x:v>unemployment</x:v>
      </x:c>
      <x:c r="C2815" s="2" t="n">
        <x:v>4.632</x:v>
      </x:c>
      <x:c r="D2815" s="2" t="n">
        <x:v>2025</x:v>
      </x:c>
      <x:c r="E2815" s="2" t="str">
        <x:v>WB_unemployment</x:v>
      </x:c>
      <x:c r="F2815" s="2" t="str">
        <x:v>Unemployment, total (% of total labor force) (modeled ILO estimate)</x:v>
      </x:c>
    </x:row>
    <x:row r="2816" ht="44" customHeight="1">
      <x:c r="A2816" s="2" t="str">
        <x:v>IRL</x:v>
      </x:c>
      <x:c r="B2816" s="2" t="str">
        <x:v>private_credit</x:v>
      </x:c>
      <x:c r="C2816" s="2" t="n">
        <x:v>23.7845375555383</x:v>
      </x:c>
      <x:c r="D2816" s="2" t="n">
        <x:v>2024</x:v>
      </x:c>
      <x:c r="E2816" s="2" t="str">
        <x:v>WB_private_credit</x:v>
      </x:c>
      <x:c r="F2816" s="2" t="str">
        <x:v>Domestic credit to private sector (% of GDP)</x:v>
      </x:c>
    </x:row>
    <x:row r="2817" ht="44" customHeight="1">
      <x:c r="A2817" s="2" t="str">
        <x:v>IRL</x:v>
      </x:c>
      <x:c r="B2817" s="2" t="str">
        <x:v>lending_rate</x:v>
      </x:c>
      <x:c r="C2817" s="2"/>
      <x:c r="D2817" s="2"/>
      <x:c r="E2817" s="2" t="str">
        <x:v>Missing</x:v>
      </x:c>
      <x:c r="F2817" s="2" t="str">
        <x:v>Lending interest rate (%)</x:v>
      </x:c>
    </x:row>
    <x:row r="2818" ht="44" customHeight="1">
      <x:c r="A2818" s="2" t="str">
        <x:v>IRL</x:v>
      </x:c>
      <x:c r="B2818" s="2" t="str">
        <x:v>real_interest</x:v>
      </x:c>
      <x:c r="C2818" s="2"/>
      <x:c r="D2818" s="2"/>
      <x:c r="E2818" s="2" t="str">
        <x:v>Missing</x:v>
      </x:c>
      <x:c r="F2818" s="2" t="str">
        <x:v>Real interest rate (%)</x:v>
      </x:c>
    </x:row>
    <x:row r="2819" ht="44" customHeight="1">
      <x:c r="A2819" s="2" t="str">
        <x:v>IRL</x:v>
      </x:c>
      <x:c r="B2819" s="2" t="str">
        <x:v>government_debt</x:v>
      </x:c>
      <x:c r="C2819" s="2"/>
      <x:c r="D2819" s="2"/>
      <x:c r="E2819" s="2" t="str">
        <x:v>Missing</x:v>
      </x:c>
      <x:c r="F2819" s="2" t="str">
        <x:v>Central government debt, total (% of GDP)</x:v>
      </x:c>
    </x:row>
    <x:row r="2820" ht="44" customHeight="1">
      <x:c r="A2820" s="2" t="str">
        <x:v>IRL</x:v>
      </x:c>
      <x:c r="B2820" s="2" t="str">
        <x:v>electricity_access</x:v>
      </x:c>
      <x:c r="C2820" s="2" t="n">
        <x:v>100</x:v>
      </x:c>
      <x:c r="D2820" s="2" t="n">
        <x:v>2024</x:v>
      </x:c>
      <x:c r="E2820" s="2" t="str">
        <x:v>WB_electricity_access</x:v>
      </x:c>
      <x:c r="F2820" s="2" t="str">
        <x:v>Access to electricity (% of population)</x:v>
      </x:c>
    </x:row>
    <x:row r="2821" ht="44" customHeight="1">
      <x:c r="A2821" s="2" t="str">
        <x:v>IRL</x:v>
      </x:c>
      <x:c r="B2821" s="2" t="str">
        <x:v>irrigated_land</x:v>
      </x:c>
      <x:c r="C2821" s="2"/>
      <x:c r="D2821" s="2"/>
      <x:c r="E2821" s="2" t="str">
        <x:v>Missing</x:v>
      </x:c>
      <x:c r="F2821" s="2" t="str">
        <x:v>Agricultural irrigated land (% of total agricultural land)</x:v>
      </x:c>
    </x:row>
    <x:row r="2822" ht="44" customHeight="1">
      <x:c r="A2822" s="2" t="str">
        <x:v>IRL</x:v>
      </x:c>
      <x:c r="B2822" s="2" t="str">
        <x:v>cereal_area</x:v>
      </x:c>
      <x:c r="C2822" s="2" t="n">
        <x:v>258930</x:v>
      </x:c>
      <x:c r="D2822" s="2" t="n">
        <x:v>2024</x:v>
      </x:c>
      <x:c r="E2822" s="2" t="str">
        <x:v>WB_cereal_area</x:v>
      </x:c>
      <x:c r="F2822" s="2" t="str">
        <x:v>Land under cereal production (hectares)</x:v>
      </x:c>
    </x:row>
    <x:row r="2823" ht="44" customHeight="1">
      <x:c r="A2823" s="2" t="str">
        <x:v>IRL</x:v>
      </x:c>
      <x:c r="B2823" s="2" t="str">
        <x:v>undernourishment</x:v>
      </x:c>
      <x:c r="C2823" s="2" t="n">
        <x:v>2.5</x:v>
      </x:c>
      <x:c r="D2823" s="2" t="n">
        <x:v>2023</x:v>
      </x:c>
      <x:c r="E2823" s="2" t="str">
        <x:v>WB_undernourishment</x:v>
      </x:c>
      <x:c r="F2823" s="2" t="str">
        <x:v>Prevalence of undernourishment (% of population)</x:v>
      </x:c>
    </x:row>
    <x:row r="2824" ht="44" customHeight="1">
      <x:c r="A2824" s="2" t="str">
        <x:v>IRL</x:v>
      </x:c>
      <x:c r="B2824" s="2" t="str">
        <x:v>agriculture_employment</x:v>
      </x:c>
      <x:c r="C2824" s="2" t="n">
        <x:v>3.85320090845589</x:v>
      </x:c>
      <x:c r="D2824" s="2" t="n">
        <x:v>2025</x:v>
      </x:c>
      <x:c r="E2824" s="2" t="str">
        <x:v>WB_agriculture_employment</x:v>
      </x:c>
      <x:c r="F2824" s="2" t="str">
        <x:v>Employment in agriculture (% of total employment) (modeled ILO estimate)</x:v>
      </x:c>
    </x:row>
    <x:row r="2825" ht="44" customHeight="1">
      <x:c r="A2825" s="2" t="str">
        <x:v>IRL</x:v>
      </x:c>
      <x:c r="B2825" s="2" t="str">
        <x:v>water_withdrawal</x:v>
      </x:c>
      <x:c r="C2825" s="2" t="n">
        <x:v>3.41428571428571</x:v>
      </x:c>
      <x:c r="D2825" s="2" t="n">
        <x:v>2022</x:v>
      </x:c>
      <x:c r="E2825" s="2" t="str">
        <x:v>WB_water_withdrawal</x:v>
      </x:c>
      <x:c r="F2825" s="2" t="str">
        <x:v>Annual freshwater withdrawals, total (% of internal resources)</x:v>
      </x:c>
    </x:row>
    <x:row r="2826" ht="44" customHeight="1">
      <x:c r="A2826" s="2" t="str">
        <x:v>ISR</x:v>
      </x:c>
      <x:c r="B2826" s="2" t="str">
        <x:v>population</x:v>
      </x:c>
      <x:c r="C2826" s="2" t="n">
        <x:v>10122800</x:v>
      </x:c>
      <x:c r="D2826" s="2" t="n">
        <x:v>2025</x:v>
      </x:c>
      <x:c r="E2826" s="2" t="str">
        <x:v>WB_population</x:v>
      </x:c>
      <x:c r="F2826" s="2" t="str">
        <x:v>Population, total</x:v>
      </x:c>
    </x:row>
    <x:row r="2827" ht="44" customHeight="1">
      <x:c r="A2827" s="2" t="str">
        <x:v>ISR</x:v>
      </x:c>
      <x:c r="B2827" s="2" t="str">
        <x:v>income_ppp</x:v>
      </x:c>
      <x:c r="C2827" s="2" t="n">
        <x:v>48196.6345176562</x:v>
      </x:c>
      <x:c r="D2827" s="2" t="n">
        <x:v>2025</x:v>
      </x:c>
      <x:c r="E2827" s="2" t="str">
        <x:v>WB_income_ppp</x:v>
      </x:c>
      <x:c r="F2827" s="2" t="str">
        <x:v>GDP per capita, PPP (constant 2021 international $)</x:v>
      </x:c>
    </x:row>
    <x:row r="2828" ht="44" customHeight="1">
      <x:c r="A2828" s="2" t="str">
        <x:v>ISR</x:v>
      </x:c>
      <x:c r="B2828" s="2" t="str">
        <x:v>urban</x:v>
      </x:c>
      <x:c r="C2828" s="2" t="n">
        <x:v>91.5783060866328</x:v>
      </x:c>
      <x:c r="D2828" s="2" t="n">
        <x:v>2025</x:v>
      </x:c>
      <x:c r="E2828" s="2" t="str">
        <x:v>WB_urban</x:v>
      </x:c>
      <x:c r="F2828" s="2" t="str">
        <x:v>Urban population (% of total population)</x:v>
      </x:c>
    </x:row>
    <x:row r="2829" ht="44" customHeight="1">
      <x:c r="A2829" s="2" t="str">
        <x:v>ISR</x:v>
      </x:c>
      <x:c r="B2829" s="2" t="str">
        <x:v>inflation</x:v>
      </x:c>
      <x:c r="C2829" s="2" t="n">
        <x:v>3.0414132155654</x:v>
      </x:c>
      <x:c r="D2829" s="2" t="n">
        <x:v>2025</x:v>
      </x:c>
      <x:c r="E2829" s="2" t="str">
        <x:v>WB_inflation</x:v>
      </x:c>
      <x:c r="F2829" s="2" t="str">
        <x:v>Inflation, consumer prices (annual %)</x:v>
      </x:c>
    </x:row>
    <x:row r="2830" ht="44" customHeight="1">
      <x:c r="A2830" s="2" t="str">
        <x:v>ISR</x:v>
      </x:c>
      <x:c r="B2830" s="2" t="str">
        <x:v>food_index</x:v>
      </x:c>
      <x:c r="C2830" s="2" t="n">
        <x:v>105.48</x:v>
      </x:c>
      <x:c r="D2830" s="2" t="n">
        <x:v>2022</x:v>
      </x:c>
      <x:c r="E2830" s="2" t="str">
        <x:v>WB_food_index</x:v>
      </x:c>
      <x:c r="F2830" s="2" t="str">
        <x:v>Food production index (2014-2016 = 100)</x:v>
      </x:c>
    </x:row>
    <x:row r="2831" ht="44" customHeight="1">
      <x:c r="A2831" s="2" t="str">
        <x:v>ISR</x:v>
      </x:c>
      <x:c r="B2831" s="2" t="str">
        <x:v>food_import_share</x:v>
      </x:c>
      <x:c r="C2831" s="2" t="n">
        <x:v>10.5547207249929</x:v>
      </x:c>
      <x:c r="D2831" s="2" t="n">
        <x:v>2024</x:v>
      </x:c>
      <x:c r="E2831" s="2" t="str">
        <x:v>WB_food_import_share</x:v>
      </x:c>
      <x:c r="F2831" s="2" t="str">
        <x:v>Food imports (% of merchandise imports)</x:v>
      </x:c>
    </x:row>
    <x:row r="2832" ht="44" customHeight="1">
      <x:c r="A2832" s="2" t="str">
        <x:v>ISR</x:v>
      </x:c>
      <x:c r="B2832" s="2" t="str">
        <x:v>food_export_share</x:v>
      </x:c>
      <x:c r="C2832" s="2" t="n">
        <x:v>4.24995100148647</x:v>
      </x:c>
      <x:c r="D2832" s="2" t="n">
        <x:v>2024</x:v>
      </x:c>
      <x:c r="E2832" s="2" t="str">
        <x:v>WB_food_export_share</x:v>
      </x:c>
      <x:c r="F2832" s="2" t="str">
        <x:v>Food exports (% of merchandise exports)</x:v>
      </x:c>
    </x:row>
    <x:row r="2833" ht="44" customHeight="1">
      <x:c r="A2833" s="2" t="str">
        <x:v>ISR</x:v>
      </x:c>
      <x:c r="B2833" s="2" t="str">
        <x:v>imports_usd</x:v>
      </x:c>
      <x:c r="C2833" s="2" t="n">
        <x:v>95481000000</x:v>
      </x:c>
      <x:c r="D2833" s="2" t="n">
        <x:v>2025</x:v>
      </x:c>
      <x:c r="E2833" s="2" t="str">
        <x:v>WB_imports_usd</x:v>
      </x:c>
      <x:c r="F2833" s="2" t="str">
        <x:v>Merchandise imports (current US$)</x:v>
      </x:c>
    </x:row>
    <x:row r="2834" ht="44" customHeight="1">
      <x:c r="A2834" s="2" t="str">
        <x:v>ISR</x:v>
      </x:c>
      <x:c r="B2834" s="2" t="str">
        <x:v>exports_usd</x:v>
      </x:c>
      <x:c r="C2834" s="2" t="n">
        <x:v>59010000000</x:v>
      </x:c>
      <x:c r="D2834" s="2" t="n">
        <x:v>2025</x:v>
      </x:c>
      <x:c r="E2834" s="2" t="str">
        <x:v>WB_exports_usd</x:v>
      </x:c>
      <x:c r="F2834" s="2" t="str">
        <x:v>Merchandise exports (current US$)</x:v>
      </x:c>
    </x:row>
    <x:row r="2835" ht="44" customHeight="1">
      <x:c r="A2835" s="2" t="str">
        <x:v>ISR</x:v>
      </x:c>
      <x:c r="B2835" s="2" t="str">
        <x:v>cereal_yield</x:v>
      </x:c>
      <x:c r="C2835" s="2" t="n">
        <x:v>2550.9</x:v>
      </x:c>
      <x:c r="D2835" s="2" t="n">
        <x:v>2023</x:v>
      </x:c>
      <x:c r="E2835" s="2" t="str">
        <x:v>WB_cereal_yield</x:v>
      </x:c>
      <x:c r="F2835" s="2" t="str">
        <x:v>Cereal yield (kg per hectare)</x:v>
      </x:c>
    </x:row>
    <x:row r="2836" ht="44" customHeight="1">
      <x:c r="A2836" s="2" t="str">
        <x:v>ISR</x:v>
      </x:c>
      <x:c r="B2836" s="2" t="str">
        <x:v>water_stress</x:v>
      </x:c>
      <x:c r="C2836" s="2" t="n">
        <x:v>131.998964714</x:v>
      </x:c>
      <x:c r="D2836" s="2" t="n">
        <x:v>2021</x:v>
      </x:c>
      <x:c r="E2836" s="2" t="str">
        <x:v>WB_water_stress</x:v>
      </x:c>
      <x:c r="F2836" s="2" t="str">
        <x:v>Level of water stress: freshwater withdrawal as a proportion of available freshwater resources</x:v>
      </x:c>
    </x:row>
    <x:row r="2837" ht="44" customHeight="1">
      <x:c r="A2837" s="2" t="str">
        <x:v>ISR</x:v>
      </x:c>
      <x:c r="B2837" s="2" t="str">
        <x:v>fertility</x:v>
      </x:c>
      <x:c r="C2837" s="2" t="n">
        <x:v>2.87</x:v>
      </x:c>
      <x:c r="D2837" s="2" t="n">
        <x:v>2024</x:v>
      </x:c>
      <x:c r="E2837" s="2" t="str">
        <x:v>WB_fertility</x:v>
      </x:c>
      <x:c r="F2837" s="2" t="str">
        <x:v>Fertility rate, total (births per woman)</x:v>
      </x:c>
    </x:row>
    <x:row r="2838" ht="44" customHeight="1">
      <x:c r="A2838" s="2" t="str">
        <x:v>ISR</x:v>
      </x:c>
      <x:c r="B2838" s="2" t="str">
        <x:v>life_expectancy</x:v>
      </x:c>
      <x:c r="C2838" s="2" t="n">
        <x:v>83.1975609756098</x:v>
      </x:c>
      <x:c r="D2838" s="2" t="n">
        <x:v>2024</x:v>
      </x:c>
      <x:c r="E2838" s="2" t="str">
        <x:v>WB_life_expectancy</x:v>
      </x:c>
      <x:c r="F2838" s="2" t="str">
        <x:v>Life expectancy at birth, total (years)</x:v>
      </x:c>
    </x:row>
    <x:row r="2839" ht="44" customHeight="1">
      <x:c r="A2839" s="2" t="str">
        <x:v>ISR</x:v>
      </x:c>
      <x:c r="B2839" s="2" t="str">
        <x:v>age_under15</x:v>
      </x:c>
      <x:c r="C2839" s="2" t="n">
        <x:v>27.1639326374024</x:v>
      </x:c>
      <x:c r="D2839" s="2" t="n">
        <x:v>2025</x:v>
      </x:c>
      <x:c r="E2839" s="2" t="str">
        <x:v>WB_age_under15</x:v>
      </x:c>
      <x:c r="F2839" s="2" t="str">
        <x:v>Population ages 0-14 (% of total population)</x:v>
      </x:c>
    </x:row>
    <x:row r="2840" ht="44" customHeight="1">
      <x:c r="A2840" s="2" t="str">
        <x:v>ISR</x:v>
      </x:c>
      <x:c r="B2840" s="2" t="str">
        <x:v>age_over65</x:v>
      </x:c>
      <x:c r="C2840" s="2" t="n">
        <x:v>12.6916264748788</x:v>
      </x:c>
      <x:c r="D2840" s="2" t="n">
        <x:v>2025</x:v>
      </x:c>
      <x:c r="E2840" s="2" t="str">
        <x:v>WB_age_over65</x:v>
      </x:c>
      <x:c r="F2840" s="2" t="str">
        <x:v>Population ages 65 and above (% of total population)</x:v>
      </x:c>
    </x:row>
    <x:row r="2841" ht="44" customHeight="1">
      <x:c r="A2841" s="2" t="str">
        <x:v>ISR</x:v>
      </x:c>
      <x:c r="B2841" s="2" t="str">
        <x:v>dependency_ratio</x:v>
      </x:c>
      <x:c r="C2841" s="2" t="n">
        <x:v>66.2664181682213</x:v>
      </x:c>
      <x:c r="D2841" s="2" t="n">
        <x:v>2025</x:v>
      </x:c>
      <x:c r="E2841" s="2" t="str">
        <x:v>WB_dependency_ratio</x:v>
      </x:c>
      <x:c r="F2841" s="2" t="str">
        <x:v>Age dependency ratio (% of working-age population)</x:v>
      </x:c>
    </x:row>
    <x:row r="2842" ht="44" customHeight="1">
      <x:c r="A2842" s="2" t="str">
        <x:v>ISR</x:v>
      </x:c>
      <x:c r="B2842" s="2" t="str">
        <x:v>net_migration</x:v>
      </x:c>
      <x:c r="C2842" s="2" t="n">
        <x:v>11466</x:v>
      </x:c>
      <x:c r="D2842" s="2" t="n">
        <x:v>2025</x:v>
      </x:c>
      <x:c r="E2842" s="2" t="str">
        <x:v>WB_net_migration</x:v>
      </x:c>
      <x:c r="F2842" s="2" t="str">
        <x:v>Net migration</x:v>
      </x:c>
    </x:row>
    <x:row r="2843" ht="44" customHeight="1">
      <x:c r="A2843" s="2" t="str">
        <x:v>ISR</x:v>
      </x:c>
      <x:c r="B2843" s="2" t="str">
        <x:v>real_gdp</x:v>
      </x:c>
      <x:c r="C2843" s="2" t="n">
        <x:v>431191570915.148</x:v>
      </x:c>
      <x:c r="D2843" s="2" t="n">
        <x:v>2025</x:v>
      </x:c>
      <x:c r="E2843" s="2" t="str">
        <x:v>WB_real_gdp</x:v>
      </x:c>
      <x:c r="F2843" s="2" t="str">
        <x:v>GDP (constant 2015 US$)</x:v>
      </x:c>
    </x:row>
    <x:row r="2844" ht="44" customHeight="1">
      <x:c r="A2844" s="2" t="str">
        <x:v>ISR</x:v>
      </x:c>
      <x:c r="B2844" s="2" t="str">
        <x:v>gdp_growth</x:v>
      </x:c>
      <x:c r="C2844" s="2" t="n">
        <x:v>2.93114966387968</x:v>
      </x:c>
      <x:c r="D2844" s="2" t="n">
        <x:v>2025</x:v>
      </x:c>
      <x:c r="E2844" s="2" t="str">
        <x:v>WB_gdp_growth</x:v>
      </x:c>
      <x:c r="F2844" s="2" t="str">
        <x:v>GDP growth (annual %)</x:v>
      </x:c>
    </x:row>
    <x:row r="2845" ht="44" customHeight="1">
      <x:c r="A2845" s="2" t="str">
        <x:v>ISR</x:v>
      </x:c>
      <x:c r="B2845" s="2" t="str">
        <x:v>real_income</x:v>
      </x:c>
      <x:c r="C2845" s="2" t="n">
        <x:v>42596.0772627285</x:v>
      </x:c>
      <x:c r="D2845" s="2" t="n">
        <x:v>2025</x:v>
      </x:c>
      <x:c r="E2845" s="2" t="str">
        <x:v>WB_real_income</x:v>
      </x:c>
      <x:c r="F2845" s="2" t="str">
        <x:v>GDP per capita (constant 2015 US$)</x:v>
      </x:c>
    </x:row>
    <x:row r="2846" ht="44" customHeight="1">
      <x:c r="A2846" s="2" t="str">
        <x:v>ISR</x:v>
      </x:c>
      <x:c r="B2846" s="2" t="str">
        <x:v>agriculture_gdp</x:v>
      </x:c>
      <x:c r="C2846" s="2" t="n">
        <x:v>1.28513289583824</x:v>
      </x:c>
      <x:c r="D2846" s="2" t="n">
        <x:v>2024</x:v>
      </x:c>
      <x:c r="E2846" s="2" t="str">
        <x:v>WB_agriculture_gdp</x:v>
      </x:c>
      <x:c r="F2846" s="2" t="str">
        <x:v>Agriculture, forestry, and fishing, value added (% of GDP)</x:v>
      </x:c>
    </x:row>
    <x:row r="2847" ht="44" customHeight="1">
      <x:c r="A2847" s="2" t="str">
        <x:v>ISR</x:v>
      </x:c>
      <x:c r="B2847" s="2" t="str">
        <x:v>poverty</x:v>
      </x:c>
      <x:c r="C2847" s="2" t="n">
        <x:v>0.4</x:v>
      </x:c>
      <x:c r="D2847" s="2" t="n">
        <x:v>2022</x:v>
      </x:c>
      <x:c r="E2847" s="2" t="str">
        <x:v>WB_poverty</x:v>
      </x:c>
      <x:c r="F2847" s="2" t="str">
        <x:v>Poverty headcount ratio at $3.00 a day (2021 PPP) (% of population)</x:v>
      </x:c>
    </x:row>
    <x:row r="2848" ht="44" customHeight="1">
      <x:c r="A2848" s="2" t="str">
        <x:v>ISR</x:v>
      </x:c>
      <x:c r="B2848" s="2" t="str">
        <x:v>gini</x:v>
      </x:c>
      <x:c r="C2848" s="2" t="n">
        <x:v>38.3</x:v>
      </x:c>
      <x:c r="D2848" s="2" t="n">
        <x:v>2022</x:v>
      </x:c>
      <x:c r="E2848" s="2" t="str">
        <x:v>WB_gini</x:v>
      </x:c>
      <x:c r="F2848" s="2" t="str">
        <x:v>Gini index</x:v>
      </x:c>
    </x:row>
    <x:row r="2849" ht="44" customHeight="1">
      <x:c r="A2849" s="2" t="str">
        <x:v>ISR</x:v>
      </x:c>
      <x:c r="B2849" s="2" t="str">
        <x:v>unemployment</x:v>
      </x:c>
      <x:c r="C2849" s="2" t="n">
        <x:v>3.489</x:v>
      </x:c>
      <x:c r="D2849" s="2" t="n">
        <x:v>2025</x:v>
      </x:c>
      <x:c r="E2849" s="2" t="str">
        <x:v>WB_unemployment</x:v>
      </x:c>
      <x:c r="F2849" s="2" t="str">
        <x:v>Unemployment, total (% of total labor force) (modeled ILO estimate)</x:v>
      </x:c>
    </x:row>
    <x:row r="2850" ht="44" customHeight="1">
      <x:c r="A2850" s="2" t="str">
        <x:v>ISR</x:v>
      </x:c>
      <x:c r="B2850" s="2" t="str">
        <x:v>private_credit</x:v>
      </x:c>
      <x:c r="C2850" s="2" t="n">
        <x:v>72.4743806692902</x:v>
      </x:c>
      <x:c r="D2850" s="2" t="n">
        <x:v>2025</x:v>
      </x:c>
      <x:c r="E2850" s="2" t="str">
        <x:v>WB_private_credit</x:v>
      </x:c>
      <x:c r="F2850" s="2" t="str">
        <x:v>Domestic credit to private sector (% of GDP)</x:v>
      </x:c>
    </x:row>
    <x:row r="2851" ht="44" customHeight="1">
      <x:c r="A2851" s="2" t="str">
        <x:v>ISR</x:v>
      </x:c>
      <x:c r="B2851" s="2" t="str">
        <x:v>lending_rate</x:v>
      </x:c>
      <x:c r="C2851" s="2" t="n">
        <x:v>2.95817645390829</x:v>
      </x:c>
      <x:c r="D2851" s="2" t="n">
        <x:v>2022</x:v>
      </x:c>
      <x:c r="E2851" s="2" t="str">
        <x:v>WB_lending_rate</x:v>
      </x:c>
      <x:c r="F2851" s="2" t="str">
        <x:v>Lending interest rate (%)</x:v>
      </x:c>
    </x:row>
    <x:row r="2852" ht="44" customHeight="1">
      <x:c r="A2852" s="2" t="str">
        <x:v>ISR</x:v>
      </x:c>
      <x:c r="B2852" s="2" t="str">
        <x:v>real_interest</x:v>
      </x:c>
      <x:c r="C2852" s="2" t="n">
        <x:v>-1.81011153069957</x:v>
      </x:c>
      <x:c r="D2852" s="2" t="n">
        <x:v>2022</x:v>
      </x:c>
      <x:c r="E2852" s="2" t="str">
        <x:v>WB_real_interest</x:v>
      </x:c>
      <x:c r="F2852" s="2" t="str">
        <x:v>Real interest rate (%)</x:v>
      </x:c>
    </x:row>
    <x:row r="2853" ht="44" customHeight="1">
      <x:c r="A2853" s="2" t="str">
        <x:v>ISR</x:v>
      </x:c>
      <x:c r="B2853" s="2" t="str">
        <x:v>government_debt</x:v>
      </x:c>
      <x:c r="C2853" s="2"/>
      <x:c r="D2853" s="2"/>
      <x:c r="E2853" s="2" t="str">
        <x:v>Missing</x:v>
      </x:c>
      <x:c r="F2853" s="2" t="str">
        <x:v>Central government debt, total (% of GDP)</x:v>
      </x:c>
    </x:row>
    <x:row r="2854" ht="44" customHeight="1">
      <x:c r="A2854" s="2" t="str">
        <x:v>ISR</x:v>
      </x:c>
      <x:c r="B2854" s="2" t="str">
        <x:v>electricity_access</x:v>
      </x:c>
      <x:c r="C2854" s="2" t="n">
        <x:v>100</x:v>
      </x:c>
      <x:c r="D2854" s="2" t="n">
        <x:v>2024</x:v>
      </x:c>
      <x:c r="E2854" s="2" t="str">
        <x:v>WB_electricity_access</x:v>
      </x:c>
      <x:c r="F2854" s="2" t="str">
        <x:v>Access to electricity (% of population)</x:v>
      </x:c>
    </x:row>
    <x:row r="2855" ht="44" customHeight="1">
      <x:c r="A2855" s="2" t="str">
        <x:v>ISR</x:v>
      </x:c>
      <x:c r="B2855" s="2" t="str">
        <x:v>irrigated_land</x:v>
      </x:c>
      <x:c r="C2855" s="2" t="n">
        <x:v>36.1058319359046</x:v>
      </x:c>
      <x:c r="D2855" s="2" t="n">
        <x:v>2023</x:v>
      </x:c>
      <x:c r="E2855" s="2" t="str">
        <x:v>WB_irrigated_land</x:v>
      </x:c>
      <x:c r="F2855" s="2" t="str">
        <x:v>Agricultural irrigated land (% of total agricultural land)</x:v>
      </x:c>
    </x:row>
    <x:row r="2856" ht="44" customHeight="1">
      <x:c r="A2856" s="2" t="str">
        <x:v>ISR</x:v>
      </x:c>
      <x:c r="B2856" s="2" t="str">
        <x:v>cereal_area</x:v>
      </x:c>
      <x:c r="C2856" s="2" t="n">
        <x:v>91082</x:v>
      </x:c>
      <x:c r="D2856" s="2" t="n">
        <x:v>2023</x:v>
      </x:c>
      <x:c r="E2856" s="2" t="str">
        <x:v>WB_cereal_area</x:v>
      </x:c>
      <x:c r="F2856" s="2" t="str">
        <x:v>Land under cereal production (hectares)</x:v>
      </x:c>
    </x:row>
    <x:row r="2857" ht="44" customHeight="1">
      <x:c r="A2857" s="2" t="str">
        <x:v>ISR</x:v>
      </x:c>
      <x:c r="B2857" s="2" t="str">
        <x:v>undernourishment</x:v>
      </x:c>
      <x:c r="C2857" s="2" t="n">
        <x:v>2.5</x:v>
      </x:c>
      <x:c r="D2857" s="2" t="n">
        <x:v>2023</x:v>
      </x:c>
      <x:c r="E2857" s="2" t="str">
        <x:v>WB_undernourishment</x:v>
      </x:c>
      <x:c r="F2857" s="2" t="str">
        <x:v>Prevalence of undernourishment (% of population)</x:v>
      </x:c>
    </x:row>
    <x:row r="2858" ht="44" customHeight="1">
      <x:c r="A2858" s="2" t="str">
        <x:v>ISR</x:v>
      </x:c>
      <x:c r="B2858" s="2" t="str">
        <x:v>agriculture_employment</x:v>
      </x:c>
      <x:c r="C2858" s="2" t="n">
        <x:v>0.75971191888372</x:v>
      </x:c>
      <x:c r="D2858" s="2" t="n">
        <x:v>2025</x:v>
      </x:c>
      <x:c r="E2858" s="2" t="str">
        <x:v>WB_agriculture_employment</x:v>
      </x:c>
      <x:c r="F2858" s="2" t="str">
        <x:v>Employment in agriculture (% of total employment) (modeled ILO estimate)</x:v>
      </x:c>
    </x:row>
    <x:row r="2859" ht="44" customHeight="1">
      <x:c r="A2859" s="2" t="str">
        <x:v>ISR</x:v>
      </x:c>
      <x:c r="B2859" s="2" t="str">
        <x:v>water_withdrawal</x:v>
      </x:c>
      <x:c r="C2859" s="2" t="n">
        <x:v>204</x:v>
      </x:c>
      <x:c r="D2859" s="2" t="n">
        <x:v>2021</x:v>
      </x:c>
      <x:c r="E2859" s="2" t="str">
        <x:v>WB_water_withdrawal</x:v>
      </x:c>
      <x:c r="F2859" s="2" t="str">
        <x:v>Annual freshwater withdrawals, total (% of internal resources)</x:v>
      </x:c>
    </x:row>
    <x:row r="2860" ht="44" customHeight="1">
      <x:c r="A2860" s="2" t="str">
        <x:v>ITA</x:v>
      </x:c>
      <x:c r="B2860" s="2" t="str">
        <x:v>population</x:v>
      </x:c>
      <x:c r="C2860" s="2" t="n">
        <x:v>58915656</x:v>
      </x:c>
      <x:c r="D2860" s="2" t="n">
        <x:v>2025</x:v>
      </x:c>
      <x:c r="E2860" s="2" t="str">
        <x:v>WB_population</x:v>
      </x:c>
      <x:c r="F2860" s="2" t="str">
        <x:v>Population, total</x:v>
      </x:c>
    </x:row>
    <x:row r="2861" ht="44" customHeight="1">
      <x:c r="A2861" s="2" t="str">
        <x:v>ITA</x:v>
      </x:c>
      <x:c r="B2861" s="2" t="str">
        <x:v>income_ppp</x:v>
      </x:c>
      <x:c r="C2861" s="2" t="n">
        <x:v>53606.0789571011</x:v>
      </x:c>
      <x:c r="D2861" s="2" t="n">
        <x:v>2025</x:v>
      </x:c>
      <x:c r="E2861" s="2" t="str">
        <x:v>WB_income_ppp</x:v>
      </x:c>
      <x:c r="F2861" s="2" t="str">
        <x:v>GDP per capita, PPP (constant 2021 international $)</x:v>
      </x:c>
    </x:row>
    <x:row r="2862" ht="44" customHeight="1">
      <x:c r="A2862" s="2" t="str">
        <x:v>ITA</x:v>
      </x:c>
      <x:c r="B2862" s="2" t="str">
        <x:v>urban</x:v>
      </x:c>
      <x:c r="C2862" s="2" t="n">
        <x:v>69.680861801678</x:v>
      </x:c>
      <x:c r="D2862" s="2" t="n">
        <x:v>2025</x:v>
      </x:c>
      <x:c r="E2862" s="2" t="str">
        <x:v>WB_urban</x:v>
      </x:c>
      <x:c r="F2862" s="2" t="str">
        <x:v>Urban population (% of total population)</x:v>
      </x:c>
    </x:row>
    <x:row r="2863" ht="44" customHeight="1">
      <x:c r="A2863" s="2" t="str">
        <x:v>ITA</x:v>
      </x:c>
      <x:c r="B2863" s="2" t="str">
        <x:v>inflation</x:v>
      </x:c>
      <x:c r="C2863" s="2" t="n">
        <x:v>1.5316682765282</x:v>
      </x:c>
      <x:c r="D2863" s="2" t="n">
        <x:v>2025</x:v>
      </x:c>
      <x:c r="E2863" s="2" t="str">
        <x:v>WB_inflation</x:v>
      </x:c>
      <x:c r="F2863" s="2" t="str">
        <x:v>Inflation, consumer prices (annual %)</x:v>
      </x:c>
    </x:row>
    <x:row r="2864" ht="44" customHeight="1">
      <x:c r="A2864" s="2" t="str">
        <x:v>ITA</x:v>
      </x:c>
      <x:c r="B2864" s="2" t="str">
        <x:v>food_index</x:v>
      </x:c>
      <x:c r="C2864" s="2" t="n">
        <x:v>96.97</x:v>
      </x:c>
      <x:c r="D2864" s="2" t="n">
        <x:v>2022</x:v>
      </x:c>
      <x:c r="E2864" s="2" t="str">
        <x:v>WB_food_index</x:v>
      </x:c>
      <x:c r="F2864" s="2" t="str">
        <x:v>Food production index (2014-2016 = 100)</x:v>
      </x:c>
    </x:row>
    <x:row r="2865" ht="44" customHeight="1">
      <x:c r="A2865" s="2" t="str">
        <x:v>ITA</x:v>
      </x:c>
      <x:c r="B2865" s="2" t="str">
        <x:v>food_import_share</x:v>
      </x:c>
      <x:c r="C2865" s="2" t="n">
        <x:v>11.2165564192186</x:v>
      </x:c>
      <x:c r="D2865" s="2" t="n">
        <x:v>2024</x:v>
      </x:c>
      <x:c r="E2865" s="2" t="str">
        <x:v>WB_food_import_share</x:v>
      </x:c>
      <x:c r="F2865" s="2" t="str">
        <x:v>Food imports (% of merchandise imports)</x:v>
      </x:c>
    </x:row>
    <x:row r="2866" ht="44" customHeight="1">
      <x:c r="A2866" s="2" t="str">
        <x:v>ITA</x:v>
      </x:c>
      <x:c r="B2866" s="2" t="str">
        <x:v>food_export_share</x:v>
      </x:c>
      <x:c r="C2866" s="2" t="n">
        <x:v>11.1710227960221</x:v>
      </x:c>
      <x:c r="D2866" s="2" t="n">
        <x:v>2024</x:v>
      </x:c>
      <x:c r="E2866" s="2" t="str">
        <x:v>WB_food_export_share</x:v>
      </x:c>
      <x:c r="F2866" s="2" t="str">
        <x:v>Food exports (% of merchandise exports)</x:v>
      </x:c>
    </x:row>
    <x:row r="2867" ht="44" customHeight="1">
      <x:c r="A2867" s="2" t="str">
        <x:v>ITA</x:v>
      </x:c>
      <x:c r="B2867" s="2" t="str">
        <x:v>imports_usd</x:v>
      </x:c>
      <x:c r="C2867" s="2" t="n">
        <x:v>668672000000</x:v>
      </x:c>
      <x:c r="D2867" s="2" t="n">
        <x:v>2025</x:v>
      </x:c>
      <x:c r="E2867" s="2" t="str">
        <x:v>WB_imports_usd</x:v>
      </x:c>
      <x:c r="F2867" s="2" t="str">
        <x:v>Merchandise imports (current US$)</x:v>
      </x:c>
    </x:row>
    <x:row r="2868" ht="44" customHeight="1">
      <x:c r="A2868" s="2" t="str">
        <x:v>ITA</x:v>
      </x:c>
      <x:c r="B2868" s="2" t="str">
        <x:v>exports_usd</x:v>
      </x:c>
      <x:c r="C2868" s="2" t="n">
        <x:v>726499000000</x:v>
      </x:c>
      <x:c r="D2868" s="2" t="n">
        <x:v>2025</x:v>
      </x:c>
      <x:c r="E2868" s="2" t="str">
        <x:v>WB_exports_usd</x:v>
      </x:c>
      <x:c r="F2868" s="2" t="str">
        <x:v>Merchandise exports (current US$)</x:v>
      </x:c>
    </x:row>
    <x:row r="2869" ht="44" customHeight="1">
      <x:c r="A2869" s="2" t="str">
        <x:v>ITA</x:v>
      </x:c>
      <x:c r="B2869" s="2" t="str">
        <x:v>cereal_yield</x:v>
      </x:c>
      <x:c r="C2869" s="2" t="n">
        <x:v>5059.4</x:v>
      </x:c>
      <x:c r="D2869" s="2" t="n">
        <x:v>2023</x:v>
      </x:c>
      <x:c r="E2869" s="2" t="str">
        <x:v>WB_cereal_yield</x:v>
      </x:c>
      <x:c r="F2869" s="2" t="str">
        <x:v>Cereal yield (kg per hectare)</x:v>
      </x:c>
    </x:row>
    <x:row r="2870" ht="44" customHeight="1">
      <x:c r="A2870" s="2" t="str">
        <x:v>ITA</x:v>
      </x:c>
      <x:c r="B2870" s="2" t="str">
        <x:v>water_stress</x:v>
      </x:c>
      <x:c r="C2870" s="2" t="n">
        <x:v>29.76738039</x:v>
      </x:c>
      <x:c r="D2870" s="2" t="n">
        <x:v>2022</x:v>
      </x:c>
      <x:c r="E2870" s="2" t="str">
        <x:v>WB_water_stress</x:v>
      </x:c>
      <x:c r="F2870" s="2" t="str">
        <x:v>Level of water stress: freshwater withdrawal as a proportion of available freshwater resources</x:v>
      </x:c>
    </x:row>
    <x:row r="2871" ht="44" customHeight="1">
      <x:c r="A2871" s="2" t="str">
        <x:v>ITA</x:v>
      </x:c>
      <x:c r="B2871" s="2" t="str">
        <x:v>fertility</x:v>
      </x:c>
      <x:c r="C2871" s="2" t="n">
        <x:v>1.18</x:v>
      </x:c>
      <x:c r="D2871" s="2" t="n">
        <x:v>2024</x:v>
      </x:c>
      <x:c r="E2871" s="2" t="str">
        <x:v>WB_fertility</x:v>
      </x:c>
      <x:c r="F2871" s="2" t="str">
        <x:v>Fertility rate, total (births per woman)</x:v>
      </x:c>
    </x:row>
    <x:row r="2872" ht="44" customHeight="1">
      <x:c r="A2872" s="2" t="str">
        <x:v>ITA</x:v>
      </x:c>
      <x:c r="B2872" s="2" t="str">
        <x:v>life_expectancy</x:v>
      </x:c>
      <x:c r="C2872" s="2" t="n">
        <x:v>83.9512195121951</x:v>
      </x:c>
      <x:c r="D2872" s="2" t="n">
        <x:v>2024</x:v>
      </x:c>
      <x:c r="E2872" s="2" t="str">
        <x:v>WB_life_expectancy</x:v>
      </x:c>
      <x:c r="F2872" s="2" t="str">
        <x:v>Life expectancy at birth, total (years)</x:v>
      </x:c>
    </x:row>
    <x:row r="2873" ht="44" customHeight="1">
      <x:c r="A2873" s="2" t="str">
        <x:v>ITA</x:v>
      </x:c>
      <x:c r="B2873" s="2" t="str">
        <x:v>age_under15</x:v>
      </x:c>
      <x:c r="C2873" s="2" t="n">
        <x:v>11.6571656432714</x:v>
      </x:c>
      <x:c r="D2873" s="2" t="n">
        <x:v>2025</x:v>
      </x:c>
      <x:c r="E2873" s="2" t="str">
        <x:v>WB_age_under15</x:v>
      </x:c>
      <x:c r="F2873" s="2" t="str">
        <x:v>Population ages 0-14 (% of total population)</x:v>
      </x:c>
    </x:row>
    <x:row r="2874" ht="44" customHeight="1">
      <x:c r="A2874" s="2" t="str">
        <x:v>ITA</x:v>
      </x:c>
      <x:c r="B2874" s="2" t="str">
        <x:v>age_over65</x:v>
      </x:c>
      <x:c r="C2874" s="2" t="n">
        <x:v>25.0981380733118</x:v>
      </x:c>
      <x:c r="D2874" s="2" t="n">
        <x:v>2025</x:v>
      </x:c>
      <x:c r="E2874" s="2" t="str">
        <x:v>WB_age_over65</x:v>
      </x:c>
      <x:c r="F2874" s="2" t="str">
        <x:v>Population ages 65 and above (% of total population)</x:v>
      </x:c>
    </x:row>
    <x:row r="2875" ht="44" customHeight="1">
      <x:c r="A2875" s="2" t="str">
        <x:v>ITA</x:v>
      </x:c>
      <x:c r="B2875" s="2" t="str">
        <x:v>dependency_ratio</x:v>
      </x:c>
      <x:c r="C2875" s="2" t="n">
        <x:v>58.1160267505234</x:v>
      </x:c>
      <x:c r="D2875" s="2" t="n">
        <x:v>2025</x:v>
      </x:c>
      <x:c r="E2875" s="2" t="str">
        <x:v>WB_dependency_ratio</x:v>
      </x:c>
      <x:c r="F2875" s="2" t="str">
        <x:v>Age dependency ratio (% of working-age population)</x:v>
      </x:c>
    </x:row>
    <x:row r="2876" ht="44" customHeight="1">
      <x:c r="A2876" s="2" t="str">
        <x:v>ITA</x:v>
      </x:c>
      <x:c r="B2876" s="2" t="str">
        <x:v>net_migration</x:v>
      </x:c>
      <x:c r="C2876" s="2" t="n">
        <x:v>75448</x:v>
      </x:c>
      <x:c r="D2876" s="2" t="n">
        <x:v>2025</x:v>
      </x:c>
      <x:c r="E2876" s="2" t="str">
        <x:v>WB_net_migration</x:v>
      </x:c>
      <x:c r="F2876" s="2" t="str">
        <x:v>Net migration</x:v>
      </x:c>
    </x:row>
    <x:row r="2877" ht="44" customHeight="1">
      <x:c r="A2877" s="2" t="str">
        <x:v>ITA</x:v>
      </x:c>
      <x:c r="B2877" s="2" t="str">
        <x:v>real_gdp</x:v>
      </x:c>
      <x:c r="C2877" s="2" t="n">
        <x:v>2045324195978.49</x:v>
      </x:c>
      <x:c r="D2877" s="2" t="n">
        <x:v>2025</x:v>
      </x:c>
      <x:c r="E2877" s="2" t="str">
        <x:v>WB_real_gdp</x:v>
      </x:c>
      <x:c r="F2877" s="2" t="str">
        <x:v>GDP (constant 2015 US$)</x:v>
      </x:c>
    </x:row>
    <x:row r="2878" ht="44" customHeight="1">
      <x:c r="A2878" s="2" t="str">
        <x:v>ITA</x:v>
      </x:c>
      <x:c r="B2878" s="2" t="str">
        <x:v>gdp_growth</x:v>
      </x:c>
      <x:c r="C2878" s="2" t="n">
        <x:v>0.539583636778445</x:v>
      </x:c>
      <x:c r="D2878" s="2" t="n">
        <x:v>2025</x:v>
      </x:c>
      <x:c r="E2878" s="2" t="str">
        <x:v>WB_gdp_growth</x:v>
      </x:c>
      <x:c r="F2878" s="2" t="str">
        <x:v>GDP growth (annual %)</x:v>
      </x:c>
    </x:row>
    <x:row r="2879" ht="44" customHeight="1">
      <x:c r="A2879" s="2" t="str">
        <x:v>ITA</x:v>
      </x:c>
      <x:c r="B2879" s="2" t="str">
        <x:v>real_income</x:v>
      </x:c>
      <x:c r="C2879" s="2" t="n">
        <x:v>34716.1405786348</x:v>
      </x:c>
      <x:c r="D2879" s="2" t="n">
        <x:v>2025</x:v>
      </x:c>
      <x:c r="E2879" s="2" t="str">
        <x:v>WB_real_income</x:v>
      </x:c>
      <x:c r="F2879" s="2" t="str">
        <x:v>GDP per capita (constant 2015 US$)</x:v>
      </x:c>
    </x:row>
    <x:row r="2880" ht="44" customHeight="1">
      <x:c r="A2880" s="2" t="str">
        <x:v>ITA</x:v>
      </x:c>
      <x:c r="B2880" s="2" t="str">
        <x:v>agriculture_gdp</x:v>
      </x:c>
      <x:c r="C2880" s="2" t="n">
        <x:v>2.06549575303668</x:v>
      </x:c>
      <x:c r="D2880" s="2" t="n">
        <x:v>2025</x:v>
      </x:c>
      <x:c r="E2880" s="2" t="str">
        <x:v>WB_agriculture_gdp</x:v>
      </x:c>
      <x:c r="F2880" s="2" t="str">
        <x:v>Agriculture, forestry, and fishing, value added (% of GDP)</x:v>
      </x:c>
    </x:row>
    <x:row r="2881" ht="44" customHeight="1">
      <x:c r="A2881" s="2" t="str">
        <x:v>ITA</x:v>
      </x:c>
      <x:c r="B2881" s="2" t="str">
        <x:v>poverty</x:v>
      </x:c>
      <x:c r="C2881" s="2" t="n">
        <x:v>0.9</x:v>
      </x:c>
      <x:c r="D2881" s="2" t="n">
        <x:v>2023</x:v>
      </x:c>
      <x:c r="E2881" s="2" t="str">
        <x:v>WB_poverty</x:v>
      </x:c>
      <x:c r="F2881" s="2" t="str">
        <x:v>Poverty headcount ratio at $3.00 a day (2021 PPP) (% of population)</x:v>
      </x:c>
    </x:row>
    <x:row r="2882" ht="44" customHeight="1">
      <x:c r="A2882" s="2" t="str">
        <x:v>ITA</x:v>
      </x:c>
      <x:c r="B2882" s="2" t="str">
        <x:v>gini</x:v>
      </x:c>
      <x:c r="C2882" s="2" t="n">
        <x:v>34.3</x:v>
      </x:c>
      <x:c r="D2882" s="2" t="n">
        <x:v>2023</x:v>
      </x:c>
      <x:c r="E2882" s="2" t="str">
        <x:v>WB_gini</x:v>
      </x:c>
      <x:c r="F2882" s="2" t="str">
        <x:v>Gini index</x:v>
      </x:c>
    </x:row>
    <x:row r="2883" ht="44" customHeight="1">
      <x:c r="A2883" s="2" t="str">
        <x:v>ITA</x:v>
      </x:c>
      <x:c r="B2883" s="2" t="str">
        <x:v>unemployment</x:v>
      </x:c>
      <x:c r="C2883" s="2" t="n">
        <x:v>6.391</x:v>
      </x:c>
      <x:c r="D2883" s="2" t="n">
        <x:v>2025</x:v>
      </x:c>
      <x:c r="E2883" s="2" t="str">
        <x:v>WB_unemployment</x:v>
      </x:c>
      <x:c r="F2883" s="2" t="str">
        <x:v>Unemployment, total (% of total labor force) (modeled ILO estimate)</x:v>
      </x:c>
    </x:row>
    <x:row r="2884" ht="44" customHeight="1">
      <x:c r="A2884" s="2" t="str">
        <x:v>ITA</x:v>
      </x:c>
      <x:c r="B2884" s="2" t="str">
        <x:v>private_credit</x:v>
      </x:c>
      <x:c r="C2884" s="2" t="n">
        <x:v>60.3040047752275</x:v>
      </x:c>
      <x:c r="D2884" s="2" t="n">
        <x:v>2024</x:v>
      </x:c>
      <x:c r="E2884" s="2" t="str">
        <x:v>WB_private_credit</x:v>
      </x:c>
      <x:c r="F2884" s="2" t="str">
        <x:v>Domestic credit to private sector (% of GDP)</x:v>
      </x:c>
    </x:row>
    <x:row r="2885" ht="44" customHeight="1">
      <x:c r="A2885" s="2" t="str">
        <x:v>ITA</x:v>
      </x:c>
      <x:c r="B2885" s="2" t="str">
        <x:v>lending_rate</x:v>
      </x:c>
      <x:c r="C2885" s="2" t="n">
        <x:v>4.07304808333333</x:v>
      </x:c>
      <x:c r="D2885" s="2" t="n">
        <x:v>2025</x:v>
      </x:c>
      <x:c r="E2885" s="2" t="str">
        <x:v>WB_lending_rate</x:v>
      </x:c>
      <x:c r="F2885" s="2" t="str">
        <x:v>Lending interest rate (%)</x:v>
      </x:c>
    </x:row>
    <x:row r="2886" ht="44" customHeight="1">
      <x:c r="A2886" s="2" t="str">
        <x:v>ITA</x:v>
      </x:c>
      <x:c r="B2886" s="2" t="str">
        <x:v>real_interest</x:v>
      </x:c>
      <x:c r="C2886" s="2" t="n">
        <x:v>2.03884181268656</x:v>
      </x:c>
      <x:c r="D2886" s="2" t="n">
        <x:v>2025</x:v>
      </x:c>
      <x:c r="E2886" s="2" t="str">
        <x:v>WB_real_interest</x:v>
      </x:c>
      <x:c r="F2886" s="2" t="str">
        <x:v>Real interest rate (%)</x:v>
      </x:c>
    </x:row>
    <x:row r="2887" ht="44" customHeight="1">
      <x:c r="A2887" s="2" t="str">
        <x:v>ITA</x:v>
      </x:c>
      <x:c r="B2887" s="2" t="str">
        <x:v>government_debt</x:v>
      </x:c>
      <x:c r="C2887" s="2"/>
      <x:c r="D2887" s="2"/>
      <x:c r="E2887" s="2" t="str">
        <x:v>Missing</x:v>
      </x:c>
      <x:c r="F2887" s="2" t="str">
        <x:v>Central government debt, total (% of GDP)</x:v>
      </x:c>
    </x:row>
    <x:row r="2888" ht="44" customHeight="1">
      <x:c r="A2888" s="2" t="str">
        <x:v>ITA</x:v>
      </x:c>
      <x:c r="B2888" s="2" t="str">
        <x:v>electricity_access</x:v>
      </x:c>
      <x:c r="C2888" s="2" t="n">
        <x:v>100</x:v>
      </x:c>
      <x:c r="D2888" s="2" t="n">
        <x:v>2024</x:v>
      </x:c>
      <x:c r="E2888" s="2" t="str">
        <x:v>WB_electricity_access</x:v>
      </x:c>
      <x:c r="F2888" s="2" t="str">
        <x:v>Access to electricity (% of population)</x:v>
      </x:c>
    </x:row>
    <x:row r="2889" ht="44" customHeight="1">
      <x:c r="A2889" s="2" t="str">
        <x:v>ITA</x:v>
      </x:c>
      <x:c r="B2889" s="2" t="str">
        <x:v>irrigated_land</x:v>
      </x:c>
      <x:c r="C2889" s="2" t="n">
        <x:v>19.7209861018729</x:v>
      </x:c>
      <x:c r="D2889" s="2" t="n">
        <x:v>2021</x:v>
      </x:c>
      <x:c r="E2889" s="2" t="str">
        <x:v>WB_irrigated_land</x:v>
      </x:c>
      <x:c r="F2889" s="2" t="str">
        <x:v>Agricultural irrigated land (% of total agricultural land)</x:v>
      </x:c>
    </x:row>
    <x:row r="2890" ht="44" customHeight="1">
      <x:c r="A2890" s="2" t="str">
        <x:v>ITA</x:v>
      </x:c>
      <x:c r="B2890" s="2" t="str">
        <x:v>cereal_area</x:v>
      </x:c>
      <x:c r="C2890" s="2" t="n">
        <x:v>3054290</x:v>
      </x:c>
      <x:c r="D2890" s="2" t="n">
        <x:v>2023</x:v>
      </x:c>
      <x:c r="E2890" s="2" t="str">
        <x:v>WB_cereal_area</x:v>
      </x:c>
      <x:c r="F2890" s="2" t="str">
        <x:v>Land under cereal production (hectares)</x:v>
      </x:c>
    </x:row>
    <x:row r="2891" ht="44" customHeight="1">
      <x:c r="A2891" s="2" t="str">
        <x:v>ITA</x:v>
      </x:c>
      <x:c r="B2891" s="2" t="str">
        <x:v>undernourishment</x:v>
      </x:c>
      <x:c r="C2891" s="2" t="n">
        <x:v>2.5</x:v>
      </x:c>
      <x:c r="D2891" s="2" t="n">
        <x:v>2023</x:v>
      </x:c>
      <x:c r="E2891" s="2" t="str">
        <x:v>WB_undernourishment</x:v>
      </x:c>
      <x:c r="F2891" s="2" t="str">
        <x:v>Prevalence of undernourishment (% of population)</x:v>
      </x:c>
    </x:row>
    <x:row r="2892" ht="44" customHeight="1">
      <x:c r="A2892" s="2" t="str">
        <x:v>ITA</x:v>
      </x:c>
      <x:c r="B2892" s="2" t="str">
        <x:v>agriculture_employment</x:v>
      </x:c>
      <x:c r="C2892" s="2" t="n">
        <x:v>3.34721738534004</x:v>
      </x:c>
      <x:c r="D2892" s="2" t="n">
        <x:v>2025</x:v>
      </x:c>
      <x:c r="E2892" s="2" t="str">
        <x:v>WB_agriculture_employment</x:v>
      </x:c>
      <x:c r="F2892" s="2" t="str">
        <x:v>Employment in agriculture (% of total employment) (modeled ILO estimate)</x:v>
      </x:c>
    </x:row>
    <x:row r="2893" ht="44" customHeight="1">
      <x:c r="A2893" s="2" t="str">
        <x:v>ITA</x:v>
      </x:c>
      <x:c r="B2893" s="2" t="str">
        <x:v>water_withdrawal</x:v>
      </x:c>
      <x:c r="C2893" s="2" t="n">
        <x:v>18.5112328767123</x:v>
      </x:c>
      <x:c r="D2893" s="2" t="n">
        <x:v>2022</x:v>
      </x:c>
      <x:c r="E2893" s="2" t="str">
        <x:v>WB_water_withdrawal</x:v>
      </x:c>
      <x:c r="F2893" s="2" t="str">
        <x:v>Annual freshwater withdrawals, total (% of internal resources)</x:v>
      </x:c>
    </x:row>
    <x:row r="2894" ht="44" customHeight="1">
      <x:c r="A2894" s="2" t="str">
        <x:v>JAM</x:v>
      </x:c>
      <x:c r="B2894" s="2" t="str">
        <x:v>population</x:v>
      </x:c>
      <x:c r="C2894" s="2" t="n">
        <x:v>2837077</x:v>
      </x:c>
      <x:c r="D2894" s="2" t="n">
        <x:v>2025</x:v>
      </x:c>
      <x:c r="E2894" s="2" t="str">
        <x:v>WB_population</x:v>
      </x:c>
      <x:c r="F2894" s="2" t="str">
        <x:v>Population, total</x:v>
      </x:c>
    </x:row>
    <x:row r="2895" ht="44" customHeight="1">
      <x:c r="A2895" s="2" t="str">
        <x:v>JAM</x:v>
      </x:c>
      <x:c r="B2895" s="2" t="str">
        <x:v>income_ppp</x:v>
      </x:c>
      <x:c r="C2895" s="2" t="n">
        <x:v>11357.915592063</x:v>
      </x:c>
      <x:c r="D2895" s="2" t="n">
        <x:v>2025</x:v>
      </x:c>
      <x:c r="E2895" s="2" t="str">
        <x:v>WB_income_ppp</x:v>
      </x:c>
      <x:c r="F2895" s="2" t="str">
        <x:v>GDP per capita, PPP (constant 2021 international $)</x:v>
      </x:c>
    </x:row>
    <x:row r="2896" ht="44" customHeight="1">
      <x:c r="A2896" s="2" t="str">
        <x:v>JAM</x:v>
      </x:c>
      <x:c r="B2896" s="2" t="str">
        <x:v>urban</x:v>
      </x:c>
      <x:c r="C2896" s="2" t="n">
        <x:v>59.4254051751628</x:v>
      </x:c>
      <x:c r="D2896" s="2" t="n">
        <x:v>2025</x:v>
      </x:c>
      <x:c r="E2896" s="2" t="str">
        <x:v>WB_urban</x:v>
      </x:c>
      <x:c r="F2896" s="2" t="str">
        <x:v>Urban population (% of total population)</x:v>
      </x:c>
    </x:row>
    <x:row r="2897" ht="44" customHeight="1">
      <x:c r="A2897" s="2" t="str">
        <x:v>JAM</x:v>
      </x:c>
      <x:c r="B2897" s="2" t="str">
        <x:v>inflation</x:v>
      </x:c>
      <x:c r="C2897" s="2" t="n">
        <x:v>4.00459048079239</x:v>
      </x:c>
      <x:c r="D2897" s="2" t="n">
        <x:v>2025</x:v>
      </x:c>
      <x:c r="E2897" s="2" t="str">
        <x:v>WB_inflation</x:v>
      </x:c>
      <x:c r="F2897" s="2" t="str">
        <x:v>Inflation, consumer prices (annual %)</x:v>
      </x:c>
    </x:row>
    <x:row r="2898" ht="44" customHeight="1">
      <x:c r="A2898" s="2" t="str">
        <x:v>JAM</x:v>
      </x:c>
      <x:c r="B2898" s="2" t="str">
        <x:v>food_index</x:v>
      </x:c>
      <x:c r="C2898" s="2" t="n">
        <x:v>113.26</x:v>
      </x:c>
      <x:c r="D2898" s="2" t="n">
        <x:v>2022</x:v>
      </x:c>
      <x:c r="E2898" s="2" t="str">
        <x:v>WB_food_index</x:v>
      </x:c>
      <x:c r="F2898" s="2" t="str">
        <x:v>Food production index (2014-2016 = 100)</x:v>
      </x:c>
    </x:row>
    <x:row r="2899" ht="44" customHeight="1">
      <x:c r="A2899" s="2" t="str">
        <x:v>JAM</x:v>
      </x:c>
      <x:c r="B2899" s="2" t="str">
        <x:v>food_import_share</x:v>
      </x:c>
      <x:c r="C2899" s="2" t="n">
        <x:v>20.5146673938933</x:v>
      </x:c>
      <x:c r="D2899" s="2" t="n">
        <x:v>2023</x:v>
      </x:c>
      <x:c r="E2899" s="2" t="str">
        <x:v>WB_food_import_share</x:v>
      </x:c>
      <x:c r="F2899" s="2" t="str">
        <x:v>Food imports (% of merchandise imports)</x:v>
      </x:c>
    </x:row>
    <x:row r="2900" ht="44" customHeight="1">
      <x:c r="A2900" s="2" t="str">
        <x:v>JAM</x:v>
      </x:c>
      <x:c r="B2900" s="2" t="str">
        <x:v>food_export_share</x:v>
      </x:c>
      <x:c r="C2900" s="2" t="n">
        <x:v>30.3866398719161</x:v>
      </x:c>
      <x:c r="D2900" s="2" t="n">
        <x:v>2023</x:v>
      </x:c>
      <x:c r="E2900" s="2" t="str">
        <x:v>WB_food_export_share</x:v>
      </x:c>
      <x:c r="F2900" s="2" t="str">
        <x:v>Food exports (% of merchandise exports)</x:v>
      </x:c>
    </x:row>
    <x:row r="2901" ht="44" customHeight="1">
      <x:c r="A2901" s="2" t="str">
        <x:v>JAM</x:v>
      </x:c>
      <x:c r="B2901" s="2" t="str">
        <x:v>imports_usd</x:v>
      </x:c>
      <x:c r="C2901" s="2" t="n">
        <x:v>7684000000</x:v>
      </x:c>
      <x:c r="D2901" s="2" t="n">
        <x:v>2025</x:v>
      </x:c>
      <x:c r="E2901" s="2" t="str">
        <x:v>WB_imports_usd</x:v>
      </x:c>
      <x:c r="F2901" s="2" t="str">
        <x:v>Merchandise imports (current US$)</x:v>
      </x:c>
    </x:row>
    <x:row r="2902" ht="44" customHeight="1">
      <x:c r="A2902" s="2" t="str">
        <x:v>JAM</x:v>
      </x:c>
      <x:c r="B2902" s="2" t="str">
        <x:v>exports_usd</x:v>
      </x:c>
      <x:c r="C2902" s="2" t="n">
        <x:v>1689000000</x:v>
      </x:c>
      <x:c r="D2902" s="2" t="n">
        <x:v>2025</x:v>
      </x:c>
      <x:c r="E2902" s="2" t="str">
        <x:v>WB_exports_usd</x:v>
      </x:c>
      <x:c r="F2902" s="2" t="str">
        <x:v>Merchandise exports (current US$)</x:v>
      </x:c>
    </x:row>
    <x:row r="2903" ht="44" customHeight="1">
      <x:c r="A2903" s="2" t="str">
        <x:v>JAM</x:v>
      </x:c>
      <x:c r="B2903" s="2" t="str">
        <x:v>cereal_yield</x:v>
      </x:c>
      <x:c r="C2903" s="2" t="n">
        <x:v>1140.4</x:v>
      </x:c>
      <x:c r="D2903" s="2" t="n">
        <x:v>2023</x:v>
      </x:c>
      <x:c r="E2903" s="2" t="str">
        <x:v>WB_cereal_yield</x:v>
      </x:c>
      <x:c r="F2903" s="2" t="str">
        <x:v>Cereal yield (kg per hectare)</x:v>
      </x:c>
    </x:row>
    <x:row r="2904" ht="44" customHeight="1">
      <x:c r="A2904" s="2" t="str">
        <x:v>JAM</x:v>
      </x:c>
      <x:c r="B2904" s="2" t="str">
        <x:v>water_stress</x:v>
      </x:c>
      <x:c r="C2904" s="2" t="n">
        <x:v>12.38281888</x:v>
      </x:c>
      <x:c r="D2904" s="2" t="n">
        <x:v>2022</x:v>
      </x:c>
      <x:c r="E2904" s="2" t="str">
        <x:v>WB_water_stress</x:v>
      </x:c>
      <x:c r="F2904" s="2" t="str">
        <x:v>Level of water stress: freshwater withdrawal as a proportion of available freshwater resources</x:v>
      </x:c>
    </x:row>
    <x:row r="2905" ht="44" customHeight="1">
      <x:c r="A2905" s="2" t="str">
        <x:v>JAM</x:v>
      </x:c>
      <x:c r="B2905" s="2" t="str">
        <x:v>fertility</x:v>
      </x:c>
      <x:c r="C2905" s="2" t="n">
        <x:v>1.351</x:v>
      </x:c>
      <x:c r="D2905" s="2" t="n">
        <x:v>2024</x:v>
      </x:c>
      <x:c r="E2905" s="2" t="str">
        <x:v>WB_fertility</x:v>
      </x:c>
      <x:c r="F2905" s="2" t="str">
        <x:v>Fertility rate, total (births per woman)</x:v>
      </x:c>
    </x:row>
    <x:row r="2906" ht="44" customHeight="1">
      <x:c r="A2906" s="2" t="str">
        <x:v>JAM</x:v>
      </x:c>
      <x:c r="B2906" s="2" t="str">
        <x:v>life_expectancy</x:v>
      </x:c>
      <x:c r="C2906" s="2" t="n">
        <x:v>71.606</x:v>
      </x:c>
      <x:c r="D2906" s="2" t="n">
        <x:v>2024</x:v>
      </x:c>
      <x:c r="E2906" s="2" t="str">
        <x:v>WB_life_expectancy</x:v>
      </x:c>
      <x:c r="F2906" s="2" t="str">
        <x:v>Life expectancy at birth, total (years)</x:v>
      </x:c>
    </x:row>
    <x:row r="2907" ht="44" customHeight="1">
      <x:c r="A2907" s="2" t="str">
        <x:v>JAM</x:v>
      </x:c>
      <x:c r="B2907" s="2" t="str">
        <x:v>age_under15</x:v>
      </x:c>
      <x:c r="C2907" s="2" t="n">
        <x:v>18.2849957394537</x:v>
      </x:c>
      <x:c r="D2907" s="2" t="n">
        <x:v>2025</x:v>
      </x:c>
      <x:c r="E2907" s="2" t="str">
        <x:v>WB_age_under15</x:v>
      </x:c>
      <x:c r="F2907" s="2" t="str">
        <x:v>Population ages 0-14 (% of total population)</x:v>
      </x:c>
    </x:row>
    <x:row r="2908" ht="44" customHeight="1">
      <x:c r="A2908" s="2" t="str">
        <x:v>JAM</x:v>
      </x:c>
      <x:c r="B2908" s="2" t="str">
        <x:v>age_over65</x:v>
      </x:c>
      <x:c r="C2908" s="2" t="n">
        <x:v>8.57907476972342</x:v>
      </x:c>
      <x:c r="D2908" s="2" t="n">
        <x:v>2025</x:v>
      </x:c>
      <x:c r="E2908" s="2" t="str">
        <x:v>WB_age_over65</x:v>
      </x:c>
      <x:c r="F2908" s="2" t="str">
        <x:v>Population ages 65 and above (% of total population)</x:v>
      </x:c>
    </x:row>
    <x:row r="2909" ht="44" customHeight="1">
      <x:c r="A2909" s="2" t="str">
        <x:v>JAM</x:v>
      </x:c>
      <x:c r="B2909" s="2" t="str">
        <x:v>dependency_ratio</x:v>
      </x:c>
      <x:c r="C2909" s="2" t="n">
        <x:v>36.7316763079883</x:v>
      </x:c>
      <x:c r="D2909" s="2" t="n">
        <x:v>2025</x:v>
      </x:c>
      <x:c r="E2909" s="2" t="str">
        <x:v>WB_dependency_ratio</x:v>
      </x:c>
      <x:c r="F2909" s="2" t="str">
        <x:v>Age dependency ratio (% of working-age population)</x:v>
      </x:c>
    </x:row>
    <x:row r="2910" ht="44" customHeight="1">
      <x:c r="A2910" s="2" t="str">
        <x:v>JAM</x:v>
      </x:c>
      <x:c r="B2910" s="2" t="str">
        <x:v>net_migration</x:v>
      </x:c>
      <x:c r="C2910" s="2" t="n">
        <x:v>-11053</x:v>
      </x:c>
      <x:c r="D2910" s="2" t="n">
        <x:v>2025</x:v>
      </x:c>
      <x:c r="E2910" s="2" t="str">
        <x:v>WB_net_migration</x:v>
      </x:c>
      <x:c r="F2910" s="2" t="str">
        <x:v>Net migration</x:v>
      </x:c>
    </x:row>
    <x:row r="2911" ht="44" customHeight="1">
      <x:c r="A2911" s="2" t="str">
        <x:v>JAM</x:v>
      </x:c>
      <x:c r="B2911" s="2" t="str">
        <x:v>real_gdp</x:v>
      </x:c>
      <x:c r="C2911" s="2" t="n">
        <x:v>17322971206.1042</x:v>
      </x:c>
      <x:c r="D2911" s="2" t="n">
        <x:v>2025</x:v>
      </x:c>
      <x:c r="E2911" s="2" t="str">
        <x:v>WB_real_gdp</x:v>
      </x:c>
      <x:c r="F2911" s="2" t="str">
        <x:v>GDP (constant 2015 US$)</x:v>
      </x:c>
    </x:row>
    <x:row r="2912" ht="44" customHeight="1">
      <x:c r="A2912" s="2" t="str">
        <x:v>JAM</x:v>
      </x:c>
      <x:c r="B2912" s="2" t="str">
        <x:v>gdp_growth</x:v>
      </x:c>
      <x:c r="C2912" s="2" t="n">
        <x:v>0.0816454877745656</x:v>
      </x:c>
      <x:c r="D2912" s="2" t="n">
        <x:v>2025</x:v>
      </x:c>
      <x:c r="E2912" s="2" t="str">
        <x:v>WB_gdp_growth</x:v>
      </x:c>
      <x:c r="F2912" s="2" t="str">
        <x:v>GDP growth (annual %)</x:v>
      </x:c>
    </x:row>
    <x:row r="2913" ht="44" customHeight="1">
      <x:c r="A2913" s="2" t="str">
        <x:v>JAM</x:v>
      </x:c>
      <x:c r="B2913" s="2" t="str">
        <x:v>real_income</x:v>
      </x:c>
      <x:c r="C2913" s="2" t="n">
        <x:v>6105.9221184706</x:v>
      </x:c>
      <x:c r="D2913" s="2" t="n">
        <x:v>2025</x:v>
      </x:c>
      <x:c r="E2913" s="2" t="str">
        <x:v>WB_real_income</x:v>
      </x:c>
      <x:c r="F2913" s="2" t="str">
        <x:v>GDP per capita (constant 2015 US$)</x:v>
      </x:c>
    </x:row>
    <x:row r="2914" ht="44" customHeight="1">
      <x:c r="A2914" s="2" t="str">
        <x:v>JAM</x:v>
      </x:c>
      <x:c r="B2914" s="2" t="str">
        <x:v>agriculture_gdp</x:v>
      </x:c>
      <x:c r="C2914" s="2" t="n">
        <x:v>8.74303657894802</x:v>
      </x:c>
      <x:c r="D2914" s="2" t="n">
        <x:v>2025</x:v>
      </x:c>
      <x:c r="E2914" s="2" t="str">
        <x:v>WB_agriculture_gdp</x:v>
      </x:c>
      <x:c r="F2914" s="2" t="str">
        <x:v>Agriculture, forestry, and fishing, value added (% of GDP)</x:v>
      </x:c>
    </x:row>
    <x:row r="2915" ht="44" customHeight="1">
      <x:c r="A2915" s="2" t="str">
        <x:v>JAM</x:v>
      </x:c>
      <x:c r="B2915" s="2" t="str">
        <x:v>poverty</x:v>
      </x:c>
      <x:c r="C2915" s="2" t="n">
        <x:v>1.4</x:v>
      </x:c>
      <x:c r="D2915" s="2" t="n">
        <x:v>2021</x:v>
      </x:c>
      <x:c r="E2915" s="2" t="str">
        <x:v>WB_poverty</x:v>
      </x:c>
      <x:c r="F2915" s="2" t="str">
        <x:v>Poverty headcount ratio at $3.00 a day (2021 PPP) (% of population)</x:v>
      </x:c>
    </x:row>
    <x:row r="2916" ht="44" customHeight="1">
      <x:c r="A2916" s="2" t="str">
        <x:v>JAM</x:v>
      </x:c>
      <x:c r="B2916" s="2" t="str">
        <x:v>gini</x:v>
      </x:c>
      <x:c r="C2916" s="2" t="n">
        <x:v>39.9</x:v>
      </x:c>
      <x:c r="D2916" s="2" t="n">
        <x:v>2021</x:v>
      </x:c>
      <x:c r="E2916" s="2" t="str">
        <x:v>WB_gini</x:v>
      </x:c>
      <x:c r="F2916" s="2" t="str">
        <x:v>Gini index</x:v>
      </x:c>
    </x:row>
    <x:row r="2917" ht="44" customHeight="1">
      <x:c r="A2917" s="2" t="str">
        <x:v>JAM</x:v>
      </x:c>
      <x:c r="B2917" s="2" t="str">
        <x:v>unemployment</x:v>
      </x:c>
      <x:c r="C2917" s="2" t="n">
        <x:v>3.286</x:v>
      </x:c>
      <x:c r="D2917" s="2" t="n">
        <x:v>2025</x:v>
      </x:c>
      <x:c r="E2917" s="2" t="str">
        <x:v>WB_unemployment</x:v>
      </x:c>
      <x:c r="F2917" s="2" t="str">
        <x:v>Unemployment, total (% of total labor force) (modeled ILO estimate)</x:v>
      </x:c>
    </x:row>
    <x:row r="2918" ht="44" customHeight="1">
      <x:c r="A2918" s="2" t="str">
        <x:v>JAM</x:v>
      </x:c>
      <x:c r="B2918" s="2" t="str">
        <x:v>private_credit</x:v>
      </x:c>
      <x:c r="C2918" s="2" t="n">
        <x:v>45.8808167081061</x:v>
      </x:c>
      <x:c r="D2918" s="2" t="n">
        <x:v>2025</x:v>
      </x:c>
      <x:c r="E2918" s="2" t="str">
        <x:v>WB_private_credit</x:v>
      </x:c>
      <x:c r="F2918" s="2" t="str">
        <x:v>Domestic credit to private sector (% of GDP)</x:v>
      </x:c>
    </x:row>
    <x:row r="2919" ht="44" customHeight="1">
      <x:c r="A2919" s="2" t="str">
        <x:v>JAM</x:v>
      </x:c>
      <x:c r="B2919" s="2" t="str">
        <x:v>lending_rate</x:v>
      </x:c>
      <x:c r="C2919" s="2" t="n">
        <x:v>12.1411696530584</x:v>
      </x:c>
      <x:c r="D2919" s="2" t="n">
        <x:v>2025</x:v>
      </x:c>
      <x:c r="E2919" s="2" t="str">
        <x:v>WB_lending_rate</x:v>
      </x:c>
      <x:c r="F2919" s="2" t="str">
        <x:v>Lending interest rate (%)</x:v>
      </x:c>
    </x:row>
    <x:row r="2920" ht="44" customHeight="1">
      <x:c r="A2920" s="2" t="str">
        <x:v>JAM</x:v>
      </x:c>
      <x:c r="B2920" s="2" t="str">
        <x:v>real_interest</x:v>
      </x:c>
      <x:c r="C2920" s="2" t="n">
        <x:v>7.00236382004761</x:v>
      </x:c>
      <x:c r="D2920" s="2" t="n">
        <x:v>2025</x:v>
      </x:c>
      <x:c r="E2920" s="2" t="str">
        <x:v>WB_real_interest</x:v>
      </x:c>
      <x:c r="F2920" s="2" t="str">
        <x:v>Real interest rate (%)</x:v>
      </x:c>
    </x:row>
    <x:row r="2921" ht="44" customHeight="1">
      <x:c r="A2921" s="2" t="str">
        <x:v>JAM</x:v>
      </x:c>
      <x:c r="B2921" s="2" t="str">
        <x:v>government_debt</x:v>
      </x:c>
      <x:c r="C2921" s="2" t="n">
        <x:v>97.8664003352989</x:v>
      </x:c>
      <x:c r="D2921" s="2" t="n">
        <x:v>2020</x:v>
      </x:c>
      <x:c r="E2921" s="2" t="str">
        <x:v>WB_government_debt</x:v>
      </x:c>
      <x:c r="F2921" s="2" t="str">
        <x:v>Central government debt, total (% of GDP)</x:v>
      </x:c>
    </x:row>
    <x:row r="2922" ht="44" customHeight="1">
      <x:c r="A2922" s="2" t="str">
        <x:v>JAM</x:v>
      </x:c>
      <x:c r="B2922" s="2" t="str">
        <x:v>electricity_access</x:v>
      </x:c>
      <x:c r="C2922" s="2" t="n">
        <x:v>97.7</x:v>
      </x:c>
      <x:c r="D2922" s="2" t="n">
        <x:v>2024</x:v>
      </x:c>
      <x:c r="E2922" s="2" t="str">
        <x:v>WB_electricity_access</x:v>
      </x:c>
      <x:c r="F2922" s="2" t="str">
        <x:v>Access to electricity (% of population)</x:v>
      </x:c>
    </x:row>
    <x:row r="2923" ht="44" customHeight="1">
      <x:c r="A2923" s="2" t="str">
        <x:v>JAM</x:v>
      </x:c>
      <x:c r="B2923" s="2" t="str">
        <x:v>irrigated_land</x:v>
      </x:c>
      <x:c r="C2923" s="2" t="n">
        <x:v>7.28696890576786</x:v>
      </x:c>
      <x:c r="D2923" s="2" t="n">
        <x:v>2010</x:v>
      </x:c>
      <x:c r="E2923" s="2" t="str">
        <x:v>WB_irrigated_land</x:v>
      </x:c>
      <x:c r="F2923" s="2" t="str">
        <x:v>Agricultural irrigated land (% of total agricultural land)</x:v>
      </x:c>
    </x:row>
    <x:row r="2924" ht="44" customHeight="1">
      <x:c r="A2924" s="2" t="str">
        <x:v>JAM</x:v>
      </x:c>
      <x:c r="B2924" s="2" t="str">
        <x:v>cereal_area</x:v>
      </x:c>
      <x:c r="C2924" s="2" t="n">
        <x:v>2009</x:v>
      </x:c>
      <x:c r="D2924" s="2" t="n">
        <x:v>2023</x:v>
      </x:c>
      <x:c r="E2924" s="2" t="str">
        <x:v>WB_cereal_area</x:v>
      </x:c>
      <x:c r="F2924" s="2" t="str">
        <x:v>Land under cereal production (hectares)</x:v>
      </x:c>
    </x:row>
    <x:row r="2925" ht="44" customHeight="1">
      <x:c r="A2925" s="2" t="str">
        <x:v>JAM</x:v>
      </x:c>
      <x:c r="B2925" s="2" t="str">
        <x:v>undernourishment</x:v>
      </x:c>
      <x:c r="C2925" s="2" t="n">
        <x:v>7.7</x:v>
      </x:c>
      <x:c r="D2925" s="2" t="n">
        <x:v>2023</x:v>
      </x:c>
      <x:c r="E2925" s="2" t="str">
        <x:v>WB_undernourishment</x:v>
      </x:c>
      <x:c r="F2925" s="2" t="str">
        <x:v>Prevalence of undernourishment (% of population)</x:v>
      </x:c>
    </x:row>
    <x:row r="2926" ht="44" customHeight="1">
      <x:c r="A2926" s="2" t="str">
        <x:v>JAM</x:v>
      </x:c>
      <x:c r="B2926" s="2" t="str">
        <x:v>agriculture_employment</x:v>
      </x:c>
      <x:c r="C2926" s="2" t="n">
        <x:v>13.9407748671765</x:v>
      </x:c>
      <x:c r="D2926" s="2" t="n">
        <x:v>2025</x:v>
      </x:c>
      <x:c r="E2926" s="2" t="str">
        <x:v>WB_agriculture_employment</x:v>
      </x:c>
      <x:c r="F2926" s="2" t="str">
        <x:v>Employment in agriculture (% of total employment) (modeled ILO estimate)</x:v>
      </x:c>
    </x:row>
    <x:row r="2927" ht="44" customHeight="1">
      <x:c r="A2927" s="2" t="str">
        <x:v>JAM</x:v>
      </x:c>
      <x:c r="B2927" s="2" t="str">
        <x:v>water_withdrawal</x:v>
      </x:c>
      <x:c r="C2927" s="2" t="n">
        <x:v>12.3828188764668</x:v>
      </x:c>
      <x:c r="D2927" s="2" t="n">
        <x:v>2022</x:v>
      </x:c>
      <x:c r="E2927" s="2" t="str">
        <x:v>WB_water_withdrawal</x:v>
      </x:c>
      <x:c r="F2927" s="2" t="str">
        <x:v>Annual freshwater withdrawals, total (% of internal resources)</x:v>
      </x:c>
    </x:row>
    <x:row r="2928" ht="44" customHeight="1">
      <x:c r="A2928" s="2" t="str">
        <x:v>JPN</x:v>
      </x:c>
      <x:c r="B2928" s="2" t="str">
        <x:v>population</x:v>
      </x:c>
      <x:c r="C2928" s="2" t="n">
        <x:v>123366734</x:v>
      </x:c>
      <x:c r="D2928" s="2" t="n">
        <x:v>2025</x:v>
      </x:c>
      <x:c r="E2928" s="2" t="str">
        <x:v>WB_population</x:v>
      </x:c>
      <x:c r="F2928" s="2" t="str">
        <x:v>Population, total</x:v>
      </x:c>
    </x:row>
    <x:row r="2929" ht="44" customHeight="1">
      <x:c r="A2929" s="2" t="str">
        <x:v>JPN</x:v>
      </x:c>
      <x:c r="B2929" s="2" t="str">
        <x:v>income_ppp</x:v>
      </x:c>
      <x:c r="C2929" s="2" t="n">
        <x:v>48283.3723959465</x:v>
      </x:c>
      <x:c r="D2929" s="2" t="n">
        <x:v>2025</x:v>
      </x:c>
      <x:c r="E2929" s="2" t="str">
        <x:v>WB_income_ppp</x:v>
      </x:c>
      <x:c r="F2929" s="2" t="str">
        <x:v>GDP per capita, PPP (constant 2021 international $)</x:v>
      </x:c>
    </x:row>
    <x:row r="2930" ht="44" customHeight="1">
      <x:c r="A2930" s="2" t="str">
        <x:v>JPN</x:v>
      </x:c>
      <x:c r="B2930" s="2" t="str">
        <x:v>urban</x:v>
      </x:c>
      <x:c r="C2930" s="2" t="n">
        <x:v>92.3001449420786</x:v>
      </x:c>
      <x:c r="D2930" s="2" t="n">
        <x:v>2025</x:v>
      </x:c>
      <x:c r="E2930" s="2" t="str">
        <x:v>WB_urban</x:v>
      </x:c>
      <x:c r="F2930" s="2" t="str">
        <x:v>Urban population (% of total population)</x:v>
      </x:c>
    </x:row>
    <x:row r="2931" ht="44" customHeight="1">
      <x:c r="A2931" s="2" t="str">
        <x:v>JPN</x:v>
      </x:c>
      <x:c r="B2931" s="2" t="str">
        <x:v>inflation</x:v>
      </x:c>
      <x:c r="C2931" s="2" t="n">
        <x:v>3.17253034260248</x:v>
      </x:c>
      <x:c r="D2931" s="2" t="n">
        <x:v>2025</x:v>
      </x:c>
      <x:c r="E2931" s="2" t="str">
        <x:v>WB_inflation</x:v>
      </x:c>
      <x:c r="F2931" s="2" t="str">
        <x:v>Inflation, consumer prices (annual %)</x:v>
      </x:c>
    </x:row>
    <x:row r="2932" ht="44" customHeight="1">
      <x:c r="A2932" s="2" t="str">
        <x:v>JPN</x:v>
      </x:c>
      <x:c r="B2932" s="2" t="str">
        <x:v>food_index</x:v>
      </x:c>
      <x:c r="C2932" s="2" t="n">
        <x:v>100.27</x:v>
      </x:c>
      <x:c r="D2932" s="2" t="n">
        <x:v>2022</x:v>
      </x:c>
      <x:c r="E2932" s="2" t="str">
        <x:v>WB_food_index</x:v>
      </x:c>
      <x:c r="F2932" s="2" t="str">
        <x:v>Food production index (2014-2016 = 100)</x:v>
      </x:c>
    </x:row>
    <x:row r="2933" ht="44" customHeight="1">
      <x:c r="A2933" s="2" t="str">
        <x:v>JPN</x:v>
      </x:c>
      <x:c r="B2933" s="2" t="str">
        <x:v>food_import_share</x:v>
      </x:c>
      <x:c r="C2933" s="2" t="n">
        <x:v>9.77482912928801</x:v>
      </x:c>
      <x:c r="D2933" s="2" t="n">
        <x:v>2025</x:v>
      </x:c>
      <x:c r="E2933" s="2" t="str">
        <x:v>WB_food_import_share</x:v>
      </x:c>
      <x:c r="F2933" s="2" t="str">
        <x:v>Food imports (% of merchandise imports)</x:v>
      </x:c>
    </x:row>
    <x:row r="2934" ht="44" customHeight="1">
      <x:c r="A2934" s="2" t="str">
        <x:v>JPN</x:v>
      </x:c>
      <x:c r="B2934" s="2" t="str">
        <x:v>food_export_share</x:v>
      </x:c>
      <x:c r="C2934" s="2" t="n">
        <x:v>1.28299029316037</x:v>
      </x:c>
      <x:c r="D2934" s="2" t="n">
        <x:v>2025</x:v>
      </x:c>
      <x:c r="E2934" s="2" t="str">
        <x:v>WB_food_export_share</x:v>
      </x:c>
      <x:c r="F2934" s="2" t="str">
        <x:v>Food exports (% of merchandise exports)</x:v>
      </x:c>
    </x:row>
    <x:row r="2935" ht="44" customHeight="1">
      <x:c r="A2935" s="2" t="str">
        <x:v>JPN</x:v>
      </x:c>
      <x:c r="B2935" s="2" t="str">
        <x:v>imports_usd</x:v>
      </x:c>
      <x:c r="C2935" s="2" t="n">
        <x:v>755553000000</x:v>
      </x:c>
      <x:c r="D2935" s="2" t="n">
        <x:v>2025</x:v>
      </x:c>
      <x:c r="E2935" s="2" t="str">
        <x:v>WB_imports_usd</x:v>
      </x:c>
      <x:c r="F2935" s="2" t="str">
        <x:v>Merchandise imports (current US$)</x:v>
      </x:c>
    </x:row>
    <x:row r="2936" ht="44" customHeight="1">
      <x:c r="A2936" s="2" t="str">
        <x:v>JPN</x:v>
      </x:c>
      <x:c r="B2936" s="2" t="str">
        <x:v>exports_usd</x:v>
      </x:c>
      <x:c r="C2936" s="2" t="n">
        <x:v>738337000000</x:v>
      </x:c>
      <x:c r="D2936" s="2" t="n">
        <x:v>2025</x:v>
      </x:c>
      <x:c r="E2936" s="2" t="str">
        <x:v>WB_exports_usd</x:v>
      </x:c>
      <x:c r="F2936" s="2" t="str">
        <x:v>Merchandise exports (current US$)</x:v>
      </x:c>
    </x:row>
    <x:row r="2937" ht="44" customHeight="1">
      <x:c r="A2937" s="2" t="str">
        <x:v>JPN</x:v>
      </x:c>
      <x:c r="B2937" s="2" t="str">
        <x:v>cereal_yield</x:v>
      </x:c>
      <x:c r="C2937" s="2" t="n">
        <x:v>6245.1</x:v>
      </x:c>
      <x:c r="D2937" s="2" t="n">
        <x:v>2023</x:v>
      </x:c>
      <x:c r="E2937" s="2" t="str">
        <x:v>WB_cereal_yield</x:v>
      </x:c>
      <x:c r="F2937" s="2" t="str">
        <x:v>Cereal yield (kg per hectare)</x:v>
      </x:c>
    </x:row>
    <x:row r="2938" ht="44" customHeight="1">
      <x:c r="A2938" s="2" t="str">
        <x:v>JPN</x:v>
      </x:c>
      <x:c r="B2938" s="2" t="str">
        <x:v>water_stress</x:v>
      </x:c>
      <x:c r="C2938" s="2" t="n">
        <x:v>36.64367816</x:v>
      </x:c>
      <x:c r="D2938" s="2" t="n">
        <x:v>2022</x:v>
      </x:c>
      <x:c r="E2938" s="2" t="str">
        <x:v>WB_water_stress</x:v>
      </x:c>
      <x:c r="F2938" s="2" t="str">
        <x:v>Level of water stress: freshwater withdrawal as a proportion of available freshwater resources</x:v>
      </x:c>
    </x:row>
    <x:row r="2939" ht="44" customHeight="1">
      <x:c r="A2939" s="2" t="str">
        <x:v>JPN</x:v>
      </x:c>
      <x:c r="B2939" s="2" t="str">
        <x:v>fertility</x:v>
      </x:c>
      <x:c r="C2939" s="2" t="n">
        <x:v>1.15</x:v>
      </x:c>
      <x:c r="D2939" s="2" t="n">
        <x:v>2024</x:v>
      </x:c>
      <x:c r="E2939" s="2" t="str">
        <x:v>WB_fertility</x:v>
      </x:c>
      <x:c r="F2939" s="2" t="str">
        <x:v>Fertility rate, total (births per woman)</x:v>
      </x:c>
    </x:row>
    <x:row r="2940" ht="44" customHeight="1">
      <x:c r="A2940" s="2" t="str">
        <x:v>JPN</x:v>
      </x:c>
      <x:c r="B2940" s="2" t="str">
        <x:v>life_expectancy</x:v>
      </x:c>
      <x:c r="C2940" s="2" t="n">
        <x:v>84.0363414634146</x:v>
      </x:c>
      <x:c r="D2940" s="2" t="n">
        <x:v>2024</x:v>
      </x:c>
      <x:c r="E2940" s="2" t="str">
        <x:v>WB_life_expectancy</x:v>
      </x:c>
      <x:c r="F2940" s="2" t="str">
        <x:v>Life expectancy at birth, total (years)</x:v>
      </x:c>
    </x:row>
    <x:row r="2941" ht="44" customHeight="1">
      <x:c r="A2941" s="2" t="str">
        <x:v>JPN</x:v>
      </x:c>
      <x:c r="B2941" s="2" t="str">
        <x:v>age_under15</x:v>
      </x:c>
      <x:c r="C2941" s="2" t="n">
        <x:v>11.2383980634698</x:v>
      </x:c>
      <x:c r="D2941" s="2" t="n">
        <x:v>2025</x:v>
      </x:c>
      <x:c r="E2941" s="2" t="str">
        <x:v>WB_age_under15</x:v>
      </x:c>
      <x:c r="F2941" s="2" t="str">
        <x:v>Population ages 0-14 (% of total population)</x:v>
      </x:c>
    </x:row>
    <x:row r="2942" ht="44" customHeight="1">
      <x:c r="A2942" s="2" t="str">
        <x:v>JPN</x:v>
      </x:c>
      <x:c r="B2942" s="2" t="str">
        <x:v>age_over65</x:v>
      </x:c>
      <x:c r="C2942" s="2" t="n">
        <x:v>29.9940966737423</x:v>
      </x:c>
      <x:c r="D2942" s="2" t="n">
        <x:v>2025</x:v>
      </x:c>
      <x:c r="E2942" s="2" t="str">
        <x:v>WB_age_over65</x:v>
      </x:c>
      <x:c r="F2942" s="2" t="str">
        <x:v>Population ages 65 and above (% of total population)</x:v>
      </x:c>
    </x:row>
    <x:row r="2943" ht="44" customHeight="1">
      <x:c r="A2943" s="2" t="str">
        <x:v>JPN</x:v>
      </x:c>
      <x:c r="B2943" s="2" t="str">
        <x:v>dependency_ratio</x:v>
      </x:c>
      <x:c r="C2943" s="2" t="n">
        <x:v>70.1620638979948</x:v>
      </x:c>
      <x:c r="D2943" s="2" t="n">
        <x:v>2025</x:v>
      </x:c>
      <x:c r="E2943" s="2" t="str">
        <x:v>WB_dependency_ratio</x:v>
      </x:c>
      <x:c r="F2943" s="2" t="str">
        <x:v>Age dependency ratio (% of working-age population)</x:v>
      </x:c>
    </x:row>
    <x:row r="2944" ht="44" customHeight="1">
      <x:c r="A2944" s="2" t="str">
        <x:v>JPN</x:v>
      </x:c>
      <x:c r="B2944" s="2" t="str">
        <x:v>net_migration</x:v>
      </x:c>
      <x:c r="C2944" s="2" t="n">
        <x:v>140579</x:v>
      </x:c>
      <x:c r="D2944" s="2" t="n">
        <x:v>2025</x:v>
      </x:c>
      <x:c r="E2944" s="2" t="str">
        <x:v>WB_net_migration</x:v>
      </x:c>
      <x:c r="F2944" s="2" t="str">
        <x:v>Net migration</x:v>
      </x:c>
    </x:row>
    <x:row r="2945" ht="44" customHeight="1">
      <x:c r="A2945" s="2" t="str">
        <x:v>JPN</x:v>
      </x:c>
      <x:c r="B2945" s="2" t="str">
        <x:v>real_gdp</x:v>
      </x:c>
      <x:c r="C2945" s="2" t="n">
        <x:v>4764341438831.9</x:v>
      </x:c>
      <x:c r="D2945" s="2" t="n">
        <x:v>2025</x:v>
      </x:c>
      <x:c r="E2945" s="2" t="str">
        <x:v>WB_real_gdp</x:v>
      </x:c>
      <x:c r="F2945" s="2" t="str">
        <x:v>GDP (constant 2015 US$)</x:v>
      </x:c>
    </x:row>
    <x:row r="2946" ht="44" customHeight="1">
      <x:c r="A2946" s="2" t="str">
        <x:v>JPN</x:v>
      </x:c>
      <x:c r="B2946" s="2" t="str">
        <x:v>gdp_growth</x:v>
      </x:c>
      <x:c r="C2946" s="2" t="n">
        <x:v>1.19311288444599</x:v>
      </x:c>
      <x:c r="D2946" s="2" t="n">
        <x:v>2025</x:v>
      </x:c>
      <x:c r="E2946" s="2" t="str">
        <x:v>WB_gdp_growth</x:v>
      </x:c>
      <x:c r="F2946" s="2" t="str">
        <x:v>GDP growth (annual %)</x:v>
      </x:c>
    </x:row>
    <x:row r="2947" ht="44" customHeight="1">
      <x:c r="A2947" s="2" t="str">
        <x:v>JPN</x:v>
      </x:c>
      <x:c r="B2947" s="2" t="str">
        <x:v>real_income</x:v>
      </x:c>
      <x:c r="C2947" s="2" t="n">
        <x:v>38619.3367073485</x:v>
      </x:c>
      <x:c r="D2947" s="2" t="n">
        <x:v>2025</x:v>
      </x:c>
      <x:c r="E2947" s="2" t="str">
        <x:v>WB_real_income</x:v>
      </x:c>
      <x:c r="F2947" s="2" t="str">
        <x:v>GDP per capita (constant 2015 US$)</x:v>
      </x:c>
    </x:row>
    <x:row r="2948" ht="44" customHeight="1">
      <x:c r="A2948" s="2" t="str">
        <x:v>JPN</x:v>
      </x:c>
      <x:c r="B2948" s="2" t="str">
        <x:v>agriculture_gdp</x:v>
      </x:c>
      <x:c r="C2948" s="2" t="n">
        <x:v>0.958270395726444</x:v>
      </x:c>
      <x:c r="D2948" s="2" t="n">
        <x:v>2024</x:v>
      </x:c>
      <x:c r="E2948" s="2" t="str">
        <x:v>WB_agriculture_gdp</x:v>
      </x:c>
      <x:c r="F2948" s="2" t="str">
        <x:v>Agriculture, forestry, and fishing, value added (% of GDP)</x:v>
      </x:c>
    </x:row>
    <x:row r="2949" ht="44" customHeight="1">
      <x:c r="A2949" s="2" t="str">
        <x:v>JPN</x:v>
      </x:c>
      <x:c r="B2949" s="2" t="str">
        <x:v>poverty</x:v>
      </x:c>
      <x:c r="C2949" s="2" t="n">
        <x:v>1.2</x:v>
      </x:c>
      <x:c r="D2949" s="2" t="n">
        <x:v>2020</x:v>
      </x:c>
      <x:c r="E2949" s="2" t="str">
        <x:v>WB_poverty</x:v>
      </x:c>
      <x:c r="F2949" s="2" t="str">
        <x:v>Poverty headcount ratio at $3.00 a day (2021 PPP) (% of population)</x:v>
      </x:c>
    </x:row>
    <x:row r="2950" ht="44" customHeight="1">
      <x:c r="A2950" s="2" t="str">
        <x:v>JPN</x:v>
      </x:c>
      <x:c r="B2950" s="2" t="str">
        <x:v>gini</x:v>
      </x:c>
      <x:c r="C2950" s="2" t="n">
        <x:v>32.3</x:v>
      </x:c>
      <x:c r="D2950" s="2" t="n">
        <x:v>2020</x:v>
      </x:c>
      <x:c r="E2950" s="2" t="str">
        <x:v>WB_gini</x:v>
      </x:c>
      <x:c r="F2950" s="2" t="str">
        <x:v>Gini index</x:v>
      </x:c>
    </x:row>
    <x:row r="2951" ht="44" customHeight="1">
      <x:c r="A2951" s="2" t="str">
        <x:v>JPN</x:v>
      </x:c>
      <x:c r="B2951" s="2" t="str">
        <x:v>unemployment</x:v>
      </x:c>
      <x:c r="C2951" s="2" t="n">
        <x:v>2.451</x:v>
      </x:c>
      <x:c r="D2951" s="2" t="n">
        <x:v>2025</x:v>
      </x:c>
      <x:c r="E2951" s="2" t="str">
        <x:v>WB_unemployment</x:v>
      </x:c>
      <x:c r="F2951" s="2" t="str">
        <x:v>Unemployment, total (% of total labor force) (modeled ILO estimate)</x:v>
      </x:c>
    </x:row>
    <x:row r="2952" ht="44" customHeight="1">
      <x:c r="A2952" s="2" t="str">
        <x:v>JPN</x:v>
      </x:c>
      <x:c r="B2952" s="2" t="str">
        <x:v>private_credit</x:v>
      </x:c>
      <x:c r="C2952" s="2" t="n">
        <x:v>187.406646977743</x:v>
      </x:c>
      <x:c r="D2952" s="2" t="n">
        <x:v>2025</x:v>
      </x:c>
      <x:c r="E2952" s="2" t="str">
        <x:v>WB_private_credit</x:v>
      </x:c>
      <x:c r="F2952" s="2" t="str">
        <x:v>Domestic credit to private sector (% of GDP)</x:v>
      </x:c>
    </x:row>
    <x:row r="2953" ht="44" customHeight="1">
      <x:c r="A2953" s="2" t="str">
        <x:v>JPN</x:v>
      </x:c>
      <x:c r="B2953" s="2" t="str">
        <x:v>lending_rate</x:v>
      </x:c>
      <x:c r="C2953" s="2" t="n">
        <x:v>0.994</x:v>
      </x:c>
      <x:c r="D2953" s="2" t="n">
        <x:v>2017</x:v>
      </x:c>
      <x:c r="E2953" s="2" t="str">
        <x:v>WB_lending_rate</x:v>
      </x:c>
      <x:c r="F2953" s="2" t="str">
        <x:v>Lending interest rate (%)</x:v>
      </x:c>
    </x:row>
    <x:row r="2954" ht="44" customHeight="1">
      <x:c r="A2954" s="2" t="str">
        <x:v>JPN</x:v>
      </x:c>
      <x:c r="B2954" s="2" t="str">
        <x:v>real_interest</x:v>
      </x:c>
      <x:c r="C2954" s="2" t="n">
        <x:v>0.972109141178608</x:v>
      </x:c>
      <x:c r="D2954" s="2" t="n">
        <x:v>2017</x:v>
      </x:c>
      <x:c r="E2954" s="2" t="str">
        <x:v>WB_real_interest</x:v>
      </x:c>
      <x:c r="F2954" s="2" t="str">
        <x:v>Real interest rate (%)</x:v>
      </x:c>
    </x:row>
    <x:row r="2955" ht="44" customHeight="1">
      <x:c r="A2955" s="2" t="str">
        <x:v>JPN</x:v>
      </x:c>
      <x:c r="B2955" s="2" t="str">
        <x:v>government_debt</x:v>
      </x:c>
      <x:c r="C2955" s="2"/>
      <x:c r="D2955" s="2"/>
      <x:c r="E2955" s="2" t="str">
        <x:v>Missing</x:v>
      </x:c>
      <x:c r="F2955" s="2" t="str">
        <x:v>Central government debt, total (% of GDP)</x:v>
      </x:c>
    </x:row>
    <x:row r="2956" ht="44" customHeight="1">
      <x:c r="A2956" s="2" t="str">
        <x:v>JPN</x:v>
      </x:c>
      <x:c r="B2956" s="2" t="str">
        <x:v>electricity_access</x:v>
      </x:c>
      <x:c r="C2956" s="2" t="n">
        <x:v>100</x:v>
      </x:c>
      <x:c r="D2956" s="2" t="n">
        <x:v>2024</x:v>
      </x:c>
      <x:c r="E2956" s="2" t="str">
        <x:v>WB_electricity_access</x:v>
      </x:c>
      <x:c r="F2956" s="2" t="str">
        <x:v>Access to electricity (% of population)</x:v>
      </x:c>
    </x:row>
    <x:row r="2957" ht="44" customHeight="1">
      <x:c r="A2957" s="2" t="str">
        <x:v>JPN</x:v>
      </x:c>
      <x:c r="B2957" s="2" t="str">
        <x:v>irrigated_land</x:v>
      </x:c>
      <x:c r="C2957" s="2" t="n">
        <x:v>32.299794661191</x:v>
      </x:c>
      <x:c r="D2957" s="2" t="n">
        <x:v>2014</x:v>
      </x:c>
      <x:c r="E2957" s="2" t="str">
        <x:v>WB_irrigated_land</x:v>
      </x:c>
      <x:c r="F2957" s="2" t="str">
        <x:v>Agricultural irrigated land (% of total agricultural land)</x:v>
      </x:c>
    </x:row>
    <x:row r="2958" ht="44" customHeight="1">
      <x:c r="A2958" s="2" t="str">
        <x:v>JPN</x:v>
      </x:c>
      <x:c r="B2958" s="2" t="str">
        <x:v>cereal_area</x:v>
      </x:c>
      <x:c r="C2958" s="2" t="n">
        <x:v>1841210</x:v>
      </x:c>
      <x:c r="D2958" s="2" t="n">
        <x:v>2023</x:v>
      </x:c>
      <x:c r="E2958" s="2" t="str">
        <x:v>WB_cereal_area</x:v>
      </x:c>
      <x:c r="F2958" s="2" t="str">
        <x:v>Land under cereal production (hectares)</x:v>
      </x:c>
    </x:row>
    <x:row r="2959" ht="44" customHeight="1">
      <x:c r="A2959" s="2" t="str">
        <x:v>JPN</x:v>
      </x:c>
      <x:c r="B2959" s="2" t="str">
        <x:v>undernourishment</x:v>
      </x:c>
      <x:c r="C2959" s="2"/>
      <x:c r="D2959" s="2"/>
      <x:c r="E2959" s="2" t="str">
        <x:v>Missing</x:v>
      </x:c>
      <x:c r="F2959" s="2" t="str">
        <x:v>Prevalence of undernourishment (% of population)</x:v>
      </x:c>
    </x:row>
    <x:row r="2960" ht="44" customHeight="1">
      <x:c r="A2960" s="2" t="str">
        <x:v>JPN</x:v>
      </x:c>
      <x:c r="B2960" s="2" t="str">
        <x:v>agriculture_employment</x:v>
      </x:c>
      <x:c r="C2960" s="2" t="n">
        <x:v>2.81371149789044</x:v>
      </x:c>
      <x:c r="D2960" s="2" t="n">
        <x:v>2025</x:v>
      </x:c>
      <x:c r="E2960" s="2" t="str">
        <x:v>WB_agriculture_employment</x:v>
      </x:c>
      <x:c r="F2960" s="2" t="str">
        <x:v>Employment in agriculture (% of total employment) (modeled ILO estimate)</x:v>
      </x:c>
    </x:row>
    <x:row r="2961" ht="44" customHeight="1">
      <x:c r="A2961" s="2" t="str">
        <x:v>JPN</x:v>
      </x:c>
      <x:c r="B2961" s="2" t="str">
        <x:v>water_withdrawal</x:v>
      </x:c>
      <x:c r="C2961" s="2" t="n">
        <x:v>18.5348837209302</x:v>
      </x:c>
      <x:c r="D2961" s="2" t="n">
        <x:v>2022</x:v>
      </x:c>
      <x:c r="E2961" s="2" t="str">
        <x:v>WB_water_withdrawal</x:v>
      </x:c>
      <x:c r="F2961" s="2" t="str">
        <x:v>Annual freshwater withdrawals, total (% of internal resources)</x:v>
      </x:c>
    </x:row>
    <x:row r="2962" ht="44" customHeight="1">
      <x:c r="A2962" s="2" t="str">
        <x:v>JOR</x:v>
      </x:c>
      <x:c r="B2962" s="2" t="str">
        <x:v>population</x:v>
      </x:c>
      <x:c r="C2962" s="2" t="n">
        <x:v>11520684</x:v>
      </x:c>
      <x:c r="D2962" s="2" t="n">
        <x:v>2025</x:v>
      </x:c>
      <x:c r="E2962" s="2" t="str">
        <x:v>WB_population</x:v>
      </x:c>
      <x:c r="F2962" s="2" t="str">
        <x:v>Population, total</x:v>
      </x:c>
    </x:row>
    <x:row r="2963" ht="44" customHeight="1">
      <x:c r="A2963" s="2" t="str">
        <x:v>JOR</x:v>
      </x:c>
      <x:c r="B2963" s="2" t="str">
        <x:v>income_ppp</x:v>
      </x:c>
      <x:c r="C2963" s="2" t="n">
        <x:v>10794.2402687732</x:v>
      </x:c>
      <x:c r="D2963" s="2" t="n">
        <x:v>2025</x:v>
      </x:c>
      <x:c r="E2963" s="2" t="str">
        <x:v>WB_income_ppp</x:v>
      </x:c>
      <x:c r="F2963" s="2" t="str">
        <x:v>GDP per capita, PPP (constant 2021 international $)</x:v>
      </x:c>
    </x:row>
    <x:row r="2964" ht="44" customHeight="1">
      <x:c r="A2964" s="2" t="str">
        <x:v>JOR</x:v>
      </x:c>
      <x:c r="B2964" s="2" t="str">
        <x:v>urban</x:v>
      </x:c>
      <x:c r="C2964" s="2" t="n">
        <x:v>93.2085150119551</x:v>
      </x:c>
      <x:c r="D2964" s="2" t="n">
        <x:v>2025</x:v>
      </x:c>
      <x:c r="E2964" s="2" t="str">
        <x:v>WB_urban</x:v>
      </x:c>
      <x:c r="F2964" s="2" t="str">
        <x:v>Urban population (% of total population)</x:v>
      </x:c>
    </x:row>
    <x:row r="2965" ht="44" customHeight="1">
      <x:c r="A2965" s="2" t="str">
        <x:v>JOR</x:v>
      </x:c>
      <x:c r="B2965" s="2" t="str">
        <x:v>inflation</x:v>
      </x:c>
      <x:c r="C2965" s="2" t="n">
        <x:v>1.76646490894206</x:v>
      </x:c>
      <x:c r="D2965" s="2" t="n">
        <x:v>2025</x:v>
      </x:c>
      <x:c r="E2965" s="2" t="str">
        <x:v>WB_inflation</x:v>
      </x:c>
      <x:c r="F2965" s="2" t="str">
        <x:v>Inflation, consumer prices (annual %)</x:v>
      </x:c>
    </x:row>
    <x:row r="2966" ht="44" customHeight="1">
      <x:c r="A2966" s="2" t="str">
        <x:v>JOR</x:v>
      </x:c>
      <x:c r="B2966" s="2" t="str">
        <x:v>food_index</x:v>
      </x:c>
      <x:c r="C2966" s="2" t="n">
        <x:v>110.25</x:v>
      </x:c>
      <x:c r="D2966" s="2" t="n">
        <x:v>2022</x:v>
      </x:c>
      <x:c r="E2966" s="2" t="str">
        <x:v>WB_food_index</x:v>
      </x:c>
      <x:c r="F2966" s="2" t="str">
        <x:v>Food production index (2014-2016 = 100)</x:v>
      </x:c>
    </x:row>
    <x:row r="2967" ht="44" customHeight="1">
      <x:c r="A2967" s="2" t="str">
        <x:v>JOR</x:v>
      </x:c>
      <x:c r="B2967" s="2" t="str">
        <x:v>food_import_share</x:v>
      </x:c>
      <x:c r="C2967" s="2" t="n">
        <x:v>20.6701222463335</x:v>
      </x:c>
      <x:c r="D2967" s="2" t="n">
        <x:v>2024</x:v>
      </x:c>
      <x:c r="E2967" s="2" t="str">
        <x:v>WB_food_import_share</x:v>
      </x:c>
      <x:c r="F2967" s="2" t="str">
        <x:v>Food imports (% of merchandise imports)</x:v>
      </x:c>
    </x:row>
    <x:row r="2968" ht="44" customHeight="1">
      <x:c r="A2968" s="2" t="str">
        <x:v>JOR</x:v>
      </x:c>
      <x:c r="B2968" s="2" t="str">
        <x:v>food_export_share</x:v>
      </x:c>
      <x:c r="C2968" s="2" t="n">
        <x:v>17.6417844465174</x:v>
      </x:c>
      <x:c r="D2968" s="2" t="n">
        <x:v>2024</x:v>
      </x:c>
      <x:c r="E2968" s="2" t="str">
        <x:v>WB_food_export_share</x:v>
      </x:c>
      <x:c r="F2968" s="2" t="str">
        <x:v>Food exports (% of merchandise exports)</x:v>
      </x:c>
    </x:row>
    <x:row r="2969" ht="44" customHeight="1">
      <x:c r="A2969" s="2" t="str">
        <x:v>JOR</x:v>
      </x:c>
      <x:c r="B2969" s="2" t="str">
        <x:v>imports_usd</x:v>
      </x:c>
      <x:c r="C2969" s="2" t="n">
        <x:v>28945000000</x:v>
      </x:c>
      <x:c r="D2969" s="2" t="n">
        <x:v>2025</x:v>
      </x:c>
      <x:c r="E2969" s="2" t="str">
        <x:v>WB_imports_usd</x:v>
      </x:c>
      <x:c r="F2969" s="2" t="str">
        <x:v>Merchandise imports (current US$)</x:v>
      </x:c>
    </x:row>
    <x:row r="2970" ht="44" customHeight="1">
      <x:c r="A2970" s="2" t="str">
        <x:v>JOR</x:v>
      </x:c>
      <x:c r="B2970" s="2" t="str">
        <x:v>exports_usd</x:v>
      </x:c>
      <x:c r="C2970" s="2" t="n">
        <x:v>14913000000</x:v>
      </x:c>
      <x:c r="D2970" s="2" t="n">
        <x:v>2025</x:v>
      </x:c>
      <x:c r="E2970" s="2" t="str">
        <x:v>WB_exports_usd</x:v>
      </x:c>
      <x:c r="F2970" s="2" t="str">
        <x:v>Merchandise exports (current US$)</x:v>
      </x:c>
    </x:row>
    <x:row r="2971" ht="44" customHeight="1">
      <x:c r="A2971" s="2" t="str">
        <x:v>JOR</x:v>
      </x:c>
      <x:c r="B2971" s="2" t="str">
        <x:v>cereal_yield</x:v>
      </x:c>
      <x:c r="C2971" s="2" t="n">
        <x:v>1611.4</x:v>
      </x:c>
      <x:c r="D2971" s="2" t="n">
        <x:v>2024</x:v>
      </x:c>
      <x:c r="E2971" s="2" t="str">
        <x:v>WB_cereal_yield</x:v>
      </x:c>
      <x:c r="F2971" s="2" t="str">
        <x:v>Cereal yield (kg per hectare)</x:v>
      </x:c>
    </x:row>
    <x:row r="2972" ht="44" customHeight="1">
      <x:c r="A2972" s="2" t="str">
        <x:v>JOR</x:v>
      </x:c>
      <x:c r="B2972" s="2" t="str">
        <x:v>water_stress</x:v>
      </x:c>
      <x:c r="C2972" s="2" t="n">
        <x:v>105.2021265</x:v>
      </x:c>
      <x:c r="D2972" s="2" t="n">
        <x:v>2022</x:v>
      </x:c>
      <x:c r="E2972" s="2" t="str">
        <x:v>WB_water_stress</x:v>
      </x:c>
      <x:c r="F2972" s="2" t="str">
        <x:v>Level of water stress: freshwater withdrawal as a proportion of available freshwater resources</x:v>
      </x:c>
    </x:row>
    <x:row r="2973" ht="44" customHeight="1">
      <x:c r="A2973" s="2" t="str">
        <x:v>JOR</x:v>
      </x:c>
      <x:c r="B2973" s="2" t="str">
        <x:v>fertility</x:v>
      </x:c>
      <x:c r="C2973" s="2" t="n">
        <x:v>2.604</x:v>
      </x:c>
      <x:c r="D2973" s="2" t="n">
        <x:v>2024</x:v>
      </x:c>
      <x:c r="E2973" s="2" t="str">
        <x:v>WB_fertility</x:v>
      </x:c>
      <x:c r="F2973" s="2" t="str">
        <x:v>Fertility rate, total (births per woman)</x:v>
      </x:c>
    </x:row>
    <x:row r="2974" ht="44" customHeight="1">
      <x:c r="A2974" s="2" t="str">
        <x:v>JOR</x:v>
      </x:c>
      <x:c r="B2974" s="2" t="str">
        <x:v>life_expectancy</x:v>
      </x:c>
      <x:c r="C2974" s="2" t="n">
        <x:v>77.981</x:v>
      </x:c>
      <x:c r="D2974" s="2" t="n">
        <x:v>2024</x:v>
      </x:c>
      <x:c r="E2974" s="2" t="str">
        <x:v>WB_life_expectancy</x:v>
      </x:c>
      <x:c r="F2974" s="2" t="str">
        <x:v>Life expectancy at birth, total (years)</x:v>
      </x:c>
    </x:row>
    <x:row r="2975" ht="44" customHeight="1">
      <x:c r="A2975" s="2" t="str">
        <x:v>JOR</x:v>
      </x:c>
      <x:c r="B2975" s="2" t="str">
        <x:v>age_under15</x:v>
      </x:c>
      <x:c r="C2975" s="2" t="n">
        <x:v>30.196204921678</x:v>
      </x:c>
      <x:c r="D2975" s="2" t="n">
        <x:v>2025</x:v>
      </x:c>
      <x:c r="E2975" s="2" t="str">
        <x:v>WB_age_under15</x:v>
      </x:c>
      <x:c r="F2975" s="2" t="str">
        <x:v>Population ages 0-14 (% of total population)</x:v>
      </x:c>
    </x:row>
    <x:row r="2976" ht="44" customHeight="1">
      <x:c r="A2976" s="2" t="str">
        <x:v>JOR</x:v>
      </x:c>
      <x:c r="B2976" s="2" t="str">
        <x:v>age_over65</x:v>
      </x:c>
      <x:c r="C2976" s="2" t="n">
        <x:v>4.75359341712725</x:v>
      </x:c>
      <x:c r="D2976" s="2" t="n">
        <x:v>2025</x:v>
      </x:c>
      <x:c r="E2976" s="2" t="str">
        <x:v>WB_age_over65</x:v>
      </x:c>
      <x:c r="F2976" s="2" t="str">
        <x:v>Population ages 65 and above (% of total population)</x:v>
      </x:c>
    </x:row>
    <x:row r="2977" ht="44" customHeight="1">
      <x:c r="A2977" s="2" t="str">
        <x:v>JOR</x:v>
      </x:c>
      <x:c r="B2977" s="2" t="str">
        <x:v>dependency_ratio</x:v>
      </x:c>
      <x:c r="C2977" s="2" t="n">
        <x:v>53.7274152854704</x:v>
      </x:c>
      <x:c r="D2977" s="2" t="n">
        <x:v>2025</x:v>
      </x:c>
      <x:c r="E2977" s="2" t="str">
        <x:v>WB_dependency_ratio</x:v>
      </x:c>
      <x:c r="F2977" s="2" t="str">
        <x:v>Age dependency ratio (% of working-age population)</x:v>
      </x:c>
    </x:row>
    <x:row r="2978" ht="44" customHeight="1">
      <x:c r="A2978" s="2" t="str">
        <x:v>JOR</x:v>
      </x:c>
      <x:c r="B2978" s="2" t="str">
        <x:v>net_migration</x:v>
      </x:c>
      <x:c r="C2978" s="2" t="n">
        <x:v>-303267</x:v>
      </x:c>
      <x:c r="D2978" s="2" t="n">
        <x:v>2025</x:v>
      </x:c>
      <x:c r="E2978" s="2" t="str">
        <x:v>WB_net_migration</x:v>
      </x:c>
      <x:c r="F2978" s="2" t="str">
        <x:v>Net migration</x:v>
      </x:c>
    </x:row>
    <x:row r="2979" ht="44" customHeight="1">
      <x:c r="A2979" s="2" t="str">
        <x:v>JOR</x:v>
      </x:c>
      <x:c r="B2979" s="2" t="str">
        <x:v>real_gdp</x:v>
      </x:c>
      <x:c r="C2979" s="2" t="n">
        <x:v>52757023329.6643</x:v>
      </x:c>
      <x:c r="D2979" s="2" t="n">
        <x:v>2025</x:v>
      </x:c>
      <x:c r="E2979" s="2" t="str">
        <x:v>WB_real_gdp</x:v>
      </x:c>
      <x:c r="F2979" s="2" t="str">
        <x:v>GDP (constant 2015 US$)</x:v>
      </x:c>
    </x:row>
    <x:row r="2980" ht="44" customHeight="1">
      <x:c r="A2980" s="2" t="str">
        <x:v>JOR</x:v>
      </x:c>
      <x:c r="B2980" s="2" t="str">
        <x:v>gdp_growth</x:v>
      </x:c>
      <x:c r="C2980" s="2" t="n">
        <x:v>2.82660839845745</x:v>
      </x:c>
      <x:c r="D2980" s="2" t="n">
        <x:v>2025</x:v>
      </x:c>
      <x:c r="E2980" s="2" t="str">
        <x:v>WB_gdp_growth</x:v>
      </x:c>
      <x:c r="F2980" s="2" t="str">
        <x:v>GDP growth (annual %)</x:v>
      </x:c>
    </x:row>
    <x:row r="2981" ht="44" customHeight="1">
      <x:c r="A2981" s="2" t="str">
        <x:v>JOR</x:v>
      </x:c>
      <x:c r="B2981" s="2" t="str">
        <x:v>real_income</x:v>
      </x:c>
      <x:c r="C2981" s="2" t="n">
        <x:v>4579.33082182137</x:v>
      </x:c>
      <x:c r="D2981" s="2" t="n">
        <x:v>2025</x:v>
      </x:c>
      <x:c r="E2981" s="2" t="str">
        <x:v>WB_real_income</x:v>
      </x:c>
      <x:c r="F2981" s="2" t="str">
        <x:v>GDP per capita (constant 2015 US$)</x:v>
      </x:c>
    </x:row>
    <x:row r="2982" ht="44" customHeight="1">
      <x:c r="A2982" s="2" t="str">
        <x:v>JOR</x:v>
      </x:c>
      <x:c r="B2982" s="2" t="str">
        <x:v>agriculture_gdp</x:v>
      </x:c>
      <x:c r="C2982" s="2" t="n">
        <x:v>5.56169367394688</x:v>
      </x:c>
      <x:c r="D2982" s="2" t="n">
        <x:v>2025</x:v>
      </x:c>
      <x:c r="E2982" s="2" t="str">
        <x:v>WB_agriculture_gdp</x:v>
      </x:c>
      <x:c r="F2982" s="2" t="str">
        <x:v>Agriculture, forestry, and fishing, value added (% of GDP)</x:v>
      </x:c>
    </x:row>
    <x:row r="2983" ht="44" customHeight="1">
      <x:c r="A2983" s="2" t="str">
        <x:v>JOR</x:v>
      </x:c>
      <x:c r="B2983" s="2" t="str">
        <x:v>poverty</x:v>
      </x:c>
      <x:c r="C2983" s="2" t="n">
        <x:v>0.1</x:v>
      </x:c>
      <x:c r="D2983" s="2" t="n">
        <x:v>2010</x:v>
      </x:c>
      <x:c r="E2983" s="2" t="str">
        <x:v>WB_poverty</x:v>
      </x:c>
      <x:c r="F2983" s="2" t="str">
        <x:v>Poverty headcount ratio at $3.00 a day (2021 PPP) (% of population)</x:v>
      </x:c>
    </x:row>
    <x:row r="2984" ht="44" customHeight="1">
      <x:c r="A2984" s="2" t="str">
        <x:v>JOR</x:v>
      </x:c>
      <x:c r="B2984" s="2" t="str">
        <x:v>gini</x:v>
      </x:c>
      <x:c r="C2984" s="2" t="n">
        <x:v>33.7</x:v>
      </x:c>
      <x:c r="D2984" s="2" t="n">
        <x:v>2010</x:v>
      </x:c>
      <x:c r="E2984" s="2" t="str">
        <x:v>WB_gini</x:v>
      </x:c>
      <x:c r="F2984" s="2" t="str">
        <x:v>Gini index</x:v>
      </x:c>
    </x:row>
    <x:row r="2985" ht="44" customHeight="1">
      <x:c r="A2985" s="2" t="str">
        <x:v>JOR</x:v>
      </x:c>
      <x:c r="B2985" s="2" t="str">
        <x:v>unemployment</x:v>
      </x:c>
      <x:c r="C2985" s="2" t="n">
        <x:v>16.535</x:v>
      </x:c>
      <x:c r="D2985" s="2" t="n">
        <x:v>2025</x:v>
      </x:c>
      <x:c r="E2985" s="2" t="str">
        <x:v>WB_unemployment</x:v>
      </x:c>
      <x:c r="F2985" s="2" t="str">
        <x:v>Unemployment, total (% of total labor force) (modeled ILO estimate)</x:v>
      </x:c>
    </x:row>
    <x:row r="2986" ht="44" customHeight="1">
      <x:c r="A2986" s="2" t="str">
        <x:v>JOR</x:v>
      </x:c>
      <x:c r="B2986" s="2" t="str">
        <x:v>private_credit</x:v>
      </x:c>
      <x:c r="C2986" s="2" t="n">
        <x:v>71.3096159349229</x:v>
      </x:c>
      <x:c r="D2986" s="2" t="n">
        <x:v>2025</x:v>
      </x:c>
      <x:c r="E2986" s="2" t="str">
        <x:v>WB_private_credit</x:v>
      </x:c>
      <x:c r="F2986" s="2" t="str">
        <x:v>Domestic credit to private sector (% of GDP)</x:v>
      </x:c>
    </x:row>
    <x:row r="2987" ht="44" customHeight="1">
      <x:c r="A2987" s="2" t="str">
        <x:v>JOR</x:v>
      </x:c>
      <x:c r="B2987" s="2" t="str">
        <x:v>lending_rate</x:v>
      </x:c>
      <x:c r="C2987" s="2" t="n">
        <x:v>8.09583333333333</x:v>
      </x:c>
      <x:c r="D2987" s="2" t="n">
        <x:v>2025</x:v>
      </x:c>
      <x:c r="E2987" s="2" t="str">
        <x:v>WB_lending_rate</x:v>
      </x:c>
      <x:c r="F2987" s="2" t="str">
        <x:v>Lending interest rate (%)</x:v>
      </x:c>
    </x:row>
    <x:row r="2988" ht="44" customHeight="1">
      <x:c r="A2988" s="2" t="str">
        <x:v>JOR</x:v>
      </x:c>
      <x:c r="B2988" s="2" t="str">
        <x:v>real_interest</x:v>
      </x:c>
      <x:c r="C2988" s="2" t="n">
        <x:v>5.75397550068034</x:v>
      </x:c>
      <x:c r="D2988" s="2" t="n">
        <x:v>2025</x:v>
      </x:c>
      <x:c r="E2988" s="2" t="str">
        <x:v>WB_real_interest</x:v>
      </x:c>
      <x:c r="F2988" s="2" t="str">
        <x:v>Real interest rate (%)</x:v>
      </x:c>
    </x:row>
    <x:row r="2989" ht="44" customHeight="1">
      <x:c r="A2989" s="2" t="str">
        <x:v>JOR</x:v>
      </x:c>
      <x:c r="B2989" s="2" t="str">
        <x:v>government_debt</x:v>
      </x:c>
      <x:c r="C2989" s="2" t="n">
        <x:v>93.6205554347008</x:v>
      </x:c>
      <x:c r="D2989" s="2" t="n">
        <x:v>2023</x:v>
      </x:c>
      <x:c r="E2989" s="2" t="str">
        <x:v>WB_government_debt</x:v>
      </x:c>
      <x:c r="F2989" s="2" t="str">
        <x:v>Central government debt, total (% of GDP)</x:v>
      </x:c>
    </x:row>
    <x:row r="2990" ht="44" customHeight="1">
      <x:c r="A2990" s="2" t="str">
        <x:v>JOR</x:v>
      </x:c>
      <x:c r="B2990" s="2" t="str">
        <x:v>electricity_access</x:v>
      </x:c>
      <x:c r="C2990" s="2" t="n">
        <x:v>100</x:v>
      </x:c>
      <x:c r="D2990" s="2" t="n">
        <x:v>2024</x:v>
      </x:c>
      <x:c r="E2990" s="2" t="str">
        <x:v>WB_electricity_access</x:v>
      </x:c>
      <x:c r="F2990" s="2" t="str">
        <x:v>Access to electricity (% of population)</x:v>
      </x:c>
    </x:row>
    <x:row r="2991" ht="44" customHeight="1">
      <x:c r="A2991" s="2" t="str">
        <x:v>JOR</x:v>
      </x:c>
      <x:c r="B2991" s="2" t="str">
        <x:v>irrigated_land</x:v>
      </x:c>
      <x:c r="C2991" s="2" t="n">
        <x:v>9.0625</x:v>
      </x:c>
      <x:c r="D2991" s="2" t="n">
        <x:v>2023</x:v>
      </x:c>
      <x:c r="E2991" s="2" t="str">
        <x:v>WB_irrigated_land</x:v>
      </x:c>
      <x:c r="F2991" s="2" t="str">
        <x:v>Agricultural irrigated land (% of total agricultural land)</x:v>
      </x:c>
    </x:row>
    <x:row r="2992" ht="44" customHeight="1">
      <x:c r="A2992" s="2" t="str">
        <x:v>JOR</x:v>
      </x:c>
      <x:c r="B2992" s="2" t="str">
        <x:v>cereal_area</x:v>
      </x:c>
      <x:c r="C2992" s="2" t="n">
        <x:v>52137</x:v>
      </x:c>
      <x:c r="D2992" s="2" t="n">
        <x:v>2024</x:v>
      </x:c>
      <x:c r="E2992" s="2" t="str">
        <x:v>WB_cereal_area</x:v>
      </x:c>
      <x:c r="F2992" s="2" t="str">
        <x:v>Land under cereal production (hectares)</x:v>
      </x:c>
    </x:row>
    <x:row r="2993" ht="44" customHeight="1">
      <x:c r="A2993" s="2" t="str">
        <x:v>JOR</x:v>
      </x:c>
      <x:c r="B2993" s="2" t="str">
        <x:v>undernourishment</x:v>
      </x:c>
      <x:c r="C2993" s="2" t="n">
        <x:v>14.3</x:v>
      </x:c>
      <x:c r="D2993" s="2" t="n">
        <x:v>2023</x:v>
      </x:c>
      <x:c r="E2993" s="2" t="str">
        <x:v>WB_undernourishment</x:v>
      </x:c>
      <x:c r="F2993" s="2" t="str">
        <x:v>Prevalence of undernourishment (% of population)</x:v>
      </x:c>
    </x:row>
    <x:row r="2994" ht="44" customHeight="1">
      <x:c r="A2994" s="2" t="str">
        <x:v>JOR</x:v>
      </x:c>
      <x:c r="B2994" s="2" t="str">
        <x:v>agriculture_employment</x:v>
      </x:c>
      <x:c r="C2994" s="2" t="n">
        <x:v>3.11571927652762</x:v>
      </x:c>
      <x:c r="D2994" s="2" t="n">
        <x:v>2025</x:v>
      </x:c>
      <x:c r="E2994" s="2" t="str">
        <x:v>WB_agriculture_employment</x:v>
      </x:c>
      <x:c r="F2994" s="2" t="str">
        <x:v>Employment in agriculture (% of total employment) (modeled ILO estimate)</x:v>
      </x:c>
    </x:row>
    <x:row r="2995" ht="44" customHeight="1">
      <x:c r="A2995" s="2" t="str">
        <x:v>JOR</x:v>
      </x:c>
      <x:c r="B2995" s="2" t="str">
        <x:v>water_withdrawal</x:v>
      </x:c>
      <x:c r="C2995" s="2" t="n">
        <x:v>139.277126099707</x:v>
      </x:c>
      <x:c r="D2995" s="2" t="n">
        <x:v>2022</x:v>
      </x:c>
      <x:c r="E2995" s="2" t="str">
        <x:v>WB_water_withdrawal</x:v>
      </x:c>
      <x:c r="F2995" s="2" t="str">
        <x:v>Annual freshwater withdrawals, total (% of internal resources)</x:v>
      </x:c>
    </x:row>
    <x:row r="2996" ht="44" customHeight="1">
      <x:c r="A2996" s="2" t="str">
        <x:v>KAZ</x:v>
      </x:c>
      <x:c r="B2996" s="2" t="str">
        <x:v>population</x:v>
      </x:c>
      <x:c r="C2996" s="2" t="n">
        <x:v>20843754</x:v>
      </x:c>
      <x:c r="D2996" s="2" t="n">
        <x:v>2025</x:v>
      </x:c>
      <x:c r="E2996" s="2" t="str">
        <x:v>WB_population</x:v>
      </x:c>
      <x:c r="F2996" s="2" t="str">
        <x:v>Population, total</x:v>
      </x:c>
    </x:row>
    <x:row r="2997" ht="44" customHeight="1">
      <x:c r="A2997" s="2" t="str">
        <x:v>KAZ</x:v>
      </x:c>
      <x:c r="B2997" s="2" t="str">
        <x:v>income_ppp</x:v>
      </x:c>
      <x:c r="C2997" s="2" t="n">
        <x:v>37850.5791042984</x:v>
      </x:c>
      <x:c r="D2997" s="2" t="n">
        <x:v>2025</x:v>
      </x:c>
      <x:c r="E2997" s="2" t="str">
        <x:v>WB_income_ppp</x:v>
      </x:c>
      <x:c r="F2997" s="2" t="str">
        <x:v>GDP per capita, PPP (constant 2021 international $)</x:v>
      </x:c>
    </x:row>
    <x:row r="2998" ht="44" customHeight="1">
      <x:c r="A2998" s="2" t="str">
        <x:v>KAZ</x:v>
      </x:c>
      <x:c r="B2998" s="2" t="str">
        <x:v>urban</x:v>
      </x:c>
      <x:c r="C2998" s="2" t="n">
        <x:v>62.3855569507987</x:v>
      </x:c>
      <x:c r="D2998" s="2" t="n">
        <x:v>2025</x:v>
      </x:c>
      <x:c r="E2998" s="2" t="str">
        <x:v>WB_urban</x:v>
      </x:c>
      <x:c r="F2998" s="2" t="str">
        <x:v>Urban population (% of total population)</x:v>
      </x:c>
    </x:row>
    <x:row r="2999" ht="44" customHeight="1">
      <x:c r="A2999" s="2" t="str">
        <x:v>KAZ</x:v>
      </x:c>
      <x:c r="B2999" s="2" t="str">
        <x:v>inflation</x:v>
      </x:c>
      <x:c r="C2999" s="2" t="n">
        <x:v>11.3879454675914</x:v>
      </x:c>
      <x:c r="D2999" s="2" t="n">
        <x:v>2025</x:v>
      </x:c>
      <x:c r="E2999" s="2" t="str">
        <x:v>WB_inflation</x:v>
      </x:c>
      <x:c r="F2999" s="2" t="str">
        <x:v>Inflation, consumer prices (annual %)</x:v>
      </x:c>
    </x:row>
    <x:row r="3000" ht="44" customHeight="1">
      <x:c r="A3000" s="2" t="str">
        <x:v>KAZ</x:v>
      </x:c>
      <x:c r="B3000" s="2" t="str">
        <x:v>food_index</x:v>
      </x:c>
      <x:c r="C3000" s="2" t="n">
        <x:v>127.76</x:v>
      </x:c>
      <x:c r="D3000" s="2" t="n">
        <x:v>2022</x:v>
      </x:c>
      <x:c r="E3000" s="2" t="str">
        <x:v>WB_food_index</x:v>
      </x:c>
      <x:c r="F3000" s="2" t="str">
        <x:v>Food production index (2014-2016 = 100)</x:v>
      </x:c>
    </x:row>
    <x:row r="3001" ht="44" customHeight="1">
      <x:c r="A3001" s="2" t="str">
        <x:v>KAZ</x:v>
      </x:c>
      <x:c r="B3001" s="2" t="str">
        <x:v>food_import_share</x:v>
      </x:c>
      <x:c r="C3001" s="2" t="n">
        <x:v>10.9676587249797</x:v>
      </x:c>
      <x:c r="D3001" s="2" t="n">
        <x:v>2024</x:v>
      </x:c>
      <x:c r="E3001" s="2" t="str">
        <x:v>WB_food_import_share</x:v>
      </x:c>
      <x:c r="F3001" s="2" t="str">
        <x:v>Food imports (% of merchandise imports)</x:v>
      </x:c>
    </x:row>
    <x:row r="3002" ht="44" customHeight="1">
      <x:c r="A3002" s="2" t="str">
        <x:v>KAZ</x:v>
      </x:c>
      <x:c r="B3002" s="2" t="str">
        <x:v>food_export_share</x:v>
      </x:c>
      <x:c r="C3002" s="2" t="n">
        <x:v>6.10052571949475</x:v>
      </x:c>
      <x:c r="D3002" s="2" t="n">
        <x:v>2024</x:v>
      </x:c>
      <x:c r="E3002" s="2" t="str">
        <x:v>WB_food_export_share</x:v>
      </x:c>
      <x:c r="F3002" s="2" t="str">
        <x:v>Food exports (% of merchandise exports)</x:v>
      </x:c>
    </x:row>
    <x:row r="3003" ht="44" customHeight="1">
      <x:c r="A3003" s="2" t="str">
        <x:v>KAZ</x:v>
      </x:c>
      <x:c r="B3003" s="2" t="str">
        <x:v>imports_usd</x:v>
      </x:c>
      <x:c r="C3003" s="2" t="n">
        <x:v>64459000000</x:v>
      </x:c>
      <x:c r="D3003" s="2" t="n">
        <x:v>2025</x:v>
      </x:c>
      <x:c r="E3003" s="2" t="str">
        <x:v>WB_imports_usd</x:v>
      </x:c>
      <x:c r="F3003" s="2" t="str">
        <x:v>Merchandise imports (current US$)</x:v>
      </x:c>
    </x:row>
    <x:row r="3004" ht="44" customHeight="1">
      <x:c r="A3004" s="2" t="str">
        <x:v>KAZ</x:v>
      </x:c>
      <x:c r="B3004" s="2" t="str">
        <x:v>exports_usd</x:v>
      </x:c>
      <x:c r="C3004" s="2" t="n">
        <x:v>78793000000</x:v>
      </x:c>
      <x:c r="D3004" s="2" t="n">
        <x:v>2025</x:v>
      </x:c>
      <x:c r="E3004" s="2" t="str">
        <x:v>WB_exports_usd</x:v>
      </x:c>
      <x:c r="F3004" s="2" t="str">
        <x:v>Merchandise exports (current US$)</x:v>
      </x:c>
    </x:row>
    <x:row r="3005" ht="44" customHeight="1">
      <x:c r="A3005" s="2" t="str">
        <x:v>KAZ</x:v>
      </x:c>
      <x:c r="B3005" s="2" t="str">
        <x:v>cereal_yield</x:v>
      </x:c>
      <x:c r="C3005" s="2" t="n">
        <x:v>1529.5</x:v>
      </x:c>
      <x:c r="D3005" s="2" t="n">
        <x:v>2024</x:v>
      </x:c>
      <x:c r="E3005" s="2" t="str">
        <x:v>WB_cereal_yield</x:v>
      </x:c>
      <x:c r="F3005" s="2" t="str">
        <x:v>Cereal yield (kg per hectare)</x:v>
      </x:c>
    </x:row>
    <x:row r="3006" ht="44" customHeight="1">
      <x:c r="A3006" s="2" t="str">
        <x:v>KAZ</x:v>
      </x:c>
      <x:c r="B3006" s="2" t="str">
        <x:v>water_stress</x:v>
      </x:c>
      <x:c r="C3006" s="2" t="n">
        <x:v>34.62690707</x:v>
      </x:c>
      <x:c r="D3006" s="2" t="n">
        <x:v>2022</x:v>
      </x:c>
      <x:c r="E3006" s="2" t="str">
        <x:v>WB_water_stress</x:v>
      </x:c>
      <x:c r="F3006" s="2" t="str">
        <x:v>Level of water stress: freshwater withdrawal as a proportion of available freshwater resources</x:v>
      </x:c>
    </x:row>
    <x:row r="3007" ht="44" customHeight="1">
      <x:c r="A3007" s="2" t="str">
        <x:v>KAZ</x:v>
      </x:c>
      <x:c r="B3007" s="2" t="str">
        <x:v>fertility</x:v>
      </x:c>
      <x:c r="C3007" s="2" t="n">
        <x:v>2.984</x:v>
      </x:c>
      <x:c r="D3007" s="2" t="n">
        <x:v>2024</x:v>
      </x:c>
      <x:c r="E3007" s="2" t="str">
        <x:v>WB_fertility</x:v>
      </x:c>
      <x:c r="F3007" s="2" t="str">
        <x:v>Fertility rate, total (births per woman)</x:v>
      </x:c>
    </x:row>
    <x:row r="3008" ht="44" customHeight="1">
      <x:c r="A3008" s="2" t="str">
        <x:v>KAZ</x:v>
      </x:c>
      <x:c r="B3008" s="2" t="str">
        <x:v>life_expectancy</x:v>
      </x:c>
      <x:c r="C3008" s="2" t="n">
        <x:v>74.531</x:v>
      </x:c>
      <x:c r="D3008" s="2" t="n">
        <x:v>2024</x:v>
      </x:c>
      <x:c r="E3008" s="2" t="str">
        <x:v>WB_life_expectancy</x:v>
      </x:c>
      <x:c r="F3008" s="2" t="str">
        <x:v>Life expectancy at birth, total (years)</x:v>
      </x:c>
    </x:row>
    <x:row r="3009" ht="44" customHeight="1">
      <x:c r="A3009" s="2" t="str">
        <x:v>KAZ</x:v>
      </x:c>
      <x:c r="B3009" s="2" t="str">
        <x:v>age_under15</x:v>
      </x:c>
      <x:c r="C3009" s="2" t="n">
        <x:v>29.1373946090183</x:v>
      </x:c>
      <x:c r="D3009" s="2" t="n">
        <x:v>2025</x:v>
      </x:c>
      <x:c r="E3009" s="2" t="str">
        <x:v>WB_age_under15</x:v>
      </x:c>
      <x:c r="F3009" s="2" t="str">
        <x:v>Population ages 0-14 (% of total population)</x:v>
      </x:c>
    </x:row>
    <x:row r="3010" ht="44" customHeight="1">
      <x:c r="A3010" s="2" t="str">
        <x:v>KAZ</x:v>
      </x:c>
      <x:c r="B3010" s="2" t="str">
        <x:v>age_over65</x:v>
      </x:c>
      <x:c r="C3010" s="2" t="n">
        <x:v>9.00270150466414</x:v>
      </x:c>
      <x:c r="D3010" s="2" t="n">
        <x:v>2025</x:v>
      </x:c>
      <x:c r="E3010" s="2" t="str">
        <x:v>WB_age_over65</x:v>
      </x:c>
      <x:c r="F3010" s="2" t="str">
        <x:v>Population ages 65 and above (% of total population)</x:v>
      </x:c>
    </x:row>
    <x:row r="3011" ht="44" customHeight="1">
      <x:c r="A3011" s="2" t="str">
        <x:v>KAZ</x:v>
      </x:c>
      <x:c r="B3011" s="2" t="str">
        <x:v>dependency_ratio</x:v>
      </x:c>
      <x:c r="C3011" s="2" t="n">
        <x:v>61.6556043520026</x:v>
      </x:c>
      <x:c r="D3011" s="2" t="n">
        <x:v>2025</x:v>
      </x:c>
      <x:c r="E3011" s="2" t="str">
        <x:v>WB_dependency_ratio</x:v>
      </x:c>
      <x:c r="F3011" s="2" t="str">
        <x:v>Age dependency ratio (% of working-age population)</x:v>
      </x:c>
    </x:row>
    <x:row r="3012" ht="44" customHeight="1">
      <x:c r="A3012" s="2" t="str">
        <x:v>KAZ</x:v>
      </x:c>
      <x:c r="B3012" s="2" t="str">
        <x:v>net_migration</x:v>
      </x:c>
      <x:c r="C3012" s="2" t="n">
        <x:v>-8834</x:v>
      </x:c>
      <x:c r="D3012" s="2" t="n">
        <x:v>2025</x:v>
      </x:c>
      <x:c r="E3012" s="2" t="str">
        <x:v>WB_net_migration</x:v>
      </x:c>
      <x:c r="F3012" s="2" t="str">
        <x:v>Net migration</x:v>
      </x:c>
    </x:row>
    <x:row r="3013" ht="44" customHeight="1">
      <x:c r="A3013" s="2" t="str">
        <x:v>KAZ</x:v>
      </x:c>
      <x:c r="B3013" s="2" t="str">
        <x:v>real_gdp</x:v>
      </x:c>
      <x:c r="C3013" s="2" t="n">
        <x:v>260383077834.12</x:v>
      </x:c>
      <x:c r="D3013" s="2" t="n">
        <x:v>2025</x:v>
      </x:c>
      <x:c r="E3013" s="2" t="str">
        <x:v>WB_real_gdp</x:v>
      </x:c>
      <x:c r="F3013" s="2" t="str">
        <x:v>GDP (constant 2015 US$)</x:v>
      </x:c>
    </x:row>
    <x:row r="3014" ht="44" customHeight="1">
      <x:c r="A3014" s="2" t="str">
        <x:v>KAZ</x:v>
      </x:c>
      <x:c r="B3014" s="2" t="str">
        <x:v>gdp_growth</x:v>
      </x:c>
      <x:c r="C3014" s="2" t="n">
        <x:v>6.5</x:v>
      </x:c>
      <x:c r="D3014" s="2" t="n">
        <x:v>2025</x:v>
      </x:c>
      <x:c r="E3014" s="2" t="str">
        <x:v>WB_gdp_growth</x:v>
      </x:c>
      <x:c r="F3014" s="2" t="str">
        <x:v>GDP growth (annual %)</x:v>
      </x:c>
    </x:row>
    <x:row r="3015" ht="44" customHeight="1">
      <x:c r="A3015" s="2" t="str">
        <x:v>KAZ</x:v>
      </x:c>
      <x:c r="B3015" s="2" t="str">
        <x:v>real_income</x:v>
      </x:c>
      <x:c r="C3015" s="2" t="n">
        <x:v>12492.1392679131</x:v>
      </x:c>
      <x:c r="D3015" s="2" t="n">
        <x:v>2025</x:v>
      </x:c>
      <x:c r="E3015" s="2" t="str">
        <x:v>WB_real_income</x:v>
      </x:c>
      <x:c r="F3015" s="2" t="str">
        <x:v>GDP per capita (constant 2015 US$)</x:v>
      </x:c>
    </x:row>
    <x:row r="3016" ht="44" customHeight="1">
      <x:c r="A3016" s="2" t="str">
        <x:v>KAZ</x:v>
      </x:c>
      <x:c r="B3016" s="2" t="str">
        <x:v>agriculture_gdp</x:v>
      </x:c>
      <x:c r="C3016" s="2" t="n">
        <x:v>3.7437914177142</x:v>
      </x:c>
      <x:c r="D3016" s="2" t="n">
        <x:v>2025</x:v>
      </x:c>
      <x:c r="E3016" s="2" t="str">
        <x:v>WB_agriculture_gdp</x:v>
      </x:c>
      <x:c r="F3016" s="2" t="str">
        <x:v>Agriculture, forestry, and fishing, value added (% of GDP)</x:v>
      </x:c>
    </x:row>
    <x:row r="3017" ht="44" customHeight="1">
      <x:c r="A3017" s="2" t="str">
        <x:v>KAZ</x:v>
      </x:c>
      <x:c r="B3017" s="2" t="str">
        <x:v>poverty</x:v>
      </x:c>
      <x:c r="C3017" s="2" t="n">
        <x:v>0</x:v>
      </x:c>
      <x:c r="D3017" s="2" t="n">
        <x:v>2021</x:v>
      </x:c>
      <x:c r="E3017" s="2" t="str">
        <x:v>WB_poverty</x:v>
      </x:c>
      <x:c r="F3017" s="2" t="str">
        <x:v>Poverty headcount ratio at $3.00 a day (2021 PPP) (% of population)</x:v>
      </x:c>
    </x:row>
    <x:row r="3018" ht="44" customHeight="1">
      <x:c r="A3018" s="2" t="str">
        <x:v>KAZ</x:v>
      </x:c>
      <x:c r="B3018" s="2" t="str">
        <x:v>gini</x:v>
      </x:c>
      <x:c r="C3018" s="2" t="n">
        <x:v>29.2</x:v>
      </x:c>
      <x:c r="D3018" s="2" t="n">
        <x:v>2021</x:v>
      </x:c>
      <x:c r="E3018" s="2" t="str">
        <x:v>WB_gini</x:v>
      </x:c>
      <x:c r="F3018" s="2" t="str">
        <x:v>Gini index</x:v>
      </x:c>
    </x:row>
    <x:row r="3019" ht="44" customHeight="1">
      <x:c r="A3019" s="2" t="str">
        <x:v>KAZ</x:v>
      </x:c>
      <x:c r="B3019" s="2" t="str">
        <x:v>unemployment</x:v>
      </x:c>
      <x:c r="C3019" s="2" t="n">
        <x:v>4.771</x:v>
      </x:c>
      <x:c r="D3019" s="2" t="n">
        <x:v>2025</x:v>
      </x:c>
      <x:c r="E3019" s="2" t="str">
        <x:v>WB_unemployment</x:v>
      </x:c>
      <x:c r="F3019" s="2" t="str">
        <x:v>Unemployment, total (% of total labor force) (modeled ILO estimate)</x:v>
      </x:c>
    </x:row>
    <x:row r="3020" ht="44" customHeight="1">
      <x:c r="A3020" s="2" t="str">
        <x:v>KAZ</x:v>
      </x:c>
      <x:c r="B3020" s="2" t="str">
        <x:v>private_credit</x:v>
      </x:c>
      <x:c r="C3020" s="2" t="n">
        <x:v>27.707917493475</x:v>
      </x:c>
      <x:c r="D3020" s="2" t="n">
        <x:v>2025</x:v>
      </x:c>
      <x:c r="E3020" s="2" t="str">
        <x:v>WB_private_credit</x:v>
      </x:c>
      <x:c r="F3020" s="2" t="str">
        <x:v>Domestic credit to private sector (% of GDP)</x:v>
      </x:c>
    </x:row>
    <x:row r="3021" ht="44" customHeight="1">
      <x:c r="A3021" s="2" t="str">
        <x:v>KAZ</x:v>
      </x:c>
      <x:c r="B3021" s="2" t="str">
        <x:v>lending_rate</x:v>
      </x:c>
      <x:c r="C3021" s="2"/>
      <x:c r="D3021" s="2"/>
      <x:c r="E3021" s="2" t="str">
        <x:v>Missing</x:v>
      </x:c>
      <x:c r="F3021" s="2" t="str">
        <x:v>Lending interest rate (%)</x:v>
      </x:c>
    </x:row>
    <x:row r="3022" ht="44" customHeight="1">
      <x:c r="A3022" s="2" t="str">
        <x:v>KAZ</x:v>
      </x:c>
      <x:c r="B3022" s="2" t="str">
        <x:v>real_interest</x:v>
      </x:c>
      <x:c r="C3022" s="2"/>
      <x:c r="D3022" s="2"/>
      <x:c r="E3022" s="2" t="str">
        <x:v>Missing</x:v>
      </x:c>
      <x:c r="F3022" s="2" t="str">
        <x:v>Real interest rate (%)</x:v>
      </x:c>
    </x:row>
    <x:row r="3023" ht="44" customHeight="1">
      <x:c r="A3023" s="2" t="str">
        <x:v>KAZ</x:v>
      </x:c>
      <x:c r="B3023" s="2" t="str">
        <x:v>government_debt</x:v>
      </x:c>
      <x:c r="C3023" s="2" t="n">
        <x:v>20.8858497183933</x:v>
      </x:c>
      <x:c r="D3023" s="2" t="n">
        <x:v>2023</x:v>
      </x:c>
      <x:c r="E3023" s="2" t="str">
        <x:v>WB_government_debt</x:v>
      </x:c>
      <x:c r="F3023" s="2" t="str">
        <x:v>Central government debt, total (% of GDP)</x:v>
      </x:c>
    </x:row>
    <x:row r="3024" ht="44" customHeight="1">
      <x:c r="A3024" s="2" t="str">
        <x:v>KAZ</x:v>
      </x:c>
      <x:c r="B3024" s="2" t="str">
        <x:v>electricity_access</x:v>
      </x:c>
      <x:c r="C3024" s="2" t="n">
        <x:v>100</x:v>
      </x:c>
      <x:c r="D3024" s="2" t="n">
        <x:v>2024</x:v>
      </x:c>
      <x:c r="E3024" s="2" t="str">
        <x:v>WB_electricity_access</x:v>
      </x:c>
      <x:c r="F3024" s="2" t="str">
        <x:v>Access to electricity (% of population)</x:v>
      </x:c>
    </x:row>
    <x:row r="3025" ht="44" customHeight="1">
      <x:c r="A3025" s="2" t="str">
        <x:v>KAZ</x:v>
      </x:c>
      <x:c r="B3025" s="2" t="str">
        <x:v>irrigated_land</x:v>
      </x:c>
      <x:c r="C3025" s="2" t="n">
        <x:v>0.830464232025938</x:v>
      </x:c>
      <x:c r="D3025" s="2" t="n">
        <x:v>2023</x:v>
      </x:c>
      <x:c r="E3025" s="2" t="str">
        <x:v>WB_irrigated_land</x:v>
      </x:c>
      <x:c r="F3025" s="2" t="str">
        <x:v>Agricultural irrigated land (% of total agricultural land)</x:v>
      </x:c>
    </x:row>
    <x:row r="3026" ht="44" customHeight="1">
      <x:c r="A3026" s="2" t="str">
        <x:v>KAZ</x:v>
      </x:c>
      <x:c r="B3026" s="2" t="str">
        <x:v>cereal_area</x:v>
      </x:c>
      <x:c r="C3026" s="2" t="n">
        <x:v>16061052</x:v>
      </x:c>
      <x:c r="D3026" s="2" t="n">
        <x:v>2024</x:v>
      </x:c>
      <x:c r="E3026" s="2" t="str">
        <x:v>WB_cereal_area</x:v>
      </x:c>
      <x:c r="F3026" s="2" t="str">
        <x:v>Land under cereal production (hectares)</x:v>
      </x:c>
    </x:row>
    <x:row r="3027" ht="44" customHeight="1">
      <x:c r="A3027" s="2" t="str">
        <x:v>KAZ</x:v>
      </x:c>
      <x:c r="B3027" s="2" t="str">
        <x:v>undernourishment</x:v>
      </x:c>
      <x:c r="C3027" s="2" t="n">
        <x:v>2.5</x:v>
      </x:c>
      <x:c r="D3027" s="2" t="n">
        <x:v>2023</x:v>
      </x:c>
      <x:c r="E3027" s="2" t="str">
        <x:v>WB_undernourishment</x:v>
      </x:c>
      <x:c r="F3027" s="2" t="str">
        <x:v>Prevalence of undernourishment (% of population)</x:v>
      </x:c>
    </x:row>
    <x:row r="3028" ht="44" customHeight="1">
      <x:c r="A3028" s="2" t="str">
        <x:v>KAZ</x:v>
      </x:c>
      <x:c r="B3028" s="2" t="str">
        <x:v>agriculture_employment</x:v>
      </x:c>
      <x:c r="C3028" s="2" t="n">
        <x:v>11.3195866944431</x:v>
      </x:c>
      <x:c r="D3028" s="2" t="n">
        <x:v>2025</x:v>
      </x:c>
      <x:c r="E3028" s="2" t="str">
        <x:v>WB_agriculture_employment</x:v>
      </x:c>
      <x:c r="F3028" s="2" t="str">
        <x:v>Employment in agriculture (% of total employment) (modeled ILO estimate)</x:v>
      </x:c>
    </x:row>
    <x:row r="3029" ht="44" customHeight="1">
      <x:c r="A3029" s="2" t="str">
        <x:v>KAZ</x:v>
      </x:c>
      <x:c r="B3029" s="2" t="str">
        <x:v>water_withdrawal</x:v>
      </x:c>
      <x:c r="C3029" s="2" t="n">
        <x:v>38.7972027972028</x:v>
      </x:c>
      <x:c r="D3029" s="2" t="n">
        <x:v>2022</x:v>
      </x:c>
      <x:c r="E3029" s="2" t="str">
        <x:v>WB_water_withdrawal</x:v>
      </x:c>
      <x:c r="F3029" s="2" t="str">
        <x:v>Annual freshwater withdrawals, total (% of internal resources)</x:v>
      </x:c>
    </x:row>
    <x:row r="3030" ht="44" customHeight="1">
      <x:c r="A3030" s="2" t="str">
        <x:v>KEN</x:v>
      </x:c>
      <x:c r="B3030" s="2" t="str">
        <x:v>population</x:v>
      </x:c>
      <x:c r="C3030" s="2" t="n">
        <x:v>57532493</x:v>
      </x:c>
      <x:c r="D3030" s="2" t="n">
        <x:v>2025</x:v>
      </x:c>
      <x:c r="E3030" s="2" t="str">
        <x:v>WB_population</x:v>
      </x:c>
      <x:c r="F3030" s="2" t="str">
        <x:v>Population, total</x:v>
      </x:c>
    </x:row>
    <x:row r="3031" ht="44" customHeight="1">
      <x:c r="A3031" s="2" t="str">
        <x:v>KEN</x:v>
      </x:c>
      <x:c r="B3031" s="2" t="str">
        <x:v>income_ppp</x:v>
      </x:c>
      <x:c r="C3031" s="2" t="n">
        <x:v>5995.40177895632</x:v>
      </x:c>
      <x:c r="D3031" s="2" t="n">
        <x:v>2025</x:v>
      </x:c>
      <x:c r="E3031" s="2" t="str">
        <x:v>WB_income_ppp</x:v>
      </x:c>
      <x:c r="F3031" s="2" t="str">
        <x:v>GDP per capita, PPP (constant 2021 international $)</x:v>
      </x:c>
    </x:row>
    <x:row r="3032" ht="44" customHeight="1">
      <x:c r="A3032" s="2" t="str">
        <x:v>KEN</x:v>
      </x:c>
      <x:c r="B3032" s="2" t="str">
        <x:v>urban</x:v>
      </x:c>
      <x:c r="C3032" s="2" t="n">
        <x:v>32.2121192871745</x:v>
      </x:c>
      <x:c r="D3032" s="2" t="n">
        <x:v>2025</x:v>
      </x:c>
      <x:c r="E3032" s="2" t="str">
        <x:v>WB_urban</x:v>
      </x:c>
      <x:c r="F3032" s="2" t="str">
        <x:v>Urban population (% of total population)</x:v>
      </x:c>
    </x:row>
    <x:row r="3033" ht="44" customHeight="1">
      <x:c r="A3033" s="2" t="str">
        <x:v>KEN</x:v>
      </x:c>
      <x:c r="B3033" s="2" t="str">
        <x:v>inflation</x:v>
      </x:c>
      <x:c r="C3033" s="2" t="n">
        <x:v>4.06912878540729</x:v>
      </x:c>
      <x:c r="D3033" s="2" t="n">
        <x:v>2025</x:v>
      </x:c>
      <x:c r="E3033" s="2" t="str">
        <x:v>WB_inflation</x:v>
      </x:c>
      <x:c r="F3033" s="2" t="str">
        <x:v>Inflation, consumer prices (annual %)</x:v>
      </x:c>
    </x:row>
    <x:row r="3034" ht="44" customHeight="1">
      <x:c r="A3034" s="2" t="str">
        <x:v>KEN</x:v>
      </x:c>
      <x:c r="B3034" s="2" t="str">
        <x:v>food_index</x:v>
      </x:c>
      <x:c r="C3034" s="2" t="n">
        <x:v>112.38</x:v>
      </x:c>
      <x:c r="D3034" s="2" t="n">
        <x:v>2022</x:v>
      </x:c>
      <x:c r="E3034" s="2" t="str">
        <x:v>WB_food_index</x:v>
      </x:c>
      <x:c r="F3034" s="2" t="str">
        <x:v>Food production index (2014-2016 = 100)</x:v>
      </x:c>
    </x:row>
    <x:row r="3035" ht="44" customHeight="1">
      <x:c r="A3035" s="2" t="str">
        <x:v>KEN</x:v>
      </x:c>
      <x:c r="B3035" s="2" t="str">
        <x:v>food_import_share</x:v>
      </x:c>
      <x:c r="C3035" s="2" t="n">
        <x:v>16.258423021928</x:v>
      </x:c>
      <x:c r="D3035" s="2" t="n">
        <x:v>2024</x:v>
      </x:c>
      <x:c r="E3035" s="2" t="str">
        <x:v>WB_food_import_share</x:v>
      </x:c>
      <x:c r="F3035" s="2" t="str">
        <x:v>Food imports (% of merchandise imports)</x:v>
      </x:c>
    </x:row>
    <x:row r="3036" ht="44" customHeight="1">
      <x:c r="A3036" s="2" t="str">
        <x:v>KEN</x:v>
      </x:c>
      <x:c r="B3036" s="2" t="str">
        <x:v>food_export_share</x:v>
      </x:c>
      <x:c r="C3036" s="2" t="n">
        <x:v>49.2307044642774</x:v>
      </x:c>
      <x:c r="D3036" s="2" t="n">
        <x:v>2024</x:v>
      </x:c>
      <x:c r="E3036" s="2" t="str">
        <x:v>WB_food_export_share</x:v>
      </x:c>
      <x:c r="F3036" s="2" t="str">
        <x:v>Food exports (% of merchandise exports)</x:v>
      </x:c>
    </x:row>
    <x:row r="3037" ht="44" customHeight="1">
      <x:c r="A3037" s="2" t="str">
        <x:v>KEN</x:v>
      </x:c>
      <x:c r="B3037" s="2" t="str">
        <x:v>imports_usd</x:v>
      </x:c>
      <x:c r="C3037" s="2" t="n">
        <x:v>21614000000</x:v>
      </x:c>
      <x:c r="D3037" s="2" t="n">
        <x:v>2025</x:v>
      </x:c>
      <x:c r="E3037" s="2" t="str">
        <x:v>WB_imports_usd</x:v>
      </x:c>
      <x:c r="F3037" s="2" t="str">
        <x:v>Merchandise imports (current US$)</x:v>
      </x:c>
    </x:row>
    <x:row r="3038" ht="44" customHeight="1">
      <x:c r="A3038" s="2" t="str">
        <x:v>KEN</x:v>
      </x:c>
      <x:c r="B3038" s="2" t="str">
        <x:v>exports_usd</x:v>
      </x:c>
      <x:c r="C3038" s="2" t="n">
        <x:v>8601000000</x:v>
      </x:c>
      <x:c r="D3038" s="2" t="n">
        <x:v>2025</x:v>
      </x:c>
      <x:c r="E3038" s="2" t="str">
        <x:v>WB_exports_usd</x:v>
      </x:c>
      <x:c r="F3038" s="2" t="str">
        <x:v>Merchandise exports (current US$)</x:v>
      </x:c>
    </x:row>
    <x:row r="3039" ht="44" customHeight="1">
      <x:c r="A3039" s="2" t="str">
        <x:v>KEN</x:v>
      </x:c>
      <x:c r="B3039" s="2" t="str">
        <x:v>cereal_yield</x:v>
      </x:c>
      <x:c r="C3039" s="2" t="n">
        <x:v>1757.5</x:v>
      </x:c>
      <x:c r="D3039" s="2" t="n">
        <x:v>2023</x:v>
      </x:c>
      <x:c r="E3039" s="2" t="str">
        <x:v>WB_cereal_yield</x:v>
      </x:c>
      <x:c r="F3039" s="2" t="str">
        <x:v>Cereal yield (kg per hectare)</x:v>
      </x:c>
    </x:row>
    <x:row r="3040" ht="44" customHeight="1">
      <x:c r="A3040" s="2" t="str">
        <x:v>KEN</x:v>
      </x:c>
      <x:c r="B3040" s="2" t="str">
        <x:v>water_stress</x:v>
      </x:c>
      <x:c r="C3040" s="2" t="n">
        <x:v>33.23990107</x:v>
      </x:c>
      <x:c r="D3040" s="2" t="n">
        <x:v>2022</x:v>
      </x:c>
      <x:c r="E3040" s="2" t="str">
        <x:v>WB_water_stress</x:v>
      </x:c>
      <x:c r="F3040" s="2" t="str">
        <x:v>Level of water stress: freshwater withdrawal as a proportion of available freshwater resources</x:v>
      </x:c>
    </x:row>
    <x:row r="3041" ht="44" customHeight="1">
      <x:c r="A3041" s="2" t="str">
        <x:v>KEN</x:v>
      </x:c>
      <x:c r="B3041" s="2" t="str">
        <x:v>fertility</x:v>
      </x:c>
      <x:c r="C3041" s="2" t="n">
        <x:v>3.167</x:v>
      </x:c>
      <x:c r="D3041" s="2" t="n">
        <x:v>2024</x:v>
      </x:c>
      <x:c r="E3041" s="2" t="str">
        <x:v>WB_fertility</x:v>
      </x:c>
      <x:c r="F3041" s="2" t="str">
        <x:v>Fertility rate, total (births per woman)</x:v>
      </x:c>
    </x:row>
    <x:row r="3042" ht="44" customHeight="1">
      <x:c r="A3042" s="2" t="str">
        <x:v>KEN</x:v>
      </x:c>
      <x:c r="B3042" s="2" t="str">
        <x:v>life_expectancy</x:v>
      </x:c>
      <x:c r="C3042" s="2" t="n">
        <x:v>63.834</x:v>
      </x:c>
      <x:c r="D3042" s="2" t="n">
        <x:v>2024</x:v>
      </x:c>
      <x:c r="E3042" s="2" t="str">
        <x:v>WB_life_expectancy</x:v>
      </x:c>
      <x:c r="F3042" s="2" t="str">
        <x:v>Life expectancy at birth, total (years)</x:v>
      </x:c>
    </x:row>
    <x:row r="3043" ht="44" customHeight="1">
      <x:c r="A3043" s="2" t="str">
        <x:v>KEN</x:v>
      </x:c>
      <x:c r="B3043" s="2" t="str">
        <x:v>age_under15</x:v>
      </x:c>
      <x:c r="C3043" s="2" t="n">
        <x:v>36.2577929332716</x:v>
      </x:c>
      <x:c r="D3043" s="2" t="n">
        <x:v>2025</x:v>
      </x:c>
      <x:c r="E3043" s="2" t="str">
        <x:v>WB_age_under15</x:v>
      </x:c>
      <x:c r="F3043" s="2" t="str">
        <x:v>Population ages 0-14 (% of total population)</x:v>
      </x:c>
    </x:row>
    <x:row r="3044" ht="44" customHeight="1">
      <x:c r="A3044" s="2" t="str">
        <x:v>KEN</x:v>
      </x:c>
      <x:c r="B3044" s="2" t="str">
        <x:v>age_over65</x:v>
      </x:c>
      <x:c r="C3044" s="2" t="n">
        <x:v>3.02095116077232</x:v>
      </x:c>
      <x:c r="D3044" s="2" t="n">
        <x:v>2025</x:v>
      </x:c>
      <x:c r="E3044" s="2" t="str">
        <x:v>WB_age_over65</x:v>
      </x:c>
      <x:c r="F3044" s="2" t="str">
        <x:v>Population ages 65 and above (% of total population)</x:v>
      </x:c>
    </x:row>
    <x:row r="3045" ht="44" customHeight="1">
      <x:c r="A3045" s="2" t="str">
        <x:v>KEN</x:v>
      </x:c>
      <x:c r="B3045" s="2" t="str">
        <x:v>dependency_ratio</x:v>
      </x:c>
      <x:c r="C3045" s="2" t="n">
        <x:v>64.6869771994706</x:v>
      </x:c>
      <x:c r="D3045" s="2" t="n">
        <x:v>2025</x:v>
      </x:c>
      <x:c r="E3045" s="2" t="str">
        <x:v>WB_dependency_ratio</x:v>
      </x:c>
      <x:c r="F3045" s="2" t="str">
        <x:v>Age dependency ratio (% of working-age population)</x:v>
      </x:c>
    </x:row>
    <x:row r="3046" ht="44" customHeight="1">
      <x:c r="A3046" s="2" t="str">
        <x:v>KEN</x:v>
      </x:c>
      <x:c r="B3046" s="2" t="str">
        <x:v>net_migration</x:v>
      </x:c>
      <x:c r="C3046" s="2" t="n">
        <x:v>-27330</x:v>
      </x:c>
      <x:c r="D3046" s="2" t="n">
        <x:v>2025</x:v>
      </x:c>
      <x:c r="E3046" s="2" t="str">
        <x:v>WB_net_migration</x:v>
      </x:c>
      <x:c r="F3046" s="2" t="str">
        <x:v>Net migration</x:v>
      </x:c>
    </x:row>
    <x:row r="3047" ht="44" customHeight="1">
      <x:c r="A3047" s="2" t="str">
        <x:v>KEN</x:v>
      </x:c>
      <x:c r="B3047" s="2" t="str">
        <x:v>real_gdp</x:v>
      </x:c>
      <x:c r="C3047" s="2" t="n">
        <x:v>109761569108.182</x:v>
      </x:c>
      <x:c r="D3047" s="2" t="n">
        <x:v>2025</x:v>
      </x:c>
      <x:c r="E3047" s="2" t="str">
        <x:v>WB_real_gdp</x:v>
      </x:c>
      <x:c r="F3047" s="2" t="str">
        <x:v>GDP (constant 2015 US$)</x:v>
      </x:c>
    </x:row>
    <x:row r="3048" ht="44" customHeight="1">
      <x:c r="A3048" s="2" t="str">
        <x:v>KEN</x:v>
      </x:c>
      <x:c r="B3048" s="2" t="str">
        <x:v>gdp_growth</x:v>
      </x:c>
      <x:c r="C3048" s="2" t="n">
        <x:v>4.63261093844984</x:v>
      </x:c>
      <x:c r="D3048" s="2" t="n">
        <x:v>2025</x:v>
      </x:c>
      <x:c r="E3048" s="2" t="str">
        <x:v>WB_gdp_growth</x:v>
      </x:c>
      <x:c r="F3048" s="2" t="str">
        <x:v>GDP growth (annual %)</x:v>
      </x:c>
    </x:row>
    <x:row r="3049" ht="44" customHeight="1">
      <x:c r="A3049" s="2" t="str">
        <x:v>KEN</x:v>
      </x:c>
      <x:c r="B3049" s="2" t="str">
        <x:v>real_income</x:v>
      </x:c>
      <x:c r="C3049" s="2" t="n">
        <x:v>1907.81875397233</x:v>
      </x:c>
      <x:c r="D3049" s="2" t="n">
        <x:v>2025</x:v>
      </x:c>
      <x:c r="E3049" s="2" t="str">
        <x:v>WB_real_income</x:v>
      </x:c>
      <x:c r="F3049" s="2" t="str">
        <x:v>GDP per capita (constant 2015 US$)</x:v>
      </x:c>
    </x:row>
    <x:row r="3050" ht="44" customHeight="1">
      <x:c r="A3050" s="2" t="str">
        <x:v>KEN</x:v>
      </x:c>
      <x:c r="B3050" s="2" t="str">
        <x:v>agriculture_gdp</x:v>
      </x:c>
      <x:c r="C3050" s="2" t="n">
        <x:v>23.1599874772131</x:v>
      </x:c>
      <x:c r="D3050" s="2" t="n">
        <x:v>2025</x:v>
      </x:c>
      <x:c r="E3050" s="2" t="str">
        <x:v>WB_agriculture_gdp</x:v>
      </x:c>
      <x:c r="F3050" s="2" t="str">
        <x:v>Agriculture, forestry, and fishing, value added (% of GDP)</x:v>
      </x:c>
    </x:row>
    <x:row r="3051" ht="44" customHeight="1">
      <x:c r="A3051" s="2" t="str">
        <x:v>KEN</x:v>
      </x:c>
      <x:c r="B3051" s="2" t="str">
        <x:v>poverty</x:v>
      </x:c>
      <x:c r="C3051" s="2" t="n">
        <x:v>45.5</x:v>
      </x:c>
      <x:c r="D3051" s="2" t="n">
        <x:v>2022</x:v>
      </x:c>
      <x:c r="E3051" s="2" t="str">
        <x:v>WB_poverty</x:v>
      </x:c>
      <x:c r="F3051" s="2" t="str">
        <x:v>Poverty headcount ratio at $3.00 a day (2021 PPP) (% of population)</x:v>
      </x:c>
    </x:row>
    <x:row r="3052" ht="44" customHeight="1">
      <x:c r="A3052" s="2" t="str">
        <x:v>KEN</x:v>
      </x:c>
      <x:c r="B3052" s="2" t="str">
        <x:v>gini</x:v>
      </x:c>
      <x:c r="C3052" s="2" t="n">
        <x:v>38.5</x:v>
      </x:c>
      <x:c r="D3052" s="2" t="n">
        <x:v>2022</x:v>
      </x:c>
      <x:c r="E3052" s="2" t="str">
        <x:v>WB_gini</x:v>
      </x:c>
      <x:c r="F3052" s="2" t="str">
        <x:v>Gini index</x:v>
      </x:c>
    </x:row>
    <x:row r="3053" ht="44" customHeight="1">
      <x:c r="A3053" s="2" t="str">
        <x:v>KEN</x:v>
      </x:c>
      <x:c r="B3053" s="2" t="str">
        <x:v>unemployment</x:v>
      </x:c>
      <x:c r="C3053" s="2" t="n">
        <x:v>5.449</x:v>
      </x:c>
      <x:c r="D3053" s="2" t="n">
        <x:v>2025</x:v>
      </x:c>
      <x:c r="E3053" s="2" t="str">
        <x:v>WB_unemployment</x:v>
      </x:c>
      <x:c r="F3053" s="2" t="str">
        <x:v>Unemployment, total (% of total labor force) (modeled ILO estimate)</x:v>
      </x:c>
    </x:row>
    <x:row r="3054" ht="44" customHeight="1">
      <x:c r="A3054" s="2" t="str">
        <x:v>KEN</x:v>
      </x:c>
      <x:c r="B3054" s="2" t="str">
        <x:v>private_credit</x:v>
      </x:c>
      <x:c r="C3054" s="2" t="n">
        <x:v>31.7980848696513</x:v>
      </x:c>
      <x:c r="D3054" s="2" t="n">
        <x:v>2023</x:v>
      </x:c>
      <x:c r="E3054" s="2" t="str">
        <x:v>WB_private_credit</x:v>
      </x:c>
      <x:c r="F3054" s="2" t="str">
        <x:v>Domestic credit to private sector (% of GDP)</x:v>
      </x:c>
    </x:row>
    <x:row r="3055" ht="44" customHeight="1">
      <x:c r="A3055" s="2" t="str">
        <x:v>KEN</x:v>
      </x:c>
      <x:c r="B3055" s="2" t="str">
        <x:v>lending_rate</x:v>
      </x:c>
      <x:c r="C3055" s="2" t="n">
        <x:v>16.5931072517574</x:v>
      </x:c>
      <x:c r="D3055" s="2" t="n">
        <x:v>2024</x:v>
      </x:c>
      <x:c r="E3055" s="2" t="str">
        <x:v>WB_lending_rate</x:v>
      </x:c>
      <x:c r="F3055" s="2" t="str">
        <x:v>Lending interest rate (%)</x:v>
      </x:c>
    </x:row>
    <x:row r="3056" ht="44" customHeight="1">
      <x:c r="A3056" s="2" t="str">
        <x:v>KEN</x:v>
      </x:c>
      <x:c r="B3056" s="2" t="str">
        <x:v>real_interest</x:v>
      </x:c>
      <x:c r="C3056" s="2" t="n">
        <x:v>13.0154381005653</x:v>
      </x:c>
      <x:c r="D3056" s="2" t="n">
        <x:v>2024</x:v>
      </x:c>
      <x:c r="E3056" s="2" t="str">
        <x:v>WB_real_interest</x:v>
      </x:c>
      <x:c r="F3056" s="2" t="str">
        <x:v>Real interest rate (%)</x:v>
      </x:c>
    </x:row>
    <x:row r="3057" ht="44" customHeight="1">
      <x:c r="A3057" s="2" t="str">
        <x:v>KEN</x:v>
      </x:c>
      <x:c r="B3057" s="2" t="str">
        <x:v>government_debt</x:v>
      </x:c>
      <x:c r="C3057" s="2"/>
      <x:c r="D3057" s="2"/>
      <x:c r="E3057" s="2" t="str">
        <x:v>Missing</x:v>
      </x:c>
      <x:c r="F3057" s="2" t="str">
        <x:v>Central government debt, total (% of GDP)</x:v>
      </x:c>
    </x:row>
    <x:row r="3058" ht="44" customHeight="1">
      <x:c r="A3058" s="2" t="str">
        <x:v>KEN</x:v>
      </x:c>
      <x:c r="B3058" s="2" t="str">
        <x:v>electricity_access</x:v>
      </x:c>
      <x:c r="C3058" s="2" t="n">
        <x:v>77</x:v>
      </x:c>
      <x:c r="D3058" s="2" t="n">
        <x:v>2024</x:v>
      </x:c>
      <x:c r="E3058" s="2" t="str">
        <x:v>WB_electricity_access</x:v>
      </x:c>
      <x:c r="F3058" s="2" t="str">
        <x:v>Access to electricity (% of population)</x:v>
      </x:c>
    </x:row>
    <x:row r="3059" ht="44" customHeight="1">
      <x:c r="A3059" s="2" t="str">
        <x:v>KEN</x:v>
      </x:c>
      <x:c r="B3059" s="2" t="str">
        <x:v>irrigated_land</x:v>
      </x:c>
      <x:c r="C3059" s="2" t="n">
        <x:v>0.964591098240982</x:v>
      </x:c>
      <x:c r="D3059" s="2" t="n">
        <x:v>2023</x:v>
      </x:c>
      <x:c r="E3059" s="2" t="str">
        <x:v>WB_irrigated_land</x:v>
      </x:c>
      <x:c r="F3059" s="2" t="str">
        <x:v>Agricultural irrigated land (% of total agricultural land)</x:v>
      </x:c>
    </x:row>
    <x:row r="3060" ht="44" customHeight="1">
      <x:c r="A3060" s="2" t="str">
        <x:v>KEN</x:v>
      </x:c>
      <x:c r="B3060" s="2" t="str">
        <x:v>cereal_area</x:v>
      </x:c>
      <x:c r="C3060" s="2" t="n">
        <x:v>2928050</x:v>
      </x:c>
      <x:c r="D3060" s="2" t="n">
        <x:v>2023</x:v>
      </x:c>
      <x:c r="E3060" s="2" t="str">
        <x:v>WB_cereal_area</x:v>
      </x:c>
      <x:c r="F3060" s="2" t="str">
        <x:v>Land under cereal production (hectares)</x:v>
      </x:c>
    </x:row>
    <x:row r="3061" ht="44" customHeight="1">
      <x:c r="A3061" s="2" t="str">
        <x:v>KEN</x:v>
      </x:c>
      <x:c r="B3061" s="2" t="str">
        <x:v>undernourishment</x:v>
      </x:c>
      <x:c r="C3061" s="2" t="n">
        <x:v>36.8</x:v>
      </x:c>
      <x:c r="D3061" s="2" t="n">
        <x:v>2023</x:v>
      </x:c>
      <x:c r="E3061" s="2" t="str">
        <x:v>WB_undernourishment</x:v>
      </x:c>
      <x:c r="F3061" s="2" t="str">
        <x:v>Prevalence of undernourishment (% of population)</x:v>
      </x:c>
    </x:row>
    <x:row r="3062" ht="44" customHeight="1">
      <x:c r="A3062" s="2" t="str">
        <x:v>KEN</x:v>
      </x:c>
      <x:c r="B3062" s="2" t="str">
        <x:v>agriculture_employment</x:v>
      </x:c>
      <x:c r="C3062" s="2" t="n">
        <x:v>45.7884267176803</x:v>
      </x:c>
      <x:c r="D3062" s="2" t="n">
        <x:v>2025</x:v>
      </x:c>
      <x:c r="E3062" s="2" t="str">
        <x:v>WB_agriculture_employment</x:v>
      </x:c>
      <x:c r="F3062" s="2" t="str">
        <x:v>Employment in agriculture (% of total employment) (modeled ILO estimate)</x:v>
      </x:c>
    </x:row>
    <x:row r="3063" ht="44" customHeight="1">
      <x:c r="A3063" s="2" t="str">
        <x:v>KEN</x:v>
      </x:c>
      <x:c r="B3063" s="2" t="str">
        <x:v>water_withdrawal</x:v>
      </x:c>
      <x:c r="C3063" s="2" t="n">
        <x:v>19.4782608695652</x:v>
      </x:c>
      <x:c r="D3063" s="2" t="n">
        <x:v>2022</x:v>
      </x:c>
      <x:c r="E3063" s="2" t="str">
        <x:v>WB_water_withdrawal</x:v>
      </x:c>
      <x:c r="F3063" s="2" t="str">
        <x:v>Annual freshwater withdrawals, total (% of internal resources)</x:v>
      </x:c>
    </x:row>
    <x:row r="3064" ht="44" customHeight="1">
      <x:c r="A3064" s="2" t="str">
        <x:v>KIR</x:v>
      </x:c>
      <x:c r="B3064" s="2" t="str">
        <x:v>population</x:v>
      </x:c>
      <x:c r="C3064" s="2" t="n">
        <x:v>136488</x:v>
      </x:c>
      <x:c r="D3064" s="2" t="n">
        <x:v>2025</x:v>
      </x:c>
      <x:c r="E3064" s="2" t="str">
        <x:v>WB_population</x:v>
      </x:c>
      <x:c r="F3064" s="2" t="str">
        <x:v>Population, total</x:v>
      </x:c>
    </x:row>
    <x:row r="3065" ht="44" customHeight="1">
      <x:c r="A3065" s="2" t="str">
        <x:v>KIR</x:v>
      </x:c>
      <x:c r="B3065" s="2" t="str">
        <x:v>income_ppp</x:v>
      </x:c>
      <x:c r="C3065" s="2" t="n">
        <x:v>3363.99521326766</x:v>
      </x:c>
      <x:c r="D3065" s="2" t="n">
        <x:v>2025</x:v>
      </x:c>
      <x:c r="E3065" s="2" t="str">
        <x:v>WB_income_ppp</x:v>
      </x:c>
      <x:c r="F3065" s="2" t="str">
        <x:v>GDP per capita, PPP (constant 2021 international $)</x:v>
      </x:c>
    </x:row>
    <x:row r="3066" ht="44" customHeight="1">
      <x:c r="A3066" s="2" t="str">
        <x:v>KIR</x:v>
      </x:c>
      <x:c r="B3066" s="2" t="str">
        <x:v>urban</x:v>
      </x:c>
      <x:c r="C3066" s="2" t="n">
        <x:v>63.3850857782871</x:v>
      </x:c>
      <x:c r="D3066" s="2" t="n">
        <x:v>2025</x:v>
      </x:c>
      <x:c r="E3066" s="2" t="str">
        <x:v>WB_urban</x:v>
      </x:c>
      <x:c r="F3066" s="2" t="str">
        <x:v>Urban population (% of total population)</x:v>
      </x:c>
    </x:row>
    <x:row r="3067" ht="44" customHeight="1">
      <x:c r="A3067" s="2" t="str">
        <x:v>KIR</x:v>
      </x:c>
      <x:c r="B3067" s="2" t="str">
        <x:v>inflation</x:v>
      </x:c>
      <x:c r="C3067" s="2" t="n">
        <x:v>2.45545072159028</x:v>
      </x:c>
      <x:c r="D3067" s="2" t="n">
        <x:v>2024</x:v>
      </x:c>
      <x:c r="E3067" s="2" t="str">
        <x:v>WB_inflation</x:v>
      </x:c>
      <x:c r="F3067" s="2" t="str">
        <x:v>Inflation, consumer prices (annual %)</x:v>
      </x:c>
    </x:row>
    <x:row r="3068" ht="44" customHeight="1">
      <x:c r="A3068" s="2" t="str">
        <x:v>KIR</x:v>
      </x:c>
      <x:c r="B3068" s="2" t="str">
        <x:v>food_index</x:v>
      </x:c>
      <x:c r="C3068" s="2" t="n">
        <x:v>97.32</x:v>
      </x:c>
      <x:c r="D3068" s="2" t="n">
        <x:v>2022</x:v>
      </x:c>
      <x:c r="E3068" s="2" t="str">
        <x:v>WB_food_index</x:v>
      </x:c>
      <x:c r="F3068" s="2" t="str">
        <x:v>Food production index (2014-2016 = 100)</x:v>
      </x:c>
    </x:row>
    <x:row r="3069" ht="44" customHeight="1">
      <x:c r="A3069" s="2" t="str">
        <x:v>KIR</x:v>
      </x:c>
      <x:c r="B3069" s="2" t="str">
        <x:v>food_import_share</x:v>
      </x:c>
      <x:c r="C3069" s="2" t="n">
        <x:v>41.4444062808522</x:v>
      </x:c>
      <x:c r="D3069" s="2" t="n">
        <x:v>2021</x:v>
      </x:c>
      <x:c r="E3069" s="2" t="str">
        <x:v>WB_food_import_share</x:v>
      </x:c>
      <x:c r="F3069" s="2" t="str">
        <x:v>Food imports (% of merchandise imports)</x:v>
      </x:c>
    </x:row>
    <x:row r="3070" ht="44" customHeight="1">
      <x:c r="A3070" s="2" t="str">
        <x:v>KIR</x:v>
      </x:c>
      <x:c r="B3070" s="2" t="str">
        <x:v>food_export_share</x:v>
      </x:c>
      <x:c r="C3070" s="2" t="n">
        <x:v>97.2211591964789</x:v>
      </x:c>
      <x:c r="D3070" s="2" t="n">
        <x:v>2021</x:v>
      </x:c>
      <x:c r="E3070" s="2" t="str">
        <x:v>WB_food_export_share</x:v>
      </x:c>
      <x:c r="F3070" s="2" t="str">
        <x:v>Food exports (% of merchandise exports)</x:v>
      </x:c>
    </x:row>
    <x:row r="3071" ht="44" customHeight="1">
      <x:c r="A3071" s="2" t="str">
        <x:v>KIR</x:v>
      </x:c>
      <x:c r="B3071" s="2" t="str">
        <x:v>imports_usd</x:v>
      </x:c>
      <x:c r="C3071" s="2" t="n">
        <x:v>496000000</x:v>
      </x:c>
      <x:c r="D3071" s="2" t="n">
        <x:v>2025</x:v>
      </x:c>
      <x:c r="E3071" s="2" t="str">
        <x:v>WB_imports_usd</x:v>
      </x:c>
      <x:c r="F3071" s="2" t="str">
        <x:v>Merchandise imports (current US$)</x:v>
      </x:c>
    </x:row>
    <x:row r="3072" ht="44" customHeight="1">
      <x:c r="A3072" s="2" t="str">
        <x:v>KIR</x:v>
      </x:c>
      <x:c r="B3072" s="2" t="str">
        <x:v>exports_usd</x:v>
      </x:c>
      <x:c r="C3072" s="2" t="n">
        <x:v>20000000</x:v>
      </x:c>
      <x:c r="D3072" s="2" t="n">
        <x:v>2025</x:v>
      </x:c>
      <x:c r="E3072" s="2" t="str">
        <x:v>WB_exports_usd</x:v>
      </x:c>
      <x:c r="F3072" s="2" t="str">
        <x:v>Merchandise exports (current US$)</x:v>
      </x:c>
    </x:row>
    <x:row r="3073" ht="44" customHeight="1">
      <x:c r="A3073" s="2" t="str">
        <x:v>KIR</x:v>
      </x:c>
      <x:c r="B3073" s="2" t="str">
        <x:v>cereal_yield</x:v>
      </x:c>
      <x:c r="C3073" s="2"/>
      <x:c r="D3073" s="2"/>
      <x:c r="E3073" s="2" t="str">
        <x:v>Missing</x:v>
      </x:c>
      <x:c r="F3073" s="2" t="str">
        <x:v>Cereal yield (kg per hectare)</x:v>
      </x:c>
    </x:row>
    <x:row r="3074" ht="44" customHeight="1">
      <x:c r="A3074" s="2" t="str">
        <x:v>KIR</x:v>
      </x:c>
      <x:c r="B3074" s="2" t="str">
        <x:v>water_stress</x:v>
      </x:c>
      <x:c r="C3074" s="2"/>
      <x:c r="D3074" s="2"/>
      <x:c r="E3074" s="2" t="str">
        <x:v>Missing</x:v>
      </x:c>
      <x:c r="F3074" s="2" t="str">
        <x:v>Level of water stress: freshwater withdrawal as a proportion of available freshwater resources</x:v>
      </x:c>
    </x:row>
    <x:row r="3075" ht="44" customHeight="1">
      <x:c r="A3075" s="2" t="str">
        <x:v>KIR</x:v>
      </x:c>
      <x:c r="B3075" s="2" t="str">
        <x:v>fertility</x:v>
      </x:c>
      <x:c r="C3075" s="2" t="n">
        <x:v>3.124</x:v>
      </x:c>
      <x:c r="D3075" s="2" t="n">
        <x:v>2024</x:v>
      </x:c>
      <x:c r="E3075" s="2" t="str">
        <x:v>WB_fertility</x:v>
      </x:c>
      <x:c r="F3075" s="2" t="str">
        <x:v>Fertility rate, total (births per woman)</x:v>
      </x:c>
    </x:row>
    <x:row r="3076" ht="44" customHeight="1">
      <x:c r="A3076" s="2" t="str">
        <x:v>KIR</x:v>
      </x:c>
      <x:c r="B3076" s="2" t="str">
        <x:v>life_expectancy</x:v>
      </x:c>
      <x:c r="C3076" s="2" t="n">
        <x:v>66.6</x:v>
      </x:c>
      <x:c r="D3076" s="2" t="n">
        <x:v>2024</x:v>
      </x:c>
      <x:c r="E3076" s="2" t="str">
        <x:v>WB_life_expectancy</x:v>
      </x:c>
      <x:c r="F3076" s="2" t="str">
        <x:v>Life expectancy at birth, total (years)</x:v>
      </x:c>
    </x:row>
    <x:row r="3077" ht="44" customHeight="1">
      <x:c r="A3077" s="2" t="str">
        <x:v>KIR</x:v>
      </x:c>
      <x:c r="B3077" s="2" t="str">
        <x:v>age_under15</x:v>
      </x:c>
      <x:c r="C3077" s="2" t="n">
        <x:v>34.3644336336028</x:v>
      </x:c>
      <x:c r="D3077" s="2" t="n">
        <x:v>2025</x:v>
      </x:c>
      <x:c r="E3077" s="2" t="str">
        <x:v>WB_age_under15</x:v>
      </x:c>
      <x:c r="F3077" s="2" t="str">
        <x:v>Population ages 0-14 (% of total population)</x:v>
      </x:c>
    </x:row>
    <x:row r="3078" ht="44" customHeight="1">
      <x:c r="A3078" s="2" t="str">
        <x:v>KIR</x:v>
      </x:c>
      <x:c r="B3078" s="2" t="str">
        <x:v>age_over65</x:v>
      </x:c>
      <x:c r="C3078" s="2" t="n">
        <x:v>4.37509387237753</x:v>
      </x:c>
      <x:c r="D3078" s="2" t="n">
        <x:v>2025</x:v>
      </x:c>
      <x:c r="E3078" s="2" t="str">
        <x:v>WB_age_over65</x:v>
      </x:c>
      <x:c r="F3078" s="2" t="str">
        <x:v>Population ages 65 and above (% of total population)</x:v>
      </x:c>
    </x:row>
    <x:row r="3079" ht="44" customHeight="1">
      <x:c r="A3079" s="2" t="str">
        <x:v>KIR</x:v>
      </x:c>
      <x:c r="B3079" s="2" t="str">
        <x:v>dependency_ratio</x:v>
      </x:c>
      <x:c r="C3079" s="2" t="n">
        <x:v>63.2365780440841</x:v>
      </x:c>
      <x:c r="D3079" s="2" t="n">
        <x:v>2025</x:v>
      </x:c>
      <x:c r="E3079" s="2" t="str">
        <x:v>WB_dependency_ratio</x:v>
      </x:c>
      <x:c r="F3079" s="2" t="str">
        <x:v>Age dependency ratio (% of working-age population)</x:v>
      </x:c>
    </x:row>
    <x:row r="3080" ht="44" customHeight="1">
      <x:c r="A3080" s="2" t="str">
        <x:v>KIR</x:v>
      </x:c>
      <x:c r="B3080" s="2" t="str">
        <x:v>net_migration</x:v>
      </x:c>
      <x:c r="C3080" s="2" t="n">
        <x:v>-462</x:v>
      </x:c>
      <x:c r="D3080" s="2" t="n">
        <x:v>2025</x:v>
      </x:c>
      <x:c r="E3080" s="2" t="str">
        <x:v>WB_net_migration</x:v>
      </x:c>
      <x:c r="F3080" s="2" t="str">
        <x:v>Net migration</x:v>
      </x:c>
    </x:row>
    <x:row r="3081" ht="44" customHeight="1">
      <x:c r="A3081" s="2" t="str">
        <x:v>KIR</x:v>
      </x:c>
      <x:c r="B3081" s="2" t="str">
        <x:v>real_gdp</x:v>
      </x:c>
      <x:c r="C3081" s="2" t="n">
        <x:v>287797935.373709</x:v>
      </x:c>
      <x:c r="D3081" s="2" t="n">
        <x:v>2025</x:v>
      </x:c>
      <x:c r="E3081" s="2" t="str">
        <x:v>WB_real_gdp</x:v>
      </x:c>
      <x:c r="F3081" s="2" t="str">
        <x:v>GDP (constant 2015 US$)</x:v>
      </x:c>
    </x:row>
    <x:row r="3082" ht="44" customHeight="1">
      <x:c r="A3082" s="2" t="str">
        <x:v>KIR</x:v>
      </x:c>
      <x:c r="B3082" s="2" t="str">
        <x:v>gdp_growth</x:v>
      </x:c>
      <x:c r="C3082" s="2" t="n">
        <x:v>4.22163588390501</x:v>
      </x:c>
      <x:c r="D3082" s="2" t="n">
        <x:v>2025</x:v>
      </x:c>
      <x:c r="E3082" s="2" t="str">
        <x:v>WB_gdp_growth</x:v>
      </x:c>
      <x:c r="F3082" s="2" t="str">
        <x:v>GDP growth (annual %)</x:v>
      </x:c>
    </x:row>
    <x:row r="3083" ht="44" customHeight="1">
      <x:c r="A3083" s="2" t="str">
        <x:v>KIR</x:v>
      </x:c>
      <x:c r="B3083" s="2" t="str">
        <x:v>real_income</x:v>
      </x:c>
      <x:c r="C3083" s="2" t="n">
        <x:v>2108.59515396012</x:v>
      </x:c>
      <x:c r="D3083" s="2" t="n">
        <x:v>2025</x:v>
      </x:c>
      <x:c r="E3083" s="2" t="str">
        <x:v>WB_real_income</x:v>
      </x:c>
      <x:c r="F3083" s="2" t="str">
        <x:v>GDP per capita (constant 2015 US$)</x:v>
      </x:c>
    </x:row>
    <x:row r="3084" ht="44" customHeight="1">
      <x:c r="A3084" s="2" t="str">
        <x:v>KIR</x:v>
      </x:c>
      <x:c r="B3084" s="2" t="str">
        <x:v>agriculture_gdp</x:v>
      </x:c>
      <x:c r="C3084" s="2" t="n">
        <x:v>23.1655122114262</x:v>
      </x:c>
      <x:c r="D3084" s="2" t="n">
        <x:v>2024</x:v>
      </x:c>
      <x:c r="E3084" s="2" t="str">
        <x:v>WB_agriculture_gdp</x:v>
      </x:c>
      <x:c r="F3084" s="2" t="str">
        <x:v>Agriculture, forestry, and fishing, value added (% of GDP)</x:v>
      </x:c>
    </x:row>
    <x:row r="3085" ht="44" customHeight="1">
      <x:c r="A3085" s="2" t="str">
        <x:v>KIR</x:v>
      </x:c>
      <x:c r="B3085" s="2" t="str">
        <x:v>poverty</x:v>
      </x:c>
      <x:c r="C3085" s="2" t="n">
        <x:v>0.9</x:v>
      </x:c>
      <x:c r="D3085" s="2" t="n">
        <x:v>2023</x:v>
      </x:c>
      <x:c r="E3085" s="2" t="str">
        <x:v>WB_poverty</x:v>
      </x:c>
      <x:c r="F3085" s="2" t="str">
        <x:v>Poverty headcount ratio at $3.00 a day (2021 PPP) (% of population)</x:v>
      </x:c>
    </x:row>
    <x:row r="3086" ht="44" customHeight="1">
      <x:c r="A3086" s="2" t="str">
        <x:v>KIR</x:v>
      </x:c>
      <x:c r="B3086" s="2" t="str">
        <x:v>gini</x:v>
      </x:c>
      <x:c r="C3086" s="2" t="n">
        <x:v>24.7</x:v>
      </x:c>
      <x:c r="D3086" s="2" t="n">
        <x:v>2023</x:v>
      </x:c>
      <x:c r="E3086" s="2" t="str">
        <x:v>WB_gini</x:v>
      </x:c>
      <x:c r="F3086" s="2" t="str">
        <x:v>Gini index</x:v>
      </x:c>
    </x:row>
    <x:row r="3087" ht="44" customHeight="1">
      <x:c r="A3087" s="2" t="str">
        <x:v>KIR</x:v>
      </x:c>
      <x:c r="B3087" s="2" t="str">
        <x:v>unemployment</x:v>
      </x:c>
      <x:c r="C3087" s="2"/>
      <x:c r="D3087" s="2"/>
      <x:c r="E3087" s="2" t="str">
        <x:v>Missing</x:v>
      </x:c>
      <x:c r="F3087" s="2" t="str">
        <x:v>Unemployment, total (% of total labor force) (modeled ILO estimate)</x:v>
      </x:c>
    </x:row>
    <x:row r="3088" ht="44" customHeight="1">
      <x:c r="A3088" s="2" t="str">
        <x:v>KIR</x:v>
      </x:c>
      <x:c r="B3088" s="2" t="str">
        <x:v>private_credit</x:v>
      </x:c>
      <x:c r="C3088" s="2"/>
      <x:c r="D3088" s="2"/>
      <x:c r="E3088" s="2" t="str">
        <x:v>Missing</x:v>
      </x:c>
      <x:c r="F3088" s="2" t="str">
        <x:v>Domestic credit to private sector (% of GDP)</x:v>
      </x:c>
    </x:row>
    <x:row r="3089" ht="44" customHeight="1">
      <x:c r="A3089" s="2" t="str">
        <x:v>KIR</x:v>
      </x:c>
      <x:c r="B3089" s="2" t="str">
        <x:v>lending_rate</x:v>
      </x:c>
      <x:c r="C3089" s="2"/>
      <x:c r="D3089" s="2"/>
      <x:c r="E3089" s="2" t="str">
        <x:v>Missing</x:v>
      </x:c>
      <x:c r="F3089" s="2" t="str">
        <x:v>Lending interest rate (%)</x:v>
      </x:c>
    </x:row>
    <x:row r="3090" ht="44" customHeight="1">
      <x:c r="A3090" s="2" t="str">
        <x:v>KIR</x:v>
      </x:c>
      <x:c r="B3090" s="2" t="str">
        <x:v>real_interest</x:v>
      </x:c>
      <x:c r="C3090" s="2"/>
      <x:c r="D3090" s="2"/>
      <x:c r="E3090" s="2" t="str">
        <x:v>Missing</x:v>
      </x:c>
      <x:c r="F3090" s="2" t="str">
        <x:v>Real interest rate (%)</x:v>
      </x:c>
    </x:row>
    <x:row r="3091" ht="44" customHeight="1">
      <x:c r="A3091" s="2" t="str">
        <x:v>KIR</x:v>
      </x:c>
      <x:c r="B3091" s="2" t="str">
        <x:v>government_debt</x:v>
      </x:c>
      <x:c r="C3091" s="2"/>
      <x:c r="D3091" s="2"/>
      <x:c r="E3091" s="2" t="str">
        <x:v>Missing</x:v>
      </x:c>
      <x:c r="F3091" s="2" t="str">
        <x:v>Central government debt, total (% of GDP)</x:v>
      </x:c>
    </x:row>
    <x:row r="3092" ht="44" customHeight="1">
      <x:c r="A3092" s="2" t="str">
        <x:v>KIR</x:v>
      </x:c>
      <x:c r="B3092" s="2" t="str">
        <x:v>electricity_access</x:v>
      </x:c>
      <x:c r="C3092" s="2" t="n">
        <x:v>97.7</x:v>
      </x:c>
      <x:c r="D3092" s="2" t="n">
        <x:v>2024</x:v>
      </x:c>
      <x:c r="E3092" s="2" t="str">
        <x:v>WB_electricity_access</x:v>
      </x:c>
      <x:c r="F3092" s="2" t="str">
        <x:v>Access to electricity (% of population)</x:v>
      </x:c>
    </x:row>
    <x:row r="3093" ht="44" customHeight="1">
      <x:c r="A3093" s="2" t="str">
        <x:v>KIR</x:v>
      </x:c>
      <x:c r="B3093" s="2" t="str">
        <x:v>irrigated_land</x:v>
      </x:c>
      <x:c r="C3093" s="2"/>
      <x:c r="D3093" s="2"/>
      <x:c r="E3093" s="2" t="str">
        <x:v>Missing</x:v>
      </x:c>
      <x:c r="F3093" s="2" t="str">
        <x:v>Agricultural irrigated land (% of total agricultural land)</x:v>
      </x:c>
    </x:row>
    <x:row r="3094" ht="44" customHeight="1">
      <x:c r="A3094" s="2" t="str">
        <x:v>KIR</x:v>
      </x:c>
      <x:c r="B3094" s="2" t="str">
        <x:v>cereal_area</x:v>
      </x:c>
      <x:c r="C3094" s="2"/>
      <x:c r="D3094" s="2"/>
      <x:c r="E3094" s="2" t="str">
        <x:v>Missing</x:v>
      </x:c>
      <x:c r="F3094" s="2" t="str">
        <x:v>Land under cereal production (hectares)</x:v>
      </x:c>
    </x:row>
    <x:row r="3095" ht="44" customHeight="1">
      <x:c r="A3095" s="2" t="str">
        <x:v>KIR</x:v>
      </x:c>
      <x:c r="B3095" s="2" t="str">
        <x:v>undernourishment</x:v>
      </x:c>
      <x:c r="C3095" s="2" t="n">
        <x:v>4.1</x:v>
      </x:c>
      <x:c r="D3095" s="2" t="n">
        <x:v>2023</x:v>
      </x:c>
      <x:c r="E3095" s="2" t="str">
        <x:v>WB_undernourishment</x:v>
      </x:c>
      <x:c r="F3095" s="2" t="str">
        <x:v>Prevalence of undernourishment (% of population)</x:v>
      </x:c>
    </x:row>
    <x:row r="3096" ht="44" customHeight="1">
      <x:c r="A3096" s="2" t="str">
        <x:v>KIR</x:v>
      </x:c>
      <x:c r="B3096" s="2" t="str">
        <x:v>agriculture_employment</x:v>
      </x:c>
      <x:c r="C3096" s="2"/>
      <x:c r="D3096" s="2"/>
      <x:c r="E3096" s="2" t="str">
        <x:v>Missing</x:v>
      </x:c>
      <x:c r="F3096" s="2" t="str">
        <x:v>Employment in agriculture (% of total employment) (modeled ILO estimate)</x:v>
      </x:c>
    </x:row>
    <x:row r="3097" ht="44" customHeight="1">
      <x:c r="A3097" s="2" t="str">
        <x:v>KIR</x:v>
      </x:c>
      <x:c r="B3097" s="2" t="str">
        <x:v>water_withdrawal</x:v>
      </x:c>
      <x:c r="C3097" s="2"/>
      <x:c r="D3097" s="2"/>
      <x:c r="E3097" s="2" t="str">
        <x:v>Missing</x:v>
      </x:c>
      <x:c r="F3097" s="2" t="str">
        <x:v>Annual freshwater withdrawals, total (% of internal resources)</x:v>
      </x:c>
    </x:row>
    <x:row r="3098" ht="44" customHeight="1">
      <x:c r="A3098" s="2" t="str">
        <x:v>KWT</x:v>
      </x:c>
      <x:c r="B3098" s="2" t="str">
        <x:v>population</x:v>
      </x:c>
      <x:c r="C3098" s="2" t="n">
        <x:v>4865298</x:v>
      </x:c>
      <x:c r="D3098" s="2" t="n">
        <x:v>2025</x:v>
      </x:c>
      <x:c r="E3098" s="2" t="str">
        <x:v>WB_population</x:v>
      </x:c>
      <x:c r="F3098" s="2" t="str">
        <x:v>Population, total</x:v>
      </x:c>
    </x:row>
    <x:row r="3099" ht="44" customHeight="1">
      <x:c r="A3099" s="2" t="str">
        <x:v>KWT</x:v>
      </x:c>
      <x:c r="B3099" s="2" t="str">
        <x:v>income_ppp</x:v>
      </x:c>
      <x:c r="C3099" s="2" t="n">
        <x:v>48253.963885132</x:v>
      </x:c>
      <x:c r="D3099" s="2" t="n">
        <x:v>2025</x:v>
      </x:c>
      <x:c r="E3099" s="2" t="str">
        <x:v>WB_income_ppp</x:v>
      </x:c>
      <x:c r="F3099" s="2" t="str">
        <x:v>GDP per capita, PPP (constant 2021 international $)</x:v>
      </x:c>
    </x:row>
    <x:row r="3100" ht="44" customHeight="1">
      <x:c r="A3100" s="2" t="str">
        <x:v>KWT</x:v>
      </x:c>
      <x:c r="B3100" s="2" t="str">
        <x:v>urban</x:v>
      </x:c>
      <x:c r="C3100" s="2" t="n">
        <x:v>100</x:v>
      </x:c>
      <x:c r="D3100" s="2" t="n">
        <x:v>2025</x:v>
      </x:c>
      <x:c r="E3100" s="2" t="str">
        <x:v>WB_urban</x:v>
      </x:c>
      <x:c r="F3100" s="2" t="str">
        <x:v>Urban population (% of total population)</x:v>
      </x:c>
    </x:row>
    <x:row r="3101" ht="44" customHeight="1">
      <x:c r="A3101" s="2" t="str">
        <x:v>KWT</x:v>
      </x:c>
      <x:c r="B3101" s="2" t="str">
        <x:v>inflation</x:v>
      </x:c>
      <x:c r="C3101" s="2" t="n">
        <x:v>2.36195936682045</x:v>
      </x:c>
      <x:c r="D3101" s="2" t="n">
        <x:v>2025</x:v>
      </x:c>
      <x:c r="E3101" s="2" t="str">
        <x:v>WB_inflation</x:v>
      </x:c>
      <x:c r="F3101" s="2" t="str">
        <x:v>Inflation, consumer prices (annual %)</x:v>
      </x:c>
    </x:row>
    <x:row r="3102" ht="44" customHeight="1">
      <x:c r="A3102" s="2" t="str">
        <x:v>KWT</x:v>
      </x:c>
      <x:c r="B3102" s="2" t="str">
        <x:v>food_index</x:v>
      </x:c>
      <x:c r="C3102" s="2" t="n">
        <x:v>130.87</x:v>
      </x:c>
      <x:c r="D3102" s="2" t="n">
        <x:v>2022</x:v>
      </x:c>
      <x:c r="E3102" s="2" t="str">
        <x:v>WB_food_index</x:v>
      </x:c>
      <x:c r="F3102" s="2" t="str">
        <x:v>Food production index (2014-2016 = 100)</x:v>
      </x:c>
    </x:row>
    <x:row r="3103" ht="44" customHeight="1">
      <x:c r="A3103" s="2" t="str">
        <x:v>KWT</x:v>
      </x:c>
      <x:c r="B3103" s="2" t="str">
        <x:v>food_import_share</x:v>
      </x:c>
      <x:c r="C3103" s="2" t="n">
        <x:v>17.4893557712884</x:v>
      </x:c>
      <x:c r="D3103" s="2" t="n">
        <x:v>2024</x:v>
      </x:c>
      <x:c r="E3103" s="2" t="str">
        <x:v>WB_food_import_share</x:v>
      </x:c>
      <x:c r="F3103" s="2" t="str">
        <x:v>Food imports (% of merchandise imports)</x:v>
      </x:c>
    </x:row>
    <x:row r="3104" ht="44" customHeight="1">
      <x:c r="A3104" s="2" t="str">
        <x:v>KWT</x:v>
      </x:c>
      <x:c r="B3104" s="2" t="str">
        <x:v>food_export_share</x:v>
      </x:c>
      <x:c r="C3104" s="2" t="n">
        <x:v>0.643698120626151</x:v>
      </x:c>
      <x:c r="D3104" s="2" t="n">
        <x:v>2024</x:v>
      </x:c>
      <x:c r="E3104" s="2" t="str">
        <x:v>WB_food_export_share</x:v>
      </x:c>
      <x:c r="F3104" s="2" t="str">
        <x:v>Food exports (% of merchandise exports)</x:v>
      </x:c>
    </x:row>
    <x:row r="3105" ht="44" customHeight="1">
      <x:c r="A3105" s="2" t="str">
        <x:v>KWT</x:v>
      </x:c>
      <x:c r="B3105" s="2" t="str">
        <x:v>imports_usd</x:v>
      </x:c>
      <x:c r="C3105" s="2" t="n">
        <x:v>41612000000</x:v>
      </x:c>
      <x:c r="D3105" s="2" t="n">
        <x:v>2025</x:v>
      </x:c>
      <x:c r="E3105" s="2" t="str">
        <x:v>WB_imports_usd</x:v>
      </x:c>
      <x:c r="F3105" s="2" t="str">
        <x:v>Merchandise imports (current US$)</x:v>
      </x:c>
    </x:row>
    <x:row r="3106" ht="44" customHeight="1">
      <x:c r="A3106" s="2" t="str">
        <x:v>KWT</x:v>
      </x:c>
      <x:c r="B3106" s="2" t="str">
        <x:v>exports_usd</x:v>
      </x:c>
      <x:c r="C3106" s="2" t="n">
        <x:v>72073000000</x:v>
      </x:c>
      <x:c r="D3106" s="2" t="n">
        <x:v>2025</x:v>
      </x:c>
      <x:c r="E3106" s="2" t="str">
        <x:v>WB_exports_usd</x:v>
      </x:c>
      <x:c r="F3106" s="2" t="str">
        <x:v>Merchandise exports (current US$)</x:v>
      </x:c>
    </x:row>
    <x:row r="3107" ht="44" customHeight="1">
      <x:c r="A3107" s="2" t="str">
        <x:v>KWT</x:v>
      </x:c>
      <x:c r="B3107" s="2" t="str">
        <x:v>cereal_yield</x:v>
      </x:c>
      <x:c r="C3107" s="2" t="n">
        <x:v>14956.8</x:v>
      </x:c>
      <x:c r="D3107" s="2" t="n">
        <x:v>2023</x:v>
      </x:c>
      <x:c r="E3107" s="2" t="str">
        <x:v>WB_cereal_yield</x:v>
      </x:c>
      <x:c r="F3107" s="2" t="str">
        <x:v>Cereal yield (kg per hectare)</x:v>
      </x:c>
    </x:row>
    <x:row r="3108" ht="44" customHeight="1">
      <x:c r="A3108" s="2" t="str">
        <x:v>KWT</x:v>
      </x:c>
      <x:c r="B3108" s="2" t="str">
        <x:v>water_stress</x:v>
      </x:c>
      <x:c r="C3108" s="2" t="n">
        <x:v>3850.5</x:v>
      </x:c>
      <x:c r="D3108" s="2" t="n">
        <x:v>2022</x:v>
      </x:c>
      <x:c r="E3108" s="2" t="str">
        <x:v>WB_water_stress</x:v>
      </x:c>
      <x:c r="F3108" s="2" t="str">
        <x:v>Level of water stress: freshwater withdrawal as a proportion of available freshwater resources</x:v>
      </x:c>
    </x:row>
    <x:row r="3109" ht="44" customHeight="1">
      <x:c r="A3109" s="2" t="str">
        <x:v>KWT</x:v>
      </x:c>
      <x:c r="B3109" s="2" t="str">
        <x:v>fertility</x:v>
      </x:c>
      <x:c r="C3109" s="2" t="n">
        <x:v>1.56</x:v>
      </x:c>
      <x:c r="D3109" s="2" t="n">
        <x:v>2024</x:v>
      </x:c>
      <x:c r="E3109" s="2" t="str">
        <x:v>WB_fertility</x:v>
      </x:c>
      <x:c r="F3109" s="2" t="str">
        <x:v>Fertility rate, total (births per woman)</x:v>
      </x:c>
    </x:row>
    <x:row r="3110" ht="44" customHeight="1">
      <x:c r="A3110" s="2" t="str">
        <x:v>KWT</x:v>
      </x:c>
      <x:c r="B3110" s="2" t="str">
        <x:v>life_expectancy</x:v>
      </x:c>
      <x:c r="C3110" s="2" t="n">
        <x:v>84.580487804878</x:v>
      </x:c>
      <x:c r="D3110" s="2" t="n">
        <x:v>2024</x:v>
      </x:c>
      <x:c r="E3110" s="2" t="str">
        <x:v>WB_life_expectancy</x:v>
      </x:c>
      <x:c r="F3110" s="2" t="str">
        <x:v>Life expectancy at birth, total (years)</x:v>
      </x:c>
    </x:row>
    <x:row r="3111" ht="44" customHeight="1">
      <x:c r="A3111" s="2" t="str">
        <x:v>KWT</x:v>
      </x:c>
      <x:c r="B3111" s="2" t="str">
        <x:v>age_under15</x:v>
      </x:c>
      <x:c r="C3111" s="2" t="n">
        <x:v>17.973071445874</x:v>
      </x:c>
      <x:c r="D3111" s="2" t="n">
        <x:v>2025</x:v>
      </x:c>
      <x:c r="E3111" s="2" t="str">
        <x:v>WB_age_under15</x:v>
      </x:c>
      <x:c r="F3111" s="2" t="str">
        <x:v>Population ages 0-14 (% of total population)</x:v>
      </x:c>
    </x:row>
    <x:row r="3112" ht="44" customHeight="1">
      <x:c r="A3112" s="2" t="str">
        <x:v>KWT</x:v>
      </x:c>
      <x:c r="B3112" s="2" t="str">
        <x:v>age_over65</x:v>
      </x:c>
      <x:c r="C3112" s="2" t="n">
        <x:v>3.17490130225807</x:v>
      </x:c>
      <x:c r="D3112" s="2" t="n">
        <x:v>2025</x:v>
      </x:c>
      <x:c r="E3112" s="2" t="str">
        <x:v>WB_age_over65</x:v>
      </x:c>
      <x:c r="F3112" s="2" t="str">
        <x:v>Population ages 65 and above (% of total population)</x:v>
      </x:c>
    </x:row>
    <x:row r="3113" ht="44" customHeight="1">
      <x:c r="A3113" s="2" t="str">
        <x:v>KWT</x:v>
      </x:c>
      <x:c r="B3113" s="2" t="str">
        <x:v>dependency_ratio</x:v>
      </x:c>
      <x:c r="C3113" s="2" t="n">
        <x:v>26.8197986334013</x:v>
      </x:c>
      <x:c r="D3113" s="2" t="n">
        <x:v>2025</x:v>
      </x:c>
      <x:c r="E3113" s="2" t="str">
        <x:v>WB_dependency_ratio</x:v>
      </x:c>
      <x:c r="F3113" s="2" t="str">
        <x:v>Age dependency ratio (% of working-age population)</x:v>
      </x:c>
    </x:row>
    <x:row r="3114" ht="44" customHeight="1">
      <x:c r="A3114" s="2" t="str">
        <x:v>KWT</x:v>
      </x:c>
      <x:c r="B3114" s="2" t="str">
        <x:v>net_migration</x:v>
      </x:c>
      <x:c r="C3114" s="2" t="n">
        <x:v>42775</x:v>
      </x:c>
      <x:c r="D3114" s="2" t="n">
        <x:v>2025</x:v>
      </x:c>
      <x:c r="E3114" s="2" t="str">
        <x:v>WB_net_migration</x:v>
      </x:c>
      <x:c r="F3114" s="2" t="str">
        <x:v>Net migration</x:v>
      </x:c>
    </x:row>
    <x:row r="3115" ht="44" customHeight="1">
      <x:c r="A3115" s="2" t="str">
        <x:v>KWT</x:v>
      </x:c>
      <x:c r="B3115" s="2" t="str">
        <x:v>real_gdp</x:v>
      </x:c>
      <x:c r="C3115" s="2" t="n">
        <x:v>121451130439.078</x:v>
      </x:c>
      <x:c r="D3115" s="2" t="n">
        <x:v>2025</x:v>
      </x:c>
      <x:c r="E3115" s="2" t="str">
        <x:v>WB_real_gdp</x:v>
      </x:c>
      <x:c r="F3115" s="2" t="str">
        <x:v>GDP (constant 2015 US$)</x:v>
      </x:c>
    </x:row>
    <x:row r="3116" ht="44" customHeight="1">
      <x:c r="A3116" s="2" t="str">
        <x:v>KWT</x:v>
      </x:c>
      <x:c r="B3116" s="2" t="str">
        <x:v>gdp_growth</x:v>
      </x:c>
      <x:c r="C3116" s="2" t="n">
        <x:v>2.731825804492</x:v>
      </x:c>
      <x:c r="D3116" s="2" t="n">
        <x:v>2025</x:v>
      </x:c>
      <x:c r="E3116" s="2" t="str">
        <x:v>WB_gdp_growth</x:v>
      </x:c>
      <x:c r="F3116" s="2" t="str">
        <x:v>GDP growth (annual %)</x:v>
      </x:c>
    </x:row>
    <x:row r="3117" ht="44" customHeight="1">
      <x:c r="A3117" s="2" t="str">
        <x:v>KWT</x:v>
      </x:c>
      <x:c r="B3117" s="2" t="str">
        <x:v>real_income</x:v>
      </x:c>
      <x:c r="C3117" s="2" t="n">
        <x:v>24962.7320750091</x:v>
      </x:c>
      <x:c r="D3117" s="2" t="n">
        <x:v>2025</x:v>
      </x:c>
      <x:c r="E3117" s="2" t="str">
        <x:v>WB_real_income</x:v>
      </x:c>
      <x:c r="F3117" s="2" t="str">
        <x:v>GDP per capita (constant 2015 US$)</x:v>
      </x:c>
    </x:row>
    <x:row r="3118" ht="44" customHeight="1">
      <x:c r="A3118" s="2" t="str">
        <x:v>KWT</x:v>
      </x:c>
      <x:c r="B3118" s="2" t="str">
        <x:v>agriculture_gdp</x:v>
      </x:c>
      <x:c r="C3118" s="2" t="n">
        <x:v>0.530516126274945</x:v>
      </x:c>
      <x:c r="D3118" s="2" t="n">
        <x:v>2025</x:v>
      </x:c>
      <x:c r="E3118" s="2" t="str">
        <x:v>WB_agriculture_gdp</x:v>
      </x:c>
      <x:c r="F3118" s="2" t="str">
        <x:v>Agriculture, forestry, and fishing, value added (% of GDP)</x:v>
      </x:c>
    </x:row>
    <x:row r="3119" ht="44" customHeight="1">
      <x:c r="A3119" s="2" t="str">
        <x:v>KWT</x:v>
      </x:c>
      <x:c r="B3119" s="2" t="str">
        <x:v>poverty</x:v>
      </x:c>
      <x:c r="C3119" s="2"/>
      <x:c r="D3119" s="2"/>
      <x:c r="E3119" s="2" t="str">
        <x:v>Missing</x:v>
      </x:c>
      <x:c r="F3119" s="2" t="str">
        <x:v>Poverty headcount ratio at $3.00 a day (2021 PPP) (% of population)</x:v>
      </x:c>
    </x:row>
    <x:row r="3120" ht="44" customHeight="1">
      <x:c r="A3120" s="2" t="str">
        <x:v>KWT</x:v>
      </x:c>
      <x:c r="B3120" s="2" t="str">
        <x:v>gini</x:v>
      </x:c>
      <x:c r="C3120" s="2"/>
      <x:c r="D3120" s="2"/>
      <x:c r="E3120" s="2" t="str">
        <x:v>Missing</x:v>
      </x:c>
      <x:c r="F3120" s="2" t="str">
        <x:v>Gini index</x:v>
      </x:c>
    </x:row>
    <x:row r="3121" ht="44" customHeight="1">
      <x:c r="A3121" s="2" t="str">
        <x:v>KWT</x:v>
      </x:c>
      <x:c r="B3121" s="2" t="str">
        <x:v>unemployment</x:v>
      </x:c>
      <x:c r="C3121" s="2" t="n">
        <x:v>2.181</x:v>
      </x:c>
      <x:c r="D3121" s="2" t="n">
        <x:v>2025</x:v>
      </x:c>
      <x:c r="E3121" s="2" t="str">
        <x:v>WB_unemployment</x:v>
      </x:c>
      <x:c r="F3121" s="2" t="str">
        <x:v>Unemployment, total (% of total labor force) (modeled ILO estimate)</x:v>
      </x:c>
    </x:row>
    <x:row r="3122" ht="44" customHeight="1">
      <x:c r="A3122" s="2" t="str">
        <x:v>KWT</x:v>
      </x:c>
      <x:c r="B3122" s="2" t="str">
        <x:v>private_credit</x:v>
      </x:c>
      <x:c r="C3122" s="2" t="n">
        <x:v>4.92218063765765</x:v>
      </x:c>
      <x:c r="D3122" s="2" t="n">
        <x:v>2025</x:v>
      </x:c>
      <x:c r="E3122" s="2" t="str">
        <x:v>WB_private_credit</x:v>
      </x:c>
      <x:c r="F3122" s="2" t="str">
        <x:v>Domestic credit to private sector (% of GDP)</x:v>
      </x:c>
    </x:row>
    <x:row r="3123" ht="44" customHeight="1">
      <x:c r="A3123" s="2" t="str">
        <x:v>KWT</x:v>
      </x:c>
      <x:c r="B3123" s="2" t="str">
        <x:v>lending_rate</x:v>
      </x:c>
      <x:c r="C3123" s="2" t="n">
        <x:v>5.03093333333334</x:v>
      </x:c>
      <x:c r="D3123" s="2" t="n">
        <x:v>2025</x:v>
      </x:c>
      <x:c r="E3123" s="2" t="str">
        <x:v>WB_lending_rate</x:v>
      </x:c>
      <x:c r="F3123" s="2" t="str">
        <x:v>Lending interest rate (%)</x:v>
      </x:c>
    </x:row>
    <x:row r="3124" ht="44" customHeight="1">
      <x:c r="A3124" s="2" t="str">
        <x:v>KWT</x:v>
      </x:c>
      <x:c r="B3124" s="2" t="str">
        <x:v>real_interest</x:v>
      </x:c>
      <x:c r="C3124" s="2" t="n">
        <x:v>10.520668024163</x:v>
      </x:c>
      <x:c r="D3124" s="2" t="n">
        <x:v>2025</x:v>
      </x:c>
      <x:c r="E3124" s="2" t="str">
        <x:v>WB_real_interest</x:v>
      </x:c>
      <x:c r="F3124" s="2" t="str">
        <x:v>Real interest rate (%)</x:v>
      </x:c>
    </x:row>
    <x:row r="3125" ht="44" customHeight="1">
      <x:c r="A3125" s="2" t="str">
        <x:v>KWT</x:v>
      </x:c>
      <x:c r="B3125" s="2" t="str">
        <x:v>government_debt</x:v>
      </x:c>
      <x:c r="C3125" s="2"/>
      <x:c r="D3125" s="2"/>
      <x:c r="E3125" s="2" t="str">
        <x:v>Missing</x:v>
      </x:c>
      <x:c r="F3125" s="2" t="str">
        <x:v>Central government debt, total (% of GDP)</x:v>
      </x:c>
    </x:row>
    <x:row r="3126" ht="44" customHeight="1">
      <x:c r="A3126" s="2" t="str">
        <x:v>KWT</x:v>
      </x:c>
      <x:c r="B3126" s="2" t="str">
        <x:v>electricity_access</x:v>
      </x:c>
      <x:c r="C3126" s="2" t="n">
        <x:v>100</x:v>
      </x:c>
      <x:c r="D3126" s="2" t="n">
        <x:v>2024</x:v>
      </x:c>
      <x:c r="E3126" s="2" t="str">
        <x:v>WB_electricity_access</x:v>
      </x:c>
      <x:c r="F3126" s="2" t="str">
        <x:v>Access to electricity (% of population)</x:v>
      </x:c>
    </x:row>
    <x:row r="3127" ht="44" customHeight="1">
      <x:c r="A3127" s="2" t="str">
        <x:v>KWT</x:v>
      </x:c>
      <x:c r="B3127" s="2" t="str">
        <x:v>irrigated_land</x:v>
      </x:c>
      <x:c r="C3127" s="2"/>
      <x:c r="D3127" s="2"/>
      <x:c r="E3127" s="2" t="str">
        <x:v>Missing</x:v>
      </x:c>
      <x:c r="F3127" s="2" t="str">
        <x:v>Agricultural irrigated land (% of total agricultural land)</x:v>
      </x:c>
    </x:row>
    <x:row r="3128" ht="44" customHeight="1">
      <x:c r="A3128" s="2" t="str">
        <x:v>KWT</x:v>
      </x:c>
      <x:c r="B3128" s="2" t="str">
        <x:v>cereal_area</x:v>
      </x:c>
      <x:c r="C3128" s="2" t="n">
        <x:v>2070</x:v>
      </x:c>
      <x:c r="D3128" s="2" t="n">
        <x:v>2023</x:v>
      </x:c>
      <x:c r="E3128" s="2" t="str">
        <x:v>WB_cereal_area</x:v>
      </x:c>
      <x:c r="F3128" s="2" t="str">
        <x:v>Land under cereal production (hectares)</x:v>
      </x:c>
    </x:row>
    <x:row r="3129" ht="44" customHeight="1">
      <x:c r="A3129" s="2" t="str">
        <x:v>KWT</x:v>
      </x:c>
      <x:c r="B3129" s="2" t="str">
        <x:v>undernourishment</x:v>
      </x:c>
      <x:c r="C3129" s="2" t="n">
        <x:v>2.5</x:v>
      </x:c>
      <x:c r="D3129" s="2" t="n">
        <x:v>2023</x:v>
      </x:c>
      <x:c r="E3129" s="2" t="str">
        <x:v>WB_undernourishment</x:v>
      </x:c>
      <x:c r="F3129" s="2" t="str">
        <x:v>Prevalence of undernourishment (% of population)</x:v>
      </x:c>
    </x:row>
    <x:row r="3130" ht="44" customHeight="1">
      <x:c r="A3130" s="2" t="str">
        <x:v>KWT</x:v>
      </x:c>
      <x:c r="B3130" s="2" t="str">
        <x:v>agriculture_employment</x:v>
      </x:c>
      <x:c r="C3130" s="2" t="n">
        <x:v>1.8912691752225</x:v>
      </x:c>
      <x:c r="D3130" s="2" t="n">
        <x:v>2025</x:v>
      </x:c>
      <x:c r="E3130" s="2" t="str">
        <x:v>WB_agriculture_employment</x:v>
      </x:c>
      <x:c r="F3130" s="2" t="str">
        <x:v>Employment in agriculture (% of total employment) (modeled ILO estimate)</x:v>
      </x:c>
    </x:row>
    <x:row r="3131" ht="44" customHeight="1">
      <x:c r="A3131" s="2" t="str">
        <x:v>KWT</x:v>
      </x:c>
      <x:c r="B3131" s="2" t="str">
        <x:v>water_withdrawal</x:v>
      </x:c>
      <x:c r="C3131" s="2"/>
      <x:c r="D3131" s="2"/>
      <x:c r="E3131" s="2" t="str">
        <x:v>Missing</x:v>
      </x:c>
      <x:c r="F3131" s="2" t="str">
        <x:v>Annual freshwater withdrawals, total (% of internal resources)</x:v>
      </x:c>
    </x:row>
    <x:row r="3132" ht="44" customHeight="1">
      <x:c r="A3132" s="2" t="str">
        <x:v>KGZ</x:v>
      </x:c>
      <x:c r="B3132" s="2" t="str">
        <x:v>population</x:v>
      </x:c>
      <x:c r="C3132" s="2" t="n">
        <x:v>7343064</x:v>
      </x:c>
      <x:c r="D3132" s="2" t="n">
        <x:v>2025</x:v>
      </x:c>
      <x:c r="E3132" s="2" t="str">
        <x:v>WB_population</x:v>
      </x:c>
      <x:c r="F3132" s="2" t="str">
        <x:v>Population, total</x:v>
      </x:c>
    </x:row>
    <x:row r="3133" ht="44" customHeight="1">
      <x:c r="A3133" s="2" t="str">
        <x:v>KGZ</x:v>
      </x:c>
      <x:c r="B3133" s="2" t="str">
        <x:v>income_ppp</x:v>
      </x:c>
      <x:c r="C3133" s="2" t="n">
        <x:v>7878.4491366966</x:v>
      </x:c>
      <x:c r="D3133" s="2" t="n">
        <x:v>2025</x:v>
      </x:c>
      <x:c r="E3133" s="2" t="str">
        <x:v>WB_income_ppp</x:v>
      </x:c>
      <x:c r="F3133" s="2" t="str">
        <x:v>GDP per capita, PPP (constant 2021 international $)</x:v>
      </x:c>
    </x:row>
    <x:row r="3134" ht="44" customHeight="1">
      <x:c r="A3134" s="2" t="str">
        <x:v>KGZ</x:v>
      </x:c>
      <x:c r="B3134" s="2" t="str">
        <x:v>urban</x:v>
      </x:c>
      <x:c r="C3134" s="2" t="n">
        <x:v>34.7463537261057</x:v>
      </x:c>
      <x:c r="D3134" s="2" t="n">
        <x:v>2025</x:v>
      </x:c>
      <x:c r="E3134" s="2" t="str">
        <x:v>WB_urban</x:v>
      </x:c>
      <x:c r="F3134" s="2" t="str">
        <x:v>Urban population (% of total population)</x:v>
      </x:c>
    </x:row>
    <x:row r="3135" ht="44" customHeight="1">
      <x:c r="A3135" s="2" t="str">
        <x:v>KGZ</x:v>
      </x:c>
      <x:c r="B3135" s="2" t="str">
        <x:v>inflation</x:v>
      </x:c>
      <x:c r="C3135" s="2" t="n">
        <x:v>8.21496013406325</x:v>
      </x:c>
      <x:c r="D3135" s="2" t="n">
        <x:v>2025</x:v>
      </x:c>
      <x:c r="E3135" s="2" t="str">
        <x:v>WB_inflation</x:v>
      </x:c>
      <x:c r="F3135" s="2" t="str">
        <x:v>Inflation, consumer prices (annual %)</x:v>
      </x:c>
    </x:row>
    <x:row r="3136" ht="44" customHeight="1">
      <x:c r="A3136" s="2" t="str">
        <x:v>KGZ</x:v>
      </x:c>
      <x:c r="B3136" s="2" t="str">
        <x:v>food_index</x:v>
      </x:c>
      <x:c r="C3136" s="2" t="n">
        <x:v>112.75</x:v>
      </x:c>
      <x:c r="D3136" s="2" t="n">
        <x:v>2022</x:v>
      </x:c>
      <x:c r="E3136" s="2" t="str">
        <x:v>WB_food_index</x:v>
      </x:c>
      <x:c r="F3136" s="2" t="str">
        <x:v>Food production index (2014-2016 = 100)</x:v>
      </x:c>
    </x:row>
    <x:row r="3137" ht="44" customHeight="1">
      <x:c r="A3137" s="2" t="str">
        <x:v>KGZ</x:v>
      </x:c>
      <x:c r="B3137" s="2" t="str">
        <x:v>food_import_share</x:v>
      </x:c>
      <x:c r="C3137" s="2" t="n">
        <x:v>12.5534963131564</x:v>
      </x:c>
      <x:c r="D3137" s="2" t="n">
        <x:v>2025</x:v>
      </x:c>
      <x:c r="E3137" s="2" t="str">
        <x:v>WB_food_import_share</x:v>
      </x:c>
      <x:c r="F3137" s="2" t="str">
        <x:v>Food imports (% of merchandise imports)</x:v>
      </x:c>
    </x:row>
    <x:row r="3138" ht="44" customHeight="1">
      <x:c r="A3138" s="2" t="str">
        <x:v>KGZ</x:v>
      </x:c>
      <x:c r="B3138" s="2" t="str">
        <x:v>food_export_share</x:v>
      </x:c>
      <x:c r="C3138" s="2" t="n">
        <x:v>11.6774431194261</x:v>
      </x:c>
      <x:c r="D3138" s="2" t="n">
        <x:v>2025</x:v>
      </x:c>
      <x:c r="E3138" s="2" t="str">
        <x:v>WB_food_export_share</x:v>
      </x:c>
      <x:c r="F3138" s="2" t="str">
        <x:v>Food exports (% of merchandise exports)</x:v>
      </x:c>
    </x:row>
    <x:row r="3139" ht="44" customHeight="1">
      <x:c r="A3139" s="2" t="str">
        <x:v>KGZ</x:v>
      </x:c>
      <x:c r="B3139" s="2" t="str">
        <x:v>imports_usd</x:v>
      </x:c>
      <x:c r="C3139" s="2" t="n">
        <x:v>12973000000</x:v>
      </x:c>
      <x:c r="D3139" s="2" t="n">
        <x:v>2025</x:v>
      </x:c>
      <x:c r="E3139" s="2" t="str">
        <x:v>WB_imports_usd</x:v>
      </x:c>
      <x:c r="F3139" s="2" t="str">
        <x:v>Merchandise imports (current US$)</x:v>
      </x:c>
    </x:row>
    <x:row r="3140" ht="44" customHeight="1">
      <x:c r="A3140" s="2" t="str">
        <x:v>KGZ</x:v>
      </x:c>
      <x:c r="B3140" s="2" t="str">
        <x:v>exports_usd</x:v>
      </x:c>
      <x:c r="C3140" s="2" t="n">
        <x:v>2852000000</x:v>
      </x:c>
      <x:c r="D3140" s="2" t="n">
        <x:v>2025</x:v>
      </x:c>
      <x:c r="E3140" s="2" t="str">
        <x:v>WB_exports_usd</x:v>
      </x:c>
      <x:c r="F3140" s="2" t="str">
        <x:v>Merchandise exports (current US$)</x:v>
      </x:c>
    </x:row>
    <x:row r="3141" ht="44" customHeight="1">
      <x:c r="A3141" s="2" t="str">
        <x:v>KGZ</x:v>
      </x:c>
      <x:c r="B3141" s="2" t="str">
        <x:v>cereal_yield</x:v>
      </x:c>
      <x:c r="C3141" s="2" t="n">
        <x:v>2798.6</x:v>
      </x:c>
      <x:c r="D3141" s="2" t="n">
        <x:v>2023</x:v>
      </x:c>
      <x:c r="E3141" s="2" t="str">
        <x:v>WB_cereal_yield</x:v>
      </x:c>
      <x:c r="F3141" s="2" t="str">
        <x:v>Cereal yield (kg per hectare)</x:v>
      </x:c>
    </x:row>
    <x:row r="3142" ht="44" customHeight="1">
      <x:c r="A3142" s="2" t="str">
        <x:v>KGZ</x:v>
      </x:c>
      <x:c r="B3142" s="2" t="str">
        <x:v>water_stress</x:v>
      </x:c>
      <x:c r="C3142" s="2" t="n">
        <x:v>50.03895598</x:v>
      </x:c>
      <x:c r="D3142" s="2" t="n">
        <x:v>2022</x:v>
      </x:c>
      <x:c r="E3142" s="2" t="str">
        <x:v>WB_water_stress</x:v>
      </x:c>
      <x:c r="F3142" s="2" t="str">
        <x:v>Level of water stress: freshwater withdrawal as a proportion of available freshwater resources</x:v>
      </x:c>
    </x:row>
    <x:row r="3143" ht="44" customHeight="1">
      <x:c r="A3143" s="2" t="str">
        <x:v>KGZ</x:v>
      </x:c>
      <x:c r="B3143" s="2" t="str">
        <x:v>fertility</x:v>
      </x:c>
      <x:c r="C3143" s="2" t="n">
        <x:v>2.6</x:v>
      </x:c>
      <x:c r="D3143" s="2" t="n">
        <x:v>2024</x:v>
      </x:c>
      <x:c r="E3143" s="2" t="str">
        <x:v>WB_fertility</x:v>
      </x:c>
      <x:c r="F3143" s="2" t="str">
        <x:v>Fertility rate, total (births per woman)</x:v>
      </x:c>
    </x:row>
    <x:row r="3144" ht="44" customHeight="1">
      <x:c r="A3144" s="2" t="str">
        <x:v>KGZ</x:v>
      </x:c>
      <x:c r="B3144" s="2" t="str">
        <x:v>life_expectancy</x:v>
      </x:c>
      <x:c r="C3144" s="2" t="n">
        <x:v>72.4</x:v>
      </x:c>
      <x:c r="D3144" s="2" t="n">
        <x:v>2024</x:v>
      </x:c>
      <x:c r="E3144" s="2" t="str">
        <x:v>WB_life_expectancy</x:v>
      </x:c>
      <x:c r="F3144" s="2" t="str">
        <x:v>Life expectancy at birth, total (years)</x:v>
      </x:c>
    </x:row>
    <x:row r="3145" ht="44" customHeight="1">
      <x:c r="A3145" s="2" t="str">
        <x:v>KGZ</x:v>
      </x:c>
      <x:c r="B3145" s="2" t="str">
        <x:v>age_under15</x:v>
      </x:c>
      <x:c r="C3145" s="2" t="n">
        <x:v>31.9082109892695</x:v>
      </x:c>
      <x:c r="D3145" s="2" t="n">
        <x:v>2025</x:v>
      </x:c>
      <x:c r="E3145" s="2" t="str">
        <x:v>WB_age_under15</x:v>
      </x:c>
      <x:c r="F3145" s="2" t="str">
        <x:v>Population ages 0-14 (% of total population)</x:v>
      </x:c>
    </x:row>
    <x:row r="3146" ht="44" customHeight="1">
      <x:c r="A3146" s="2" t="str">
        <x:v>KGZ</x:v>
      </x:c>
      <x:c r="B3146" s="2" t="str">
        <x:v>age_over65</x:v>
      </x:c>
      <x:c r="C3146" s="2" t="n">
        <x:v>5.96557151306138</x:v>
      </x:c>
      <x:c r="D3146" s="2" t="n">
        <x:v>2025</x:v>
      </x:c>
      <x:c r="E3146" s="2" t="str">
        <x:v>WB_age_over65</x:v>
      </x:c>
      <x:c r="F3146" s="2" t="str">
        <x:v>Population ages 65 and above (% of total population)</x:v>
      </x:c>
    </x:row>
    <x:row r="3147" ht="44" customHeight="1">
      <x:c r="A3147" s="2" t="str">
        <x:v>KGZ</x:v>
      </x:c>
      <x:c r="B3147" s="2" t="str">
        <x:v>dependency_ratio</x:v>
      </x:c>
      <x:c r="C3147" s="2" t="n">
        <x:v>60.9626371776391</x:v>
      </x:c>
      <x:c r="D3147" s="2" t="n">
        <x:v>2025</x:v>
      </x:c>
      <x:c r="E3147" s="2" t="str">
        <x:v>WB_dependency_ratio</x:v>
      </x:c>
      <x:c r="F3147" s="2" t="str">
        <x:v>Age dependency ratio (% of working-age population)</x:v>
      </x:c>
    </x:row>
    <x:row r="3148" ht="44" customHeight="1">
      <x:c r="A3148" s="2" t="str">
        <x:v>KGZ</x:v>
      </x:c>
      <x:c r="B3148" s="2" t="str">
        <x:v>net_migration</x:v>
      </x:c>
      <x:c r="C3148" s="2" t="n">
        <x:v>1815</x:v>
      </x:c>
      <x:c r="D3148" s="2" t="n">
        <x:v>2025</x:v>
      </x:c>
      <x:c r="E3148" s="2" t="str">
        <x:v>WB_net_migration</x:v>
      </x:c>
      <x:c r="F3148" s="2" t="str">
        <x:v>Net migration</x:v>
      </x:c>
    </x:row>
    <x:row r="3149" ht="44" customHeight="1">
      <x:c r="A3149" s="2" t="str">
        <x:v>KGZ</x:v>
      </x:c>
      <x:c r="B3149" s="2" t="str">
        <x:v>real_gdp</x:v>
      </x:c>
      <x:c r="C3149" s="2" t="n">
        <x:v>11421728478.9395</x:v>
      </x:c>
      <x:c r="D3149" s="2" t="n">
        <x:v>2025</x:v>
      </x:c>
      <x:c r="E3149" s="2" t="str">
        <x:v>WB_real_gdp</x:v>
      </x:c>
      <x:c r="F3149" s="2" t="str">
        <x:v>GDP (constant 2015 US$)</x:v>
      </x:c>
    </x:row>
    <x:row r="3150" ht="44" customHeight="1">
      <x:c r="A3150" s="2" t="str">
        <x:v>KGZ</x:v>
      </x:c>
      <x:c r="B3150" s="2" t="str">
        <x:v>gdp_growth</x:v>
      </x:c>
      <x:c r="C3150" s="2" t="n">
        <x:v>11.0960203357132</x:v>
      </x:c>
      <x:c r="D3150" s="2" t="n">
        <x:v>2025</x:v>
      </x:c>
      <x:c r="E3150" s="2" t="str">
        <x:v>WB_gdp_growth</x:v>
      </x:c>
      <x:c r="F3150" s="2" t="str">
        <x:v>GDP growth (annual %)</x:v>
      </x:c>
    </x:row>
    <x:row r="3151" ht="44" customHeight="1">
      <x:c r="A3151" s="2" t="str">
        <x:v>KGZ</x:v>
      </x:c>
      <x:c r="B3151" s="2" t="str">
        <x:v>real_income</x:v>
      </x:c>
      <x:c r="C3151" s="2" t="n">
        <x:v>1555.4444955048</x:v>
      </x:c>
      <x:c r="D3151" s="2" t="n">
        <x:v>2025</x:v>
      </x:c>
      <x:c r="E3151" s="2" t="str">
        <x:v>WB_real_income</x:v>
      </x:c>
      <x:c r="F3151" s="2" t="str">
        <x:v>GDP per capita (constant 2015 US$)</x:v>
      </x:c>
    </x:row>
    <x:row r="3152" ht="44" customHeight="1">
      <x:c r="A3152" s="2" t="str">
        <x:v>KGZ</x:v>
      </x:c>
      <x:c r="B3152" s="2" t="str">
        <x:v>agriculture_gdp</x:v>
      </x:c>
      <x:c r="C3152" s="2" t="n">
        <x:v>7.99943573872639</x:v>
      </x:c>
      <x:c r="D3152" s="2" t="n">
        <x:v>2025</x:v>
      </x:c>
      <x:c r="E3152" s="2" t="str">
        <x:v>WB_agriculture_gdp</x:v>
      </x:c>
      <x:c r="F3152" s="2" t="str">
        <x:v>Agriculture, forestry, and fishing, value added (% of GDP)</x:v>
      </x:c>
    </x:row>
    <x:row r="3153" ht="44" customHeight="1">
      <x:c r="A3153" s="2" t="str">
        <x:v>KGZ</x:v>
      </x:c>
      <x:c r="B3153" s="2" t="str">
        <x:v>poverty</x:v>
      </x:c>
      <x:c r="C3153" s="2" t="n">
        <x:v>2.2</x:v>
      </x:c>
      <x:c r="D3153" s="2" t="n">
        <x:v>2024</x:v>
      </x:c>
      <x:c r="E3153" s="2" t="str">
        <x:v>WB_poverty</x:v>
      </x:c>
      <x:c r="F3153" s="2" t="str">
        <x:v>Poverty headcount ratio at $3.00 a day (2021 PPP) (% of population)</x:v>
      </x:c>
    </x:row>
    <x:row r="3154" ht="44" customHeight="1">
      <x:c r="A3154" s="2" t="str">
        <x:v>KGZ</x:v>
      </x:c>
      <x:c r="B3154" s="2" t="str">
        <x:v>gini</x:v>
      </x:c>
      <x:c r="C3154" s="2" t="n">
        <x:v>27.5</x:v>
      </x:c>
      <x:c r="D3154" s="2" t="n">
        <x:v>2024</x:v>
      </x:c>
      <x:c r="E3154" s="2" t="str">
        <x:v>WB_gini</x:v>
      </x:c>
      <x:c r="F3154" s="2" t="str">
        <x:v>Gini index</x:v>
      </x:c>
    </x:row>
    <x:row r="3155" ht="44" customHeight="1">
      <x:c r="A3155" s="2" t="str">
        <x:v>KGZ</x:v>
      </x:c>
      <x:c r="B3155" s="2" t="str">
        <x:v>unemployment</x:v>
      </x:c>
      <x:c r="C3155" s="2" t="n">
        <x:v>3.526</x:v>
      </x:c>
      <x:c r="D3155" s="2" t="n">
        <x:v>2025</x:v>
      </x:c>
      <x:c r="E3155" s="2" t="str">
        <x:v>WB_unemployment</x:v>
      </x:c>
      <x:c r="F3155" s="2" t="str">
        <x:v>Unemployment, total (% of total labor force) (modeled ILO estimate)</x:v>
      </x:c>
    </x:row>
    <x:row r="3156" ht="44" customHeight="1">
      <x:c r="A3156" s="2" t="str">
        <x:v>KGZ</x:v>
      </x:c>
      <x:c r="B3156" s="2" t="str">
        <x:v>private_credit</x:v>
      </x:c>
      <x:c r="C3156" s="2" t="n">
        <x:v>22.2913984931237</x:v>
      </x:c>
      <x:c r="D3156" s="2" t="n">
        <x:v>2024</x:v>
      </x:c>
      <x:c r="E3156" s="2" t="str">
        <x:v>WB_private_credit</x:v>
      </x:c>
      <x:c r="F3156" s="2" t="str">
        <x:v>Domestic credit to private sector (% of GDP)</x:v>
      </x:c>
    </x:row>
    <x:row r="3157" ht="44" customHeight="1">
      <x:c r="A3157" s="2" t="str">
        <x:v>KGZ</x:v>
      </x:c>
      <x:c r="B3157" s="2" t="str">
        <x:v>lending_rate</x:v>
      </x:c>
      <x:c r="C3157" s="2" t="n">
        <x:v>19.783640031297</x:v>
      </x:c>
      <x:c r="D3157" s="2" t="n">
        <x:v>2024</x:v>
      </x:c>
      <x:c r="E3157" s="2" t="str">
        <x:v>WB_lending_rate</x:v>
      </x:c>
      <x:c r="F3157" s="2" t="str">
        <x:v>Lending interest rate (%)</x:v>
      </x:c>
    </x:row>
    <x:row r="3158" ht="44" customHeight="1">
      <x:c r="A3158" s="2" t="str">
        <x:v>KGZ</x:v>
      </x:c>
      <x:c r="B3158" s="2" t="str">
        <x:v>real_interest</x:v>
      </x:c>
      <x:c r="C3158" s="2" t="n">
        <x:v>12.5825687035917</x:v>
      </x:c>
      <x:c r="D3158" s="2" t="n">
        <x:v>2024</x:v>
      </x:c>
      <x:c r="E3158" s="2" t="str">
        <x:v>WB_real_interest</x:v>
      </x:c>
      <x:c r="F3158" s="2" t="str">
        <x:v>Real interest rate (%)</x:v>
      </x:c>
    </x:row>
    <x:row r="3159" ht="44" customHeight="1">
      <x:c r="A3159" s="2" t="str">
        <x:v>KGZ</x:v>
      </x:c>
      <x:c r="B3159" s="2" t="str">
        <x:v>government_debt</x:v>
      </x:c>
      <x:c r="C3159" s="2" t="n">
        <x:v>38.7180366994573</x:v>
      </x:c>
      <x:c r="D3159" s="2" t="n">
        <x:v>2024</x:v>
      </x:c>
      <x:c r="E3159" s="2" t="str">
        <x:v>WB_government_debt</x:v>
      </x:c>
      <x:c r="F3159" s="2" t="str">
        <x:v>Central government debt, total (% of GDP)</x:v>
      </x:c>
    </x:row>
    <x:row r="3160" ht="44" customHeight="1">
      <x:c r="A3160" s="2" t="str">
        <x:v>KGZ</x:v>
      </x:c>
      <x:c r="B3160" s="2" t="str">
        <x:v>electricity_access</x:v>
      </x:c>
      <x:c r="C3160" s="2" t="n">
        <x:v>100</x:v>
      </x:c>
      <x:c r="D3160" s="2" t="n">
        <x:v>2024</x:v>
      </x:c>
      <x:c r="E3160" s="2" t="str">
        <x:v>WB_electricity_access</x:v>
      </x:c>
      <x:c r="F3160" s="2" t="str">
        <x:v>Access to electricity (% of population)</x:v>
      </x:c>
    </x:row>
    <x:row r="3161" ht="44" customHeight="1">
      <x:c r="A3161" s="2" t="str">
        <x:v>KGZ</x:v>
      </x:c>
      <x:c r="B3161" s="2" t="str">
        <x:v>irrigated_land</x:v>
      </x:c>
      <x:c r="C3161" s="2" t="n">
        <x:v>9.69316653479867</x:v>
      </x:c>
      <x:c r="D3161" s="2" t="n">
        <x:v>2023</x:v>
      </x:c>
      <x:c r="E3161" s="2" t="str">
        <x:v>WB_irrigated_land</x:v>
      </x:c>
      <x:c r="F3161" s="2" t="str">
        <x:v>Agricultural irrigated land (% of total agricultural land)</x:v>
      </x:c>
    </x:row>
    <x:row r="3162" ht="44" customHeight="1">
      <x:c r="A3162" s="2" t="str">
        <x:v>KGZ</x:v>
      </x:c>
      <x:c r="B3162" s="2" t="str">
        <x:v>cereal_area</x:v>
      </x:c>
      <x:c r="C3162" s="2" t="n">
        <x:v>597282</x:v>
      </x:c>
      <x:c r="D3162" s="2" t="n">
        <x:v>2023</x:v>
      </x:c>
      <x:c r="E3162" s="2" t="str">
        <x:v>WB_cereal_area</x:v>
      </x:c>
      <x:c r="F3162" s="2" t="str">
        <x:v>Land under cereal production (hectares)</x:v>
      </x:c>
    </x:row>
    <x:row r="3163" ht="44" customHeight="1">
      <x:c r="A3163" s="2" t="str">
        <x:v>KGZ</x:v>
      </x:c>
      <x:c r="B3163" s="2" t="str">
        <x:v>undernourishment</x:v>
      </x:c>
      <x:c r="C3163" s="2" t="n">
        <x:v>5.1</x:v>
      </x:c>
      <x:c r="D3163" s="2" t="n">
        <x:v>2023</x:v>
      </x:c>
      <x:c r="E3163" s="2" t="str">
        <x:v>WB_undernourishment</x:v>
      </x:c>
      <x:c r="F3163" s="2" t="str">
        <x:v>Prevalence of undernourishment (% of population)</x:v>
      </x:c>
    </x:row>
    <x:row r="3164" ht="44" customHeight="1">
      <x:c r="A3164" s="2" t="str">
        <x:v>KGZ</x:v>
      </x:c>
      <x:c r="B3164" s="2" t="str">
        <x:v>agriculture_employment</x:v>
      </x:c>
      <x:c r="C3164" s="2" t="n">
        <x:v>15.4453856526596</x:v>
      </x:c>
      <x:c r="D3164" s="2" t="n">
        <x:v>2025</x:v>
      </x:c>
      <x:c r="E3164" s="2" t="str">
        <x:v>WB_agriculture_employment</x:v>
      </x:c>
      <x:c r="F3164" s="2" t="str">
        <x:v>Employment in agriculture (% of total employment) (modeled ILO estimate)</x:v>
      </x:c>
    </x:row>
    <x:row r="3165" ht="44" customHeight="1">
      <x:c r="A3165" s="2" t="str">
        <x:v>KGZ</x:v>
      </x:c>
      <x:c r="B3165" s="2" t="str">
        <x:v>water_withdrawal</x:v>
      </x:c>
      <x:c r="C3165" s="2" t="n">
        <x:v>15.7510729613734</x:v>
      </x:c>
      <x:c r="D3165" s="2" t="n">
        <x:v>2022</x:v>
      </x:c>
      <x:c r="E3165" s="2" t="str">
        <x:v>WB_water_withdrawal</x:v>
      </x:c>
      <x:c r="F3165" s="2" t="str">
        <x:v>Annual freshwater withdrawals, total (% of internal resources)</x:v>
      </x:c>
    </x:row>
    <x:row r="3166" ht="44" customHeight="1">
      <x:c r="A3166" s="2" t="str">
        <x:v>LAO</x:v>
      </x:c>
      <x:c r="B3166" s="2" t="str">
        <x:v>population</x:v>
      </x:c>
      <x:c r="C3166" s="2" t="n">
        <x:v>7873046</x:v>
      </x:c>
      <x:c r="D3166" s="2" t="n">
        <x:v>2025</x:v>
      </x:c>
      <x:c r="E3166" s="2" t="str">
        <x:v>WB_population</x:v>
      </x:c>
      <x:c r="F3166" s="2" t="str">
        <x:v>Population, total</x:v>
      </x:c>
    </x:row>
    <x:row r="3167" ht="44" customHeight="1">
      <x:c r="A3167" s="2" t="str">
        <x:v>LAO</x:v>
      </x:c>
      <x:c r="B3167" s="2" t="str">
        <x:v>income_ppp</x:v>
      </x:c>
      <x:c r="C3167" s="2" t="n">
        <x:v>8872.69396186433</x:v>
      </x:c>
      <x:c r="D3167" s="2" t="n">
        <x:v>2025</x:v>
      </x:c>
      <x:c r="E3167" s="2" t="str">
        <x:v>WB_income_ppp</x:v>
      </x:c>
      <x:c r="F3167" s="2" t="str">
        <x:v>GDP per capita, PPP (constant 2021 international $)</x:v>
      </x:c>
    </x:row>
    <x:row r="3168" ht="44" customHeight="1">
      <x:c r="A3168" s="2" t="str">
        <x:v>LAO</x:v>
      </x:c>
      <x:c r="B3168" s="2" t="str">
        <x:v>urban</x:v>
      </x:c>
      <x:c r="C3168" s="2" t="n">
        <x:v>40.3129835040701</x:v>
      </x:c>
      <x:c r="D3168" s="2" t="n">
        <x:v>2025</x:v>
      </x:c>
      <x:c r="E3168" s="2" t="str">
        <x:v>WB_urban</x:v>
      </x:c>
      <x:c r="F3168" s="2" t="str">
        <x:v>Urban population (% of total population)</x:v>
      </x:c>
    </x:row>
    <x:row r="3169" ht="44" customHeight="1">
      <x:c r="A3169" s="2" t="str">
        <x:v>LAO</x:v>
      </x:c>
      <x:c r="B3169" s="2" t="str">
        <x:v>inflation</x:v>
      </x:c>
      <x:c r="C3169" s="2" t="n">
        <x:v>7.74226936553695</x:v>
      </x:c>
      <x:c r="D3169" s="2" t="n">
        <x:v>2025</x:v>
      </x:c>
      <x:c r="E3169" s="2" t="str">
        <x:v>WB_inflation</x:v>
      </x:c>
      <x:c r="F3169" s="2" t="str">
        <x:v>Inflation, consumer prices (annual %)</x:v>
      </x:c>
    </x:row>
    <x:row r="3170" ht="44" customHeight="1">
      <x:c r="A3170" s="2" t="str">
        <x:v>LAO</x:v>
      </x:c>
      <x:c r="B3170" s="2" t="str">
        <x:v>food_index</x:v>
      </x:c>
      <x:c r="C3170" s="2" t="n">
        <x:v>114.84</x:v>
      </x:c>
      <x:c r="D3170" s="2" t="n">
        <x:v>2022</x:v>
      </x:c>
      <x:c r="E3170" s="2" t="str">
        <x:v>WB_food_index</x:v>
      </x:c>
      <x:c r="F3170" s="2" t="str">
        <x:v>Food production index (2014-2016 = 100)</x:v>
      </x:c>
    </x:row>
    <x:row r="3171" ht="44" customHeight="1">
      <x:c r="A3171" s="2" t="str">
        <x:v>LAO</x:v>
      </x:c>
      <x:c r="B3171" s="2" t="str">
        <x:v>food_import_share</x:v>
      </x:c>
      <x:c r="C3171" s="2" t="n">
        <x:v>12.6886401660591</x:v>
      </x:c>
      <x:c r="D3171" s="2" t="n">
        <x:v>2023</x:v>
      </x:c>
      <x:c r="E3171" s="2" t="str">
        <x:v>WB_food_import_share</x:v>
      </x:c>
      <x:c r="F3171" s="2" t="str">
        <x:v>Food imports (% of merchandise imports)</x:v>
      </x:c>
    </x:row>
    <x:row r="3172" ht="44" customHeight="1">
      <x:c r="A3172" s="2" t="str">
        <x:v>LAO</x:v>
      </x:c>
      <x:c r="B3172" s="2" t="str">
        <x:v>food_export_share</x:v>
      </x:c>
      <x:c r="C3172" s="2" t="n">
        <x:v>23.2332990831131</x:v>
      </x:c>
      <x:c r="D3172" s="2" t="n">
        <x:v>2023</x:v>
      </x:c>
      <x:c r="E3172" s="2" t="str">
        <x:v>WB_food_export_share</x:v>
      </x:c>
      <x:c r="F3172" s="2" t="str">
        <x:v>Food exports (% of merchandise exports)</x:v>
      </x:c>
    </x:row>
    <x:row r="3173" ht="44" customHeight="1">
      <x:c r="A3173" s="2" t="str">
        <x:v>LAO</x:v>
      </x:c>
      <x:c r="B3173" s="2" t="str">
        <x:v>imports_usd</x:v>
      </x:c>
      <x:c r="C3173" s="2" t="n">
        <x:v>10342000000</x:v>
      </x:c>
      <x:c r="D3173" s="2" t="n">
        <x:v>2025</x:v>
      </x:c>
      <x:c r="E3173" s="2" t="str">
        <x:v>WB_imports_usd</x:v>
      </x:c>
      <x:c r="F3173" s="2" t="str">
        <x:v>Merchandise imports (current US$)</x:v>
      </x:c>
    </x:row>
    <x:row r="3174" ht="44" customHeight="1">
      <x:c r="A3174" s="2" t="str">
        <x:v>LAO</x:v>
      </x:c>
      <x:c r="B3174" s="2" t="str">
        <x:v>exports_usd</x:v>
      </x:c>
      <x:c r="C3174" s="2" t="n">
        <x:v>12377000000</x:v>
      </x:c>
      <x:c r="D3174" s="2" t="n">
        <x:v>2025</x:v>
      </x:c>
      <x:c r="E3174" s="2" t="str">
        <x:v>WB_exports_usd</x:v>
      </x:c>
      <x:c r="F3174" s="2" t="str">
        <x:v>Merchandise exports (current US$)</x:v>
      </x:c>
    </x:row>
    <x:row r="3175" ht="44" customHeight="1">
      <x:c r="A3175" s="2" t="str">
        <x:v>LAO</x:v>
      </x:c>
      <x:c r="B3175" s="2" t="str">
        <x:v>cereal_yield</x:v>
      </x:c>
      <x:c r="C3175" s="2" t="n">
        <x:v>4196.4</x:v>
      </x:c>
      <x:c r="D3175" s="2" t="n">
        <x:v>2024</x:v>
      </x:c>
      <x:c r="E3175" s="2" t="str">
        <x:v>WB_cereal_yield</x:v>
      </x:c>
      <x:c r="F3175" s="2" t="str">
        <x:v>Cereal yield (kg per hectare)</x:v>
      </x:c>
    </x:row>
    <x:row r="3176" ht="44" customHeight="1">
      <x:c r="A3176" s="2" t="str">
        <x:v>LAO</x:v>
      </x:c>
      <x:c r="B3176" s="2" t="str">
        <x:v>water_stress</x:v>
      </x:c>
      <x:c r="C3176" s="2" t="n">
        <x:v>4.791395046</x:v>
      </x:c>
      <x:c r="D3176" s="2" t="n">
        <x:v>2022</x:v>
      </x:c>
      <x:c r="E3176" s="2" t="str">
        <x:v>WB_water_stress</x:v>
      </x:c>
      <x:c r="F3176" s="2" t="str">
        <x:v>Level of water stress: freshwater withdrawal as a proportion of available freshwater resources</x:v>
      </x:c>
    </x:row>
    <x:row r="3177" ht="44" customHeight="1">
      <x:c r="A3177" s="2" t="str">
        <x:v>LAO</x:v>
      </x:c>
      <x:c r="B3177" s="2" t="str">
        <x:v>fertility</x:v>
      </x:c>
      <x:c r="C3177" s="2" t="n">
        <x:v>2.397</x:v>
      </x:c>
      <x:c r="D3177" s="2" t="n">
        <x:v>2024</x:v>
      </x:c>
      <x:c r="E3177" s="2" t="str">
        <x:v>WB_fertility</x:v>
      </x:c>
      <x:c r="F3177" s="2" t="str">
        <x:v>Fertility rate, total (births per woman)</x:v>
      </x:c>
    </x:row>
    <x:row r="3178" ht="44" customHeight="1">
      <x:c r="A3178" s="2" t="str">
        <x:v>LAO</x:v>
      </x:c>
      <x:c r="B3178" s="2" t="str">
        <x:v>life_expectancy</x:v>
      </x:c>
      <x:c r="C3178" s="2" t="n">
        <x:v>69.225</x:v>
      </x:c>
      <x:c r="D3178" s="2" t="n">
        <x:v>2024</x:v>
      </x:c>
      <x:c r="E3178" s="2" t="str">
        <x:v>WB_life_expectancy</x:v>
      </x:c>
      <x:c r="F3178" s="2" t="str">
        <x:v>Life expectancy at birth, total (years)</x:v>
      </x:c>
    </x:row>
    <x:row r="3179" ht="44" customHeight="1">
      <x:c r="A3179" s="2" t="str">
        <x:v>LAO</x:v>
      </x:c>
      <x:c r="B3179" s="2" t="str">
        <x:v>age_under15</x:v>
      </x:c>
      <x:c r="C3179" s="2" t="n">
        <x:v>29.839672589216</x:v>
      </x:c>
      <x:c r="D3179" s="2" t="n">
        <x:v>2025</x:v>
      </x:c>
      <x:c r="E3179" s="2" t="str">
        <x:v>WB_age_under15</x:v>
      </x:c>
      <x:c r="F3179" s="2" t="str">
        <x:v>Population ages 0-14 (% of total population)</x:v>
      </x:c>
    </x:row>
    <x:row r="3180" ht="44" customHeight="1">
      <x:c r="A3180" s="2" t="str">
        <x:v>LAO</x:v>
      </x:c>
      <x:c r="B3180" s="2" t="str">
        <x:v>age_over65</x:v>
      </x:c>
      <x:c r="C3180" s="2" t="n">
        <x:v>4.80805045518916</x:v>
      </x:c>
      <x:c r="D3180" s="2" t="n">
        <x:v>2025</x:v>
      </x:c>
      <x:c r="E3180" s="2" t="str">
        <x:v>WB_age_over65</x:v>
      </x:c>
      <x:c r="F3180" s="2" t="str">
        <x:v>Population ages 65 and above (% of total population)</x:v>
      </x:c>
    </x:row>
    <x:row r="3181" ht="44" customHeight="1">
      <x:c r="A3181" s="2" t="str">
        <x:v>LAO</x:v>
      </x:c>
      <x:c r="B3181" s="2" t="str">
        <x:v>dependency_ratio</x:v>
      </x:c>
      <x:c r="C3181" s="2" t="n">
        <x:v>53.0168515795744</x:v>
      </x:c>
      <x:c r="D3181" s="2" t="n">
        <x:v>2025</x:v>
      </x:c>
      <x:c r="E3181" s="2" t="str">
        <x:v>WB_dependency_ratio</x:v>
      </x:c>
      <x:c r="F3181" s="2" t="str">
        <x:v>Age dependency ratio (% of working-age population)</x:v>
      </x:c>
    </x:row>
    <x:row r="3182" ht="44" customHeight="1">
      <x:c r="A3182" s="2" t="str">
        <x:v>LAO</x:v>
      </x:c>
      <x:c r="B3182" s="2" t="str">
        <x:v>net_migration</x:v>
      </x:c>
      <x:c r="C3182" s="2" t="n">
        <x:v>-10645</x:v>
      </x:c>
      <x:c r="D3182" s="2" t="n">
        <x:v>2025</x:v>
      </x:c>
      <x:c r="E3182" s="2" t="str">
        <x:v>WB_net_migration</x:v>
      </x:c>
      <x:c r="F3182" s="2" t="str">
        <x:v>Net migration</x:v>
      </x:c>
    </x:row>
    <x:row r="3183" ht="44" customHeight="1">
      <x:c r="A3183" s="2" t="str">
        <x:v>LAO</x:v>
      </x:c>
      <x:c r="B3183" s="2" t="str">
        <x:v>real_gdp</x:v>
      </x:c>
      <x:c r="C3183" s="2" t="n">
        <x:v>22101637863.16</x:v>
      </x:c>
      <x:c r="D3183" s="2" t="n">
        <x:v>2025</x:v>
      </x:c>
      <x:c r="E3183" s="2" t="str">
        <x:v>WB_real_gdp</x:v>
      </x:c>
      <x:c r="F3183" s="2" t="str">
        <x:v>GDP (constant 2015 US$)</x:v>
      </x:c>
    </x:row>
    <x:row r="3184" ht="44" customHeight="1">
      <x:c r="A3184" s="2" t="str">
        <x:v>LAO</x:v>
      </x:c>
      <x:c r="B3184" s="2" t="str">
        <x:v>gdp_growth</x:v>
      </x:c>
      <x:c r="C3184" s="2" t="n">
        <x:v>4.53760564766725</x:v>
      </x:c>
      <x:c r="D3184" s="2" t="n">
        <x:v>2025</x:v>
      </x:c>
      <x:c r="E3184" s="2" t="str">
        <x:v>WB_gdp_growth</x:v>
      </x:c>
      <x:c r="F3184" s="2" t="str">
        <x:v>GDP growth (annual %)</x:v>
      </x:c>
    </x:row>
    <x:row r="3185" ht="44" customHeight="1">
      <x:c r="A3185" s="2" t="str">
        <x:v>LAO</x:v>
      </x:c>
      <x:c r="B3185" s="2" t="str">
        <x:v>real_income</x:v>
      </x:c>
      <x:c r="C3185" s="2" t="n">
        <x:v>2807.25374437797</x:v>
      </x:c>
      <x:c r="D3185" s="2" t="n">
        <x:v>2025</x:v>
      </x:c>
      <x:c r="E3185" s="2" t="str">
        <x:v>WB_real_income</x:v>
      </x:c>
      <x:c r="F3185" s="2" t="str">
        <x:v>GDP per capita (constant 2015 US$)</x:v>
      </x:c>
    </x:row>
    <x:row r="3186" ht="44" customHeight="1">
      <x:c r="A3186" s="2" t="str">
        <x:v>LAO</x:v>
      </x:c>
      <x:c r="B3186" s="2" t="str">
        <x:v>agriculture_gdp</x:v>
      </x:c>
      <x:c r="C3186" s="2" t="n">
        <x:v>16.6175844045764</x:v>
      </x:c>
      <x:c r="D3186" s="2" t="n">
        <x:v>2025</x:v>
      </x:c>
      <x:c r="E3186" s="2" t="str">
        <x:v>WB_agriculture_gdp</x:v>
      </x:c>
      <x:c r="F3186" s="2" t="str">
        <x:v>Agriculture, forestry, and fishing, value added (% of GDP)</x:v>
      </x:c>
    </x:row>
    <x:row r="3187" ht="44" customHeight="1">
      <x:c r="A3187" s="2" t="str">
        <x:v>LAO</x:v>
      </x:c>
      <x:c r="B3187" s="2" t="str">
        <x:v>poverty</x:v>
      </x:c>
      <x:c r="C3187" s="2" t="n">
        <x:v>7.1</x:v>
      </x:c>
      <x:c r="D3187" s="2" t="n">
        <x:v>2024</x:v>
      </x:c>
      <x:c r="E3187" s="2" t="str">
        <x:v>WB_poverty</x:v>
      </x:c>
      <x:c r="F3187" s="2" t="str">
        <x:v>Poverty headcount ratio at $3.00 a day (2021 PPP) (% of population)</x:v>
      </x:c>
    </x:row>
    <x:row r="3188" ht="44" customHeight="1">
      <x:c r="A3188" s="2" t="str">
        <x:v>LAO</x:v>
      </x:c>
      <x:c r="B3188" s="2" t="str">
        <x:v>gini</x:v>
      </x:c>
      <x:c r="C3188" s="2" t="n">
        <x:v>34.7</x:v>
      </x:c>
      <x:c r="D3188" s="2" t="n">
        <x:v>2024</x:v>
      </x:c>
      <x:c r="E3188" s="2" t="str">
        <x:v>WB_gini</x:v>
      </x:c>
      <x:c r="F3188" s="2" t="str">
        <x:v>Gini index</x:v>
      </x:c>
    </x:row>
    <x:row r="3189" ht="44" customHeight="1">
      <x:c r="A3189" s="2" t="str">
        <x:v>LAO</x:v>
      </x:c>
      <x:c r="B3189" s="2" t="str">
        <x:v>unemployment</x:v>
      </x:c>
      <x:c r="C3189" s="2" t="n">
        <x:v>1.187</x:v>
      </x:c>
      <x:c r="D3189" s="2" t="n">
        <x:v>2025</x:v>
      </x:c>
      <x:c r="E3189" s="2" t="str">
        <x:v>WB_unemployment</x:v>
      </x:c>
      <x:c r="F3189" s="2" t="str">
        <x:v>Unemployment, total (% of total labor force) (modeled ILO estimate)</x:v>
      </x:c>
    </x:row>
    <x:row r="3190" ht="44" customHeight="1">
      <x:c r="A3190" s="2" t="str">
        <x:v>LAO</x:v>
      </x:c>
      <x:c r="B3190" s="2" t="str">
        <x:v>private_credit</x:v>
      </x:c>
      <x:c r="C3190" s="2" t="n">
        <x:v>20.9192615607493</x:v>
      </x:c>
      <x:c r="D3190" s="2" t="n">
        <x:v>2010</x:v>
      </x:c>
      <x:c r="E3190" s="2" t="str">
        <x:v>WB_private_credit</x:v>
      </x:c>
      <x:c r="F3190" s="2" t="str">
        <x:v>Domestic credit to private sector (% of GDP)</x:v>
      </x:c>
    </x:row>
    <x:row r="3191" ht="44" customHeight="1">
      <x:c r="A3191" s="2" t="str">
        <x:v>LAO</x:v>
      </x:c>
      <x:c r="B3191" s="2" t="str">
        <x:v>lending_rate</x:v>
      </x:c>
      <x:c r="C3191" s="2" t="n">
        <x:v>22.6125</x:v>
      </x:c>
      <x:c r="D3191" s="2" t="n">
        <x:v>2010</x:v>
      </x:c>
      <x:c r="E3191" s="2" t="str">
        <x:v>WB_lending_rate</x:v>
      </x:c>
      <x:c r="F3191" s="2" t="str">
        <x:v>Lending interest rate (%)</x:v>
      </x:c>
    </x:row>
    <x:row r="3192" ht="44" customHeight="1">
      <x:c r="A3192" s="2" t="str">
        <x:v>LAO</x:v>
      </x:c>
      <x:c r="B3192" s="2" t="str">
        <x:v>real_interest</x:v>
      </x:c>
      <x:c r="C3192" s="2" t="n">
        <x:v>12.2860349478632</x:v>
      </x:c>
      <x:c r="D3192" s="2" t="n">
        <x:v>2010</x:v>
      </x:c>
      <x:c r="E3192" s="2" t="str">
        <x:v>WB_real_interest</x:v>
      </x:c>
      <x:c r="F3192" s="2" t="str">
        <x:v>Real interest rate (%)</x:v>
      </x:c>
    </x:row>
    <x:row r="3193" ht="44" customHeight="1">
      <x:c r="A3193" s="2" t="str">
        <x:v>LAO</x:v>
      </x:c>
      <x:c r="B3193" s="2" t="str">
        <x:v>government_debt</x:v>
      </x:c>
      <x:c r="C3193" s="2"/>
      <x:c r="D3193" s="2"/>
      <x:c r="E3193" s="2" t="str">
        <x:v>Missing</x:v>
      </x:c>
      <x:c r="F3193" s="2" t="str">
        <x:v>Central government debt, total (% of GDP)</x:v>
      </x:c>
    </x:row>
    <x:row r="3194" ht="44" customHeight="1">
      <x:c r="A3194" s="2" t="str">
        <x:v>LAO</x:v>
      </x:c>
      <x:c r="B3194" s="2" t="str">
        <x:v>electricity_access</x:v>
      </x:c>
      <x:c r="C3194" s="2" t="n">
        <x:v>96.5</x:v>
      </x:c>
      <x:c r="D3194" s="2" t="n">
        <x:v>2024</x:v>
      </x:c>
      <x:c r="E3194" s="2" t="str">
        <x:v>WB_electricity_access</x:v>
      </x:c>
      <x:c r="F3194" s="2" t="str">
        <x:v>Access to electricity (% of population)</x:v>
      </x:c>
    </x:row>
    <x:row r="3195" ht="44" customHeight="1">
      <x:c r="A3195" s="2" t="str">
        <x:v>LAO</x:v>
      </x:c>
      <x:c r="B3195" s="2" t="str">
        <x:v>irrigated_land</x:v>
      </x:c>
      <x:c r="C3195" s="2" t="n">
        <x:v>19.2807799930045</x:v>
      </x:c>
      <x:c r="D3195" s="2" t="n">
        <x:v>2023</x:v>
      </x:c>
      <x:c r="E3195" s="2" t="str">
        <x:v>WB_irrigated_land</x:v>
      </x:c>
      <x:c r="F3195" s="2" t="str">
        <x:v>Agricultural irrigated land (% of total agricultural land)</x:v>
      </x:c>
    </x:row>
    <x:row r="3196" ht="44" customHeight="1">
      <x:c r="A3196" s="2" t="str">
        <x:v>LAO</x:v>
      </x:c>
      <x:c r="B3196" s="2" t="str">
        <x:v>cereal_area</x:v>
      </x:c>
      <x:c r="C3196" s="2" t="n">
        <x:v>1016601</x:v>
      </x:c>
      <x:c r="D3196" s="2" t="n">
        <x:v>2024</x:v>
      </x:c>
      <x:c r="E3196" s="2" t="str">
        <x:v>WB_cereal_area</x:v>
      </x:c>
      <x:c r="F3196" s="2" t="str">
        <x:v>Land under cereal production (hectares)</x:v>
      </x:c>
    </x:row>
    <x:row r="3197" ht="44" customHeight="1">
      <x:c r="A3197" s="2" t="str">
        <x:v>LAO</x:v>
      </x:c>
      <x:c r="B3197" s="2" t="str">
        <x:v>undernourishment</x:v>
      </x:c>
      <x:c r="C3197" s="2"/>
      <x:c r="D3197" s="2"/>
      <x:c r="E3197" s="2" t="str">
        <x:v>Missing</x:v>
      </x:c>
      <x:c r="F3197" s="2" t="str">
        <x:v>Prevalence of undernourishment (% of population)</x:v>
      </x:c>
    </x:row>
    <x:row r="3198" ht="44" customHeight="1">
      <x:c r="A3198" s="2" t="str">
        <x:v>LAO</x:v>
      </x:c>
      <x:c r="B3198" s="2" t="str">
        <x:v>agriculture_employment</x:v>
      </x:c>
      <x:c r="C3198" s="2" t="n">
        <x:v>68.5969890231444</x:v>
      </x:c>
      <x:c r="D3198" s="2" t="n">
        <x:v>2025</x:v>
      </x:c>
      <x:c r="E3198" s="2" t="str">
        <x:v>WB_agriculture_employment</x:v>
      </x:c>
      <x:c r="F3198" s="2" t="str">
        <x:v>Employment in agriculture (% of total employment) (modeled ILO estimate)</x:v>
      </x:c>
    </x:row>
    <x:row r="3199" ht="44" customHeight="1">
      <x:c r="A3199" s="2" t="str">
        <x:v>LAO</x:v>
      </x:c>
      <x:c r="B3199" s="2" t="str">
        <x:v>water_withdrawal</x:v>
      </x:c>
      <x:c r="C3199" s="2" t="n">
        <x:v>3.86029411764706</x:v>
      </x:c>
      <x:c r="D3199" s="2" t="n">
        <x:v>2022</x:v>
      </x:c>
      <x:c r="E3199" s="2" t="str">
        <x:v>WB_water_withdrawal</x:v>
      </x:c>
      <x:c r="F3199" s="2" t="str">
        <x:v>Annual freshwater withdrawals, total (% of internal resources)</x:v>
      </x:c>
    </x:row>
    <x:row r="3200" ht="44" customHeight="1">
      <x:c r="A3200" s="2" t="str">
        <x:v>LVA</x:v>
      </x:c>
      <x:c r="B3200" s="2" t="str">
        <x:v>population</x:v>
      </x:c>
      <x:c r="C3200" s="2" t="n">
        <x:v>1847785</x:v>
      </x:c>
      <x:c r="D3200" s="2" t="n">
        <x:v>2025</x:v>
      </x:c>
      <x:c r="E3200" s="2" t="str">
        <x:v>WB_population</x:v>
      </x:c>
      <x:c r="F3200" s="2" t="str">
        <x:v>Population, total</x:v>
      </x:c>
    </x:row>
    <x:row r="3201" ht="44" customHeight="1">
      <x:c r="A3201" s="2" t="str">
        <x:v>LVA</x:v>
      </x:c>
      <x:c r="B3201" s="2" t="str">
        <x:v>income_ppp</x:v>
      </x:c>
      <x:c r="C3201" s="2" t="n">
        <x:v>38800.5425281872</x:v>
      </x:c>
      <x:c r="D3201" s="2" t="n">
        <x:v>2025</x:v>
      </x:c>
      <x:c r="E3201" s="2" t="str">
        <x:v>WB_income_ppp</x:v>
      </x:c>
      <x:c r="F3201" s="2" t="str">
        <x:v>GDP per capita, PPP (constant 2021 international $)</x:v>
      </x:c>
    </x:row>
    <x:row r="3202" ht="44" customHeight="1">
      <x:c r="A3202" s="2" t="str">
        <x:v>LVA</x:v>
      </x:c>
      <x:c r="B3202" s="2" t="str">
        <x:v>urban</x:v>
      </x:c>
      <x:c r="C3202" s="2" t="n">
        <x:v>68.6325719753517</x:v>
      </x:c>
      <x:c r="D3202" s="2" t="n">
        <x:v>2025</x:v>
      </x:c>
      <x:c r="E3202" s="2" t="str">
        <x:v>WB_urban</x:v>
      </x:c>
      <x:c r="F3202" s="2" t="str">
        <x:v>Urban population (% of total population)</x:v>
      </x:c>
    </x:row>
    <x:row r="3203" ht="44" customHeight="1">
      <x:c r="A3203" s="2" t="str">
        <x:v>LVA</x:v>
      </x:c>
      <x:c r="B3203" s="2" t="str">
        <x:v>inflation</x:v>
      </x:c>
      <x:c r="C3203" s="2" t="n">
        <x:v>3.74577316751945</x:v>
      </x:c>
      <x:c r="D3203" s="2" t="n">
        <x:v>2025</x:v>
      </x:c>
      <x:c r="E3203" s="2" t="str">
        <x:v>WB_inflation</x:v>
      </x:c>
      <x:c r="F3203" s="2" t="str">
        <x:v>Inflation, consumer prices (annual %)</x:v>
      </x:c>
    </x:row>
    <x:row r="3204" ht="44" customHeight="1">
      <x:c r="A3204" s="2" t="str">
        <x:v>LVA</x:v>
      </x:c>
      <x:c r="B3204" s="2" t="str">
        <x:v>food_index</x:v>
      </x:c>
      <x:c r="C3204" s="2" t="n">
        <x:v>103.93</x:v>
      </x:c>
      <x:c r="D3204" s="2" t="n">
        <x:v>2022</x:v>
      </x:c>
      <x:c r="E3204" s="2" t="str">
        <x:v>WB_food_index</x:v>
      </x:c>
      <x:c r="F3204" s="2" t="str">
        <x:v>Food production index (2014-2016 = 100)</x:v>
      </x:c>
    </x:row>
    <x:row r="3205" ht="44" customHeight="1">
      <x:c r="A3205" s="2" t="str">
        <x:v>LVA</x:v>
      </x:c>
      <x:c r="B3205" s="2" t="str">
        <x:v>food_import_share</x:v>
      </x:c>
      <x:c r="C3205" s="2" t="n">
        <x:v>17.8510301745282</x:v>
      </x:c>
      <x:c r="D3205" s="2" t="n">
        <x:v>2025</x:v>
      </x:c>
      <x:c r="E3205" s="2" t="str">
        <x:v>WB_food_import_share</x:v>
      </x:c>
      <x:c r="F3205" s="2" t="str">
        <x:v>Food imports (% of merchandise imports)</x:v>
      </x:c>
    </x:row>
    <x:row r="3206" ht="44" customHeight="1">
      <x:c r="A3206" s="2" t="str">
        <x:v>LVA</x:v>
      </x:c>
      <x:c r="B3206" s="2" t="str">
        <x:v>food_export_share</x:v>
      </x:c>
      <x:c r="C3206" s="2" t="n">
        <x:v>22.0992069990385</x:v>
      </x:c>
      <x:c r="D3206" s="2" t="n">
        <x:v>2025</x:v>
      </x:c>
      <x:c r="E3206" s="2" t="str">
        <x:v>WB_food_export_share</x:v>
      </x:c>
      <x:c r="F3206" s="2" t="str">
        <x:v>Food exports (% of merchandise exports)</x:v>
      </x:c>
    </x:row>
    <x:row r="3207" ht="44" customHeight="1">
      <x:c r="A3207" s="2" t="str">
        <x:v>LVA</x:v>
      </x:c>
      <x:c r="B3207" s="2" t="str">
        <x:v>imports_usd</x:v>
      </x:c>
      <x:c r="C3207" s="2" t="n">
        <x:v>26284000000</x:v>
      </x:c>
      <x:c r="D3207" s="2" t="n">
        <x:v>2025</x:v>
      </x:c>
      <x:c r="E3207" s="2" t="str">
        <x:v>WB_imports_usd</x:v>
      </x:c>
      <x:c r="F3207" s="2" t="str">
        <x:v>Merchandise imports (current US$)</x:v>
      </x:c>
    </x:row>
    <x:row r="3208" ht="44" customHeight="1">
      <x:c r="A3208" s="2" t="str">
        <x:v>LVA</x:v>
      </x:c>
      <x:c r="B3208" s="2" t="str">
        <x:v>exports_usd</x:v>
      </x:c>
      <x:c r="C3208" s="2" t="n">
        <x:v>22122000000</x:v>
      </x:c>
      <x:c r="D3208" s="2" t="n">
        <x:v>2025</x:v>
      </x:c>
      <x:c r="E3208" s="2" t="str">
        <x:v>WB_exports_usd</x:v>
      </x:c>
      <x:c r="F3208" s="2" t="str">
        <x:v>Merchandise exports (current US$)</x:v>
      </x:c>
    </x:row>
    <x:row r="3209" ht="44" customHeight="1">
      <x:c r="A3209" s="2" t="str">
        <x:v>LVA</x:v>
      </x:c>
      <x:c r="B3209" s="2" t="str">
        <x:v>cereal_yield</x:v>
      </x:c>
      <x:c r="C3209" s="2" t="n">
        <x:v>3557.5</x:v>
      </x:c>
      <x:c r="D3209" s="2" t="n">
        <x:v>2023</x:v>
      </x:c>
      <x:c r="E3209" s="2" t="str">
        <x:v>WB_cereal_yield</x:v>
      </x:c>
      <x:c r="F3209" s="2" t="str">
        <x:v>Cereal yield (kg per hectare)</x:v>
      </x:c>
    </x:row>
    <x:row r="3210" ht="44" customHeight="1">
      <x:c r="A3210" s="2" t="str">
        <x:v>LVA</x:v>
      </x:c>
      <x:c r="B3210" s="2" t="str">
        <x:v>water_stress</x:v>
      </x:c>
      <x:c r="C3210" s="2" t="n">
        <x:v>1.015521509</x:v>
      </x:c>
      <x:c r="D3210" s="2" t="n">
        <x:v>2022</x:v>
      </x:c>
      <x:c r="E3210" s="2" t="str">
        <x:v>WB_water_stress</x:v>
      </x:c>
      <x:c r="F3210" s="2" t="str">
        <x:v>Level of water stress: freshwater withdrawal as a proportion of available freshwater resources</x:v>
      </x:c>
    </x:row>
    <x:row r="3211" ht="44" customHeight="1">
      <x:c r="A3211" s="2" t="str">
        <x:v>LVA</x:v>
      </x:c>
      <x:c r="B3211" s="2" t="str">
        <x:v>fertility</x:v>
      </x:c>
      <x:c r="C3211" s="2" t="n">
        <x:v>1.24</x:v>
      </x:c>
      <x:c r="D3211" s="2" t="n">
        <x:v>2024</x:v>
      </x:c>
      <x:c r="E3211" s="2" t="str">
        <x:v>WB_fertility</x:v>
      </x:c>
      <x:c r="F3211" s="2" t="str">
        <x:v>Fertility rate, total (births per woman)</x:v>
      </x:c>
    </x:row>
    <x:row r="3212" ht="44" customHeight="1">
      <x:c r="A3212" s="2" t="str">
        <x:v>LVA</x:v>
      </x:c>
      <x:c r="B3212" s="2" t="str">
        <x:v>life_expectancy</x:v>
      </x:c>
      <x:c r="C3212" s="2" t="n">
        <x:v>76.4292682926829</x:v>
      </x:c>
      <x:c r="D3212" s="2" t="n">
        <x:v>2024</x:v>
      </x:c>
      <x:c r="E3212" s="2" t="str">
        <x:v>WB_life_expectancy</x:v>
      </x:c>
      <x:c r="F3212" s="2" t="str">
        <x:v>Life expectancy at birth, total (years)</x:v>
      </x:c>
    </x:row>
    <x:row r="3213" ht="44" customHeight="1">
      <x:c r="A3213" s="2" t="str">
        <x:v>LVA</x:v>
      </x:c>
      <x:c r="B3213" s="2" t="str">
        <x:v>age_under15</x:v>
      </x:c>
      <x:c r="C3213" s="2" t="n">
        <x:v>15.1872424886394</x:v>
      </x:c>
      <x:c r="D3213" s="2" t="n">
        <x:v>2025</x:v>
      </x:c>
      <x:c r="E3213" s="2" t="str">
        <x:v>WB_age_under15</x:v>
      </x:c>
      <x:c r="F3213" s="2" t="str">
        <x:v>Population ages 0-14 (% of total population)</x:v>
      </x:c>
    </x:row>
    <x:row r="3214" ht="44" customHeight="1">
      <x:c r="A3214" s="2" t="str">
        <x:v>LVA</x:v>
      </x:c>
      <x:c r="B3214" s="2" t="str">
        <x:v>age_over65</x:v>
      </x:c>
      <x:c r="C3214" s="2" t="n">
        <x:v>22.1950582635891</x:v>
      </x:c>
      <x:c r="D3214" s="2" t="n">
        <x:v>2025</x:v>
      </x:c>
      <x:c r="E3214" s="2" t="str">
        <x:v>WB_age_over65</x:v>
      </x:c>
      <x:c r="F3214" s="2" t="str">
        <x:v>Population ages 65 and above (% of total population)</x:v>
      </x:c>
    </x:row>
    <x:row r="3215" ht="44" customHeight="1">
      <x:c r="A3215" s="2" t="str">
        <x:v>LVA</x:v>
      </x:c>
      <x:c r="B3215" s="2" t="str">
        <x:v>dependency_ratio</x:v>
      </x:c>
      <x:c r="C3215" s="2" t="n">
        <x:v>59.6993189518081</x:v>
      </x:c>
      <x:c r="D3215" s="2" t="n">
        <x:v>2025</x:v>
      </x:c>
      <x:c r="E3215" s="2" t="str">
        <x:v>WB_dependency_ratio</x:v>
      </x:c>
      <x:c r="F3215" s="2" t="str">
        <x:v>Age dependency ratio (% of working-age population)</x:v>
      </x:c>
    </x:row>
    <x:row r="3216" ht="44" customHeight="1">
      <x:c r="A3216" s="2" t="str">
        <x:v>LVA</x:v>
      </x:c>
      <x:c r="B3216" s="2" t="str">
        <x:v>net_migration</x:v>
      </x:c>
      <x:c r="C3216" s="2" t="n">
        <x:v>-7330</x:v>
      </x:c>
      <x:c r="D3216" s="2" t="n">
        <x:v>2025</x:v>
      </x:c>
      <x:c r="E3216" s="2" t="str">
        <x:v>WB_net_migration</x:v>
      </x:c>
      <x:c r="F3216" s="2" t="str">
        <x:v>Net migration</x:v>
      </x:c>
    </x:row>
    <x:row r="3217" ht="44" customHeight="1">
      <x:c r="A3217" s="2" t="str">
        <x:v>LVA</x:v>
      </x:c>
      <x:c r="B3217" s="2" t="str">
        <x:v>real_gdp</x:v>
      </x:c>
      <x:c r="C3217" s="2" t="n">
        <x:v>31213460641.1947</x:v>
      </x:c>
      <x:c r="D3217" s="2" t="n">
        <x:v>2025</x:v>
      </x:c>
      <x:c r="E3217" s="2" t="str">
        <x:v>WB_real_gdp</x:v>
      </x:c>
      <x:c r="F3217" s="2" t="str">
        <x:v>GDP (constant 2015 US$)</x:v>
      </x:c>
    </x:row>
    <x:row r="3218" ht="44" customHeight="1">
      <x:c r="A3218" s="2" t="str">
        <x:v>LVA</x:v>
      </x:c>
      <x:c r="B3218" s="2" t="str">
        <x:v>gdp_growth</x:v>
      </x:c>
      <x:c r="C3218" s="2" t="n">
        <x:v>2.13786855731288</x:v>
      </x:c>
      <x:c r="D3218" s="2" t="n">
        <x:v>2025</x:v>
      </x:c>
      <x:c r="E3218" s="2" t="str">
        <x:v>WB_gdp_growth</x:v>
      </x:c>
      <x:c r="F3218" s="2" t="str">
        <x:v>GDP growth (annual %)</x:v>
      </x:c>
    </x:row>
    <x:row r="3219" ht="44" customHeight="1">
      <x:c r="A3219" s="2" t="str">
        <x:v>LVA</x:v>
      </x:c>
      <x:c r="B3219" s="2" t="str">
        <x:v>real_income</x:v>
      </x:c>
      <x:c r="C3219" s="2" t="n">
        <x:v>16892.3660713745</x:v>
      </x:c>
      <x:c r="D3219" s="2" t="n">
        <x:v>2025</x:v>
      </x:c>
      <x:c r="E3219" s="2" t="str">
        <x:v>WB_real_income</x:v>
      </x:c>
      <x:c r="F3219" s="2" t="str">
        <x:v>GDP per capita (constant 2015 US$)</x:v>
      </x:c>
    </x:row>
    <x:row r="3220" ht="44" customHeight="1">
      <x:c r="A3220" s="2" t="str">
        <x:v>LVA</x:v>
      </x:c>
      <x:c r="B3220" s="2" t="str">
        <x:v>agriculture_gdp</x:v>
      </x:c>
      <x:c r="C3220" s="2" t="n">
        <x:v>4.0095997344873</x:v>
      </x:c>
      <x:c r="D3220" s="2" t="n">
        <x:v>2025</x:v>
      </x:c>
      <x:c r="E3220" s="2" t="str">
        <x:v>WB_agriculture_gdp</x:v>
      </x:c>
      <x:c r="F3220" s="2" t="str">
        <x:v>Agriculture, forestry, and fishing, value added (% of GDP)</x:v>
      </x:c>
    </x:row>
    <x:row r="3221" ht="44" customHeight="1">
      <x:c r="A3221" s="2" t="str">
        <x:v>LVA</x:v>
      </x:c>
      <x:c r="B3221" s="2" t="str">
        <x:v>poverty</x:v>
      </x:c>
      <x:c r="C3221" s="2" t="n">
        <x:v>0.4</x:v>
      </x:c>
      <x:c r="D3221" s="2" t="n">
        <x:v>2023</x:v>
      </x:c>
      <x:c r="E3221" s="2" t="str">
        <x:v>WB_poverty</x:v>
      </x:c>
      <x:c r="F3221" s="2" t="str">
        <x:v>Poverty headcount ratio at $3.00 a day (2021 PPP) (% of population)</x:v>
      </x:c>
    </x:row>
    <x:row r="3222" ht="44" customHeight="1">
      <x:c r="A3222" s="2" t="str">
        <x:v>LVA</x:v>
      </x:c>
      <x:c r="B3222" s="2" t="str">
        <x:v>gini</x:v>
      </x:c>
      <x:c r="C3222" s="2" t="n">
        <x:v>34</x:v>
      </x:c>
      <x:c r="D3222" s="2" t="n">
        <x:v>2023</x:v>
      </x:c>
      <x:c r="E3222" s="2" t="str">
        <x:v>WB_gini</x:v>
      </x:c>
      <x:c r="F3222" s="2" t="str">
        <x:v>Gini index</x:v>
      </x:c>
    </x:row>
    <x:row r="3223" ht="44" customHeight="1">
      <x:c r="A3223" s="2" t="str">
        <x:v>LVA</x:v>
      </x:c>
      <x:c r="B3223" s="2" t="str">
        <x:v>unemployment</x:v>
      </x:c>
      <x:c r="C3223" s="2" t="n">
        <x:v>6.568</x:v>
      </x:c>
      <x:c r="D3223" s="2" t="n">
        <x:v>2025</x:v>
      </x:c>
      <x:c r="E3223" s="2" t="str">
        <x:v>WB_unemployment</x:v>
      </x:c>
      <x:c r="F3223" s="2" t="str">
        <x:v>Unemployment, total (% of total labor force) (modeled ILO estimate)</x:v>
      </x:c>
    </x:row>
    <x:row r="3224" ht="44" customHeight="1">
      <x:c r="A3224" s="2" t="str">
        <x:v>LVA</x:v>
      </x:c>
      <x:c r="B3224" s="2" t="str">
        <x:v>private_credit</x:v>
      </x:c>
      <x:c r="C3224" s="2" t="n">
        <x:v>29.3267409745245</x:v>
      </x:c>
      <x:c r="D3224" s="2" t="n">
        <x:v>2024</x:v>
      </x:c>
      <x:c r="E3224" s="2" t="str">
        <x:v>WB_private_credit</x:v>
      </x:c>
      <x:c r="F3224" s="2" t="str">
        <x:v>Domestic credit to private sector (% of GDP)</x:v>
      </x:c>
    </x:row>
    <x:row r="3225" ht="44" customHeight="1">
      <x:c r="A3225" s="2" t="str">
        <x:v>LVA</x:v>
      </x:c>
      <x:c r="B3225" s="2" t="str">
        <x:v>lending_rate</x:v>
      </x:c>
      <x:c r="C3225" s="2"/>
      <x:c r="D3225" s="2"/>
      <x:c r="E3225" s="2" t="str">
        <x:v>Missing</x:v>
      </x:c>
      <x:c r="F3225" s="2" t="str">
        <x:v>Lending interest rate (%)</x:v>
      </x:c>
    </x:row>
    <x:row r="3226" ht="44" customHeight="1">
      <x:c r="A3226" s="2" t="str">
        <x:v>LVA</x:v>
      </x:c>
      <x:c r="B3226" s="2" t="str">
        <x:v>real_interest</x:v>
      </x:c>
      <x:c r="C3226" s="2"/>
      <x:c r="D3226" s="2"/>
      <x:c r="E3226" s="2" t="str">
        <x:v>Missing</x:v>
      </x:c>
      <x:c r="F3226" s="2" t="str">
        <x:v>Real interest rate (%)</x:v>
      </x:c>
    </x:row>
    <x:row r="3227" ht="44" customHeight="1">
      <x:c r="A3227" s="2" t="str">
        <x:v>LVA</x:v>
      </x:c>
      <x:c r="B3227" s="2" t="str">
        <x:v>government_debt</x:v>
      </x:c>
      <x:c r="C3227" s="2"/>
      <x:c r="D3227" s="2"/>
      <x:c r="E3227" s="2" t="str">
        <x:v>Missing</x:v>
      </x:c>
      <x:c r="F3227" s="2" t="str">
        <x:v>Central government debt, total (% of GDP)</x:v>
      </x:c>
    </x:row>
    <x:row r="3228" ht="44" customHeight="1">
      <x:c r="A3228" s="2" t="str">
        <x:v>LVA</x:v>
      </x:c>
      <x:c r="B3228" s="2" t="str">
        <x:v>electricity_access</x:v>
      </x:c>
      <x:c r="C3228" s="2" t="n">
        <x:v>100</x:v>
      </x:c>
      <x:c r="D3228" s="2" t="n">
        <x:v>2024</x:v>
      </x:c>
      <x:c r="E3228" s="2" t="str">
        <x:v>WB_electricity_access</x:v>
      </x:c>
      <x:c r="F3228" s="2" t="str">
        <x:v>Access to electricity (% of population)</x:v>
      </x:c>
    </x:row>
    <x:row r="3229" ht="44" customHeight="1">
      <x:c r="A3229" s="2" t="str">
        <x:v>LVA</x:v>
      </x:c>
      <x:c r="B3229" s="2" t="str">
        <x:v>irrigated_land</x:v>
      </x:c>
      <x:c r="C3229" s="2" t="n">
        <x:v>0.0310719834282755</x:v>
      </x:c>
      <x:c r="D3229" s="2" t="n">
        <x:v>2016</x:v>
      </x:c>
      <x:c r="E3229" s="2" t="str">
        <x:v>WB_irrigated_land</x:v>
      </x:c>
      <x:c r="F3229" s="2" t="str">
        <x:v>Agricultural irrigated land (% of total agricultural land)</x:v>
      </x:c>
    </x:row>
    <x:row r="3230" ht="44" customHeight="1">
      <x:c r="A3230" s="2" t="str">
        <x:v>LVA</x:v>
      </x:c>
      <x:c r="B3230" s="2" t="str">
        <x:v>cereal_area</x:v>
      </x:c>
      <x:c r="C3230" s="2" t="n">
        <x:v>763400</x:v>
      </x:c>
      <x:c r="D3230" s="2" t="n">
        <x:v>2023</x:v>
      </x:c>
      <x:c r="E3230" s="2" t="str">
        <x:v>WB_cereal_area</x:v>
      </x:c>
      <x:c r="F3230" s="2" t="str">
        <x:v>Land under cereal production (hectares)</x:v>
      </x:c>
    </x:row>
    <x:row r="3231" ht="44" customHeight="1">
      <x:c r="A3231" s="2" t="str">
        <x:v>LVA</x:v>
      </x:c>
      <x:c r="B3231" s="2" t="str">
        <x:v>undernourishment</x:v>
      </x:c>
      <x:c r="C3231" s="2" t="n">
        <x:v>2.5</x:v>
      </x:c>
      <x:c r="D3231" s="2" t="n">
        <x:v>2023</x:v>
      </x:c>
      <x:c r="E3231" s="2" t="str">
        <x:v>WB_undernourishment</x:v>
      </x:c>
      <x:c r="F3231" s="2" t="str">
        <x:v>Prevalence of undernourishment (% of population)</x:v>
      </x:c>
    </x:row>
    <x:row r="3232" ht="44" customHeight="1">
      <x:c r="A3232" s="2" t="str">
        <x:v>LVA</x:v>
      </x:c>
      <x:c r="B3232" s="2" t="str">
        <x:v>agriculture_employment</x:v>
      </x:c>
      <x:c r="C3232" s="2" t="n">
        <x:v>6.66365174505463</x:v>
      </x:c>
      <x:c r="D3232" s="2" t="n">
        <x:v>2025</x:v>
      </x:c>
      <x:c r="E3232" s="2" t="str">
        <x:v>WB_agriculture_employment</x:v>
      </x:c>
      <x:c r="F3232" s="2" t="str">
        <x:v>Employment in agriculture (% of total employment) (modeled ILO estimate)</x:v>
      </x:c>
    </x:row>
    <x:row r="3233" ht="44" customHeight="1">
      <x:c r="A3233" s="2" t="str">
        <x:v>LVA</x:v>
      </x:c>
      <x:c r="B3233" s="2" t="str">
        <x:v>water_withdrawal</x:v>
      </x:c>
      <x:c r="C3233" s="2" t="n">
        <x:v>1.0173199527745</x:v>
      </x:c>
      <x:c r="D3233" s="2" t="n">
        <x:v>2022</x:v>
      </x:c>
      <x:c r="E3233" s="2" t="str">
        <x:v>WB_water_withdrawal</x:v>
      </x:c>
      <x:c r="F3233" s="2" t="str">
        <x:v>Annual freshwater withdrawals, total (% of internal resources)</x:v>
      </x:c>
    </x:row>
    <x:row r="3234" ht="44" customHeight="1">
      <x:c r="A3234" s="2" t="str">
        <x:v>LBN</x:v>
      </x:c>
      <x:c r="B3234" s="2" t="str">
        <x:v>population</x:v>
      </x:c>
      <x:c r="C3234" s="2" t="n">
        <x:v>5849421</x:v>
      </x:c>
      <x:c r="D3234" s="2" t="n">
        <x:v>2025</x:v>
      </x:c>
      <x:c r="E3234" s="2" t="str">
        <x:v>WB_population</x:v>
      </x:c>
      <x:c r="F3234" s="2" t="str">
        <x:v>Population, total</x:v>
      </x:c>
    </x:row>
    <x:row r="3235" ht="44" customHeight="1">
      <x:c r="A3235" s="2" t="str">
        <x:v>LBN</x:v>
      </x:c>
      <x:c r="B3235" s="2" t="str">
        <x:v>income_ppp</x:v>
      </x:c>
      <x:c r="C3235" s="2" t="n">
        <x:v>10469.2210966932</x:v>
      </x:c>
      <x:c r="D3235" s="2" t="n">
        <x:v>2024</x:v>
      </x:c>
      <x:c r="E3235" s="2" t="str">
        <x:v>WB_income_ppp</x:v>
      </x:c>
      <x:c r="F3235" s="2" t="str">
        <x:v>GDP per capita, PPP (constant 2021 international $)</x:v>
      </x:c>
    </x:row>
    <x:row r="3236" ht="44" customHeight="1">
      <x:c r="A3236" s="2" t="str">
        <x:v>LBN</x:v>
      </x:c>
      <x:c r="B3236" s="2" t="str">
        <x:v>urban</x:v>
      </x:c>
      <x:c r="C3236" s="2" t="n">
        <x:v>90.9602314263044</x:v>
      </x:c>
      <x:c r="D3236" s="2" t="n">
        <x:v>2025</x:v>
      </x:c>
      <x:c r="E3236" s="2" t="str">
        <x:v>WB_urban</x:v>
      </x:c>
      <x:c r="F3236" s="2" t="str">
        <x:v>Urban population (% of total population)</x:v>
      </x:c>
    </x:row>
    <x:row r="3237" ht="44" customHeight="1">
      <x:c r="A3237" s="2" t="str">
        <x:v>LBN</x:v>
      </x:c>
      <x:c r="B3237" s="2" t="str">
        <x:v>inflation</x:v>
      </x:c>
      <x:c r="C3237" s="2" t="n">
        <x:v>14.597595869611</x:v>
      </x:c>
      <x:c r="D3237" s="2" t="n">
        <x:v>2025</x:v>
      </x:c>
      <x:c r="E3237" s="2" t="str">
        <x:v>WB_inflation</x:v>
      </x:c>
      <x:c r="F3237" s="2" t="str">
        <x:v>Inflation, consumer prices (annual %)</x:v>
      </x:c>
    </x:row>
    <x:row r="3238" ht="44" customHeight="1">
      <x:c r="A3238" s="2" t="str">
        <x:v>LBN</x:v>
      </x:c>
      <x:c r="B3238" s="2" t="str">
        <x:v>food_index</x:v>
      </x:c>
      <x:c r="C3238" s="2" t="n">
        <x:v>104.14</x:v>
      </x:c>
      <x:c r="D3238" s="2" t="n">
        <x:v>2022</x:v>
      </x:c>
      <x:c r="E3238" s="2" t="str">
        <x:v>WB_food_index</x:v>
      </x:c>
      <x:c r="F3238" s="2" t="str">
        <x:v>Food production index (2014-2016 = 100)</x:v>
      </x:c>
    </x:row>
    <x:row r="3239" ht="44" customHeight="1">
      <x:c r="A3239" s="2" t="str">
        <x:v>LBN</x:v>
      </x:c>
      <x:c r="B3239" s="2" t="str">
        <x:v>food_import_share</x:v>
      </x:c>
      <x:c r="C3239" s="2" t="n">
        <x:v>18.548538743257</x:v>
      </x:c>
      <x:c r="D3239" s="2" t="n">
        <x:v>2024</x:v>
      </x:c>
      <x:c r="E3239" s="2" t="str">
        <x:v>WB_food_import_share</x:v>
      </x:c>
      <x:c r="F3239" s="2" t="str">
        <x:v>Food imports (% of merchandise imports)</x:v>
      </x:c>
    </x:row>
    <x:row r="3240" ht="44" customHeight="1">
      <x:c r="A3240" s="2" t="str">
        <x:v>LBN</x:v>
      </x:c>
      <x:c r="B3240" s="2" t="str">
        <x:v>food_export_share</x:v>
      </x:c>
      <x:c r="C3240" s="2" t="n">
        <x:v>19.0922829601444</x:v>
      </x:c>
      <x:c r="D3240" s="2" t="n">
        <x:v>2024</x:v>
      </x:c>
      <x:c r="E3240" s="2" t="str">
        <x:v>WB_food_export_share</x:v>
      </x:c>
      <x:c r="F3240" s="2" t="str">
        <x:v>Food exports (% of merchandise exports)</x:v>
      </x:c>
    </x:row>
    <x:row r="3241" ht="44" customHeight="1">
      <x:c r="A3241" s="2" t="str">
        <x:v>LBN</x:v>
      </x:c>
      <x:c r="B3241" s="2" t="str">
        <x:v>imports_usd</x:v>
      </x:c>
      <x:c r="C3241" s="2" t="n">
        <x:v>21672000000</x:v>
      </x:c>
      <x:c r="D3241" s="2" t="n">
        <x:v>2025</x:v>
      </x:c>
      <x:c r="E3241" s="2" t="str">
        <x:v>WB_imports_usd</x:v>
      </x:c>
      <x:c r="F3241" s="2" t="str">
        <x:v>Merchandise imports (current US$)</x:v>
      </x:c>
    </x:row>
    <x:row r="3242" ht="44" customHeight="1">
      <x:c r="A3242" s="2" t="str">
        <x:v>LBN</x:v>
      </x:c>
      <x:c r="B3242" s="2" t="str">
        <x:v>exports_usd</x:v>
      </x:c>
      <x:c r="C3242" s="2" t="n">
        <x:v>4598000000</x:v>
      </x:c>
      <x:c r="D3242" s="2" t="n">
        <x:v>2025</x:v>
      </x:c>
      <x:c r="E3242" s="2" t="str">
        <x:v>WB_exports_usd</x:v>
      </x:c>
      <x:c r="F3242" s="2" t="str">
        <x:v>Merchandise exports (current US$)</x:v>
      </x:c>
    </x:row>
    <x:row r="3243" ht="44" customHeight="1">
      <x:c r="A3243" s="2" t="str">
        <x:v>LBN</x:v>
      </x:c>
      <x:c r="B3243" s="2" t="str">
        <x:v>cereal_yield</x:v>
      </x:c>
      <x:c r="C3243" s="2" t="n">
        <x:v>2415.3</x:v>
      </x:c>
      <x:c r="D3243" s="2" t="n">
        <x:v>2023</x:v>
      </x:c>
      <x:c r="E3243" s="2" t="str">
        <x:v>WB_cereal_yield</x:v>
      </x:c>
      <x:c r="F3243" s="2" t="str">
        <x:v>Cereal yield (kg per hectare)</x:v>
      </x:c>
    </x:row>
    <x:row r="3244" ht="44" customHeight="1">
      <x:c r="A3244" s="2" t="str">
        <x:v>LBN</x:v>
      </x:c>
      <x:c r="B3244" s="2" t="str">
        <x:v>water_stress</x:v>
      </x:c>
      <x:c r="C3244" s="2" t="n">
        <x:v>58.79299156</x:v>
      </x:c>
      <x:c r="D3244" s="2" t="n">
        <x:v>2022</x:v>
      </x:c>
      <x:c r="E3244" s="2" t="str">
        <x:v>WB_water_stress</x:v>
      </x:c>
      <x:c r="F3244" s="2" t="str">
        <x:v>Level of water stress: freshwater withdrawal as a proportion of available freshwater resources</x:v>
      </x:c>
    </x:row>
    <x:row r="3245" ht="44" customHeight="1">
      <x:c r="A3245" s="2" t="str">
        <x:v>LBN</x:v>
      </x:c>
      <x:c r="B3245" s="2" t="str">
        <x:v>fertility</x:v>
      </x:c>
      <x:c r="C3245" s="2" t="n">
        <x:v>2.227</x:v>
      </x:c>
      <x:c r="D3245" s="2" t="n">
        <x:v>2024</x:v>
      </x:c>
      <x:c r="E3245" s="2" t="str">
        <x:v>WB_fertility</x:v>
      </x:c>
      <x:c r="F3245" s="2" t="str">
        <x:v>Fertility rate, total (births per woman)</x:v>
      </x:c>
    </x:row>
    <x:row r="3246" ht="44" customHeight="1">
      <x:c r="A3246" s="2" t="str">
        <x:v>LBN</x:v>
      </x:c>
      <x:c r="B3246" s="2" t="str">
        <x:v>life_expectancy</x:v>
      </x:c>
      <x:c r="C3246" s="2" t="n">
        <x:v>77.945</x:v>
      </x:c>
      <x:c r="D3246" s="2" t="n">
        <x:v>2024</x:v>
      </x:c>
      <x:c r="E3246" s="2" t="str">
        <x:v>WB_life_expectancy</x:v>
      </x:c>
      <x:c r="F3246" s="2" t="str">
        <x:v>Life expectancy at birth, total (years)</x:v>
      </x:c>
    </x:row>
    <x:row r="3247" ht="44" customHeight="1">
      <x:c r="A3247" s="2" t="str">
        <x:v>LBN</x:v>
      </x:c>
      <x:c r="B3247" s="2" t="str">
        <x:v>age_under15</x:v>
      </x:c>
      <x:c r="C3247" s="2" t="n">
        <x:v>25.5876800103532</x:v>
      </x:c>
      <x:c r="D3247" s="2" t="n">
        <x:v>2025</x:v>
      </x:c>
      <x:c r="E3247" s="2" t="str">
        <x:v>WB_age_under15</x:v>
      </x:c>
      <x:c r="F3247" s="2" t="str">
        <x:v>Population ages 0-14 (% of total population)</x:v>
      </x:c>
    </x:row>
    <x:row r="3248" ht="44" customHeight="1">
      <x:c r="A3248" s="2" t="str">
        <x:v>LBN</x:v>
      </x:c>
      <x:c r="B3248" s="2" t="str">
        <x:v>age_over65</x:v>
      </x:c>
      <x:c r="C3248" s="2" t="n">
        <x:v>10.4430002937898</x:v>
      </x:c>
      <x:c r="D3248" s="2" t="n">
        <x:v>2025</x:v>
      </x:c>
      <x:c r="E3248" s="2" t="str">
        <x:v>WB_age_over65</x:v>
      </x:c>
      <x:c r="F3248" s="2" t="str">
        <x:v>Population ages 65 and above (% of total population)</x:v>
      </x:c>
    </x:row>
    <x:row r="3249" ht="44" customHeight="1">
      <x:c r="A3249" s="2" t="str">
        <x:v>LBN</x:v>
      </x:c>
      <x:c r="B3249" s="2" t="str">
        <x:v>dependency_ratio</x:v>
      </x:c>
      <x:c r="C3249" s="2" t="n">
        <x:v>56.3249314841515</x:v>
      </x:c>
      <x:c r="D3249" s="2" t="n">
        <x:v>2025</x:v>
      </x:c>
      <x:c r="E3249" s="2" t="str">
        <x:v>WB_dependency_ratio</x:v>
      </x:c>
      <x:c r="F3249" s="2" t="str">
        <x:v>Age dependency ratio (% of working-age population)</x:v>
      </x:c>
    </x:row>
    <x:row r="3250" ht="44" customHeight="1">
      <x:c r="A3250" s="2" t="str">
        <x:v>LBN</x:v>
      </x:c>
      <x:c r="B3250" s="2" t="str">
        <x:v>net_migration</x:v>
      </x:c>
      <x:c r="C3250" s="2" t="n">
        <x:v>-10230</x:v>
      </x:c>
      <x:c r="D3250" s="2" t="n">
        <x:v>2025</x:v>
      </x:c>
      <x:c r="E3250" s="2" t="str">
        <x:v>WB_net_migration</x:v>
      </x:c>
      <x:c r="F3250" s="2" t="str">
        <x:v>Net migration</x:v>
      </x:c>
    </x:row>
    <x:row r="3251" ht="44" customHeight="1">
      <x:c r="A3251" s="2" t="str">
        <x:v>LBN</x:v>
      </x:c>
      <x:c r="B3251" s="2" t="str">
        <x:v>real_gdp</x:v>
      </x:c>
      <x:c r="C3251" s="2" t="n">
        <x:v>31301271532.2962</x:v>
      </x:c>
      <x:c r="D3251" s="2" t="n">
        <x:v>2024</x:v>
      </x:c>
      <x:c r="E3251" s="2" t="str">
        <x:v>WB_real_gdp</x:v>
      </x:c>
      <x:c r="F3251" s="2" t="str">
        <x:v>GDP (constant 2015 US$)</x:v>
      </x:c>
    </x:row>
    <x:row r="3252" ht="44" customHeight="1">
      <x:c r="A3252" s="2" t="str">
        <x:v>LBN</x:v>
      </x:c>
      <x:c r="B3252" s="2" t="str">
        <x:v>gdp_growth</x:v>
      </x:c>
      <x:c r="C3252" s="2" t="n">
        <x:v>-7.07989192861814</x:v>
      </x:c>
      <x:c r="D3252" s="2" t="n">
        <x:v>2024</x:v>
      </x:c>
      <x:c r="E3252" s="2" t="str">
        <x:v>WB_gdp_growth</x:v>
      </x:c>
      <x:c r="F3252" s="2" t="str">
        <x:v>GDP growth (annual %)</x:v>
      </x:c>
    </x:row>
    <x:row r="3253" ht="44" customHeight="1">
      <x:c r="A3253" s="2" t="str">
        <x:v>LBN</x:v>
      </x:c>
      <x:c r="B3253" s="2" t="str">
        <x:v>real_income</x:v>
      </x:c>
      <x:c r="C3253" s="2" t="n">
        <x:v>5391.22914209501</x:v>
      </x:c>
      <x:c r="D3253" s="2" t="n">
        <x:v>2024</x:v>
      </x:c>
      <x:c r="E3253" s="2" t="str">
        <x:v>WB_real_income</x:v>
      </x:c>
      <x:c r="F3253" s="2" t="str">
        <x:v>GDP per capita (constant 2015 US$)</x:v>
      </x:c>
    </x:row>
    <x:row r="3254" ht="44" customHeight="1">
      <x:c r="A3254" s="2" t="str">
        <x:v>LBN</x:v>
      </x:c>
      <x:c r="B3254" s="2" t="str">
        <x:v>agriculture_gdp</x:v>
      </x:c>
      <x:c r="C3254" s="2" t="n">
        <x:v>1.04505447197468</x:v>
      </x:c>
      <x:c r="D3254" s="2" t="n">
        <x:v>2024</x:v>
      </x:c>
      <x:c r="E3254" s="2" t="str">
        <x:v>WB_agriculture_gdp</x:v>
      </x:c>
      <x:c r="F3254" s="2" t="str">
        <x:v>Agriculture, forestry, and fishing, value added (% of GDP)</x:v>
      </x:c>
    </x:row>
    <x:row r="3255" ht="44" customHeight="1">
      <x:c r="A3255" s="2" t="str">
        <x:v>LBN</x:v>
      </x:c>
      <x:c r="B3255" s="2" t="str">
        <x:v>poverty</x:v>
      </x:c>
      <x:c r="C3255" s="2" t="n">
        <x:v>5.8</x:v>
      </x:c>
      <x:c r="D3255" s="2" t="n">
        <x:v>2022</x:v>
      </x:c>
      <x:c r="E3255" s="2" t="str">
        <x:v>WB_poverty</x:v>
      </x:c>
      <x:c r="F3255" s="2" t="str">
        <x:v>Poverty headcount ratio at $3.00 a day (2021 PPP) (% of population)</x:v>
      </x:c>
    </x:row>
    <x:row r="3256" ht="44" customHeight="1">
      <x:c r="A3256" s="2" t="str">
        <x:v>LBN</x:v>
      </x:c>
      <x:c r="B3256" s="2" t="str">
        <x:v>gini</x:v>
      </x:c>
      <x:c r="C3256" s="2" t="n">
        <x:v>35.5</x:v>
      </x:c>
      <x:c r="D3256" s="2" t="n">
        <x:v>2022</x:v>
      </x:c>
      <x:c r="E3256" s="2" t="str">
        <x:v>WB_gini</x:v>
      </x:c>
      <x:c r="F3256" s="2" t="str">
        <x:v>Gini index</x:v>
      </x:c>
    </x:row>
    <x:row r="3257" ht="44" customHeight="1">
      <x:c r="A3257" s="2" t="str">
        <x:v>LBN</x:v>
      </x:c>
      <x:c r="B3257" s="2" t="str">
        <x:v>unemployment</x:v>
      </x:c>
      <x:c r="C3257" s="2" t="n">
        <x:v>10.985</x:v>
      </x:c>
      <x:c r="D3257" s="2" t="n">
        <x:v>2023</x:v>
      </x:c>
      <x:c r="E3257" s="2" t="str">
        <x:v>WB_unemployment</x:v>
      </x:c>
      <x:c r="F3257" s="2" t="str">
        <x:v>Unemployment, total (% of total labor force) (modeled ILO estimate)</x:v>
      </x:c>
    </x:row>
    <x:row r="3258" ht="44" customHeight="1">
      <x:c r="A3258" s="2" t="str">
        <x:v>LBN</x:v>
      </x:c>
      <x:c r="B3258" s="2" t="str">
        <x:v>private_credit</x:v>
      </x:c>
      <x:c r="C3258" s="2" t="n">
        <x:v>106.567725062094</x:v>
      </x:c>
      <x:c r="D3258" s="2" t="n">
        <x:v>2017</x:v>
      </x:c>
      <x:c r="E3258" s="2" t="str">
        <x:v>WB_private_credit</x:v>
      </x:c>
      <x:c r="F3258" s="2" t="str">
        <x:v>Domestic credit to private sector (% of GDP)</x:v>
      </x:c>
    </x:row>
    <x:row r="3259" ht="44" customHeight="1">
      <x:c r="A3259" s="2" t="str">
        <x:v>LBN</x:v>
      </x:c>
      <x:c r="B3259" s="2" t="str">
        <x:v>lending_rate</x:v>
      </x:c>
      <x:c r="C3259" s="2" t="n">
        <x:v>10.5133333333333</x:v>
      </x:c>
      <x:c r="D3259" s="2" t="n">
        <x:v>2019</x:v>
      </x:c>
      <x:c r="E3259" s="2" t="str">
        <x:v>WB_lending_rate</x:v>
      </x:c>
      <x:c r="F3259" s="2" t="str">
        <x:v>Lending interest rate (%)</x:v>
      </x:c>
    </x:row>
    <x:row r="3260" ht="44" customHeight="1">
      <x:c r="A3260" s="2" t="str">
        <x:v>LBN</x:v>
      </x:c>
      <x:c r="B3260" s="2" t="str">
        <x:v>real_interest</x:v>
      </x:c>
      <x:c r="C3260" s="2" t="n">
        <x:v>6.16602246203992</x:v>
      </x:c>
      <x:c r="D3260" s="2" t="n">
        <x:v>2019</x:v>
      </x:c>
      <x:c r="E3260" s="2" t="str">
        <x:v>WB_real_interest</x:v>
      </x:c>
      <x:c r="F3260" s="2" t="str">
        <x:v>Real interest rate (%)</x:v>
      </x:c>
    </x:row>
    <x:row r="3261" ht="44" customHeight="1">
      <x:c r="A3261" s="2" t="str">
        <x:v>LBN</x:v>
      </x:c>
      <x:c r="B3261" s="2" t="str">
        <x:v>government_debt</x:v>
      </x:c>
      <x:c r="C3261" s="2"/>
      <x:c r="D3261" s="2"/>
      <x:c r="E3261" s="2" t="str">
        <x:v>Missing</x:v>
      </x:c>
      <x:c r="F3261" s="2" t="str">
        <x:v>Central government debt, total (% of GDP)</x:v>
      </x:c>
    </x:row>
    <x:row r="3262" ht="44" customHeight="1">
      <x:c r="A3262" s="2" t="str">
        <x:v>LBN</x:v>
      </x:c>
      <x:c r="B3262" s="2" t="str">
        <x:v>electricity_access</x:v>
      </x:c>
      <x:c r="C3262" s="2" t="n">
        <x:v>100</x:v>
      </x:c>
      <x:c r="D3262" s="2" t="n">
        <x:v>2024</x:v>
      </x:c>
      <x:c r="E3262" s="2" t="str">
        <x:v>WB_electricity_access</x:v>
      </x:c>
      <x:c r="F3262" s="2" t="str">
        <x:v>Access to electricity (% of population)</x:v>
      </x:c>
    </x:row>
    <x:row r="3263" ht="44" customHeight="1">
      <x:c r="A3263" s="2" t="str">
        <x:v>LBN</x:v>
      </x:c>
      <x:c r="B3263" s="2" t="str">
        <x:v>irrigated_land</x:v>
      </x:c>
      <x:c r="C3263" s="2"/>
      <x:c r="D3263" s="2"/>
      <x:c r="E3263" s="2" t="str">
        <x:v>Missing</x:v>
      </x:c>
      <x:c r="F3263" s="2" t="str">
        <x:v>Agricultural irrigated land (% of total agricultural land)</x:v>
      </x:c>
    </x:row>
    <x:row r="3264" ht="44" customHeight="1">
      <x:c r="A3264" s="2" t="str">
        <x:v>LBN</x:v>
      </x:c>
      <x:c r="B3264" s="2" t="str">
        <x:v>cereal_area</x:v>
      </x:c>
      <x:c r="C3264" s="2" t="n">
        <x:v>55239</x:v>
      </x:c>
      <x:c r="D3264" s="2" t="n">
        <x:v>2023</x:v>
      </x:c>
      <x:c r="E3264" s="2" t="str">
        <x:v>WB_cereal_area</x:v>
      </x:c>
      <x:c r="F3264" s="2" t="str">
        <x:v>Land under cereal production (hectares)</x:v>
      </x:c>
    </x:row>
    <x:row r="3265" ht="44" customHeight="1">
      <x:c r="A3265" s="2" t="str">
        <x:v>LBN</x:v>
      </x:c>
      <x:c r="B3265" s="2" t="str">
        <x:v>undernourishment</x:v>
      </x:c>
      <x:c r="C3265" s="2" t="n">
        <x:v>8.7</x:v>
      </x:c>
      <x:c r="D3265" s="2" t="n">
        <x:v>2023</x:v>
      </x:c>
      <x:c r="E3265" s="2" t="str">
        <x:v>WB_undernourishment</x:v>
      </x:c>
      <x:c r="F3265" s="2" t="str">
        <x:v>Prevalence of undernourishment (% of population)</x:v>
      </x:c>
    </x:row>
    <x:row r="3266" ht="44" customHeight="1">
      <x:c r="A3266" s="2" t="str">
        <x:v>LBN</x:v>
      </x:c>
      <x:c r="B3266" s="2" t="str">
        <x:v>agriculture_employment</x:v>
      </x:c>
      <x:c r="C3266" s="2" t="n">
        <x:v>3.51300056008433</x:v>
      </x:c>
      <x:c r="D3266" s="2" t="n">
        <x:v>2023</x:v>
      </x:c>
      <x:c r="E3266" s="2" t="str">
        <x:v>WB_agriculture_employment</x:v>
      </x:c>
      <x:c r="F3266" s="2" t="str">
        <x:v>Employment in agriculture (% of total employment) (modeled ILO estimate)</x:v>
      </x:c>
    </x:row>
    <x:row r="3267" ht="44" customHeight="1">
      <x:c r="A3267" s="2" t="str">
        <x:v>LBN</x:v>
      </x:c>
      <x:c r="B3267" s="2" t="str">
        <x:v>water_withdrawal</x:v>
      </x:c>
      <x:c r="C3267" s="2" t="n">
        <x:v>37.75</x:v>
      </x:c>
      <x:c r="D3267" s="2" t="n">
        <x:v>2022</x:v>
      </x:c>
      <x:c r="E3267" s="2" t="str">
        <x:v>WB_water_withdrawal</x:v>
      </x:c>
      <x:c r="F3267" s="2" t="str">
        <x:v>Annual freshwater withdrawals, total (% of internal resources)</x:v>
      </x:c>
    </x:row>
    <x:row r="3268" ht="44" customHeight="1">
      <x:c r="A3268" s="2" t="str">
        <x:v>LSO</x:v>
      </x:c>
      <x:c r="B3268" s="2" t="str">
        <x:v>population</x:v>
      </x:c>
      <x:c r="C3268" s="2" t="n">
        <x:v>2363325</x:v>
      </x:c>
      <x:c r="D3268" s="2" t="n">
        <x:v>2025</x:v>
      </x:c>
      <x:c r="E3268" s="2" t="str">
        <x:v>WB_population</x:v>
      </x:c>
      <x:c r="F3268" s="2" t="str">
        <x:v>Population, total</x:v>
      </x:c>
    </x:row>
    <x:row r="3269" ht="44" customHeight="1">
      <x:c r="A3269" s="2" t="str">
        <x:v>LSO</x:v>
      </x:c>
      <x:c r="B3269" s="2" t="str">
        <x:v>income_ppp</x:v>
      </x:c>
      <x:c r="C3269" s="2" t="n">
        <x:v>2720.95737653412</x:v>
      </x:c>
      <x:c r="D3269" s="2" t="n">
        <x:v>2025</x:v>
      </x:c>
      <x:c r="E3269" s="2" t="str">
        <x:v>WB_income_ppp</x:v>
      </x:c>
      <x:c r="F3269" s="2" t="str">
        <x:v>GDP per capita, PPP (constant 2021 international $)</x:v>
      </x:c>
    </x:row>
    <x:row r="3270" ht="44" customHeight="1">
      <x:c r="A3270" s="2" t="str">
        <x:v>LSO</x:v>
      </x:c>
      <x:c r="B3270" s="2" t="str">
        <x:v>urban</x:v>
      </x:c>
      <x:c r="C3270" s="2" t="n">
        <x:v>44.6695855817109</x:v>
      </x:c>
      <x:c r="D3270" s="2" t="n">
        <x:v>2025</x:v>
      </x:c>
      <x:c r="E3270" s="2" t="str">
        <x:v>WB_urban</x:v>
      </x:c>
      <x:c r="F3270" s="2" t="str">
        <x:v>Urban population (% of total population)</x:v>
      </x:c>
    </x:row>
    <x:row r="3271" ht="44" customHeight="1">
      <x:c r="A3271" s="2" t="str">
        <x:v>LSO</x:v>
      </x:c>
      <x:c r="B3271" s="2" t="str">
        <x:v>inflation</x:v>
      </x:c>
      <x:c r="C3271" s="2" t="n">
        <x:v>4.27011140706666</x:v>
      </x:c>
      <x:c r="D3271" s="2" t="n">
        <x:v>2025</x:v>
      </x:c>
      <x:c r="E3271" s="2" t="str">
        <x:v>WB_inflation</x:v>
      </x:c>
      <x:c r="F3271" s="2" t="str">
        <x:v>Inflation, consumer prices (annual %)</x:v>
      </x:c>
    </x:row>
    <x:row r="3272" ht="44" customHeight="1">
      <x:c r="A3272" s="2" t="str">
        <x:v>LSO</x:v>
      </x:c>
      <x:c r="B3272" s="2" t="str">
        <x:v>food_index</x:v>
      </x:c>
      <x:c r="C3272" s="2" t="n">
        <x:v>98.67</x:v>
      </x:c>
      <x:c r="D3272" s="2" t="n">
        <x:v>2022</x:v>
      </x:c>
      <x:c r="E3272" s="2" t="str">
        <x:v>WB_food_index</x:v>
      </x:c>
      <x:c r="F3272" s="2" t="str">
        <x:v>Food production index (2014-2016 = 100)</x:v>
      </x:c>
    </x:row>
    <x:row r="3273" ht="44" customHeight="1">
      <x:c r="A3273" s="2" t="str">
        <x:v>LSO</x:v>
      </x:c>
      <x:c r="B3273" s="2" t="str">
        <x:v>food_import_share</x:v>
      </x:c>
      <x:c r="C3273" s="2" t="n">
        <x:v>22.952180868707</x:v>
      </x:c>
      <x:c r="D3273" s="2" t="n">
        <x:v>2024</x:v>
      </x:c>
      <x:c r="E3273" s="2" t="str">
        <x:v>WB_food_import_share</x:v>
      </x:c>
      <x:c r="F3273" s="2" t="str">
        <x:v>Food imports (% of merchandise imports)</x:v>
      </x:c>
    </x:row>
    <x:row r="3274" ht="44" customHeight="1">
      <x:c r="A3274" s="2" t="str">
        <x:v>LSO</x:v>
      </x:c>
      <x:c r="B3274" s="2" t="str">
        <x:v>food_export_share</x:v>
      </x:c>
      <x:c r="C3274" s="2" t="n">
        <x:v>23.3047025383273</x:v>
      </x:c>
      <x:c r="D3274" s="2" t="n">
        <x:v>2024</x:v>
      </x:c>
      <x:c r="E3274" s="2" t="str">
        <x:v>WB_food_export_share</x:v>
      </x:c>
      <x:c r="F3274" s="2" t="str">
        <x:v>Food exports (% of merchandise exports)</x:v>
      </x:c>
    </x:row>
    <x:row r="3275" ht="44" customHeight="1">
      <x:c r="A3275" s="2" t="str">
        <x:v>LSO</x:v>
      </x:c>
      <x:c r="B3275" s="2" t="str">
        <x:v>imports_usd</x:v>
      </x:c>
      <x:c r="C3275" s="2" t="n">
        <x:v>1875000000</x:v>
      </x:c>
      <x:c r="D3275" s="2" t="n">
        <x:v>2025</x:v>
      </x:c>
      <x:c r="E3275" s="2" t="str">
        <x:v>WB_imports_usd</x:v>
      </x:c>
      <x:c r="F3275" s="2" t="str">
        <x:v>Merchandise imports (current US$)</x:v>
      </x:c>
    </x:row>
    <x:row r="3276" ht="44" customHeight="1">
      <x:c r="A3276" s="2" t="str">
        <x:v>LSO</x:v>
      </x:c>
      <x:c r="B3276" s="2" t="str">
        <x:v>exports_usd</x:v>
      </x:c>
      <x:c r="C3276" s="2" t="n">
        <x:v>773000000</x:v>
      </x:c>
      <x:c r="D3276" s="2" t="n">
        <x:v>2025</x:v>
      </x:c>
      <x:c r="E3276" s="2" t="str">
        <x:v>WB_exports_usd</x:v>
      </x:c>
      <x:c r="F3276" s="2" t="str">
        <x:v>Merchandise exports (current US$)</x:v>
      </x:c>
    </x:row>
    <x:row r="3277" ht="44" customHeight="1">
      <x:c r="A3277" s="2" t="str">
        <x:v>LSO</x:v>
      </x:c>
      <x:c r="B3277" s="2" t="str">
        <x:v>cereal_yield</x:v>
      </x:c>
      <x:c r="C3277" s="2" t="n">
        <x:v>804.1</x:v>
      </x:c>
      <x:c r="D3277" s="2" t="n">
        <x:v>2023</x:v>
      </x:c>
      <x:c r="E3277" s="2" t="str">
        <x:v>WB_cereal_yield</x:v>
      </x:c>
      <x:c r="F3277" s="2" t="str">
        <x:v>Cereal yield (kg per hectare)</x:v>
      </x:c>
    </x:row>
    <x:row r="3278" ht="44" customHeight="1">
      <x:c r="A3278" s="2" t="str">
        <x:v>LSO</x:v>
      </x:c>
      <x:c r="B3278" s="2" t="str">
        <x:v>water_stress</x:v>
      </x:c>
      <x:c r="C3278" s="2" t="n">
        <x:v>2.565905097</x:v>
      </x:c>
      <x:c r="D3278" s="2" t="n">
        <x:v>2022</x:v>
      </x:c>
      <x:c r="E3278" s="2" t="str">
        <x:v>WB_water_stress</x:v>
      </x:c>
      <x:c r="F3278" s="2" t="str">
        <x:v>Level of water stress: freshwater withdrawal as a proportion of available freshwater resources</x:v>
      </x:c>
    </x:row>
    <x:row r="3279" ht="44" customHeight="1">
      <x:c r="A3279" s="2" t="str">
        <x:v>LSO</x:v>
      </x:c>
      <x:c r="B3279" s="2" t="str">
        <x:v>fertility</x:v>
      </x:c>
      <x:c r="C3279" s="2" t="n">
        <x:v>2.664</x:v>
      </x:c>
      <x:c r="D3279" s="2" t="n">
        <x:v>2024</x:v>
      </x:c>
      <x:c r="E3279" s="2" t="str">
        <x:v>WB_fertility</x:v>
      </x:c>
      <x:c r="F3279" s="2" t="str">
        <x:v>Fertility rate, total (births per woman)</x:v>
      </x:c>
    </x:row>
    <x:row r="3280" ht="44" customHeight="1">
      <x:c r="A3280" s="2" t="str">
        <x:v>LSO</x:v>
      </x:c>
      <x:c r="B3280" s="2" t="str">
        <x:v>life_expectancy</x:v>
      </x:c>
      <x:c r="C3280" s="2" t="n">
        <x:v>57.798</x:v>
      </x:c>
      <x:c r="D3280" s="2" t="n">
        <x:v>2024</x:v>
      </x:c>
      <x:c r="E3280" s="2" t="str">
        <x:v>WB_life_expectancy</x:v>
      </x:c>
      <x:c r="F3280" s="2" t="str">
        <x:v>Life expectancy at birth, total (years)</x:v>
      </x:c>
    </x:row>
    <x:row r="3281" ht="44" customHeight="1">
      <x:c r="A3281" s="2" t="str">
        <x:v>LSO</x:v>
      </x:c>
      <x:c r="B3281" s="2" t="str">
        <x:v>age_under15</x:v>
      </x:c>
      <x:c r="C3281" s="2" t="n">
        <x:v>34.1020668130847</x:v>
      </x:c>
      <x:c r="D3281" s="2" t="n">
        <x:v>2025</x:v>
      </x:c>
      <x:c r="E3281" s="2" t="str">
        <x:v>WB_age_under15</x:v>
      </x:c>
      <x:c r="F3281" s="2" t="str">
        <x:v>Population ages 0-14 (% of total population)</x:v>
      </x:c>
    </x:row>
    <x:row r="3282" ht="44" customHeight="1">
      <x:c r="A3282" s="2" t="str">
        <x:v>LSO</x:v>
      </x:c>
      <x:c r="B3282" s="2" t="str">
        <x:v>age_over65</x:v>
      </x:c>
      <x:c r="C3282" s="2" t="n">
        <x:v>3.88046584377219</x:v>
      </x:c>
      <x:c r="D3282" s="2" t="n">
        <x:v>2025</x:v>
      </x:c>
      <x:c r="E3282" s="2" t="str">
        <x:v>WB_age_over65</x:v>
      </x:c>
      <x:c r="F3282" s="2" t="str">
        <x:v>Population ages 65 and above (% of total population)</x:v>
      </x:c>
    </x:row>
    <x:row r="3283" ht="44" customHeight="1">
      <x:c r="A3283" s="2" t="str">
        <x:v>LSO</x:v>
      </x:c>
      <x:c r="B3283" s="2" t="str">
        <x:v>dependency_ratio</x:v>
      </x:c>
      <x:c r="C3283" s="2" t="n">
        <x:v>61.2449289541876</x:v>
      </x:c>
      <x:c r="D3283" s="2" t="n">
        <x:v>2025</x:v>
      </x:c>
      <x:c r="E3283" s="2" t="str">
        <x:v>WB_dependency_ratio</x:v>
      </x:c>
      <x:c r="F3283" s="2" t="str">
        <x:v>Age dependency ratio (% of working-age population)</x:v>
      </x:c>
    </x:row>
    <x:row r="3284" ht="44" customHeight="1">
      <x:c r="A3284" s="2" t="str">
        <x:v>LSO</x:v>
      </x:c>
      <x:c r="B3284" s="2" t="str">
        <x:v>net_migration</x:v>
      </x:c>
      <x:c r="C3284" s="2" t="n">
        <x:v>-5192</x:v>
      </x:c>
      <x:c r="D3284" s="2" t="n">
        <x:v>2025</x:v>
      </x:c>
      <x:c r="E3284" s="2" t="str">
        <x:v>WB_net_migration</x:v>
      </x:c>
      <x:c r="F3284" s="2" t="str">
        <x:v>Net migration</x:v>
      </x:c>
    </x:row>
    <x:row r="3285" ht="44" customHeight="1">
      <x:c r="A3285" s="2" t="str">
        <x:v>LSO</x:v>
      </x:c>
      <x:c r="B3285" s="2" t="str">
        <x:v>real_gdp</x:v>
      </x:c>
      <x:c r="C3285" s="2" t="n">
        <x:v>2413784465.89837</x:v>
      </x:c>
      <x:c r="D3285" s="2" t="n">
        <x:v>2025</x:v>
      </x:c>
      <x:c r="E3285" s="2" t="str">
        <x:v>WB_real_gdp</x:v>
      </x:c>
      <x:c r="F3285" s="2" t="str">
        <x:v>GDP (constant 2015 US$)</x:v>
      </x:c>
    </x:row>
    <x:row r="3286" ht="44" customHeight="1">
      <x:c r="A3286" s="2" t="str">
        <x:v>LSO</x:v>
      </x:c>
      <x:c r="B3286" s="2" t="str">
        <x:v>gdp_growth</x:v>
      </x:c>
      <x:c r="C3286" s="2" t="n">
        <x:v>1.98256080770996</x:v>
      </x:c>
      <x:c r="D3286" s="2" t="n">
        <x:v>2025</x:v>
      </x:c>
      <x:c r="E3286" s="2" t="str">
        <x:v>WB_gdp_growth</x:v>
      </x:c>
      <x:c r="F3286" s="2" t="str">
        <x:v>GDP growth (annual %)</x:v>
      </x:c>
    </x:row>
    <x:row r="3287" ht="44" customHeight="1">
      <x:c r="A3287" s="2" t="str">
        <x:v>LSO</x:v>
      </x:c>
      <x:c r="B3287" s="2" t="str">
        <x:v>real_income</x:v>
      </x:c>
      <x:c r="C3287" s="2" t="n">
        <x:v>1021.35104816239</x:v>
      </x:c>
      <x:c r="D3287" s="2" t="n">
        <x:v>2025</x:v>
      </x:c>
      <x:c r="E3287" s="2" t="str">
        <x:v>WB_real_income</x:v>
      </x:c>
      <x:c r="F3287" s="2" t="str">
        <x:v>GDP per capita (constant 2015 US$)</x:v>
      </x:c>
    </x:row>
    <x:row r="3288" ht="44" customHeight="1">
      <x:c r="A3288" s="2" t="str">
        <x:v>LSO</x:v>
      </x:c>
      <x:c r="B3288" s="2" t="str">
        <x:v>agriculture_gdp</x:v>
      </x:c>
      <x:c r="C3288" s="2" t="n">
        <x:v>6.48594639211087</x:v>
      </x:c>
      <x:c r="D3288" s="2" t="n">
        <x:v>2025</x:v>
      </x:c>
      <x:c r="E3288" s="2" t="str">
        <x:v>WB_agriculture_gdp</x:v>
      </x:c>
      <x:c r="F3288" s="2" t="str">
        <x:v>Agriculture, forestry, and fishing, value added (% of GDP)</x:v>
      </x:c>
    </x:row>
    <x:row r="3289" ht="44" customHeight="1">
      <x:c r="A3289" s="2" t="str">
        <x:v>LSO</x:v>
      </x:c>
      <x:c r="B3289" s="2" t="str">
        <x:v>poverty</x:v>
      </x:c>
      <x:c r="C3289" s="2" t="n">
        <x:v>41.9</x:v>
      </x:c>
      <x:c r="D3289" s="2" t="n">
        <x:v>2017</x:v>
      </x:c>
      <x:c r="E3289" s="2" t="str">
        <x:v>WB_poverty</x:v>
      </x:c>
      <x:c r="F3289" s="2" t="str">
        <x:v>Poverty headcount ratio at $3.00 a day (2021 PPP) (% of population)</x:v>
      </x:c>
    </x:row>
    <x:row r="3290" ht="44" customHeight="1">
      <x:c r="A3290" s="2" t="str">
        <x:v>LSO</x:v>
      </x:c>
      <x:c r="B3290" s="2" t="str">
        <x:v>gini</x:v>
      </x:c>
      <x:c r="C3290" s="2" t="n">
        <x:v>44.9</x:v>
      </x:c>
      <x:c r="D3290" s="2" t="n">
        <x:v>2017</x:v>
      </x:c>
      <x:c r="E3290" s="2" t="str">
        <x:v>WB_gini</x:v>
      </x:c>
      <x:c r="F3290" s="2" t="str">
        <x:v>Gini index</x:v>
      </x:c>
    </x:row>
    <x:row r="3291" ht="44" customHeight="1">
      <x:c r="A3291" s="2" t="str">
        <x:v>LSO</x:v>
      </x:c>
      <x:c r="B3291" s="2" t="str">
        <x:v>unemployment</x:v>
      </x:c>
      <x:c r="C3291" s="2" t="n">
        <x:v>16.315</x:v>
      </x:c>
      <x:c r="D3291" s="2" t="n">
        <x:v>2025</x:v>
      </x:c>
      <x:c r="E3291" s="2" t="str">
        <x:v>WB_unemployment</x:v>
      </x:c>
      <x:c r="F3291" s="2" t="str">
        <x:v>Unemployment, total (% of total labor force) (modeled ILO estimate)</x:v>
      </x:c>
    </x:row>
    <x:row r="3292" ht="44" customHeight="1">
      <x:c r="A3292" s="2" t="str">
        <x:v>LSO</x:v>
      </x:c>
      <x:c r="B3292" s="2" t="str">
        <x:v>private_credit</x:v>
      </x:c>
      <x:c r="C3292" s="2" t="n">
        <x:v>24.30197856093</x:v>
      </x:c>
      <x:c r="D3292" s="2" t="n">
        <x:v>2024</x:v>
      </x:c>
      <x:c r="E3292" s="2" t="str">
        <x:v>WB_private_credit</x:v>
      </x:c>
      <x:c r="F3292" s="2" t="str">
        <x:v>Domestic credit to private sector (% of GDP)</x:v>
      </x:c>
    </x:row>
    <x:row r="3293" ht="44" customHeight="1">
      <x:c r="A3293" s="2" t="str">
        <x:v>LSO</x:v>
      </x:c>
      <x:c r="B3293" s="2" t="str">
        <x:v>lending_rate</x:v>
      </x:c>
      <x:c r="C3293" s="2" t="n">
        <x:v>11.2083333333333</x:v>
      </x:c>
      <x:c r="D3293" s="2" t="n">
        <x:v>2024</x:v>
      </x:c>
      <x:c r="E3293" s="2" t="str">
        <x:v>WB_lending_rate</x:v>
      </x:c>
      <x:c r="F3293" s="2" t="str">
        <x:v>Lending interest rate (%)</x:v>
      </x:c>
    </x:row>
    <x:row r="3294" ht="44" customHeight="1">
      <x:c r="A3294" s="2" t="str">
        <x:v>LSO</x:v>
      </x:c>
      <x:c r="B3294" s="2" t="str">
        <x:v>real_interest</x:v>
      </x:c>
      <x:c r="C3294" s="2" t="n">
        <x:v>4.91808771238478</x:v>
      </x:c>
      <x:c r="D3294" s="2" t="n">
        <x:v>2024</x:v>
      </x:c>
      <x:c r="E3294" s="2" t="str">
        <x:v>WB_real_interest</x:v>
      </x:c>
      <x:c r="F3294" s="2" t="str">
        <x:v>Real interest rate (%)</x:v>
      </x:c>
    </x:row>
    <x:row r="3295" ht="44" customHeight="1">
      <x:c r="A3295" s="2" t="str">
        <x:v>LSO</x:v>
      </x:c>
      <x:c r="B3295" s="2" t="str">
        <x:v>government_debt</x:v>
      </x:c>
      <x:c r="C3295" s="2" t="n">
        <x:v>2.99271686140967</x:v>
      </x:c>
      <x:c r="D3295" s="2" t="n">
        <x:v>2020</x:v>
      </x:c>
      <x:c r="E3295" s="2" t="str">
        <x:v>WB_government_debt</x:v>
      </x:c>
      <x:c r="F3295" s="2" t="str">
        <x:v>Central government debt, total (% of GDP)</x:v>
      </x:c>
    </x:row>
    <x:row r="3296" ht="44" customHeight="1">
      <x:c r="A3296" s="2" t="str">
        <x:v>LSO</x:v>
      </x:c>
      <x:c r="B3296" s="2" t="str">
        <x:v>electricity_access</x:v>
      </x:c>
      <x:c r="C3296" s="2" t="n">
        <x:v>60.6</x:v>
      </x:c>
      <x:c r="D3296" s="2" t="n">
        <x:v>2024</x:v>
      </x:c>
      <x:c r="E3296" s="2" t="str">
        <x:v>WB_electricity_access</x:v>
      </x:c>
      <x:c r="F3296" s="2" t="str">
        <x:v>Access to electricity (% of population)</x:v>
      </x:c>
    </x:row>
    <x:row r="3297" ht="44" customHeight="1">
      <x:c r="A3297" s="2" t="str">
        <x:v>LSO</x:v>
      </x:c>
      <x:c r="B3297" s="2" t="str">
        <x:v>irrigated_land</x:v>
      </x:c>
      <x:c r="C3297" s="2" t="n">
        <x:v>0.0532836019714933</x:v>
      </x:c>
      <x:c r="D3297" s="2" t="n">
        <x:v>2013</x:v>
      </x:c>
      <x:c r="E3297" s="2" t="str">
        <x:v>WB_irrigated_land</x:v>
      </x:c>
      <x:c r="F3297" s="2" t="str">
        <x:v>Agricultural irrigated land (% of total agricultural land)</x:v>
      </x:c>
    </x:row>
    <x:row r="3298" ht="44" customHeight="1">
      <x:c r="A3298" s="2" t="str">
        <x:v>LSO</x:v>
      </x:c>
      <x:c r="B3298" s="2" t="str">
        <x:v>cereal_area</x:v>
      </x:c>
      <x:c r="C3298" s="2" t="n">
        <x:v>177933</x:v>
      </x:c>
      <x:c r="D3298" s="2" t="n">
        <x:v>2023</x:v>
      </x:c>
      <x:c r="E3298" s="2" t="str">
        <x:v>WB_cereal_area</x:v>
      </x:c>
      <x:c r="F3298" s="2" t="str">
        <x:v>Land under cereal production (hectares)</x:v>
      </x:c>
    </x:row>
    <x:row r="3299" ht="44" customHeight="1">
      <x:c r="A3299" s="2" t="str">
        <x:v>LSO</x:v>
      </x:c>
      <x:c r="B3299" s="2" t="str">
        <x:v>undernourishment</x:v>
      </x:c>
      <x:c r="C3299" s="2"/>
      <x:c r="D3299" s="2"/>
      <x:c r="E3299" s="2" t="str">
        <x:v>Missing</x:v>
      </x:c>
      <x:c r="F3299" s="2" t="str">
        <x:v>Prevalence of undernourishment (% of population)</x:v>
      </x:c>
    </x:row>
    <x:row r="3300" ht="44" customHeight="1">
      <x:c r="A3300" s="2" t="str">
        <x:v>LSO</x:v>
      </x:c>
      <x:c r="B3300" s="2" t="str">
        <x:v>agriculture_employment</x:v>
      </x:c>
      <x:c r="C3300" s="2" t="n">
        <x:v>30.8762248152198</x:v>
      </x:c>
      <x:c r="D3300" s="2" t="n">
        <x:v>2025</x:v>
      </x:c>
      <x:c r="E3300" s="2" t="str">
        <x:v>WB_agriculture_employment</x:v>
      </x:c>
      <x:c r="F3300" s="2" t="str">
        <x:v>Employment in agriculture (% of total employment) (modeled ILO estimate)</x:v>
      </x:c>
    </x:row>
    <x:row r="3301" ht="44" customHeight="1">
      <x:c r="A3301" s="2" t="str">
        <x:v>LSO</x:v>
      </x:c>
      <x:c r="B3301" s="2" t="str">
        <x:v>water_withdrawal</x:v>
      </x:c>
      <x:c r="C3301" s="2" t="n">
        <x:v>0.837476099426386</x:v>
      </x:c>
      <x:c r="D3301" s="2" t="n">
        <x:v>2022</x:v>
      </x:c>
      <x:c r="E3301" s="2" t="str">
        <x:v>WB_water_withdrawal</x:v>
      </x:c>
      <x:c r="F3301" s="2" t="str">
        <x:v>Annual freshwater withdrawals, total (% of internal resources)</x:v>
      </x:c>
    </x:row>
    <x:row r="3302" ht="44" customHeight="1">
      <x:c r="A3302" s="2" t="str">
        <x:v>LBR</x:v>
      </x:c>
      <x:c r="B3302" s="2" t="str">
        <x:v>population</x:v>
      </x:c>
      <x:c r="C3302" s="2" t="n">
        <x:v>5731206</x:v>
      </x:c>
      <x:c r="D3302" s="2" t="n">
        <x:v>2025</x:v>
      </x:c>
      <x:c r="E3302" s="2" t="str">
        <x:v>WB_population</x:v>
      </x:c>
      <x:c r="F3302" s="2" t="str">
        <x:v>Population, total</x:v>
      </x:c>
    </x:row>
    <x:row r="3303" ht="44" customHeight="1">
      <x:c r="A3303" s="2" t="str">
        <x:v>LBR</x:v>
      </x:c>
      <x:c r="B3303" s="2" t="str">
        <x:v>income_ppp</x:v>
      </x:c>
      <x:c r="C3303" s="2" t="n">
        <x:v>1692.92591135475</x:v>
      </x:c>
      <x:c r="D3303" s="2" t="n">
        <x:v>2025</x:v>
      </x:c>
      <x:c r="E3303" s="2" t="str">
        <x:v>WB_income_ppp</x:v>
      </x:c>
      <x:c r="F3303" s="2" t="str">
        <x:v>GDP per capita, PPP (constant 2021 international $)</x:v>
      </x:c>
    </x:row>
    <x:row r="3304" ht="44" customHeight="1">
      <x:c r="A3304" s="2" t="str">
        <x:v>LBR</x:v>
      </x:c>
      <x:c r="B3304" s="2" t="str">
        <x:v>urban</x:v>
      </x:c>
      <x:c r="C3304" s="2" t="n">
        <x:v>56.0819747159338</x:v>
      </x:c>
      <x:c r="D3304" s="2" t="n">
        <x:v>2025</x:v>
      </x:c>
      <x:c r="E3304" s="2" t="str">
        <x:v>WB_urban</x:v>
      </x:c>
      <x:c r="F3304" s="2" t="str">
        <x:v>Urban population (% of total population)</x:v>
      </x:c>
    </x:row>
    <x:row r="3305" ht="44" customHeight="1">
      <x:c r="A3305" s="2" t="str">
        <x:v>LBR</x:v>
      </x:c>
      <x:c r="B3305" s="2" t="str">
        <x:v>inflation</x:v>
      </x:c>
      <x:c r="C3305" s="2" t="n">
        <x:v>8.31564329402952</x:v>
      </x:c>
      <x:c r="D3305" s="2" t="n">
        <x:v>2025</x:v>
      </x:c>
      <x:c r="E3305" s="2" t="str">
        <x:v>WB_inflation</x:v>
      </x:c>
      <x:c r="F3305" s="2" t="str">
        <x:v>Inflation, consumer prices (annual %)</x:v>
      </x:c>
    </x:row>
    <x:row r="3306" ht="44" customHeight="1">
      <x:c r="A3306" s="2" t="str">
        <x:v>LBR</x:v>
      </x:c>
      <x:c r="B3306" s="2" t="str">
        <x:v>food_index</x:v>
      </x:c>
      <x:c r="C3306" s="2" t="n">
        <x:v>102.67</x:v>
      </x:c>
      <x:c r="D3306" s="2" t="n">
        <x:v>2022</x:v>
      </x:c>
      <x:c r="E3306" s="2" t="str">
        <x:v>WB_food_index</x:v>
      </x:c>
      <x:c r="F3306" s="2" t="str">
        <x:v>Food production index (2014-2016 = 100)</x:v>
      </x:c>
    </x:row>
    <x:row r="3307" ht="44" customHeight="1">
      <x:c r="A3307" s="2" t="str">
        <x:v>LBR</x:v>
      </x:c>
      <x:c r="B3307" s="2" t="str">
        <x:v>food_import_share</x:v>
      </x:c>
      <x:c r="C3307" s="2" t="n">
        <x:v>23.0903875580164</x:v>
      </x:c>
      <x:c r="D3307" s="2" t="n">
        <x:v>2023</x:v>
      </x:c>
      <x:c r="E3307" s="2" t="str">
        <x:v>WB_food_import_share</x:v>
      </x:c>
      <x:c r="F3307" s="2" t="str">
        <x:v>Food imports (% of merchandise imports)</x:v>
      </x:c>
    </x:row>
    <x:row r="3308" ht="44" customHeight="1">
      <x:c r="A3308" s="2" t="str">
        <x:v>LBR</x:v>
      </x:c>
      <x:c r="B3308" s="2" t="str">
        <x:v>food_export_share</x:v>
      </x:c>
      <x:c r="C3308" s="2" t="n">
        <x:v>24.4632706892066</x:v>
      </x:c>
      <x:c r="D3308" s="2" t="n">
        <x:v>2023</x:v>
      </x:c>
      <x:c r="E3308" s="2" t="str">
        <x:v>WB_food_export_share</x:v>
      </x:c>
      <x:c r="F3308" s="2" t="str">
        <x:v>Food exports (% of merchandise exports)</x:v>
      </x:c>
    </x:row>
    <x:row r="3309" ht="44" customHeight="1">
      <x:c r="A3309" s="2" t="str">
        <x:v>LBR</x:v>
      </x:c>
      <x:c r="B3309" s="2" t="str">
        <x:v>imports_usd</x:v>
      </x:c>
      <x:c r="C3309" s="2" t="n">
        <x:v>2494000000</x:v>
      </x:c>
      <x:c r="D3309" s="2" t="n">
        <x:v>2025</x:v>
      </x:c>
      <x:c r="E3309" s="2" t="str">
        <x:v>WB_imports_usd</x:v>
      </x:c>
      <x:c r="F3309" s="2" t="str">
        <x:v>Merchandise imports (current US$)</x:v>
      </x:c>
    </x:row>
    <x:row r="3310" ht="44" customHeight="1">
      <x:c r="A3310" s="2" t="str">
        <x:v>LBR</x:v>
      </x:c>
      <x:c r="B3310" s="2" t="str">
        <x:v>exports_usd</x:v>
      </x:c>
      <x:c r="C3310" s="2" t="n">
        <x:v>2068000000</x:v>
      </x:c>
      <x:c r="D3310" s="2" t="n">
        <x:v>2025</x:v>
      </x:c>
      <x:c r="E3310" s="2" t="str">
        <x:v>WB_exports_usd</x:v>
      </x:c>
      <x:c r="F3310" s="2" t="str">
        <x:v>Merchandise exports (current US$)</x:v>
      </x:c>
    </x:row>
    <x:row r="3311" ht="44" customHeight="1">
      <x:c r="A3311" s="2" t="str">
        <x:v>LBR</x:v>
      </x:c>
      <x:c r="B3311" s="2" t="str">
        <x:v>cereal_yield</x:v>
      </x:c>
      <x:c r="C3311" s="2" t="n">
        <x:v>1067.5</x:v>
      </x:c>
      <x:c r="D3311" s="2" t="n">
        <x:v>2023</x:v>
      </x:c>
      <x:c r="E3311" s="2" t="str">
        <x:v>WB_cereal_yield</x:v>
      </x:c>
      <x:c r="F3311" s="2" t="str">
        <x:v>Cereal yield (kg per hectare)</x:v>
      </x:c>
    </x:row>
    <x:row r="3312" ht="44" customHeight="1">
      <x:c r="A3312" s="2" t="str">
        <x:v>LBR</x:v>
      </x:c>
      <x:c r="B3312" s="2" t="str">
        <x:v>water_stress</x:v>
      </x:c>
      <x:c r="C3312" s="2" t="n">
        <x:v>0.264311594</x:v>
      </x:c>
      <x:c r="D3312" s="2" t="n">
        <x:v>2022</x:v>
      </x:c>
      <x:c r="E3312" s="2" t="str">
        <x:v>WB_water_stress</x:v>
      </x:c>
      <x:c r="F3312" s="2" t="str">
        <x:v>Level of water stress: freshwater withdrawal as a proportion of available freshwater resources</x:v>
      </x:c>
    </x:row>
    <x:row r="3313" ht="44" customHeight="1">
      <x:c r="A3313" s="2" t="str">
        <x:v>LBR</x:v>
      </x:c>
      <x:c r="B3313" s="2" t="str">
        <x:v>fertility</x:v>
      </x:c>
      <x:c r="C3313" s="2" t="n">
        <x:v>3.864</x:v>
      </x:c>
      <x:c r="D3313" s="2" t="n">
        <x:v>2024</x:v>
      </x:c>
      <x:c r="E3313" s="2" t="str">
        <x:v>WB_fertility</x:v>
      </x:c>
      <x:c r="F3313" s="2" t="str">
        <x:v>Fertility rate, total (births per woman)</x:v>
      </x:c>
    </x:row>
    <x:row r="3314" ht="44" customHeight="1">
      <x:c r="A3314" s="2" t="str">
        <x:v>LBR</x:v>
      </x:c>
      <x:c r="B3314" s="2" t="str">
        <x:v>life_expectancy</x:v>
      </x:c>
      <x:c r="C3314" s="2" t="n">
        <x:v>62.324</x:v>
      </x:c>
      <x:c r="D3314" s="2" t="n">
        <x:v>2024</x:v>
      </x:c>
      <x:c r="E3314" s="2" t="str">
        <x:v>WB_life_expectancy</x:v>
      </x:c>
      <x:c r="F3314" s="2" t="str">
        <x:v>Life expectancy at birth, total (years)</x:v>
      </x:c>
    </x:row>
    <x:row r="3315" ht="44" customHeight="1">
      <x:c r="A3315" s="2" t="str">
        <x:v>LBR</x:v>
      </x:c>
      <x:c r="B3315" s="2" t="str">
        <x:v>age_under15</x:v>
      </x:c>
      <x:c r="C3315" s="2" t="n">
        <x:v>39.0803610967744</x:v>
      </x:c>
      <x:c r="D3315" s="2" t="n">
        <x:v>2025</x:v>
      </x:c>
      <x:c r="E3315" s="2" t="str">
        <x:v>WB_age_under15</x:v>
      </x:c>
      <x:c r="F3315" s="2" t="str">
        <x:v>Population ages 0-14 (% of total population)</x:v>
      </x:c>
    </x:row>
    <x:row r="3316" ht="44" customHeight="1">
      <x:c r="A3316" s="2" t="str">
        <x:v>LBR</x:v>
      </x:c>
      <x:c r="B3316" s="2" t="str">
        <x:v>age_over65</x:v>
      </x:c>
      <x:c r="C3316" s="2" t="n">
        <x:v>3.33493509045042</x:v>
      </x:c>
      <x:c r="D3316" s="2" t="n">
        <x:v>2025</x:v>
      </x:c>
      <x:c r="E3316" s="2" t="str">
        <x:v>WB_age_over65</x:v>
      </x:c>
      <x:c r="F3316" s="2" t="str">
        <x:v>Population ages 65 and above (% of total population)</x:v>
      </x:c>
    </x:row>
    <x:row r="3317" ht="44" customHeight="1">
      <x:c r="A3317" s="2" t="str">
        <x:v>LBR</x:v>
      </x:c>
      <x:c r="B3317" s="2" t="str">
        <x:v>dependency_ratio</x:v>
      </x:c>
      <x:c r="C3317" s="2" t="n">
        <x:v>73.6572273170483</x:v>
      </x:c>
      <x:c r="D3317" s="2" t="n">
        <x:v>2025</x:v>
      </x:c>
      <x:c r="E3317" s="2" t="str">
        <x:v>WB_dependency_ratio</x:v>
      </x:c>
      <x:c r="F3317" s="2" t="str">
        <x:v>Age dependency ratio (% of working-age population)</x:v>
      </x:c>
    </x:row>
    <x:row r="3318" ht="44" customHeight="1">
      <x:c r="A3318" s="2" t="str">
        <x:v>LBR</x:v>
      </x:c>
      <x:c r="B3318" s="2" t="str">
        <x:v>net_migration</x:v>
      </x:c>
      <x:c r="C3318" s="2" t="n">
        <x:v>-9870</x:v>
      </x:c>
      <x:c r="D3318" s="2" t="n">
        <x:v>2025</x:v>
      </x:c>
      <x:c r="E3318" s="2" t="str">
        <x:v>WB_net_migration</x:v>
      </x:c>
      <x:c r="F3318" s="2" t="str">
        <x:v>Net migration</x:v>
      </x:c>
    </x:row>
    <x:row r="3319" ht="44" customHeight="1">
      <x:c r="A3319" s="2" t="str">
        <x:v>LBR</x:v>
      </x:c>
      <x:c r="B3319" s="2" t="str">
        <x:v>real_gdp</x:v>
      </x:c>
      <x:c r="C3319" s="2" t="n">
        <x:v>3920364939.63214</x:v>
      </x:c>
      <x:c r="D3319" s="2" t="n">
        <x:v>2025</x:v>
      </x:c>
      <x:c r="E3319" s="2" t="str">
        <x:v>WB_real_gdp</x:v>
      </x:c>
      <x:c r="F3319" s="2" t="str">
        <x:v>GDP (constant 2015 US$)</x:v>
      </x:c>
    </x:row>
    <x:row r="3320" ht="44" customHeight="1">
      <x:c r="A3320" s="2" t="str">
        <x:v>LBR</x:v>
      </x:c>
      <x:c r="B3320" s="2" t="str">
        <x:v>gdp_growth</x:v>
      </x:c>
      <x:c r="C3320" s="2" t="n">
        <x:v>5.01656107992214</x:v>
      </x:c>
      <x:c r="D3320" s="2" t="n">
        <x:v>2025</x:v>
      </x:c>
      <x:c r="E3320" s="2" t="str">
        <x:v>WB_gdp_growth</x:v>
      </x:c>
      <x:c r="F3320" s="2" t="str">
        <x:v>GDP growth (annual %)</x:v>
      </x:c>
    </x:row>
    <x:row r="3321" ht="44" customHeight="1">
      <x:c r="A3321" s="2" t="str">
        <x:v>LBR</x:v>
      </x:c>
      <x:c r="B3321" s="2" t="str">
        <x:v>real_income</x:v>
      </x:c>
      <x:c r="C3321" s="2" t="n">
        <x:v>684.038392553354</x:v>
      </x:c>
      <x:c r="D3321" s="2" t="n">
        <x:v>2025</x:v>
      </x:c>
      <x:c r="E3321" s="2" t="str">
        <x:v>WB_real_income</x:v>
      </x:c>
      <x:c r="F3321" s="2" t="str">
        <x:v>GDP per capita (constant 2015 US$)</x:v>
      </x:c>
    </x:row>
    <x:row r="3322" ht="44" customHeight="1">
      <x:c r="A3322" s="2" t="str">
        <x:v>LBR</x:v>
      </x:c>
      <x:c r="B3322" s="2" t="str">
        <x:v>agriculture_gdp</x:v>
      </x:c>
      <x:c r="C3322" s="2" t="n">
        <x:v>32.6538305659641</x:v>
      </x:c>
      <x:c r="D3322" s="2" t="n">
        <x:v>2025</x:v>
      </x:c>
      <x:c r="E3322" s="2" t="str">
        <x:v>WB_agriculture_gdp</x:v>
      </x:c>
      <x:c r="F3322" s="2" t="str">
        <x:v>Agriculture, forestry, and fishing, value added (% of GDP)</x:v>
      </x:c>
    </x:row>
    <x:row r="3323" ht="44" customHeight="1">
      <x:c r="A3323" s="2" t="str">
        <x:v>LBR</x:v>
      </x:c>
      <x:c r="B3323" s="2" t="str">
        <x:v>poverty</x:v>
      </x:c>
      <x:c r="C3323" s="2" t="n">
        <x:v>33.6</x:v>
      </x:c>
      <x:c r="D3323" s="2" t="n">
        <x:v>2016</x:v>
      </x:c>
      <x:c r="E3323" s="2" t="str">
        <x:v>WB_poverty</x:v>
      </x:c>
      <x:c r="F3323" s="2" t="str">
        <x:v>Poverty headcount ratio at $3.00 a day (2021 PPP) (% of population)</x:v>
      </x:c>
    </x:row>
    <x:row r="3324" ht="44" customHeight="1">
      <x:c r="A3324" s="2" t="str">
        <x:v>LBR</x:v>
      </x:c>
      <x:c r="B3324" s="2" t="str">
        <x:v>gini</x:v>
      </x:c>
      <x:c r="C3324" s="2" t="n">
        <x:v>35.3</x:v>
      </x:c>
      <x:c r="D3324" s="2" t="n">
        <x:v>2016</x:v>
      </x:c>
      <x:c r="E3324" s="2" t="str">
        <x:v>WB_gini</x:v>
      </x:c>
      <x:c r="F3324" s="2" t="str">
        <x:v>Gini index</x:v>
      </x:c>
    </x:row>
    <x:row r="3325" ht="44" customHeight="1">
      <x:c r="A3325" s="2" t="str">
        <x:v>LBR</x:v>
      </x:c>
      <x:c r="B3325" s="2" t="str">
        <x:v>unemployment</x:v>
      </x:c>
      <x:c r="C3325" s="2" t="n">
        <x:v>2.884</x:v>
      </x:c>
      <x:c r="D3325" s="2" t="n">
        <x:v>2025</x:v>
      </x:c>
      <x:c r="E3325" s="2" t="str">
        <x:v>WB_unemployment</x:v>
      </x:c>
      <x:c r="F3325" s="2" t="str">
        <x:v>Unemployment, total (% of total labor force) (modeled ILO estimate)</x:v>
      </x:c>
    </x:row>
    <x:row r="3326" ht="44" customHeight="1">
      <x:c r="A3326" s="2" t="str">
        <x:v>LBR</x:v>
      </x:c>
      <x:c r="B3326" s="2" t="str">
        <x:v>private_credit</x:v>
      </x:c>
      <x:c r="C3326" s="2" t="n">
        <x:v>14.787430409394</x:v>
      </x:c>
      <x:c r="D3326" s="2" t="n">
        <x:v>2022</x:v>
      </x:c>
      <x:c r="E3326" s="2" t="str">
        <x:v>WB_private_credit</x:v>
      </x:c>
      <x:c r="F3326" s="2" t="str">
        <x:v>Domestic credit to private sector (% of GDP)</x:v>
      </x:c>
    </x:row>
    <x:row r="3327" ht="44" customHeight="1">
      <x:c r="A3327" s="2" t="str">
        <x:v>LBR</x:v>
      </x:c>
      <x:c r="B3327" s="2" t="str">
        <x:v>lending_rate</x:v>
      </x:c>
      <x:c r="C3327" s="2" t="n">
        <x:v>13.2501851851852</x:v>
      </x:c>
      <x:c r="D3327" s="2" t="n">
        <x:v>2017</x:v>
      </x:c>
      <x:c r="E3327" s="2" t="str">
        <x:v>WB_lending_rate</x:v>
      </x:c>
      <x:c r="F3327" s="2" t="str">
        <x:v>Lending interest rate (%)</x:v>
      </x:c>
    </x:row>
    <x:row r="3328" ht="44" customHeight="1">
      <x:c r="A3328" s="2" t="str">
        <x:v>LBR</x:v>
      </x:c>
      <x:c r="B3328" s="2" t="str">
        <x:v>real_interest</x:v>
      </x:c>
      <x:c r="C3328" s="2" t="n">
        <x:v>16.2947039582308</x:v>
      </x:c>
      <x:c r="D3328" s="2" t="n">
        <x:v>2017</x:v>
      </x:c>
      <x:c r="E3328" s="2" t="str">
        <x:v>WB_real_interest</x:v>
      </x:c>
      <x:c r="F3328" s="2" t="str">
        <x:v>Real interest rate (%)</x:v>
      </x:c>
    </x:row>
    <x:row r="3329" ht="44" customHeight="1">
      <x:c r="A3329" s="2" t="str">
        <x:v>LBR</x:v>
      </x:c>
      <x:c r="B3329" s="2" t="str">
        <x:v>government_debt</x:v>
      </x:c>
      <x:c r="C3329" s="2"/>
      <x:c r="D3329" s="2"/>
      <x:c r="E3329" s="2" t="str">
        <x:v>Missing</x:v>
      </x:c>
      <x:c r="F3329" s="2" t="str">
        <x:v>Central government debt, total (% of GDP)</x:v>
      </x:c>
    </x:row>
    <x:row r="3330" ht="44" customHeight="1">
      <x:c r="A3330" s="2" t="str">
        <x:v>LBR</x:v>
      </x:c>
      <x:c r="B3330" s="2" t="str">
        <x:v>electricity_access</x:v>
      </x:c>
      <x:c r="C3330" s="2" t="n">
        <x:v>34.9</x:v>
      </x:c>
      <x:c r="D3330" s="2" t="n">
        <x:v>2024</x:v>
      </x:c>
      <x:c r="E3330" s="2" t="str">
        <x:v>WB_electricity_access</x:v>
      </x:c>
      <x:c r="F3330" s="2" t="str">
        <x:v>Access to electricity (% of population)</x:v>
      </x:c>
    </x:row>
    <x:row r="3331" ht="44" customHeight="1">
      <x:c r="A3331" s="2" t="str">
        <x:v>LBR</x:v>
      </x:c>
      <x:c r="B3331" s="2" t="str">
        <x:v>irrigated_land</x:v>
      </x:c>
      <x:c r="C3331" s="2"/>
      <x:c r="D3331" s="2"/>
      <x:c r="E3331" s="2" t="str">
        <x:v>Missing</x:v>
      </x:c>
      <x:c r="F3331" s="2" t="str">
        <x:v>Agricultural irrigated land (% of total agricultural land)</x:v>
      </x:c>
    </x:row>
    <x:row r="3332" ht="44" customHeight="1">
      <x:c r="A3332" s="2" t="str">
        <x:v>LBR</x:v>
      </x:c>
      <x:c r="B3332" s="2" t="str">
        <x:v>cereal_area</x:v>
      </x:c>
      <x:c r="C3332" s="2" t="n">
        <x:v>240000</x:v>
      </x:c>
      <x:c r="D3332" s="2" t="n">
        <x:v>2023</x:v>
      </x:c>
      <x:c r="E3332" s="2" t="str">
        <x:v>WB_cereal_area</x:v>
      </x:c>
      <x:c r="F3332" s="2" t="str">
        <x:v>Land under cereal production (hectares)</x:v>
      </x:c>
    </x:row>
    <x:row r="3333" ht="44" customHeight="1">
      <x:c r="A3333" s="2" t="str">
        <x:v>LBR</x:v>
      </x:c>
      <x:c r="B3333" s="2" t="str">
        <x:v>undernourishment</x:v>
      </x:c>
      <x:c r="C3333" s="2" t="n">
        <x:v>35.5</x:v>
      </x:c>
      <x:c r="D3333" s="2" t="n">
        <x:v>2023</x:v>
      </x:c>
      <x:c r="E3333" s="2" t="str">
        <x:v>WB_undernourishment</x:v>
      </x:c>
      <x:c r="F3333" s="2" t="str">
        <x:v>Prevalence of undernourishment (% of population)</x:v>
      </x:c>
    </x:row>
    <x:row r="3334" ht="44" customHeight="1">
      <x:c r="A3334" s="2" t="str">
        <x:v>LBR</x:v>
      </x:c>
      <x:c r="B3334" s="2" t="str">
        <x:v>agriculture_employment</x:v>
      </x:c>
      <x:c r="C3334" s="2" t="n">
        <x:v>41.1209018295306</x:v>
      </x:c>
      <x:c r="D3334" s="2" t="n">
        <x:v>2025</x:v>
      </x:c>
      <x:c r="E3334" s="2" t="str">
        <x:v>WB_agriculture_employment</x:v>
      </x:c>
      <x:c r="F3334" s="2" t="str">
        <x:v>Employment in agriculture (% of total employment) (modeled ILO estimate)</x:v>
      </x:c>
    </x:row>
    <x:row r="3335" ht="44" customHeight="1">
      <x:c r="A3335" s="2" t="str">
        <x:v>LBR</x:v>
      </x:c>
      <x:c r="B3335" s="2" t="str">
        <x:v>water_withdrawal</x:v>
      </x:c>
      <x:c r="C3335" s="2" t="n">
        <x:v>0.07295</x:v>
      </x:c>
      <x:c r="D3335" s="2" t="n">
        <x:v>2022</x:v>
      </x:c>
      <x:c r="E3335" s="2" t="str">
        <x:v>WB_water_withdrawal</x:v>
      </x:c>
      <x:c r="F3335" s="2" t="str">
        <x:v>Annual freshwater withdrawals, total (% of internal resources)</x:v>
      </x:c>
    </x:row>
    <x:row r="3336" ht="44" customHeight="1">
      <x:c r="A3336" s="2" t="str">
        <x:v>LBY</x:v>
      </x:c>
      <x:c r="B3336" s="2" t="str">
        <x:v>population</x:v>
      </x:c>
      <x:c r="C3336" s="2" t="n">
        <x:v>7458555</x:v>
      </x:c>
      <x:c r="D3336" s="2" t="n">
        <x:v>2025</x:v>
      </x:c>
      <x:c r="E3336" s="2" t="str">
        <x:v>WB_population</x:v>
      </x:c>
      <x:c r="F3336" s="2" t="str">
        <x:v>Population, total</x:v>
      </x:c>
    </x:row>
    <x:row r="3337" ht="44" customHeight="1">
      <x:c r="A3337" s="2" t="str">
        <x:v>LBY</x:v>
      </x:c>
      <x:c r="B3337" s="2" t="str">
        <x:v>income_ppp</x:v>
      </x:c>
      <x:c r="C3337" s="2" t="n">
        <x:v>14118.2064418565</x:v>
      </x:c>
      <x:c r="D3337" s="2" t="n">
        <x:v>2025</x:v>
      </x:c>
      <x:c r="E3337" s="2" t="str">
        <x:v>WB_income_ppp</x:v>
      </x:c>
      <x:c r="F3337" s="2" t="str">
        <x:v>GDP per capita, PPP (constant 2021 international $)</x:v>
      </x:c>
    </x:row>
    <x:row r="3338" ht="44" customHeight="1">
      <x:c r="A3338" s="2" t="str">
        <x:v>LBY</x:v>
      </x:c>
      <x:c r="B3338" s="2" t="str">
        <x:v>urban</x:v>
      </x:c>
      <x:c r="C3338" s="2" t="n">
        <x:v>87.9112413015221</x:v>
      </x:c>
      <x:c r="D3338" s="2" t="n">
        <x:v>2025</x:v>
      </x:c>
      <x:c r="E3338" s="2" t="str">
        <x:v>WB_urban</x:v>
      </x:c>
      <x:c r="F3338" s="2" t="str">
        <x:v>Urban population (% of total population)</x:v>
      </x:c>
    </x:row>
    <x:row r="3339" ht="44" customHeight="1">
      <x:c r="A3339" s="2" t="str">
        <x:v>LBY</x:v>
      </x:c>
      <x:c r="B3339" s="2" t="str">
        <x:v>inflation</x:v>
      </x:c>
      <x:c r="C3339" s="2" t="n">
        <x:v>1.84166666666702</x:v>
      </x:c>
      <x:c r="D3339" s="2" t="n">
        <x:v>2025</x:v>
      </x:c>
      <x:c r="E3339" s="2" t="str">
        <x:v>WB_inflation</x:v>
      </x:c>
      <x:c r="F3339" s="2" t="str">
        <x:v>Inflation, consumer prices (annual %)</x:v>
      </x:c>
    </x:row>
    <x:row r="3340" ht="44" customHeight="1">
      <x:c r="A3340" s="2" t="str">
        <x:v>LBY</x:v>
      </x:c>
      <x:c r="B3340" s="2" t="str">
        <x:v>food_index</x:v>
      </x:c>
      <x:c r="C3340" s="2" t="n">
        <x:v>105.75</x:v>
      </x:c>
      <x:c r="D3340" s="2" t="n">
        <x:v>2022</x:v>
      </x:c>
      <x:c r="E3340" s="2" t="str">
        <x:v>WB_food_index</x:v>
      </x:c>
      <x:c r="F3340" s="2" t="str">
        <x:v>Food production index (2014-2016 = 100)</x:v>
      </x:c>
    </x:row>
    <x:row r="3341" ht="44" customHeight="1">
      <x:c r="A3341" s="2" t="str">
        <x:v>LBY</x:v>
      </x:c>
      <x:c r="B3341" s="2" t="str">
        <x:v>food_import_share</x:v>
      </x:c>
      <x:c r="C3341" s="2" t="n">
        <x:v>21.6020225297359</x:v>
      </x:c>
      <x:c r="D3341" s="2" t="n">
        <x:v>2019</x:v>
      </x:c>
      <x:c r="E3341" s="2" t="str">
        <x:v>WB_food_import_share</x:v>
      </x:c>
      <x:c r="F3341" s="2" t="str">
        <x:v>Food imports (% of merchandise imports)</x:v>
      </x:c>
    </x:row>
    <x:row r="3342" ht="44" customHeight="1">
      <x:c r="A3342" s="2" t="str">
        <x:v>LBY</x:v>
      </x:c>
      <x:c r="B3342" s="2" t="str">
        <x:v>food_export_share</x:v>
      </x:c>
      <x:c r="C3342" s="2" t="n">
        <x:v>0.101978879707161</x:v>
      </x:c>
      <x:c r="D3342" s="2" t="n">
        <x:v>2019</x:v>
      </x:c>
      <x:c r="E3342" s="2" t="str">
        <x:v>WB_food_export_share</x:v>
      </x:c>
      <x:c r="F3342" s="2" t="str">
        <x:v>Food exports (% of merchandise exports)</x:v>
      </x:c>
    </x:row>
    <x:row r="3343" ht="44" customHeight="1">
      <x:c r="A3343" s="2" t="str">
        <x:v>LBY</x:v>
      </x:c>
      <x:c r="B3343" s="2" t="str">
        <x:v>imports_usd</x:v>
      </x:c>
      <x:c r="C3343" s="2" t="n">
        <x:v>19312000000</x:v>
      </x:c>
      <x:c r="D3343" s="2" t="n">
        <x:v>2025</x:v>
      </x:c>
      <x:c r="E3343" s="2" t="str">
        <x:v>WB_imports_usd</x:v>
      </x:c>
      <x:c r="F3343" s="2" t="str">
        <x:v>Merchandise imports (current US$)</x:v>
      </x:c>
    </x:row>
    <x:row r="3344" ht="44" customHeight="1">
      <x:c r="A3344" s="2" t="str">
        <x:v>LBY</x:v>
      </x:c>
      <x:c r="B3344" s="2" t="str">
        <x:v>exports_usd</x:v>
      </x:c>
      <x:c r="C3344" s="2" t="n">
        <x:v>30085000000</x:v>
      </x:c>
      <x:c r="D3344" s="2" t="n">
        <x:v>2025</x:v>
      </x:c>
      <x:c r="E3344" s="2" t="str">
        <x:v>WB_exports_usd</x:v>
      </x:c>
      <x:c r="F3344" s="2" t="str">
        <x:v>Merchandise exports (current US$)</x:v>
      </x:c>
    </x:row>
    <x:row r="3345" ht="44" customHeight="1">
      <x:c r="A3345" s="2" t="str">
        <x:v>LBY</x:v>
      </x:c>
      <x:c r="B3345" s="2" t="str">
        <x:v>cereal_yield</x:v>
      </x:c>
      <x:c r="C3345" s="2" t="n">
        <x:v>659.7</x:v>
      </x:c>
      <x:c r="D3345" s="2" t="n">
        <x:v>2024</x:v>
      </x:c>
      <x:c r="E3345" s="2" t="str">
        <x:v>WB_cereal_yield</x:v>
      </x:c>
      <x:c r="F3345" s="2" t="str">
        <x:v>Cereal yield (kg per hectare)</x:v>
      </x:c>
    </x:row>
    <x:row r="3346" ht="44" customHeight="1">
      <x:c r="A3346" s="2" t="str">
        <x:v>LBY</x:v>
      </x:c>
      <x:c r="B3346" s="2" t="str">
        <x:v>water_stress</x:v>
      </x:c>
      <x:c r="C3346" s="2" t="n">
        <x:v>817.1428571</x:v>
      </x:c>
      <x:c r="D3346" s="2" t="n">
        <x:v>2022</x:v>
      </x:c>
      <x:c r="E3346" s="2" t="str">
        <x:v>WB_water_stress</x:v>
      </x:c>
      <x:c r="F3346" s="2" t="str">
        <x:v>Level of water stress: freshwater withdrawal as a proportion of available freshwater resources</x:v>
      </x:c>
    </x:row>
    <x:row r="3347" ht="44" customHeight="1">
      <x:c r="A3347" s="2" t="str">
        <x:v>LBY</x:v>
      </x:c>
      <x:c r="B3347" s="2" t="str">
        <x:v>fertility</x:v>
      </x:c>
      <x:c r="C3347" s="2" t="n">
        <x:v>2.298</x:v>
      </x:c>
      <x:c r="D3347" s="2" t="n">
        <x:v>2024</x:v>
      </x:c>
      <x:c r="E3347" s="2" t="str">
        <x:v>WB_fertility</x:v>
      </x:c>
      <x:c r="F3347" s="2" t="str">
        <x:v>Fertility rate, total (births per woman)</x:v>
      </x:c>
    </x:row>
    <x:row r="3348" ht="44" customHeight="1">
      <x:c r="A3348" s="2" t="str">
        <x:v>LBY</x:v>
      </x:c>
      <x:c r="B3348" s="2" t="str">
        <x:v>life_expectancy</x:v>
      </x:c>
      <x:c r="C3348" s="2" t="n">
        <x:v>71.121</x:v>
      </x:c>
      <x:c r="D3348" s="2" t="n">
        <x:v>2024</x:v>
      </x:c>
      <x:c r="E3348" s="2" t="str">
        <x:v>WB_life_expectancy</x:v>
      </x:c>
      <x:c r="F3348" s="2" t="str">
        <x:v>Life expectancy at birth, total (years)</x:v>
      </x:c>
    </x:row>
    <x:row r="3349" ht="44" customHeight="1">
      <x:c r="A3349" s="2" t="str">
        <x:v>LBY</x:v>
      </x:c>
      <x:c r="B3349" s="2" t="str">
        <x:v>age_under15</x:v>
      </x:c>
      <x:c r="C3349" s="2" t="n">
        <x:v>26.8472061174856</x:v>
      </x:c>
      <x:c r="D3349" s="2" t="n">
        <x:v>2025</x:v>
      </x:c>
      <x:c r="E3349" s="2" t="str">
        <x:v>WB_age_under15</x:v>
      </x:c>
      <x:c r="F3349" s="2" t="str">
        <x:v>Population ages 0-14 (% of total population)</x:v>
      </x:c>
    </x:row>
    <x:row r="3350" ht="44" customHeight="1">
      <x:c r="A3350" s="2" t="str">
        <x:v>LBY</x:v>
      </x:c>
      <x:c r="B3350" s="2" t="str">
        <x:v>age_over65</x:v>
      </x:c>
      <x:c r="C3350" s="2" t="n">
        <x:v>5.19156895615632</x:v>
      </x:c>
      <x:c r="D3350" s="2" t="n">
        <x:v>2025</x:v>
      </x:c>
      <x:c r="E3350" s="2" t="str">
        <x:v>WB_age_over65</x:v>
      </x:c>
      <x:c r="F3350" s="2" t="str">
        <x:v>Population ages 65 and above (% of total population)</x:v>
      </x:c>
    </x:row>
    <x:row r="3351" ht="44" customHeight="1">
      <x:c r="A3351" s="2" t="str">
        <x:v>LBY</x:v>
      </x:c>
      <x:c r="B3351" s="2" t="str">
        <x:v>dependency_ratio</x:v>
      </x:c>
      <x:c r="C3351" s="2" t="n">
        <x:v>47.1427373654177</x:v>
      </x:c>
      <x:c r="D3351" s="2" t="n">
        <x:v>2025</x:v>
      </x:c>
      <x:c r="E3351" s="2" t="str">
        <x:v>WB_dependency_ratio</x:v>
      </x:c>
      <x:c r="F3351" s="2" t="str">
        <x:v>Age dependency ratio (% of working-age population)</x:v>
      </x:c>
    </x:row>
    <x:row r="3352" ht="44" customHeight="1">
      <x:c r="A3352" s="2" t="str">
        <x:v>LBY</x:v>
      </x:c>
      <x:c r="B3352" s="2" t="str">
        <x:v>net_migration</x:v>
      </x:c>
      <x:c r="C3352" s="2" t="n">
        <x:v>-172</x:v>
      </x:c>
      <x:c r="D3352" s="2" t="n">
        <x:v>2025</x:v>
      </x:c>
      <x:c r="E3352" s="2" t="str">
        <x:v>WB_net_migration</x:v>
      </x:c>
      <x:c r="F3352" s="2" t="str">
        <x:v>Net migration</x:v>
      </x:c>
    </x:row>
    <x:row r="3353" ht="44" customHeight="1">
      <x:c r="A3353" s="2" t="str">
        <x:v>LBY</x:v>
      </x:c>
      <x:c r="B3353" s="2" t="str">
        <x:v>real_gdp</x:v>
      </x:c>
      <x:c r="C3353" s="2" t="n">
        <x:v>64400741235.432</x:v>
      </x:c>
      <x:c r="D3353" s="2" t="n">
        <x:v>2025</x:v>
      </x:c>
      <x:c r="E3353" s="2" t="str">
        <x:v>WB_real_gdp</x:v>
      </x:c>
      <x:c r="F3353" s="2" t="str">
        <x:v>GDP (constant 2015 US$)</x:v>
      </x:c>
    </x:row>
    <x:row r="3354" ht="44" customHeight="1">
      <x:c r="A3354" s="2" t="str">
        <x:v>LBY</x:v>
      </x:c>
      <x:c r="B3354" s="2" t="str">
        <x:v>gdp_growth</x:v>
      </x:c>
      <x:c r="C3354" s="2" t="n">
        <x:v>13.3717080516958</x:v>
      </x:c>
      <x:c r="D3354" s="2" t="n">
        <x:v>2025</x:v>
      </x:c>
      <x:c r="E3354" s="2" t="str">
        <x:v>WB_gdp_growth</x:v>
      </x:c>
      <x:c r="F3354" s="2" t="str">
        <x:v>GDP growth (annual %)</x:v>
      </x:c>
    </x:row>
    <x:row r="3355" ht="44" customHeight="1">
      <x:c r="A3355" s="2" t="str">
        <x:v>LBY</x:v>
      </x:c>
      <x:c r="B3355" s="2" t="str">
        <x:v>real_income</x:v>
      </x:c>
      <x:c r="C3355" s="2" t="n">
        <x:v>8634.47963250683</x:v>
      </x:c>
      <x:c r="D3355" s="2" t="n">
        <x:v>2025</x:v>
      </x:c>
      <x:c r="E3355" s="2" t="str">
        <x:v>WB_real_income</x:v>
      </x:c>
      <x:c r="F3355" s="2" t="str">
        <x:v>GDP per capita (constant 2015 US$)</x:v>
      </x:c>
    </x:row>
    <x:row r="3356" ht="44" customHeight="1">
      <x:c r="A3356" s="2" t="str">
        <x:v>LBY</x:v>
      </x:c>
      <x:c r="B3356" s="2" t="str">
        <x:v>agriculture_gdp</x:v>
      </x:c>
      <x:c r="C3356" s="2" t="n">
        <x:v>1.50083505042772</x:v>
      </x:c>
      <x:c r="D3356" s="2" t="n">
        <x:v>2025</x:v>
      </x:c>
      <x:c r="E3356" s="2" t="str">
        <x:v>WB_agriculture_gdp</x:v>
      </x:c>
      <x:c r="F3356" s="2" t="str">
        <x:v>Agriculture, forestry, and fishing, value added (% of GDP)</x:v>
      </x:c>
    </x:row>
    <x:row r="3357" ht="44" customHeight="1">
      <x:c r="A3357" s="2" t="str">
        <x:v>LBY</x:v>
      </x:c>
      <x:c r="B3357" s="2" t="str">
        <x:v>poverty</x:v>
      </x:c>
      <x:c r="C3357" s="2"/>
      <x:c r="D3357" s="2"/>
      <x:c r="E3357" s="2" t="str">
        <x:v>Missing</x:v>
      </x:c>
      <x:c r="F3357" s="2" t="str">
        <x:v>Poverty headcount ratio at $3.00 a day (2021 PPP) (% of population)</x:v>
      </x:c>
    </x:row>
    <x:row r="3358" ht="44" customHeight="1">
      <x:c r="A3358" s="2" t="str">
        <x:v>LBY</x:v>
      </x:c>
      <x:c r="B3358" s="2" t="str">
        <x:v>gini</x:v>
      </x:c>
      <x:c r="C3358" s="2"/>
      <x:c r="D3358" s="2"/>
      <x:c r="E3358" s="2" t="str">
        <x:v>Missing</x:v>
      </x:c>
      <x:c r="F3358" s="2" t="str">
        <x:v>Gini index</x:v>
      </x:c>
    </x:row>
    <x:row r="3359" ht="44" customHeight="1">
      <x:c r="A3359" s="2" t="str">
        <x:v>LBY</x:v>
      </x:c>
      <x:c r="B3359" s="2" t="str">
        <x:v>unemployment</x:v>
      </x:c>
      <x:c r="C3359" s="2" t="n">
        <x:v>18.758</x:v>
      </x:c>
      <x:c r="D3359" s="2" t="n">
        <x:v>2025</x:v>
      </x:c>
      <x:c r="E3359" s="2" t="str">
        <x:v>WB_unemployment</x:v>
      </x:c>
      <x:c r="F3359" s="2" t="str">
        <x:v>Unemployment, total (% of total labor force) (modeled ILO estimate)</x:v>
      </x:c>
    </x:row>
    <x:row r="3360" ht="44" customHeight="1">
      <x:c r="A3360" s="2" t="str">
        <x:v>LBY</x:v>
      </x:c>
      <x:c r="B3360" s="2" t="str">
        <x:v>private_credit</x:v>
      </x:c>
      <x:c r="C3360" s="2" t="n">
        <x:v>12.5355481490495</x:v>
      </x:c>
      <x:c r="D3360" s="2" t="n">
        <x:v>2025</x:v>
      </x:c>
      <x:c r="E3360" s="2" t="str">
        <x:v>WB_private_credit</x:v>
      </x:c>
      <x:c r="F3360" s="2" t="str">
        <x:v>Domestic credit to private sector (% of GDP)</x:v>
      </x:c>
    </x:row>
    <x:row r="3361" ht="44" customHeight="1">
      <x:c r="A3361" s="2" t="str">
        <x:v>LBY</x:v>
      </x:c>
      <x:c r="B3361" s="2" t="str">
        <x:v>lending_rate</x:v>
      </x:c>
      <x:c r="C3361" s="2" t="n">
        <x:v>6</x:v>
      </x:c>
      <x:c r="D3361" s="2" t="n">
        <x:v>2014</x:v>
      </x:c>
      <x:c r="E3361" s="2" t="str">
        <x:v>WB_lending_rate</x:v>
      </x:c>
      <x:c r="F3361" s="2" t="str">
        <x:v>Lending interest rate (%)</x:v>
      </x:c>
    </x:row>
    <x:row r="3362" ht="44" customHeight="1">
      <x:c r="A3362" s="2" t="str">
        <x:v>LBY</x:v>
      </x:c>
      <x:c r="B3362" s="2" t="str">
        <x:v>real_interest</x:v>
      </x:c>
      <x:c r="C3362" s="2" t="n">
        <x:v>7.07784993842523</x:v>
      </x:c>
      <x:c r="D3362" s="2" t="n">
        <x:v>2014</x:v>
      </x:c>
      <x:c r="E3362" s="2" t="str">
        <x:v>WB_real_interest</x:v>
      </x:c>
      <x:c r="F3362" s="2" t="str">
        <x:v>Real interest rate (%)</x:v>
      </x:c>
    </x:row>
    <x:row r="3363" ht="44" customHeight="1">
      <x:c r="A3363" s="2" t="str">
        <x:v>LBY</x:v>
      </x:c>
      <x:c r="B3363" s="2" t="str">
        <x:v>government_debt</x:v>
      </x:c>
      <x:c r="C3363" s="2"/>
      <x:c r="D3363" s="2"/>
      <x:c r="E3363" s="2" t="str">
        <x:v>Missing</x:v>
      </x:c>
      <x:c r="F3363" s="2" t="str">
        <x:v>Central government debt, total (% of GDP)</x:v>
      </x:c>
    </x:row>
    <x:row r="3364" ht="44" customHeight="1">
      <x:c r="A3364" s="2" t="str">
        <x:v>LBY</x:v>
      </x:c>
      <x:c r="B3364" s="2" t="str">
        <x:v>electricity_access</x:v>
      </x:c>
      <x:c r="C3364" s="2" t="n">
        <x:v>77.4</x:v>
      </x:c>
      <x:c r="D3364" s="2" t="n">
        <x:v>2024</x:v>
      </x:c>
      <x:c r="E3364" s="2" t="str">
        <x:v>WB_electricity_access</x:v>
      </x:c>
      <x:c r="F3364" s="2" t="str">
        <x:v>Access to electricity (% of population)</x:v>
      </x:c>
    </x:row>
    <x:row r="3365" ht="44" customHeight="1">
      <x:c r="A3365" s="2" t="str">
        <x:v>LBY</x:v>
      </x:c>
      <x:c r="B3365" s="2" t="str">
        <x:v>irrigated_land</x:v>
      </x:c>
      <x:c r="C3365" s="2"/>
      <x:c r="D3365" s="2"/>
      <x:c r="E3365" s="2" t="str">
        <x:v>Missing</x:v>
      </x:c>
      <x:c r="F3365" s="2" t="str">
        <x:v>Agricultural irrigated land (% of total agricultural land)</x:v>
      </x:c>
    </x:row>
    <x:row r="3366" ht="44" customHeight="1">
      <x:c r="A3366" s="2" t="str">
        <x:v>LBY</x:v>
      </x:c>
      <x:c r="B3366" s="2" t="str">
        <x:v>cereal_area</x:v>
      </x:c>
      <x:c r="C3366" s="2" t="n">
        <x:v>249794</x:v>
      </x:c>
      <x:c r="D3366" s="2" t="n">
        <x:v>2024</x:v>
      </x:c>
      <x:c r="E3366" s="2" t="str">
        <x:v>WB_cereal_area</x:v>
      </x:c>
      <x:c r="F3366" s="2" t="str">
        <x:v>Land under cereal production (hectares)</x:v>
      </x:c>
    </x:row>
    <x:row r="3367" ht="44" customHeight="1">
      <x:c r="A3367" s="2" t="str">
        <x:v>LBY</x:v>
      </x:c>
      <x:c r="B3367" s="2" t="str">
        <x:v>undernourishment</x:v>
      </x:c>
      <x:c r="C3367" s="2" t="n">
        <x:v>16.5</x:v>
      </x:c>
      <x:c r="D3367" s="2" t="n">
        <x:v>2023</x:v>
      </x:c>
      <x:c r="E3367" s="2" t="str">
        <x:v>WB_undernourishment</x:v>
      </x:c>
      <x:c r="F3367" s="2" t="str">
        <x:v>Prevalence of undernourishment (% of population)</x:v>
      </x:c>
    </x:row>
    <x:row r="3368" ht="44" customHeight="1">
      <x:c r="A3368" s="2" t="str">
        <x:v>LBY</x:v>
      </x:c>
      <x:c r="B3368" s="2" t="str">
        <x:v>agriculture_employment</x:v>
      </x:c>
      <x:c r="C3368" s="2" t="n">
        <x:v>9.99748359042259</x:v>
      </x:c>
      <x:c r="D3368" s="2" t="n">
        <x:v>2025</x:v>
      </x:c>
      <x:c r="E3368" s="2" t="str">
        <x:v>WB_agriculture_employment</x:v>
      </x:c>
      <x:c r="F3368" s="2" t="str">
        <x:v>Employment in agriculture (% of total employment) (modeled ILO estimate)</x:v>
      </x:c>
    </x:row>
    <x:row r="3369" ht="44" customHeight="1">
      <x:c r="A3369" s="2" t="str">
        <x:v>LBY</x:v>
      </x:c>
      <x:c r="B3369" s="2" t="str">
        <x:v>water_withdrawal</x:v>
      </x:c>
      <x:c r="C3369" s="2" t="n">
        <x:v>817.142857142857</x:v>
      </x:c>
      <x:c r="D3369" s="2" t="n">
        <x:v>2022</x:v>
      </x:c>
      <x:c r="E3369" s="2" t="str">
        <x:v>WB_water_withdrawal</x:v>
      </x:c>
      <x:c r="F3369" s="2" t="str">
        <x:v>Annual freshwater withdrawals, total (% of internal resources)</x:v>
      </x:c>
    </x:row>
    <x:row r="3370" ht="44" customHeight="1">
      <x:c r="A3370" s="2" t="str">
        <x:v>LIE</x:v>
      </x:c>
      <x:c r="B3370" s="2" t="str">
        <x:v>population</x:v>
      </x:c>
      <x:c r="C3370" s="2" t="n">
        <x:v>41024</x:v>
      </x:c>
      <x:c r="D3370" s="2" t="n">
        <x:v>2025</x:v>
      </x:c>
      <x:c r="E3370" s="2" t="str">
        <x:v>WB_population</x:v>
      </x:c>
      <x:c r="F3370" s="2" t="str">
        <x:v>Population, total</x:v>
      </x:c>
    </x:row>
    <x:row r="3371" ht="44" customHeight="1">
      <x:c r="A3371" s="2" t="str">
        <x:v>LIE</x:v>
      </x:c>
      <x:c r="B3371" s="2" t="str">
        <x:v>income_ppp</x:v>
      </x:c>
      <x:c r="C3371" s="2"/>
      <x:c r="D3371" s="2"/>
      <x:c r="E3371" s="2" t="str">
        <x:v>Missing</x:v>
      </x:c>
      <x:c r="F3371" s="2" t="str">
        <x:v>GDP per capita, PPP (constant 2021 international $)</x:v>
      </x:c>
    </x:row>
    <x:row r="3372" ht="44" customHeight="1">
      <x:c r="A3372" s="2" t="str">
        <x:v>LIE</x:v>
      </x:c>
      <x:c r="B3372" s="2" t="str">
        <x:v>urban</x:v>
      </x:c>
      <x:c r="C3372" s="2" t="n">
        <x:v>14.6298998993293</x:v>
      </x:c>
      <x:c r="D3372" s="2" t="n">
        <x:v>2025</x:v>
      </x:c>
      <x:c r="E3372" s="2" t="str">
        <x:v>WB_urban</x:v>
      </x:c>
      <x:c r="F3372" s="2" t="str">
        <x:v>Urban population (% of total population)</x:v>
      </x:c>
    </x:row>
    <x:row r="3373" ht="44" customHeight="1">
      <x:c r="A3373" s="2" t="str">
        <x:v>LIE</x:v>
      </x:c>
      <x:c r="B3373" s="2" t="str">
        <x:v>inflation</x:v>
      </x:c>
      <x:c r="C3373" s="2"/>
      <x:c r="D3373" s="2"/>
      <x:c r="E3373" s="2" t="str">
        <x:v>Missing</x:v>
      </x:c>
      <x:c r="F3373" s="2" t="str">
        <x:v>Inflation, consumer prices (annual %)</x:v>
      </x:c>
    </x:row>
    <x:row r="3374" ht="44" customHeight="1">
      <x:c r="A3374" s="2" t="str">
        <x:v>LIE</x:v>
      </x:c>
      <x:c r="B3374" s="2" t="str">
        <x:v>food_index</x:v>
      </x:c>
      <x:c r="C3374" s="2"/>
      <x:c r="D3374" s="2"/>
      <x:c r="E3374" s="2" t="str">
        <x:v>Missing</x:v>
      </x:c>
      <x:c r="F3374" s="2" t="str">
        <x:v>Food production index (2014-2016 = 100)</x:v>
      </x:c>
    </x:row>
    <x:row r="3375" ht="44" customHeight="1">
      <x:c r="A3375" s="2" t="str">
        <x:v>LIE</x:v>
      </x:c>
      <x:c r="B3375" s="2" t="str">
        <x:v>food_import_share</x:v>
      </x:c>
      <x:c r="C3375" s="2"/>
      <x:c r="D3375" s="2"/>
      <x:c r="E3375" s="2" t="str">
        <x:v>Missing</x:v>
      </x:c>
      <x:c r="F3375" s="2" t="str">
        <x:v>Food imports (% of merchandise imports)</x:v>
      </x:c>
    </x:row>
    <x:row r="3376" ht="44" customHeight="1">
      <x:c r="A3376" s="2" t="str">
        <x:v>LIE</x:v>
      </x:c>
      <x:c r="B3376" s="2" t="str">
        <x:v>food_export_share</x:v>
      </x:c>
      <x:c r="C3376" s="2"/>
      <x:c r="D3376" s="2"/>
      <x:c r="E3376" s="2" t="str">
        <x:v>Missing</x:v>
      </x:c>
      <x:c r="F3376" s="2" t="str">
        <x:v>Food exports (% of merchandise exports)</x:v>
      </x:c>
    </x:row>
    <x:row r="3377" ht="44" customHeight="1">
      <x:c r="A3377" s="2" t="str">
        <x:v>LIE</x:v>
      </x:c>
      <x:c r="B3377" s="2" t="str">
        <x:v>imports_usd</x:v>
      </x:c>
      <x:c r="C3377" s="2"/>
      <x:c r="D3377" s="2"/>
      <x:c r="E3377" s="2" t="str">
        <x:v>Missing</x:v>
      </x:c>
      <x:c r="F3377" s="2" t="str">
        <x:v>Merchandise imports (current US$)</x:v>
      </x:c>
    </x:row>
    <x:row r="3378" ht="44" customHeight="1">
      <x:c r="A3378" s="2" t="str">
        <x:v>LIE</x:v>
      </x:c>
      <x:c r="B3378" s="2" t="str">
        <x:v>exports_usd</x:v>
      </x:c>
      <x:c r="C3378" s="2"/>
      <x:c r="D3378" s="2"/>
      <x:c r="E3378" s="2" t="str">
        <x:v>Missing</x:v>
      </x:c>
      <x:c r="F3378" s="2" t="str">
        <x:v>Merchandise exports (current US$)</x:v>
      </x:c>
    </x:row>
    <x:row r="3379" ht="44" customHeight="1">
      <x:c r="A3379" s="2" t="str">
        <x:v>LIE</x:v>
      </x:c>
      <x:c r="B3379" s="2" t="str">
        <x:v>cereal_yield</x:v>
      </x:c>
      <x:c r="C3379" s="2"/>
      <x:c r="D3379" s="2"/>
      <x:c r="E3379" s="2" t="str">
        <x:v>Missing</x:v>
      </x:c>
      <x:c r="F3379" s="2" t="str">
        <x:v>Cereal yield (kg per hectare)</x:v>
      </x:c>
    </x:row>
    <x:row r="3380" ht="44" customHeight="1">
      <x:c r="A3380" s="2" t="str">
        <x:v>LIE</x:v>
      </x:c>
      <x:c r="B3380" s="2" t="str">
        <x:v>water_stress</x:v>
      </x:c>
      <x:c r="C3380" s="2"/>
      <x:c r="D3380" s="2"/>
      <x:c r="E3380" s="2" t="str">
        <x:v>Missing</x:v>
      </x:c>
      <x:c r="F3380" s="2" t="str">
        <x:v>Level of water stress: freshwater withdrawal as a proportion of available freshwater resources</x:v>
      </x:c>
    </x:row>
    <x:row r="3381" ht="44" customHeight="1">
      <x:c r="A3381" s="2" t="str">
        <x:v>LIE</x:v>
      </x:c>
      <x:c r="B3381" s="2" t="str">
        <x:v>fertility</x:v>
      </x:c>
      <x:c r="C3381" s="2" t="n">
        <x:v>1.37</x:v>
      </x:c>
      <x:c r="D3381" s="2" t="n">
        <x:v>2024</x:v>
      </x:c>
      <x:c r="E3381" s="2" t="str">
        <x:v>WB_fertility</x:v>
      </x:c>
      <x:c r="F3381" s="2" t="str">
        <x:v>Fertility rate, total (births per woman)</x:v>
      </x:c>
    </x:row>
    <x:row r="3382" ht="44" customHeight="1">
      <x:c r="A3382" s="2" t="str">
        <x:v>LIE</x:v>
      </x:c>
      <x:c r="B3382" s="2" t="str">
        <x:v>life_expectancy</x:v>
      </x:c>
      <x:c r="C3382" s="2" t="n">
        <x:v>84.2</x:v>
      </x:c>
      <x:c r="D3382" s="2" t="n">
        <x:v>2024</x:v>
      </x:c>
      <x:c r="E3382" s="2" t="str">
        <x:v>WB_life_expectancy</x:v>
      </x:c>
      <x:c r="F3382" s="2" t="str">
        <x:v>Life expectancy at birth, total (years)</x:v>
      </x:c>
    </x:row>
    <x:row r="3383" ht="44" customHeight="1">
      <x:c r="A3383" s="2" t="str">
        <x:v>LIE</x:v>
      </x:c>
      <x:c r="B3383" s="2" t="str">
        <x:v>age_under15</x:v>
      </x:c>
      <x:c r="C3383" s="2" t="n">
        <x:v>14.2269736842105</x:v>
      </x:c>
      <x:c r="D3383" s="2" t="n">
        <x:v>2025</x:v>
      </x:c>
      <x:c r="E3383" s="2" t="str">
        <x:v>WB_age_under15</x:v>
      </x:c>
      <x:c r="F3383" s="2" t="str">
        <x:v>Population ages 0-14 (% of total population)</x:v>
      </x:c>
    </x:row>
    <x:row r="3384" ht="44" customHeight="1">
      <x:c r="A3384" s="2" t="str">
        <x:v>LIE</x:v>
      </x:c>
      <x:c r="B3384" s="2" t="str">
        <x:v>age_over65</x:v>
      </x:c>
      <x:c r="C3384" s="2" t="n">
        <x:v>21.3753488835726</x:v>
      </x:c>
      <x:c r="D3384" s="2" t="n">
        <x:v>2025</x:v>
      </x:c>
      <x:c r="E3384" s="2" t="str">
        <x:v>WB_age_over65</x:v>
      </x:c>
      <x:c r="F3384" s="2" t="str">
        <x:v>Population ages 65 and above (% of total population)</x:v>
      </x:c>
    </x:row>
    <x:row r="3385" ht="44" customHeight="1">
      <x:c r="A3385" s="2" t="str">
        <x:v>LIE</x:v>
      </x:c>
      <x:c r="B3385" s="2" t="str">
        <x:v>dependency_ratio</x:v>
      </x:c>
      <x:c r="C3385" s="2" t="n">
        <x:v>55.2821832771869</x:v>
      </x:c>
      <x:c r="D3385" s="2" t="n">
        <x:v>2025</x:v>
      </x:c>
      <x:c r="E3385" s="2" t="str">
        <x:v>WB_dependency_ratio</x:v>
      </x:c>
      <x:c r="F3385" s="2" t="str">
        <x:v>Age dependency ratio (% of working-age population)</x:v>
      </x:c>
    </x:row>
    <x:row r="3386" ht="44" customHeight="1">
      <x:c r="A3386" s="2" t="str">
        <x:v>LIE</x:v>
      </x:c>
      <x:c r="B3386" s="2" t="str">
        <x:v>net_migration</x:v>
      </x:c>
      <x:c r="C3386" s="2" t="n">
        <x:v>194</x:v>
      </x:c>
      <x:c r="D3386" s="2" t="n">
        <x:v>2025</x:v>
      </x:c>
      <x:c r="E3386" s="2" t="str">
        <x:v>WB_net_migration</x:v>
      </x:c>
      <x:c r="F3386" s="2" t="str">
        <x:v>Net migration</x:v>
      </x:c>
    </x:row>
    <x:row r="3387" ht="44" customHeight="1">
      <x:c r="A3387" s="2" t="str">
        <x:v>LIE</x:v>
      </x:c>
      <x:c r="B3387" s="2" t="str">
        <x:v>real_gdp</x:v>
      </x:c>
      <x:c r="C3387" s="2" t="n">
        <x:v>6268515276.17441</x:v>
      </x:c>
      <x:c r="D3387" s="2" t="n">
        <x:v>2015</x:v>
      </x:c>
      <x:c r="E3387" s="2" t="str">
        <x:v>WB_real_gdp</x:v>
      </x:c>
      <x:c r="F3387" s="2" t="str">
        <x:v>GDP (constant 2015 US$)</x:v>
      </x:c>
    </x:row>
    <x:row r="3388" ht="44" customHeight="1">
      <x:c r="A3388" s="2" t="str">
        <x:v>LIE</x:v>
      </x:c>
      <x:c r="B3388" s="2" t="str">
        <x:v>gdp_growth</x:v>
      </x:c>
      <x:c r="C3388" s="2" t="n">
        <x:v>-1.15748291975636</x:v>
      </x:c>
      <x:c r="D3388" s="2" t="n">
        <x:v>2009</x:v>
      </x:c>
      <x:c r="E3388" s="2" t="str">
        <x:v>WB_gdp_growth</x:v>
      </x:c>
      <x:c r="F3388" s="2" t="str">
        <x:v>GDP growth (annual %)</x:v>
      </x:c>
    </x:row>
    <x:row r="3389" ht="44" customHeight="1">
      <x:c r="A3389" s="2" t="str">
        <x:v>LIE</x:v>
      </x:c>
      <x:c r="B3389" s="2" t="str">
        <x:v>real_income</x:v>
      </x:c>
      <x:c r="C3389" s="2" t="n">
        <x:v>167187.15730982</x:v>
      </x:c>
      <x:c r="D3389" s="2" t="n">
        <x:v>2015</x:v>
      </x:c>
      <x:c r="E3389" s="2" t="str">
        <x:v>WB_real_income</x:v>
      </x:c>
      <x:c r="F3389" s="2" t="str">
        <x:v>GDP per capita (constant 2015 US$)</x:v>
      </x:c>
    </x:row>
    <x:row r="3390" ht="44" customHeight="1">
      <x:c r="A3390" s="2" t="str">
        <x:v>LIE</x:v>
      </x:c>
      <x:c r="B3390" s="2" t="str">
        <x:v>agriculture_gdp</x:v>
      </x:c>
      <x:c r="C3390" s="2" t="n">
        <x:v>0.159394839929758</x:v>
      </x:c>
      <x:c r="D3390" s="2" t="n">
        <x:v>2023</x:v>
      </x:c>
      <x:c r="E3390" s="2" t="str">
        <x:v>WB_agriculture_gdp</x:v>
      </x:c>
      <x:c r="F3390" s="2" t="str">
        <x:v>Agriculture, forestry, and fishing, value added (% of GDP)</x:v>
      </x:c>
    </x:row>
    <x:row r="3391" ht="44" customHeight="1">
      <x:c r="A3391" s="2" t="str">
        <x:v>LIE</x:v>
      </x:c>
      <x:c r="B3391" s="2" t="str">
        <x:v>poverty</x:v>
      </x:c>
      <x:c r="C3391" s="2"/>
      <x:c r="D3391" s="2"/>
      <x:c r="E3391" s="2" t="str">
        <x:v>Missing</x:v>
      </x:c>
      <x:c r="F3391" s="2" t="str">
        <x:v>Poverty headcount ratio at $3.00 a day (2021 PPP) (% of population)</x:v>
      </x:c>
    </x:row>
    <x:row r="3392" ht="44" customHeight="1">
      <x:c r="A3392" s="2" t="str">
        <x:v>LIE</x:v>
      </x:c>
      <x:c r="B3392" s="2" t="str">
        <x:v>gini</x:v>
      </x:c>
      <x:c r="C3392" s="2"/>
      <x:c r="D3392" s="2"/>
      <x:c r="E3392" s="2" t="str">
        <x:v>Missing</x:v>
      </x:c>
      <x:c r="F3392" s="2" t="str">
        <x:v>Gini index</x:v>
      </x:c>
    </x:row>
    <x:row r="3393" ht="44" customHeight="1">
      <x:c r="A3393" s="2" t="str">
        <x:v>LIE</x:v>
      </x:c>
      <x:c r="B3393" s="2" t="str">
        <x:v>unemployment</x:v>
      </x:c>
      <x:c r="C3393" s="2"/>
      <x:c r="D3393" s="2"/>
      <x:c r="E3393" s="2" t="str">
        <x:v>Missing</x:v>
      </x:c>
      <x:c r="F3393" s="2" t="str">
        <x:v>Unemployment, total (% of total labor force) (modeled ILO estimate)</x:v>
      </x:c>
    </x:row>
    <x:row r="3394" ht="44" customHeight="1">
      <x:c r="A3394" s="2" t="str">
        <x:v>LIE</x:v>
      </x:c>
      <x:c r="B3394" s="2" t="str">
        <x:v>private_credit</x:v>
      </x:c>
      <x:c r="C3394" s="2"/>
      <x:c r="D3394" s="2"/>
      <x:c r="E3394" s="2" t="str">
        <x:v>Missing</x:v>
      </x:c>
      <x:c r="F3394" s="2" t="str">
        <x:v>Domestic credit to private sector (% of GDP)</x:v>
      </x:c>
    </x:row>
    <x:row r="3395" ht="44" customHeight="1">
      <x:c r="A3395" s="2" t="str">
        <x:v>LIE</x:v>
      </x:c>
      <x:c r="B3395" s="2" t="str">
        <x:v>lending_rate</x:v>
      </x:c>
      <x:c r="C3395" s="2"/>
      <x:c r="D3395" s="2"/>
      <x:c r="E3395" s="2" t="str">
        <x:v>Missing</x:v>
      </x:c>
      <x:c r="F3395" s="2" t="str">
        <x:v>Lending interest rate (%)</x:v>
      </x:c>
    </x:row>
    <x:row r="3396" ht="44" customHeight="1">
      <x:c r="A3396" s="2" t="str">
        <x:v>LIE</x:v>
      </x:c>
      <x:c r="B3396" s="2" t="str">
        <x:v>real_interest</x:v>
      </x:c>
      <x:c r="C3396" s="2"/>
      <x:c r="D3396" s="2"/>
      <x:c r="E3396" s="2" t="str">
        <x:v>Missing</x:v>
      </x:c>
      <x:c r="F3396" s="2" t="str">
        <x:v>Real interest rate (%)</x:v>
      </x:c>
    </x:row>
    <x:row r="3397" ht="44" customHeight="1">
      <x:c r="A3397" s="2" t="str">
        <x:v>LIE</x:v>
      </x:c>
      <x:c r="B3397" s="2" t="str">
        <x:v>government_debt</x:v>
      </x:c>
      <x:c r="C3397" s="2"/>
      <x:c r="D3397" s="2"/>
      <x:c r="E3397" s="2" t="str">
        <x:v>Missing</x:v>
      </x:c>
      <x:c r="F3397" s="2" t="str">
        <x:v>Central government debt, total (% of GDP)</x:v>
      </x:c>
    </x:row>
    <x:row r="3398" ht="44" customHeight="1">
      <x:c r="A3398" s="2" t="str">
        <x:v>LIE</x:v>
      </x:c>
      <x:c r="B3398" s="2" t="str">
        <x:v>electricity_access</x:v>
      </x:c>
      <x:c r="C3398" s="2" t="n">
        <x:v>100</x:v>
      </x:c>
      <x:c r="D3398" s="2" t="n">
        <x:v>2024</x:v>
      </x:c>
      <x:c r="E3398" s="2" t="str">
        <x:v>WB_electricity_access</x:v>
      </x:c>
      <x:c r="F3398" s="2" t="str">
        <x:v>Access to electricity (% of population)</x:v>
      </x:c>
    </x:row>
    <x:row r="3399" ht="44" customHeight="1">
      <x:c r="A3399" s="2" t="str">
        <x:v>LIE</x:v>
      </x:c>
      <x:c r="B3399" s="2" t="str">
        <x:v>irrigated_land</x:v>
      </x:c>
      <x:c r="C3399" s="2"/>
      <x:c r="D3399" s="2"/>
      <x:c r="E3399" s="2" t="str">
        <x:v>Missing</x:v>
      </x:c>
      <x:c r="F3399" s="2" t="str">
        <x:v>Agricultural irrigated land (% of total agricultural land)</x:v>
      </x:c>
    </x:row>
    <x:row r="3400" ht="44" customHeight="1">
      <x:c r="A3400" s="2" t="str">
        <x:v>LIE</x:v>
      </x:c>
      <x:c r="B3400" s="2" t="str">
        <x:v>cereal_area</x:v>
      </x:c>
      <x:c r="C3400" s="2"/>
      <x:c r="D3400" s="2"/>
      <x:c r="E3400" s="2" t="str">
        <x:v>Missing</x:v>
      </x:c>
      <x:c r="F3400" s="2" t="str">
        <x:v>Land under cereal production (hectares)</x:v>
      </x:c>
    </x:row>
    <x:row r="3401" ht="44" customHeight="1">
      <x:c r="A3401" s="2" t="str">
        <x:v>LIE</x:v>
      </x:c>
      <x:c r="B3401" s="2" t="str">
        <x:v>undernourishment</x:v>
      </x:c>
      <x:c r="C3401" s="2"/>
      <x:c r="D3401" s="2"/>
      <x:c r="E3401" s="2" t="str">
        <x:v>Missing</x:v>
      </x:c>
      <x:c r="F3401" s="2" t="str">
        <x:v>Prevalence of undernourishment (% of population)</x:v>
      </x:c>
    </x:row>
    <x:row r="3402" ht="44" customHeight="1">
      <x:c r="A3402" s="2" t="str">
        <x:v>LIE</x:v>
      </x:c>
      <x:c r="B3402" s="2" t="str">
        <x:v>agriculture_employment</x:v>
      </x:c>
      <x:c r="C3402" s="2"/>
      <x:c r="D3402" s="2"/>
      <x:c r="E3402" s="2" t="str">
        <x:v>Missing</x:v>
      </x:c>
      <x:c r="F3402" s="2" t="str">
        <x:v>Employment in agriculture (% of total employment) (modeled ILO estimate)</x:v>
      </x:c>
    </x:row>
    <x:row r="3403" ht="44" customHeight="1">
      <x:c r="A3403" s="2" t="str">
        <x:v>LIE</x:v>
      </x:c>
      <x:c r="B3403" s="2" t="str">
        <x:v>water_withdrawal</x:v>
      </x:c>
      <x:c r="C3403" s="2"/>
      <x:c r="D3403" s="2"/>
      <x:c r="E3403" s="2" t="str">
        <x:v>Missing</x:v>
      </x:c>
      <x:c r="F3403" s="2" t="str">
        <x:v>Annual freshwater withdrawals, total (% of internal resources)</x:v>
      </x:c>
    </x:row>
    <x:row r="3404" ht="44" customHeight="1">
      <x:c r="A3404" s="2" t="str">
        <x:v>LTU</x:v>
      </x:c>
      <x:c r="B3404" s="2" t="str">
        <x:v>population</x:v>
      </x:c>
      <x:c r="C3404" s="2" t="n">
        <x:v>2888774</x:v>
      </x:c>
      <x:c r="D3404" s="2" t="n">
        <x:v>2025</x:v>
      </x:c>
      <x:c r="E3404" s="2" t="str">
        <x:v>WB_population</x:v>
      </x:c>
      <x:c r="F3404" s="2" t="str">
        <x:v>Population, total</x:v>
      </x:c>
    </x:row>
    <x:row r="3405" ht="44" customHeight="1">
      <x:c r="A3405" s="2" t="str">
        <x:v>LTU</x:v>
      </x:c>
      <x:c r="B3405" s="2" t="str">
        <x:v>income_ppp</x:v>
      </x:c>
      <x:c r="C3405" s="2" t="n">
        <x:v>48839.5436452948</x:v>
      </x:c>
      <x:c r="D3405" s="2" t="n">
        <x:v>2025</x:v>
      </x:c>
      <x:c r="E3405" s="2" t="str">
        <x:v>WB_income_ppp</x:v>
      </x:c>
      <x:c r="F3405" s="2" t="str">
        <x:v>GDP per capita, PPP (constant 2021 international $)</x:v>
      </x:c>
    </x:row>
    <x:row r="3406" ht="44" customHeight="1">
      <x:c r="A3406" s="2" t="str">
        <x:v>LTU</x:v>
      </x:c>
      <x:c r="B3406" s="2" t="str">
        <x:v>urban</x:v>
      </x:c>
      <x:c r="C3406" s="2" t="n">
        <x:v>69.0816381352764</x:v>
      </x:c>
      <x:c r="D3406" s="2" t="n">
        <x:v>2025</x:v>
      </x:c>
      <x:c r="E3406" s="2" t="str">
        <x:v>WB_urban</x:v>
      </x:c>
      <x:c r="F3406" s="2" t="str">
        <x:v>Urban population (% of total population)</x:v>
      </x:c>
    </x:row>
    <x:row r="3407" ht="44" customHeight="1">
      <x:c r="A3407" s="2" t="str">
        <x:v>LTU</x:v>
      </x:c>
      <x:c r="B3407" s="2" t="str">
        <x:v>inflation</x:v>
      </x:c>
      <x:c r="C3407" s="2" t="n">
        <x:v>3.79170510860467</x:v>
      </x:c>
      <x:c r="D3407" s="2" t="n">
        <x:v>2025</x:v>
      </x:c>
      <x:c r="E3407" s="2" t="str">
        <x:v>WB_inflation</x:v>
      </x:c>
      <x:c r="F3407" s="2" t="str">
        <x:v>Inflation, consumer prices (annual %)</x:v>
      </x:c>
    </x:row>
    <x:row r="3408" ht="44" customHeight="1">
      <x:c r="A3408" s="2" t="str">
        <x:v>LTU</x:v>
      </x:c>
      <x:c r="B3408" s="2" t="str">
        <x:v>food_index</x:v>
      </x:c>
      <x:c r="C3408" s="2" t="n">
        <x:v>99.53</x:v>
      </x:c>
      <x:c r="D3408" s="2" t="n">
        <x:v>2022</x:v>
      </x:c>
      <x:c r="E3408" s="2" t="str">
        <x:v>WB_food_index</x:v>
      </x:c>
      <x:c r="F3408" s="2" t="str">
        <x:v>Food production index (2014-2016 = 100)</x:v>
      </x:c>
    </x:row>
    <x:row r="3409" ht="44" customHeight="1">
      <x:c r="A3409" s="2" t="str">
        <x:v>LTU</x:v>
      </x:c>
      <x:c r="B3409" s="2" t="str">
        <x:v>food_import_share</x:v>
      </x:c>
      <x:c r="C3409" s="2" t="n">
        <x:v>13.0716196892812</x:v>
      </x:c>
      <x:c r="D3409" s="2" t="n">
        <x:v>2025</x:v>
      </x:c>
      <x:c r="E3409" s="2" t="str">
        <x:v>WB_food_import_share</x:v>
      </x:c>
      <x:c r="F3409" s="2" t="str">
        <x:v>Food imports (% of merchandise imports)</x:v>
      </x:c>
    </x:row>
    <x:row r="3410" ht="44" customHeight="1">
      <x:c r="A3410" s="2" t="str">
        <x:v>LTU</x:v>
      </x:c>
      <x:c r="B3410" s="2" t="str">
        <x:v>food_export_share</x:v>
      </x:c>
      <x:c r="C3410" s="2" t="n">
        <x:v>19.661870465078</x:v>
      </x:c>
      <x:c r="D3410" s="2" t="n">
        <x:v>2025</x:v>
      </x:c>
      <x:c r="E3410" s="2" t="str">
        <x:v>WB_food_export_share</x:v>
      </x:c>
      <x:c r="F3410" s="2" t="str">
        <x:v>Food exports (% of merchandise exports)</x:v>
      </x:c>
    </x:row>
    <x:row r="3411" ht="44" customHeight="1">
      <x:c r="A3411" s="2" t="str">
        <x:v>LTU</x:v>
      </x:c>
      <x:c r="B3411" s="2" t="str">
        <x:v>imports_usd</x:v>
      </x:c>
      <x:c r="C3411" s="2" t="n">
        <x:v>49006000000</x:v>
      </x:c>
      <x:c r="D3411" s="2" t="n">
        <x:v>2025</x:v>
      </x:c>
      <x:c r="E3411" s="2" t="str">
        <x:v>WB_imports_usd</x:v>
      </x:c>
      <x:c r="F3411" s="2" t="str">
        <x:v>Merchandise imports (current US$)</x:v>
      </x:c>
    </x:row>
    <x:row r="3412" ht="44" customHeight="1">
      <x:c r="A3412" s="2" t="str">
        <x:v>LTU</x:v>
      </x:c>
      <x:c r="B3412" s="2" t="str">
        <x:v>exports_usd</x:v>
      </x:c>
      <x:c r="C3412" s="2" t="n">
        <x:v>41626000000</x:v>
      </x:c>
      <x:c r="D3412" s="2" t="n">
        <x:v>2025</x:v>
      </x:c>
      <x:c r="E3412" s="2" t="str">
        <x:v>WB_exports_usd</x:v>
      </x:c>
      <x:c r="F3412" s="2" t="str">
        <x:v>Merchandise exports (current US$)</x:v>
      </x:c>
    </x:row>
    <x:row r="3413" ht="44" customHeight="1">
      <x:c r="A3413" s="2" t="str">
        <x:v>LTU</x:v>
      </x:c>
      <x:c r="B3413" s="2" t="str">
        <x:v>cereal_yield</x:v>
      </x:c>
      <x:c r="C3413" s="2" t="n">
        <x:v>4187.3</x:v>
      </x:c>
      <x:c r="D3413" s="2" t="n">
        <x:v>2023</x:v>
      </x:c>
      <x:c r="E3413" s="2" t="str">
        <x:v>WB_cereal_yield</x:v>
      </x:c>
      <x:c r="F3413" s="2" t="str">
        <x:v>Cereal yield (kg per hectare)</x:v>
      </x:c>
    </x:row>
    <x:row r="3414" ht="44" customHeight="1">
      <x:c r="A3414" s="2" t="str">
        <x:v>LTU</x:v>
      </x:c>
      <x:c r="B3414" s="2" t="str">
        <x:v>water_stress</x:v>
      </x:c>
      <x:c r="C3414" s="2" t="n">
        <x:v>2.165537131</x:v>
      </x:c>
      <x:c r="D3414" s="2" t="n">
        <x:v>2022</x:v>
      </x:c>
      <x:c r="E3414" s="2" t="str">
        <x:v>WB_water_stress</x:v>
      </x:c>
      <x:c r="F3414" s="2" t="str">
        <x:v>Level of water stress: freshwater withdrawal as a proportion of available freshwater resources</x:v>
      </x:c>
    </x:row>
    <x:row r="3415" ht="44" customHeight="1">
      <x:c r="A3415" s="2" t="str">
        <x:v>LTU</x:v>
      </x:c>
      <x:c r="B3415" s="2" t="str">
        <x:v>fertility</x:v>
      </x:c>
      <x:c r="C3415" s="2" t="n">
        <x:v>1.11</x:v>
      </x:c>
      <x:c r="D3415" s="2" t="n">
        <x:v>2024</x:v>
      </x:c>
      <x:c r="E3415" s="2" t="str">
        <x:v>WB_fertility</x:v>
      </x:c>
      <x:c r="F3415" s="2" t="str">
        <x:v>Fertility rate, total (births per woman)</x:v>
      </x:c>
    </x:row>
    <x:row r="3416" ht="44" customHeight="1">
      <x:c r="A3416" s="2" t="str">
        <x:v>LTU</x:v>
      </x:c>
      <x:c r="B3416" s="2" t="str">
        <x:v>life_expectancy</x:v>
      </x:c>
      <x:c r="C3416" s="2" t="n">
        <x:v>77.1951219512195</x:v>
      </x:c>
      <x:c r="D3416" s="2" t="n">
        <x:v>2024</x:v>
      </x:c>
      <x:c r="E3416" s="2" t="str">
        <x:v>WB_life_expectancy</x:v>
      </x:c>
      <x:c r="F3416" s="2" t="str">
        <x:v>Life expectancy at birth, total (years)</x:v>
      </x:c>
    </x:row>
    <x:row r="3417" ht="44" customHeight="1">
      <x:c r="A3417" s="2" t="str">
        <x:v>LTU</x:v>
      </x:c>
      <x:c r="B3417" s="2" t="str">
        <x:v>age_under15</x:v>
      </x:c>
      <x:c r="C3417" s="2" t="n">
        <x:v>14.5052134263816</x:v>
      </x:c>
      <x:c r="D3417" s="2" t="n">
        <x:v>2025</x:v>
      </x:c>
      <x:c r="E3417" s="2" t="str">
        <x:v>WB_age_under15</x:v>
      </x:c>
      <x:c r="F3417" s="2" t="str">
        <x:v>Population ages 0-14 (% of total population)</x:v>
      </x:c>
    </x:row>
    <x:row r="3418" ht="44" customHeight="1">
      <x:c r="A3418" s="2" t="str">
        <x:v>LTU</x:v>
      </x:c>
      <x:c r="B3418" s="2" t="str">
        <x:v>age_over65</x:v>
      </x:c>
      <x:c r="C3418" s="2" t="n">
        <x:v>20.7219454695688</x:v>
      </x:c>
      <x:c r="D3418" s="2" t="n">
        <x:v>2025</x:v>
      </x:c>
      <x:c r="E3418" s="2" t="str">
        <x:v>WB_age_over65</x:v>
      </x:c>
      <x:c r="F3418" s="2" t="str">
        <x:v>Population ages 65 and above (% of total population)</x:v>
      </x:c>
    </x:row>
    <x:row r="3419" ht="44" customHeight="1">
      <x:c r="A3419" s="2" t="str">
        <x:v>LTU</x:v>
      </x:c>
      <x:c r="B3419" s="2" t="str">
        <x:v>dependency_ratio</x:v>
      </x:c>
      <x:c r="C3419" s="2" t="n">
        <x:v>54.3856930076355</x:v>
      </x:c>
      <x:c r="D3419" s="2" t="n">
        <x:v>2025</x:v>
      </x:c>
      <x:c r="E3419" s="2" t="str">
        <x:v>WB_dependency_ratio</x:v>
      </x:c>
      <x:c r="F3419" s="2" t="str">
        <x:v>Age dependency ratio (% of working-age population)</x:v>
      </x:c>
    </x:row>
    <x:row r="3420" ht="44" customHeight="1">
      <x:c r="A3420" s="2" t="str">
        <x:v>LTU</x:v>
      </x:c>
      <x:c r="B3420" s="2" t="str">
        <x:v>net_migration</x:v>
      </x:c>
      <x:c r="C3420" s="2" t="n">
        <x:v>-24618</x:v>
      </x:c>
      <x:c r="D3420" s="2" t="n">
        <x:v>2025</x:v>
      </x:c>
      <x:c r="E3420" s="2" t="str">
        <x:v>WB_net_migration</x:v>
      </x:c>
      <x:c r="F3420" s="2" t="str">
        <x:v>Net migration</x:v>
      </x:c>
    </x:row>
    <x:row r="3421" ht="44" customHeight="1">
      <x:c r="A3421" s="2" t="str">
        <x:v>LTU</x:v>
      </x:c>
      <x:c r="B3421" s="2" t="str">
        <x:v>real_gdp</x:v>
      </x:c>
      <x:c r="C3421" s="2" t="n">
        <x:v>57090361644.5279</x:v>
      </x:c>
      <x:c r="D3421" s="2" t="n">
        <x:v>2025</x:v>
      </x:c>
      <x:c r="E3421" s="2" t="str">
        <x:v>WB_real_gdp</x:v>
      </x:c>
      <x:c r="F3421" s="2" t="str">
        <x:v>GDP (constant 2015 US$)</x:v>
      </x:c>
    </x:row>
    <x:row r="3422" ht="44" customHeight="1">
      <x:c r="A3422" s="2" t="str">
        <x:v>LTU</x:v>
      </x:c>
      <x:c r="B3422" s="2" t="str">
        <x:v>gdp_growth</x:v>
      </x:c>
      <x:c r="C3422" s="2" t="n">
        <x:v>2.92007656461696</x:v>
      </x:c>
      <x:c r="D3422" s="2" t="n">
        <x:v>2025</x:v>
      </x:c>
      <x:c r="E3422" s="2" t="str">
        <x:v>WB_gdp_growth</x:v>
      </x:c>
      <x:c r="F3422" s="2" t="str">
        <x:v>GDP growth (annual %)</x:v>
      </x:c>
    </x:row>
    <x:row r="3423" ht="44" customHeight="1">
      <x:c r="A3423" s="2" t="str">
        <x:v>LTU</x:v>
      </x:c>
      <x:c r="B3423" s="2" t="str">
        <x:v>real_income</x:v>
      </x:c>
      <x:c r="C3423" s="2" t="n">
        <x:v>19762.8342142819</x:v>
      </x:c>
      <x:c r="D3423" s="2" t="n">
        <x:v>2025</x:v>
      </x:c>
      <x:c r="E3423" s="2" t="str">
        <x:v>WB_real_income</x:v>
      </x:c>
      <x:c r="F3423" s="2" t="str">
        <x:v>GDP per capita (constant 2015 US$)</x:v>
      </x:c>
    </x:row>
    <x:row r="3424" ht="44" customHeight="1">
      <x:c r="A3424" s="2" t="str">
        <x:v>LTU</x:v>
      </x:c>
      <x:c r="B3424" s="2" t="str">
        <x:v>agriculture_gdp</x:v>
      </x:c>
      <x:c r="C3424" s="2" t="n">
        <x:v>2.27149750051117</x:v>
      </x:c>
      <x:c r="D3424" s="2" t="n">
        <x:v>2025</x:v>
      </x:c>
      <x:c r="E3424" s="2" t="str">
        <x:v>WB_agriculture_gdp</x:v>
      </x:c>
      <x:c r="F3424" s="2" t="str">
        <x:v>Agriculture, forestry, and fishing, value added (% of GDP)</x:v>
      </x:c>
    </x:row>
    <x:row r="3425" ht="44" customHeight="1">
      <x:c r="A3425" s="2" t="str">
        <x:v>LTU</x:v>
      </x:c>
      <x:c r="B3425" s="2" t="str">
        <x:v>poverty</x:v>
      </x:c>
      <x:c r="C3425" s="2" t="n">
        <x:v>1.1</x:v>
      </x:c>
      <x:c r="D3425" s="2" t="n">
        <x:v>2023</x:v>
      </x:c>
      <x:c r="E3425" s="2" t="str">
        <x:v>WB_poverty</x:v>
      </x:c>
      <x:c r="F3425" s="2" t="str">
        <x:v>Poverty headcount ratio at $3.00 a day (2021 PPP) (% of population)</x:v>
      </x:c>
    </x:row>
    <x:row r="3426" ht="44" customHeight="1">
      <x:c r="A3426" s="2" t="str">
        <x:v>LTU</x:v>
      </x:c>
      <x:c r="B3426" s="2" t="str">
        <x:v>gini</x:v>
      </x:c>
      <x:c r="C3426" s="2" t="n">
        <x:v>36</x:v>
      </x:c>
      <x:c r="D3426" s="2" t="n">
        <x:v>2023</x:v>
      </x:c>
      <x:c r="E3426" s="2" t="str">
        <x:v>WB_gini</x:v>
      </x:c>
      <x:c r="F3426" s="2" t="str">
        <x:v>Gini index</x:v>
      </x:c>
    </x:row>
    <x:row r="3427" ht="44" customHeight="1">
      <x:c r="A3427" s="2" t="str">
        <x:v>LTU</x:v>
      </x:c>
      <x:c r="B3427" s="2" t="str">
        <x:v>unemployment</x:v>
      </x:c>
      <x:c r="C3427" s="2" t="n">
        <x:v>6.731</x:v>
      </x:c>
      <x:c r="D3427" s="2" t="n">
        <x:v>2025</x:v>
      </x:c>
      <x:c r="E3427" s="2" t="str">
        <x:v>WB_unemployment</x:v>
      </x:c>
      <x:c r="F3427" s="2" t="str">
        <x:v>Unemployment, total (% of total labor force) (modeled ILO estimate)</x:v>
      </x:c>
    </x:row>
    <x:row r="3428" ht="44" customHeight="1">
      <x:c r="A3428" s="2" t="str">
        <x:v>LTU</x:v>
      </x:c>
      <x:c r="B3428" s="2" t="str">
        <x:v>private_credit</x:v>
      </x:c>
      <x:c r="C3428" s="2" t="n">
        <x:v>35.7017195575053</x:v>
      </x:c>
      <x:c r="D3428" s="2" t="n">
        <x:v>2024</x:v>
      </x:c>
      <x:c r="E3428" s="2" t="str">
        <x:v>WB_private_credit</x:v>
      </x:c>
      <x:c r="F3428" s="2" t="str">
        <x:v>Domestic credit to private sector (% of GDP)</x:v>
      </x:c>
    </x:row>
    <x:row r="3429" ht="44" customHeight="1">
      <x:c r="A3429" s="2" t="str">
        <x:v>LTU</x:v>
      </x:c>
      <x:c r="B3429" s="2" t="str">
        <x:v>lending_rate</x:v>
      </x:c>
      <x:c r="C3429" s="2"/>
      <x:c r="D3429" s="2"/>
      <x:c r="E3429" s="2" t="str">
        <x:v>Missing</x:v>
      </x:c>
      <x:c r="F3429" s="2" t="str">
        <x:v>Lending interest rate (%)</x:v>
      </x:c>
    </x:row>
    <x:row r="3430" ht="44" customHeight="1">
      <x:c r="A3430" s="2" t="str">
        <x:v>LTU</x:v>
      </x:c>
      <x:c r="B3430" s="2" t="str">
        <x:v>real_interest</x:v>
      </x:c>
      <x:c r="C3430" s="2"/>
      <x:c r="D3430" s="2"/>
      <x:c r="E3430" s="2" t="str">
        <x:v>Missing</x:v>
      </x:c>
      <x:c r="F3430" s="2" t="str">
        <x:v>Real interest rate (%)</x:v>
      </x:c>
    </x:row>
    <x:row r="3431" ht="44" customHeight="1">
      <x:c r="A3431" s="2" t="str">
        <x:v>LTU</x:v>
      </x:c>
      <x:c r="B3431" s="2" t="str">
        <x:v>government_debt</x:v>
      </x:c>
      <x:c r="C3431" s="2"/>
      <x:c r="D3431" s="2"/>
      <x:c r="E3431" s="2" t="str">
        <x:v>Missing</x:v>
      </x:c>
      <x:c r="F3431" s="2" t="str">
        <x:v>Central government debt, total (% of GDP)</x:v>
      </x:c>
    </x:row>
    <x:row r="3432" ht="44" customHeight="1">
      <x:c r="A3432" s="2" t="str">
        <x:v>LTU</x:v>
      </x:c>
      <x:c r="B3432" s="2" t="str">
        <x:v>electricity_access</x:v>
      </x:c>
      <x:c r="C3432" s="2" t="n">
        <x:v>100</x:v>
      </x:c>
      <x:c r="D3432" s="2" t="n">
        <x:v>2024</x:v>
      </x:c>
      <x:c r="E3432" s="2" t="str">
        <x:v>WB_electricity_access</x:v>
      </x:c>
      <x:c r="F3432" s="2" t="str">
        <x:v>Access to electricity (% of population)</x:v>
      </x:c>
    </x:row>
    <x:row r="3433" ht="44" customHeight="1">
      <x:c r="A3433" s="2" t="str">
        <x:v>LTU</x:v>
      </x:c>
      <x:c r="B3433" s="2" t="str">
        <x:v>irrigated_land</x:v>
      </x:c>
      <x:c r="C3433" s="2" t="n">
        <x:v>0.207183634633682</x:v>
      </x:c>
      <x:c r="D3433" s="2" t="n">
        <x:v>2020</x:v>
      </x:c>
      <x:c r="E3433" s="2" t="str">
        <x:v>WB_irrigated_land</x:v>
      </x:c>
      <x:c r="F3433" s="2" t="str">
        <x:v>Agricultural irrigated land (% of total agricultural land)</x:v>
      </x:c>
    </x:row>
    <x:row r="3434" ht="44" customHeight="1">
      <x:c r="A3434" s="2" t="str">
        <x:v>LTU</x:v>
      </x:c>
      <x:c r="B3434" s="2" t="str">
        <x:v>cereal_area</x:v>
      </x:c>
      <x:c r="C3434" s="2" t="n">
        <x:v>1344490</x:v>
      </x:c>
      <x:c r="D3434" s="2" t="n">
        <x:v>2023</x:v>
      </x:c>
      <x:c r="E3434" s="2" t="str">
        <x:v>WB_cereal_area</x:v>
      </x:c>
      <x:c r="F3434" s="2" t="str">
        <x:v>Land under cereal production (hectares)</x:v>
      </x:c>
    </x:row>
    <x:row r="3435" ht="44" customHeight="1">
      <x:c r="A3435" s="2" t="str">
        <x:v>LTU</x:v>
      </x:c>
      <x:c r="B3435" s="2" t="str">
        <x:v>undernourishment</x:v>
      </x:c>
      <x:c r="C3435" s="2" t="n">
        <x:v>2.5</x:v>
      </x:c>
      <x:c r="D3435" s="2" t="n">
        <x:v>2023</x:v>
      </x:c>
      <x:c r="E3435" s="2" t="str">
        <x:v>WB_undernourishment</x:v>
      </x:c>
      <x:c r="F3435" s="2" t="str">
        <x:v>Prevalence of undernourishment (% of population)</x:v>
      </x:c>
    </x:row>
    <x:row r="3436" ht="44" customHeight="1">
      <x:c r="A3436" s="2" t="str">
        <x:v>LTU</x:v>
      </x:c>
      <x:c r="B3436" s="2" t="str">
        <x:v>agriculture_employment</x:v>
      </x:c>
      <x:c r="C3436" s="2" t="n">
        <x:v>4.66290773768441</x:v>
      </x:c>
      <x:c r="D3436" s="2" t="n">
        <x:v>2025</x:v>
      </x:c>
      <x:c r="E3436" s="2" t="str">
        <x:v>WB_agriculture_employment</x:v>
      </x:c>
      <x:c r="F3436" s="2" t="str">
        <x:v>Employment in agriculture (% of total employment) (modeled ILO estimate)</x:v>
      </x:c>
    </x:row>
    <x:row r="3437" ht="44" customHeight="1">
      <x:c r="A3437" s="2" t="str">
        <x:v>LTU</x:v>
      </x:c>
      <x:c r="B3437" s="2" t="str">
        <x:v>water_withdrawal</x:v>
      </x:c>
      <x:c r="C3437" s="2" t="n">
        <x:v>1.94282018111255</x:v>
      </x:c>
      <x:c r="D3437" s="2" t="n">
        <x:v>2022</x:v>
      </x:c>
      <x:c r="E3437" s="2" t="str">
        <x:v>WB_water_withdrawal</x:v>
      </x:c>
      <x:c r="F3437" s="2" t="str">
        <x:v>Annual freshwater withdrawals, total (% of internal resources)</x:v>
      </x:c>
    </x:row>
    <x:row r="3438" ht="44" customHeight="1">
      <x:c r="A3438" s="2" t="str">
        <x:v>LUX</x:v>
      </x:c>
      <x:c r="B3438" s="2" t="str">
        <x:v>population</x:v>
      </x:c>
      <x:c r="C3438" s="2" t="n">
        <x:v>686970</x:v>
      </x:c>
      <x:c r="D3438" s="2" t="n">
        <x:v>2025</x:v>
      </x:c>
      <x:c r="E3438" s="2" t="str">
        <x:v>WB_population</x:v>
      </x:c>
      <x:c r="F3438" s="2" t="str">
        <x:v>Population, total</x:v>
      </x:c>
    </x:row>
    <x:row r="3439" ht="44" customHeight="1">
      <x:c r="A3439" s="2" t="str">
        <x:v>LUX</x:v>
      </x:c>
      <x:c r="B3439" s="2" t="str">
        <x:v>income_ppp</x:v>
      </x:c>
      <x:c r="C3439" s="2" t="n">
        <x:v>127420.601625165</x:v>
      </x:c>
      <x:c r="D3439" s="2" t="n">
        <x:v>2025</x:v>
      </x:c>
      <x:c r="E3439" s="2" t="str">
        <x:v>WB_income_ppp</x:v>
      </x:c>
      <x:c r="F3439" s="2" t="str">
        <x:v>GDP per capita, PPP (constant 2021 international $)</x:v>
      </x:c>
    </x:row>
    <x:row r="3440" ht="44" customHeight="1">
      <x:c r="A3440" s="2" t="str">
        <x:v>LUX</x:v>
      </x:c>
      <x:c r="B3440" s="2" t="str">
        <x:v>urban</x:v>
      </x:c>
      <x:c r="C3440" s="2" t="n">
        <x:v>94.8841729598587</x:v>
      </x:c>
      <x:c r="D3440" s="2" t="n">
        <x:v>2025</x:v>
      </x:c>
      <x:c r="E3440" s="2" t="str">
        <x:v>WB_urban</x:v>
      </x:c>
      <x:c r="F3440" s="2" t="str">
        <x:v>Urban population (% of total population)</x:v>
      </x:c>
    </x:row>
    <x:row r="3441" ht="44" customHeight="1">
      <x:c r="A3441" s="2" t="str">
        <x:v>LUX</x:v>
      </x:c>
      <x:c r="B3441" s="2" t="str">
        <x:v>inflation</x:v>
      </x:c>
      <x:c r="C3441" s="2" t="n">
        <x:v>2.25723817871726</x:v>
      </x:c>
      <x:c r="D3441" s="2" t="n">
        <x:v>2025</x:v>
      </x:c>
      <x:c r="E3441" s="2" t="str">
        <x:v>WB_inflation</x:v>
      </x:c>
      <x:c r="F3441" s="2" t="str">
        <x:v>Inflation, consumer prices (annual %)</x:v>
      </x:c>
    </x:row>
    <x:row r="3442" ht="44" customHeight="1">
      <x:c r="A3442" s="2" t="str">
        <x:v>LUX</x:v>
      </x:c>
      <x:c r="B3442" s="2" t="str">
        <x:v>food_index</x:v>
      </x:c>
      <x:c r="C3442" s="2" t="n">
        <x:v>114.89</x:v>
      </x:c>
      <x:c r="D3442" s="2" t="n">
        <x:v>2022</x:v>
      </x:c>
      <x:c r="E3442" s="2" t="str">
        <x:v>WB_food_index</x:v>
      </x:c>
      <x:c r="F3442" s="2" t="str">
        <x:v>Food production index (2014-2016 = 100)</x:v>
      </x:c>
    </x:row>
    <x:row r="3443" ht="44" customHeight="1">
      <x:c r="A3443" s="2" t="str">
        <x:v>LUX</x:v>
      </x:c>
      <x:c r="B3443" s="2" t="str">
        <x:v>food_import_share</x:v>
      </x:c>
      <x:c r="C3443" s="2" t="n">
        <x:v>14.772183096284</x:v>
      </x:c>
      <x:c r="D3443" s="2" t="n">
        <x:v>2024</x:v>
      </x:c>
      <x:c r="E3443" s="2" t="str">
        <x:v>WB_food_import_share</x:v>
      </x:c>
      <x:c r="F3443" s="2" t="str">
        <x:v>Food imports (% of merchandise imports)</x:v>
      </x:c>
    </x:row>
    <x:row r="3444" ht="44" customHeight="1">
      <x:c r="A3444" s="2" t="str">
        <x:v>LUX</x:v>
      </x:c>
      <x:c r="B3444" s="2" t="str">
        <x:v>food_export_share</x:v>
      </x:c>
      <x:c r="C3444" s="2" t="n">
        <x:v>11.7863752684791</x:v>
      </x:c>
      <x:c r="D3444" s="2" t="n">
        <x:v>2024</x:v>
      </x:c>
      <x:c r="E3444" s="2" t="str">
        <x:v>WB_food_export_share</x:v>
      </x:c>
      <x:c r="F3444" s="2" t="str">
        <x:v>Food exports (% of merchandise exports)</x:v>
      </x:c>
    </x:row>
    <x:row r="3445" ht="44" customHeight="1">
      <x:c r="A3445" s="2" t="str">
        <x:v>LUX</x:v>
      </x:c>
      <x:c r="B3445" s="2" t="str">
        <x:v>imports_usd</x:v>
      </x:c>
      <x:c r="C3445" s="2" t="n">
        <x:v>28171000000</x:v>
      </x:c>
      <x:c r="D3445" s="2" t="n">
        <x:v>2025</x:v>
      </x:c>
      <x:c r="E3445" s="2" t="str">
        <x:v>WB_imports_usd</x:v>
      </x:c>
      <x:c r="F3445" s="2" t="str">
        <x:v>Merchandise imports (current US$)</x:v>
      </x:c>
    </x:row>
    <x:row r="3446" ht="44" customHeight="1">
      <x:c r="A3446" s="2" t="str">
        <x:v>LUX</x:v>
      </x:c>
      <x:c r="B3446" s="2" t="str">
        <x:v>exports_usd</x:v>
      </x:c>
      <x:c r="C3446" s="2" t="n">
        <x:v>18390000000</x:v>
      </x:c>
      <x:c r="D3446" s="2" t="n">
        <x:v>2025</x:v>
      </x:c>
      <x:c r="E3446" s="2" t="str">
        <x:v>WB_exports_usd</x:v>
      </x:c>
      <x:c r="F3446" s="2" t="str">
        <x:v>Merchandise exports (current US$)</x:v>
      </x:c>
    </x:row>
    <x:row r="3447" ht="44" customHeight="1">
      <x:c r="A3447" s="2" t="str">
        <x:v>LUX</x:v>
      </x:c>
      <x:c r="B3447" s="2" t="str">
        <x:v>cereal_yield</x:v>
      </x:c>
      <x:c r="C3447" s="2" t="n">
        <x:v>5539.5</x:v>
      </x:c>
      <x:c r="D3447" s="2" t="n">
        <x:v>2023</x:v>
      </x:c>
      <x:c r="E3447" s="2" t="str">
        <x:v>WB_cereal_yield</x:v>
      </x:c>
      <x:c r="F3447" s="2" t="str">
        <x:v>Cereal yield (kg per hectare)</x:v>
      </x:c>
    </x:row>
    <x:row r="3448" ht="44" customHeight="1">
      <x:c r="A3448" s="2" t="str">
        <x:v>LUX</x:v>
      </x:c>
      <x:c r="B3448" s="2" t="str">
        <x:v>water_stress</x:v>
      </x:c>
      <x:c r="C3448" s="2" t="n">
        <x:v>3.95854063</x:v>
      </x:c>
      <x:c r="D3448" s="2" t="n">
        <x:v>2022</x:v>
      </x:c>
      <x:c r="E3448" s="2" t="str">
        <x:v>WB_water_stress</x:v>
      </x:c>
      <x:c r="F3448" s="2" t="str">
        <x:v>Level of water stress: freshwater withdrawal as a proportion of available freshwater resources</x:v>
      </x:c>
    </x:row>
    <x:row r="3449" ht="44" customHeight="1">
      <x:c r="A3449" s="2" t="str">
        <x:v>LUX</x:v>
      </x:c>
      <x:c r="B3449" s="2" t="str">
        <x:v>fertility</x:v>
      </x:c>
      <x:c r="C3449" s="2" t="n">
        <x:v>1.25</x:v>
      </x:c>
      <x:c r="D3449" s="2" t="n">
        <x:v>2024</x:v>
      </x:c>
      <x:c r="E3449" s="2" t="str">
        <x:v>WB_fertility</x:v>
      </x:c>
      <x:c r="F3449" s="2" t="str">
        <x:v>Fertility rate, total (births per woman)</x:v>
      </x:c>
    </x:row>
    <x:row r="3450" ht="44" customHeight="1">
      <x:c r="A3450" s="2" t="str">
        <x:v>LUX</x:v>
      </x:c>
      <x:c r="B3450" s="2" t="str">
        <x:v>life_expectancy</x:v>
      </x:c>
      <x:c r="C3450" s="2" t="n">
        <x:v>83.1951219512195</x:v>
      </x:c>
      <x:c r="D3450" s="2" t="n">
        <x:v>2024</x:v>
      </x:c>
      <x:c r="E3450" s="2" t="str">
        <x:v>WB_life_expectancy</x:v>
      </x:c>
      <x:c r="F3450" s="2" t="str">
        <x:v>Life expectancy at birth, total (years)</x:v>
      </x:c>
    </x:row>
    <x:row r="3451" ht="44" customHeight="1">
      <x:c r="A3451" s="2" t="str">
        <x:v>LUX</x:v>
      </x:c>
      <x:c r="B3451" s="2" t="str">
        <x:v>age_under15</x:v>
      </x:c>
      <x:c r="C3451" s="2" t="n">
        <x:v>15.7458959355783</x:v>
      </x:c>
      <x:c r="D3451" s="2" t="n">
        <x:v>2025</x:v>
      </x:c>
      <x:c r="E3451" s="2" t="str">
        <x:v>WB_age_under15</x:v>
      </x:c>
      <x:c r="F3451" s="2" t="str">
        <x:v>Population ages 0-14 (% of total population)</x:v>
      </x:c>
    </x:row>
    <x:row r="3452" ht="44" customHeight="1">
      <x:c r="A3452" s="2" t="str">
        <x:v>LUX</x:v>
      </x:c>
      <x:c r="B3452" s="2" t="str">
        <x:v>age_over65</x:v>
      </x:c>
      <x:c r="C3452" s="2" t="n">
        <x:v>15.8123957037476</x:v>
      </x:c>
      <x:c r="D3452" s="2" t="n">
        <x:v>2025</x:v>
      </x:c>
      <x:c r="E3452" s="2" t="str">
        <x:v>WB_age_over65</x:v>
      </x:c>
      <x:c r="F3452" s="2" t="str">
        <x:v>Population ages 65 and above (% of total population)</x:v>
      </x:c>
    </x:row>
    <x:row r="3453" ht="44" customHeight="1">
      <x:c r="A3453" s="2" t="str">
        <x:v>LUX</x:v>
      </x:c>
      <x:c r="B3453" s="2" t="str">
        <x:v>dependency_ratio</x:v>
      </x:c>
      <x:c r="C3453" s="2" t="n">
        <x:v>46.1097380969599</x:v>
      </x:c>
      <x:c r="D3453" s="2" t="n">
        <x:v>2025</x:v>
      </x:c>
      <x:c r="E3453" s="2" t="str">
        <x:v>WB_dependency_ratio</x:v>
      </x:c>
      <x:c r="F3453" s="2" t="str">
        <x:v>Age dependency ratio (% of working-age population)</x:v>
      </x:c>
    </x:row>
    <x:row r="3454" ht="44" customHeight="1">
      <x:c r="A3454" s="2" t="str">
        <x:v>LUX</x:v>
      </x:c>
      <x:c r="B3454" s="2" t="str">
        <x:v>net_migration</x:v>
      </x:c>
      <x:c r="C3454" s="2" t="n">
        <x:v>5237</x:v>
      </x:c>
      <x:c r="D3454" s="2" t="n">
        <x:v>2025</x:v>
      </x:c>
      <x:c r="E3454" s="2" t="str">
        <x:v>WB_net_migration</x:v>
      </x:c>
      <x:c r="F3454" s="2" t="str">
        <x:v>Net migration</x:v>
      </x:c>
    </x:row>
    <x:row r="3455" ht="44" customHeight="1">
      <x:c r="A3455" s="2" t="str">
        <x:v>LUX</x:v>
      </x:c>
      <x:c r="B3455" s="2" t="str">
        <x:v>real_gdp</x:v>
      </x:c>
      <x:c r="C3455" s="2" t="n">
        <x:v>70958604647.057</x:v>
      </x:c>
      <x:c r="D3455" s="2" t="n">
        <x:v>2025</x:v>
      </x:c>
      <x:c r="E3455" s="2" t="str">
        <x:v>WB_real_gdp</x:v>
      </x:c>
      <x:c r="F3455" s="2" t="str">
        <x:v>GDP (constant 2015 US$)</x:v>
      </x:c>
    </x:row>
    <x:row r="3456" ht="44" customHeight="1">
      <x:c r="A3456" s="2" t="str">
        <x:v>LUX</x:v>
      </x:c>
      <x:c r="B3456" s="2" t="str">
        <x:v>gdp_growth</x:v>
      </x:c>
      <x:c r="C3456" s="2" t="n">
        <x:v>0.63787818818335</x:v>
      </x:c>
      <x:c r="D3456" s="2" t="n">
        <x:v>2025</x:v>
      </x:c>
      <x:c r="E3456" s="2" t="str">
        <x:v>WB_gdp_growth</x:v>
      </x:c>
      <x:c r="F3456" s="2" t="str">
        <x:v>GDP growth (annual %)</x:v>
      </x:c>
    </x:row>
    <x:row r="3457" ht="44" customHeight="1">
      <x:c r="A3457" s="2" t="str">
        <x:v>LUX</x:v>
      </x:c>
      <x:c r="B3457" s="2" t="str">
        <x:v>real_income</x:v>
      </x:c>
      <x:c r="C3457" s="2" t="n">
        <x:v>103292.144703636</x:v>
      </x:c>
      <x:c r="D3457" s="2" t="n">
        <x:v>2025</x:v>
      </x:c>
      <x:c r="E3457" s="2" t="str">
        <x:v>WB_real_income</x:v>
      </x:c>
      <x:c r="F3457" s="2" t="str">
        <x:v>GDP per capita (constant 2015 US$)</x:v>
      </x:c>
    </x:row>
    <x:row r="3458" ht="44" customHeight="1">
      <x:c r="A3458" s="2" t="str">
        <x:v>LUX</x:v>
      </x:c>
      <x:c r="B3458" s="2" t="str">
        <x:v>agriculture_gdp</x:v>
      </x:c>
      <x:c r="C3458" s="2" t="n">
        <x:v>0.232212272400724</x:v>
      </x:c>
      <x:c r="D3458" s="2" t="n">
        <x:v>2025</x:v>
      </x:c>
      <x:c r="E3458" s="2" t="str">
        <x:v>WB_agriculture_gdp</x:v>
      </x:c>
      <x:c r="F3458" s="2" t="str">
        <x:v>Agriculture, forestry, and fishing, value added (% of GDP)</x:v>
      </x:c>
    </x:row>
    <x:row r="3459" ht="44" customHeight="1">
      <x:c r="A3459" s="2" t="str">
        <x:v>LUX</x:v>
      </x:c>
      <x:c r="B3459" s="2" t="str">
        <x:v>poverty</x:v>
      </x:c>
      <x:c r="C3459" s="2" t="n">
        <x:v>0.1</x:v>
      </x:c>
      <x:c r="D3459" s="2" t="n">
        <x:v>2023</x:v>
      </x:c>
      <x:c r="E3459" s="2" t="str">
        <x:v>WB_poverty</x:v>
      </x:c>
      <x:c r="F3459" s="2" t="str">
        <x:v>Poverty headcount ratio at $3.00 a day (2021 PPP) (% of population)</x:v>
      </x:c>
    </x:row>
    <x:row r="3460" ht="44" customHeight="1">
      <x:c r="A3460" s="2" t="str">
        <x:v>LUX</x:v>
      </x:c>
      <x:c r="B3460" s="2" t="str">
        <x:v>gini</x:v>
      </x:c>
      <x:c r="C3460" s="2" t="n">
        <x:v>33.6</x:v>
      </x:c>
      <x:c r="D3460" s="2" t="n">
        <x:v>2023</x:v>
      </x:c>
      <x:c r="E3460" s="2" t="str">
        <x:v>WB_gini</x:v>
      </x:c>
      <x:c r="F3460" s="2" t="str">
        <x:v>Gini index</x:v>
      </x:c>
    </x:row>
    <x:row r="3461" ht="44" customHeight="1">
      <x:c r="A3461" s="2" t="str">
        <x:v>LUX</x:v>
      </x:c>
      <x:c r="B3461" s="2" t="str">
        <x:v>unemployment</x:v>
      </x:c>
      <x:c r="C3461" s="2" t="n">
        <x:v>6.343</x:v>
      </x:c>
      <x:c r="D3461" s="2" t="n">
        <x:v>2025</x:v>
      </x:c>
      <x:c r="E3461" s="2" t="str">
        <x:v>WB_unemployment</x:v>
      </x:c>
      <x:c r="F3461" s="2" t="str">
        <x:v>Unemployment, total (% of total labor force) (modeled ILO estimate)</x:v>
      </x:c>
    </x:row>
    <x:row r="3462" ht="44" customHeight="1">
      <x:c r="A3462" s="2" t="str">
        <x:v>LUX</x:v>
      </x:c>
      <x:c r="B3462" s="2" t="str">
        <x:v>private_credit</x:v>
      </x:c>
      <x:c r="C3462" s="2" t="n">
        <x:v>85.1436082593373</x:v>
      </x:c>
      <x:c r="D3462" s="2" t="n">
        <x:v>2024</x:v>
      </x:c>
      <x:c r="E3462" s="2" t="str">
        <x:v>WB_private_credit</x:v>
      </x:c>
      <x:c r="F3462" s="2" t="str">
        <x:v>Domestic credit to private sector (% of GDP)</x:v>
      </x:c>
    </x:row>
    <x:row r="3463" ht="44" customHeight="1">
      <x:c r="A3463" s="2" t="str">
        <x:v>LUX</x:v>
      </x:c>
      <x:c r="B3463" s="2" t="str">
        <x:v>lending_rate</x:v>
      </x:c>
      <x:c r="C3463" s="2"/>
      <x:c r="D3463" s="2"/>
      <x:c r="E3463" s="2" t="str">
        <x:v>Missing</x:v>
      </x:c>
      <x:c r="F3463" s="2" t="str">
        <x:v>Lending interest rate (%)</x:v>
      </x:c>
    </x:row>
    <x:row r="3464" ht="44" customHeight="1">
      <x:c r="A3464" s="2" t="str">
        <x:v>LUX</x:v>
      </x:c>
      <x:c r="B3464" s="2" t="str">
        <x:v>real_interest</x:v>
      </x:c>
      <x:c r="C3464" s="2"/>
      <x:c r="D3464" s="2"/>
      <x:c r="E3464" s="2" t="str">
        <x:v>Missing</x:v>
      </x:c>
      <x:c r="F3464" s="2" t="str">
        <x:v>Real interest rate (%)</x:v>
      </x:c>
    </x:row>
    <x:row r="3465" ht="44" customHeight="1">
      <x:c r="A3465" s="2" t="str">
        <x:v>LUX</x:v>
      </x:c>
      <x:c r="B3465" s="2" t="str">
        <x:v>government_debt</x:v>
      </x:c>
      <x:c r="C3465" s="2"/>
      <x:c r="D3465" s="2"/>
      <x:c r="E3465" s="2" t="str">
        <x:v>Missing</x:v>
      </x:c>
      <x:c r="F3465" s="2" t="str">
        <x:v>Central government debt, total (% of GDP)</x:v>
      </x:c>
    </x:row>
    <x:row r="3466" ht="44" customHeight="1">
      <x:c r="A3466" s="2" t="str">
        <x:v>LUX</x:v>
      </x:c>
      <x:c r="B3466" s="2" t="str">
        <x:v>electricity_access</x:v>
      </x:c>
      <x:c r="C3466" s="2" t="n">
        <x:v>100</x:v>
      </x:c>
      <x:c r="D3466" s="2" t="n">
        <x:v>2024</x:v>
      </x:c>
      <x:c r="E3466" s="2" t="str">
        <x:v>WB_electricity_access</x:v>
      </x:c>
      <x:c r="F3466" s="2" t="str">
        <x:v>Access to electricity (% of population)</x:v>
      </x:c>
    </x:row>
    <x:row r="3467" ht="44" customHeight="1">
      <x:c r="A3467" s="2" t="str">
        <x:v>LUX</x:v>
      </x:c>
      <x:c r="B3467" s="2" t="str">
        <x:v>irrigated_land</x:v>
      </x:c>
      <x:c r="C3467" s="2" t="n">
        <x:v>0.275567639261283</x:v>
      </x:c>
      <x:c r="D3467" s="2" t="n">
        <x:v>2023</x:v>
      </x:c>
      <x:c r="E3467" s="2" t="str">
        <x:v>WB_irrigated_land</x:v>
      </x:c>
      <x:c r="F3467" s="2" t="str">
        <x:v>Agricultural irrigated land (% of total agricultural land)</x:v>
      </x:c>
    </x:row>
    <x:row r="3468" ht="44" customHeight="1">
      <x:c r="A3468" s="2" t="str">
        <x:v>LUX</x:v>
      </x:c>
      <x:c r="B3468" s="2" t="str">
        <x:v>cereal_area</x:v>
      </x:c>
      <x:c r="C3468" s="2" t="n">
        <x:v>26730</x:v>
      </x:c>
      <x:c r="D3468" s="2" t="n">
        <x:v>2023</x:v>
      </x:c>
      <x:c r="E3468" s="2" t="str">
        <x:v>WB_cereal_area</x:v>
      </x:c>
      <x:c r="F3468" s="2" t="str">
        <x:v>Land under cereal production (hectares)</x:v>
      </x:c>
    </x:row>
    <x:row r="3469" ht="44" customHeight="1">
      <x:c r="A3469" s="2" t="str">
        <x:v>LUX</x:v>
      </x:c>
      <x:c r="B3469" s="2" t="str">
        <x:v>undernourishment</x:v>
      </x:c>
      <x:c r="C3469" s="2" t="n">
        <x:v>2.5</x:v>
      </x:c>
      <x:c r="D3469" s="2" t="n">
        <x:v>2023</x:v>
      </x:c>
      <x:c r="E3469" s="2" t="str">
        <x:v>WB_undernourishment</x:v>
      </x:c>
      <x:c r="F3469" s="2" t="str">
        <x:v>Prevalence of undernourishment (% of population)</x:v>
      </x:c>
    </x:row>
    <x:row r="3470" ht="44" customHeight="1">
      <x:c r="A3470" s="2" t="str">
        <x:v>LUX</x:v>
      </x:c>
      <x:c r="B3470" s="2" t="str">
        <x:v>agriculture_employment</x:v>
      </x:c>
      <x:c r="C3470" s="2" t="n">
        <x:v>0.878170498316335</x:v>
      </x:c>
      <x:c r="D3470" s="2" t="n">
        <x:v>2025</x:v>
      </x:c>
      <x:c r="E3470" s="2" t="str">
        <x:v>WB_agriculture_employment</x:v>
      </x:c>
      <x:c r="F3470" s="2" t="str">
        <x:v>Employment in agriculture (% of total employment) (modeled ILO estimate)</x:v>
      </x:c>
    </x:row>
    <x:row r="3471" ht="44" customHeight="1">
      <x:c r="A3471" s="2" t="str">
        <x:v>LUX</x:v>
      </x:c>
      <x:c r="B3471" s="2" t="str">
        <x:v>water_withdrawal</x:v>
      </x:c>
      <x:c r="C3471" s="2" t="n">
        <x:v>4.774</x:v>
      </x:c>
      <x:c r="D3471" s="2" t="n">
        <x:v>2022</x:v>
      </x:c>
      <x:c r="E3471" s="2" t="str">
        <x:v>WB_water_withdrawal</x:v>
      </x:c>
      <x:c r="F3471" s="2" t="str">
        <x:v>Annual freshwater withdrawals, total (% of internal resources)</x:v>
      </x:c>
    </x:row>
    <x:row r="3472" ht="44" customHeight="1">
      <x:c r="A3472" s="2" t="str">
        <x:v>MDG</x:v>
      </x:c>
      <x:c r="B3472" s="2" t="str">
        <x:v>population</x:v>
      </x:c>
      <x:c r="C3472" s="2" t="n">
        <x:v>32740678</x:v>
      </x:c>
      <x:c r="D3472" s="2" t="n">
        <x:v>2025</x:v>
      </x:c>
      <x:c r="E3472" s="2" t="str">
        <x:v>WB_population</x:v>
      </x:c>
      <x:c r="F3472" s="2" t="str">
        <x:v>Population, total</x:v>
      </x:c>
    </x:row>
    <x:row r="3473" ht="44" customHeight="1">
      <x:c r="A3473" s="2" t="str">
        <x:v>MDG</x:v>
      </x:c>
      <x:c r="B3473" s="2" t="str">
        <x:v>income_ppp</x:v>
      </x:c>
      <x:c r="C3473" s="2" t="n">
        <x:v>1668.47702330854</x:v>
      </x:c>
      <x:c r="D3473" s="2" t="n">
        <x:v>2025</x:v>
      </x:c>
      <x:c r="E3473" s="2" t="str">
        <x:v>WB_income_ppp</x:v>
      </x:c>
      <x:c r="F3473" s="2" t="str">
        <x:v>GDP per capita, PPP (constant 2021 international $)</x:v>
      </x:c>
    </x:row>
    <x:row r="3474" ht="44" customHeight="1">
      <x:c r="A3474" s="2" t="str">
        <x:v>MDG</x:v>
      </x:c>
      <x:c r="B3474" s="2" t="str">
        <x:v>urban</x:v>
      </x:c>
      <x:c r="C3474" s="2" t="n">
        <x:v>32.9017070836898</x:v>
      </x:c>
      <x:c r="D3474" s="2" t="n">
        <x:v>2025</x:v>
      </x:c>
      <x:c r="E3474" s="2" t="str">
        <x:v>WB_urban</x:v>
      </x:c>
      <x:c r="F3474" s="2" t="str">
        <x:v>Urban population (% of total population)</x:v>
      </x:c>
    </x:row>
    <x:row r="3475" ht="44" customHeight="1">
      <x:c r="A3475" s="2" t="str">
        <x:v>MDG</x:v>
      </x:c>
      <x:c r="B3475" s="2" t="str">
        <x:v>inflation</x:v>
      </x:c>
      <x:c r="C3475" s="2" t="n">
        <x:v>8.05052431791227</x:v>
      </x:c>
      <x:c r="D3475" s="2" t="n">
        <x:v>2025</x:v>
      </x:c>
      <x:c r="E3475" s="2" t="str">
        <x:v>WB_inflation</x:v>
      </x:c>
      <x:c r="F3475" s="2" t="str">
        <x:v>Inflation, consumer prices (annual %)</x:v>
      </x:c>
    </x:row>
    <x:row r="3476" ht="44" customHeight="1">
      <x:c r="A3476" s="2" t="str">
        <x:v>MDG</x:v>
      </x:c>
      <x:c r="B3476" s="2" t="str">
        <x:v>food_index</x:v>
      </x:c>
      <x:c r="C3476" s="2" t="n">
        <x:v>105.91</x:v>
      </x:c>
      <x:c r="D3476" s="2" t="n">
        <x:v>2022</x:v>
      </x:c>
      <x:c r="E3476" s="2" t="str">
        <x:v>WB_food_index</x:v>
      </x:c>
      <x:c r="F3476" s="2" t="str">
        <x:v>Food production index (2014-2016 = 100)</x:v>
      </x:c>
    </x:row>
    <x:row r="3477" ht="44" customHeight="1">
      <x:c r="A3477" s="2" t="str">
        <x:v>MDG</x:v>
      </x:c>
      <x:c r="B3477" s="2" t="str">
        <x:v>food_import_share</x:v>
      </x:c>
      <x:c r="C3477" s="2" t="n">
        <x:v>18.356499292133</x:v>
      </x:c>
      <x:c r="D3477" s="2" t="n">
        <x:v>2024</x:v>
      </x:c>
      <x:c r="E3477" s="2" t="str">
        <x:v>WB_food_import_share</x:v>
      </x:c>
      <x:c r="F3477" s="2" t="str">
        <x:v>Food imports (% of merchandise imports)</x:v>
      </x:c>
    </x:row>
    <x:row r="3478" ht="44" customHeight="1">
      <x:c r="A3478" s="2" t="str">
        <x:v>MDG</x:v>
      </x:c>
      <x:c r="B3478" s="2" t="str">
        <x:v>food_export_share</x:v>
      </x:c>
      <x:c r="C3478" s="2" t="n">
        <x:v>30.4735063722727</x:v>
      </x:c>
      <x:c r="D3478" s="2" t="n">
        <x:v>2024</x:v>
      </x:c>
      <x:c r="E3478" s="2" t="str">
        <x:v>WB_food_export_share</x:v>
      </x:c>
      <x:c r="F3478" s="2" t="str">
        <x:v>Food exports (% of merchandise exports)</x:v>
      </x:c>
    </x:row>
    <x:row r="3479" ht="44" customHeight="1">
      <x:c r="A3479" s="2" t="str">
        <x:v>MDG</x:v>
      </x:c>
      <x:c r="B3479" s="2" t="str">
        <x:v>imports_usd</x:v>
      </x:c>
      <x:c r="C3479" s="2" t="n">
        <x:v>5240000000</x:v>
      </x:c>
      <x:c r="D3479" s="2" t="n">
        <x:v>2025</x:v>
      </x:c>
      <x:c r="E3479" s="2" t="str">
        <x:v>WB_imports_usd</x:v>
      </x:c>
      <x:c r="F3479" s="2" t="str">
        <x:v>Merchandise imports (current US$)</x:v>
      </x:c>
    </x:row>
    <x:row r="3480" ht="44" customHeight="1">
      <x:c r="A3480" s="2" t="str">
        <x:v>MDG</x:v>
      </x:c>
      <x:c r="B3480" s="2" t="str">
        <x:v>exports_usd</x:v>
      </x:c>
      <x:c r="C3480" s="2" t="n">
        <x:v>2498000000</x:v>
      </x:c>
      <x:c r="D3480" s="2" t="n">
        <x:v>2025</x:v>
      </x:c>
      <x:c r="E3480" s="2" t="str">
        <x:v>WB_exports_usd</x:v>
      </x:c>
      <x:c r="F3480" s="2" t="str">
        <x:v>Merchandise exports (current US$)</x:v>
      </x:c>
    </x:row>
    <x:row r="3481" ht="44" customHeight="1">
      <x:c r="A3481" s="2" t="str">
        <x:v>MDG</x:v>
      </x:c>
      <x:c r="B3481" s="2" t="str">
        <x:v>cereal_yield</x:v>
      </x:c>
      <x:c r="C3481" s="2" t="n">
        <x:v>2425.6</x:v>
      </x:c>
      <x:c r="D3481" s="2" t="n">
        <x:v>2023</x:v>
      </x:c>
      <x:c r="E3481" s="2" t="str">
        <x:v>WB_cereal_yield</x:v>
      </x:c>
      <x:c r="F3481" s="2" t="str">
        <x:v>Cereal yield (kg per hectare)</x:v>
      </x:c>
    </x:row>
    <x:row r="3482" ht="44" customHeight="1">
      <x:c r="A3482" s="2" t="str">
        <x:v>MDG</x:v>
      </x:c>
      <x:c r="B3482" s="2" t="str">
        <x:v>water_stress</x:v>
      </x:c>
      <x:c r="C3482" s="2" t="n">
        <x:v>11.26150628</x:v>
      </x:c>
      <x:c r="D3482" s="2" t="n">
        <x:v>2022</x:v>
      </x:c>
      <x:c r="E3482" s="2" t="str">
        <x:v>WB_water_stress</x:v>
      </x:c>
      <x:c r="F3482" s="2" t="str">
        <x:v>Level of water stress: freshwater withdrawal as a proportion of available freshwater resources</x:v>
      </x:c>
    </x:row>
    <x:row r="3483" ht="44" customHeight="1">
      <x:c r="A3483" s="2" t="str">
        <x:v>MDG</x:v>
      </x:c>
      <x:c r="B3483" s="2" t="str">
        <x:v>fertility</x:v>
      </x:c>
      <x:c r="C3483" s="2" t="n">
        <x:v>3.912</x:v>
      </x:c>
      <x:c r="D3483" s="2" t="n">
        <x:v>2024</x:v>
      </x:c>
      <x:c r="E3483" s="2" t="str">
        <x:v>WB_fertility</x:v>
      </x:c>
      <x:c r="F3483" s="2" t="str">
        <x:v>Fertility rate, total (births per woman)</x:v>
      </x:c>
    </x:row>
    <x:row r="3484" ht="44" customHeight="1">
      <x:c r="A3484" s="2" t="str">
        <x:v>MDG</x:v>
      </x:c>
      <x:c r="B3484" s="2" t="str">
        <x:v>life_expectancy</x:v>
      </x:c>
      <x:c r="C3484" s="2" t="n">
        <x:v>63.835</x:v>
      </x:c>
      <x:c r="D3484" s="2" t="n">
        <x:v>2024</x:v>
      </x:c>
      <x:c r="E3484" s="2" t="str">
        <x:v>WB_life_expectancy</x:v>
      </x:c>
      <x:c r="F3484" s="2" t="str">
        <x:v>Life expectancy at birth, total (years)</x:v>
      </x:c>
    </x:row>
    <x:row r="3485" ht="44" customHeight="1">
      <x:c r="A3485" s="2" t="str">
        <x:v>MDG</x:v>
      </x:c>
      <x:c r="B3485" s="2" t="str">
        <x:v>age_under15</x:v>
      </x:c>
      <x:c r="C3485" s="2" t="n">
        <x:v>38.9376603624397</x:v>
      </x:c>
      <x:c r="D3485" s="2" t="n">
        <x:v>2025</x:v>
      </x:c>
      <x:c r="E3485" s="2" t="str">
        <x:v>WB_age_under15</x:v>
      </x:c>
      <x:c r="F3485" s="2" t="str">
        <x:v>Population ages 0-14 (% of total population)</x:v>
      </x:c>
    </x:row>
    <x:row r="3486" ht="44" customHeight="1">
      <x:c r="A3486" s="2" t="str">
        <x:v>MDG</x:v>
      </x:c>
      <x:c r="B3486" s="2" t="str">
        <x:v>age_over65</x:v>
      </x:c>
      <x:c r="C3486" s="2" t="n">
        <x:v>3.47289998087395</x:v>
      </x:c>
      <x:c r="D3486" s="2" t="n">
        <x:v>2025</x:v>
      </x:c>
      <x:c r="E3486" s="2" t="str">
        <x:v>WB_age_over65</x:v>
      </x:c>
      <x:c r="F3486" s="2" t="str">
        <x:v>Population ages 65 and above (% of total population)</x:v>
      </x:c>
    </x:row>
    <x:row r="3487" ht="44" customHeight="1">
      <x:c r="A3487" s="2" t="str">
        <x:v>MDG</x:v>
      </x:c>
      <x:c r="B3487" s="2" t="str">
        <x:v>dependency_ratio</x:v>
      </x:c>
      <x:c r="C3487" s="2" t="n">
        <x:v>73.6429466863019</x:v>
      </x:c>
      <x:c r="D3487" s="2" t="n">
        <x:v>2025</x:v>
      </x:c>
      <x:c r="E3487" s="2" t="str">
        <x:v>WB_dependency_ratio</x:v>
      </x:c>
      <x:c r="F3487" s="2" t="str">
        <x:v>Age dependency ratio (% of working-age population)</x:v>
      </x:c>
    </x:row>
    <x:row r="3488" ht="44" customHeight="1">
      <x:c r="A3488" s="2" t="str">
        <x:v>MDG</x:v>
      </x:c>
      <x:c r="B3488" s="2" t="str">
        <x:v>net_migration</x:v>
      </x:c>
      <x:c r="C3488" s="2" t="n">
        <x:v>-2227</x:v>
      </x:c>
      <x:c r="D3488" s="2" t="n">
        <x:v>2025</x:v>
      </x:c>
      <x:c r="E3488" s="2" t="str">
        <x:v>WB_net_migration</x:v>
      </x:c>
      <x:c r="F3488" s="2" t="str">
        <x:v>Net migration</x:v>
      </x:c>
    </x:row>
    <x:row r="3489" ht="44" customHeight="1">
      <x:c r="A3489" s="2" t="str">
        <x:v>MDG</x:v>
      </x:c>
      <x:c r="B3489" s="2" t="str">
        <x:v>real_gdp</x:v>
      </x:c>
      <x:c r="C3489" s="2" t="n">
        <x:v>14946436415.4163</x:v>
      </x:c>
      <x:c r="D3489" s="2" t="n">
        <x:v>2025</x:v>
      </x:c>
      <x:c r="E3489" s="2" t="str">
        <x:v>WB_real_gdp</x:v>
      </x:c>
      <x:c r="F3489" s="2" t="str">
        <x:v>GDP (constant 2015 US$)</x:v>
      </x:c>
    </x:row>
    <x:row r="3490" ht="44" customHeight="1">
      <x:c r="A3490" s="2" t="str">
        <x:v>MDG</x:v>
      </x:c>
      <x:c r="B3490" s="2" t="str">
        <x:v>gdp_growth</x:v>
      </x:c>
      <x:c r="C3490" s="2" t="n">
        <x:v>3.002568866856</x:v>
      </x:c>
      <x:c r="D3490" s="2" t="n">
        <x:v>2025</x:v>
      </x:c>
      <x:c r="E3490" s="2" t="str">
        <x:v>WB_gdp_growth</x:v>
      </x:c>
      <x:c r="F3490" s="2" t="str">
        <x:v>GDP growth (annual %)</x:v>
      </x:c>
    </x:row>
    <x:row r="3491" ht="44" customHeight="1">
      <x:c r="A3491" s="2" t="str">
        <x:v>MDG</x:v>
      </x:c>
      <x:c r="B3491" s="2" t="str">
        <x:v>real_income</x:v>
      </x:c>
      <x:c r="C3491" s="2" t="n">
        <x:v>456.509679348005</x:v>
      </x:c>
      <x:c r="D3491" s="2" t="n">
        <x:v>2025</x:v>
      </x:c>
      <x:c r="E3491" s="2" t="str">
        <x:v>WB_real_income</x:v>
      </x:c>
      <x:c r="F3491" s="2" t="str">
        <x:v>GDP per capita (constant 2015 US$)</x:v>
      </x:c>
    </x:row>
    <x:row r="3492" ht="44" customHeight="1">
      <x:c r="A3492" s="2" t="str">
        <x:v>MDG</x:v>
      </x:c>
      <x:c r="B3492" s="2" t="str">
        <x:v>agriculture_gdp</x:v>
      </x:c>
      <x:c r="C3492" s="2" t="n">
        <x:v>21.702530751089</x:v>
      </x:c>
      <x:c r="D3492" s="2" t="n">
        <x:v>2025</x:v>
      </x:c>
      <x:c r="E3492" s="2" t="str">
        <x:v>WB_agriculture_gdp</x:v>
      </x:c>
      <x:c r="F3492" s="2" t="str">
        <x:v>Agriculture, forestry, and fishing, value added (% of GDP)</x:v>
      </x:c>
    </x:row>
    <x:row r="3493" ht="44" customHeight="1">
      <x:c r="A3493" s="2" t="str">
        <x:v>MDG</x:v>
      </x:c>
      <x:c r="B3493" s="2" t="str">
        <x:v>poverty</x:v>
      </x:c>
      <x:c r="C3493" s="2" t="n">
        <x:v>69.2</x:v>
      </x:c>
      <x:c r="D3493" s="2" t="n">
        <x:v>2021</x:v>
      </x:c>
      <x:c r="E3493" s="2" t="str">
        <x:v>WB_poverty</x:v>
      </x:c>
      <x:c r="F3493" s="2" t="str">
        <x:v>Poverty headcount ratio at $3.00 a day (2021 PPP) (% of population)</x:v>
      </x:c>
    </x:row>
    <x:row r="3494" ht="44" customHeight="1">
      <x:c r="A3494" s="2" t="str">
        <x:v>MDG</x:v>
      </x:c>
      <x:c r="B3494" s="2" t="str">
        <x:v>gini</x:v>
      </x:c>
      <x:c r="C3494" s="2" t="n">
        <x:v>36.8</x:v>
      </x:c>
      <x:c r="D3494" s="2" t="n">
        <x:v>2021</x:v>
      </x:c>
      <x:c r="E3494" s="2" t="str">
        <x:v>WB_gini</x:v>
      </x:c>
      <x:c r="F3494" s="2" t="str">
        <x:v>Gini index</x:v>
      </x:c>
    </x:row>
    <x:row r="3495" ht="44" customHeight="1">
      <x:c r="A3495" s="2" t="str">
        <x:v>MDG</x:v>
      </x:c>
      <x:c r="B3495" s="2" t="str">
        <x:v>unemployment</x:v>
      </x:c>
      <x:c r="C3495" s="2" t="n">
        <x:v>3.041</x:v>
      </x:c>
      <x:c r="D3495" s="2" t="n">
        <x:v>2025</x:v>
      </x:c>
      <x:c r="E3495" s="2" t="str">
        <x:v>WB_unemployment</x:v>
      </x:c>
      <x:c r="F3495" s="2" t="str">
        <x:v>Unemployment, total (% of total labor force) (modeled ILO estimate)</x:v>
      </x:c>
    </x:row>
    <x:row r="3496" ht="44" customHeight="1">
      <x:c r="A3496" s="2" t="str">
        <x:v>MDG</x:v>
      </x:c>
      <x:c r="B3496" s="2" t="str">
        <x:v>private_credit</x:v>
      </x:c>
      <x:c r="C3496" s="2" t="n">
        <x:v>16.4779381826938</x:v>
      </x:c>
      <x:c r="D3496" s="2" t="n">
        <x:v>2024</x:v>
      </x:c>
      <x:c r="E3496" s="2" t="str">
        <x:v>WB_private_credit</x:v>
      </x:c>
      <x:c r="F3496" s="2" t="str">
        <x:v>Domestic credit to private sector (% of GDP)</x:v>
      </x:c>
    </x:row>
    <x:row r="3497" ht="44" customHeight="1">
      <x:c r="A3497" s="2" t="str">
        <x:v>MDG</x:v>
      </x:c>
      <x:c r="B3497" s="2" t="str">
        <x:v>lending_rate</x:v>
      </x:c>
      <x:c r="C3497" s="2" t="n">
        <x:v>60</x:v>
      </x:c>
      <x:c r="D3497" s="2" t="n">
        <x:v>2025</x:v>
      </x:c>
      <x:c r="E3497" s="2" t="str">
        <x:v>WB_lending_rate</x:v>
      </x:c>
      <x:c r="F3497" s="2" t="str">
        <x:v>Lending interest rate (%)</x:v>
      </x:c>
    </x:row>
    <x:row r="3498" ht="44" customHeight="1">
      <x:c r="A3498" s="2" t="str">
        <x:v>MDG</x:v>
      </x:c>
      <x:c r="B3498" s="2" t="str">
        <x:v>real_interest</x:v>
      </x:c>
      <x:c r="C3498" s="2" t="n">
        <x:v>47.6325112573895</x:v>
      </x:c>
      <x:c r="D3498" s="2" t="n">
        <x:v>2025</x:v>
      </x:c>
      <x:c r="E3498" s="2" t="str">
        <x:v>WB_real_interest</x:v>
      </x:c>
      <x:c r="F3498" s="2" t="str">
        <x:v>Real interest rate (%)</x:v>
      </x:c>
    </x:row>
    <x:row r="3499" ht="44" customHeight="1">
      <x:c r="A3499" s="2" t="str">
        <x:v>MDG</x:v>
      </x:c>
      <x:c r="B3499" s="2" t="str">
        <x:v>government_debt</x:v>
      </x:c>
      <x:c r="C3499" s="2"/>
      <x:c r="D3499" s="2"/>
      <x:c r="E3499" s="2" t="str">
        <x:v>Missing</x:v>
      </x:c>
      <x:c r="F3499" s="2" t="str">
        <x:v>Central government debt, total (% of GDP)</x:v>
      </x:c>
    </x:row>
    <x:row r="3500" ht="44" customHeight="1">
      <x:c r="A3500" s="2" t="str">
        <x:v>MDG</x:v>
      </x:c>
      <x:c r="B3500" s="2" t="str">
        <x:v>electricity_access</x:v>
      </x:c>
      <x:c r="C3500" s="2" t="n">
        <x:v>42.5</x:v>
      </x:c>
      <x:c r="D3500" s="2" t="n">
        <x:v>2024</x:v>
      </x:c>
      <x:c r="E3500" s="2" t="str">
        <x:v>WB_electricity_access</x:v>
      </x:c>
      <x:c r="F3500" s="2" t="str">
        <x:v>Access to electricity (% of population)</x:v>
      </x:c>
    </x:row>
    <x:row r="3501" ht="44" customHeight="1">
      <x:c r="A3501" s="2" t="str">
        <x:v>MDG</x:v>
      </x:c>
      <x:c r="B3501" s="2" t="str">
        <x:v>irrigated_land</x:v>
      </x:c>
      <x:c r="C3501" s="2" t="n">
        <x:v>2.17641161078913</x:v>
      </x:c>
      <x:c r="D3501" s="2" t="n">
        <x:v>2007</x:v>
      </x:c>
      <x:c r="E3501" s="2" t="str">
        <x:v>WB_irrigated_land</x:v>
      </x:c>
      <x:c r="F3501" s="2" t="str">
        <x:v>Agricultural irrigated land (% of total agricultural land)</x:v>
      </x:c>
    </x:row>
    <x:row r="3502" ht="44" customHeight="1">
      <x:c r="A3502" s="2" t="str">
        <x:v>MDG</x:v>
      </x:c>
      <x:c r="B3502" s="2" t="str">
        <x:v>cereal_area</x:v>
      </x:c>
      <x:c r="C3502" s="2" t="n">
        <x:v>2222098</x:v>
      </x:c>
      <x:c r="D3502" s="2" t="n">
        <x:v>2023</x:v>
      </x:c>
      <x:c r="E3502" s="2" t="str">
        <x:v>WB_cereal_area</x:v>
      </x:c>
      <x:c r="F3502" s="2" t="str">
        <x:v>Land under cereal production (hectares)</x:v>
      </x:c>
    </x:row>
    <x:row r="3503" ht="44" customHeight="1">
      <x:c r="A3503" s="2" t="str">
        <x:v>MDG</x:v>
      </x:c>
      <x:c r="B3503" s="2" t="str">
        <x:v>undernourishment</x:v>
      </x:c>
      <x:c r="C3503" s="2" t="n">
        <x:v>39.5</x:v>
      </x:c>
      <x:c r="D3503" s="2" t="n">
        <x:v>2023</x:v>
      </x:c>
      <x:c r="E3503" s="2" t="str">
        <x:v>WB_undernourishment</x:v>
      </x:c>
      <x:c r="F3503" s="2" t="str">
        <x:v>Prevalence of undernourishment (% of population)</x:v>
      </x:c>
    </x:row>
    <x:row r="3504" ht="44" customHeight="1">
      <x:c r="A3504" s="2" t="str">
        <x:v>MDG</x:v>
      </x:c>
      <x:c r="B3504" s="2" t="str">
        <x:v>agriculture_employment</x:v>
      </x:c>
      <x:c r="C3504" s="2" t="n">
        <x:v>69.2089003209287</x:v>
      </x:c>
      <x:c r="D3504" s="2" t="n">
        <x:v>2025</x:v>
      </x:c>
      <x:c r="E3504" s="2" t="str">
        <x:v>WB_agriculture_employment</x:v>
      </x:c>
      <x:c r="F3504" s="2" t="str">
        <x:v>Employment in agriculture (% of total employment) (modeled ILO estimate)</x:v>
      </x:c>
    </x:row>
    <x:row r="3505" ht="44" customHeight="1">
      <x:c r="A3505" s="2" t="str">
        <x:v>MDG</x:v>
      </x:c>
      <x:c r="B3505" s="2" t="str">
        <x:v>water_withdrawal</x:v>
      </x:c>
      <x:c r="C3505" s="2" t="n">
        <x:v>3.9933234421365</x:v>
      </x:c>
      <x:c r="D3505" s="2" t="n">
        <x:v>2022</x:v>
      </x:c>
      <x:c r="E3505" s="2" t="str">
        <x:v>WB_water_withdrawal</x:v>
      </x:c>
      <x:c r="F3505" s="2" t="str">
        <x:v>Annual freshwater withdrawals, total (% of internal resources)</x:v>
      </x:c>
    </x:row>
    <x:row r="3506" ht="44" customHeight="1">
      <x:c r="A3506" s="2" t="str">
        <x:v>MWI</x:v>
      </x:c>
      <x:c r="B3506" s="2" t="str">
        <x:v>population</x:v>
      </x:c>
      <x:c r="C3506" s="2" t="n">
        <x:v>22216120</x:v>
      </x:c>
      <x:c r="D3506" s="2" t="n">
        <x:v>2025</x:v>
      </x:c>
      <x:c r="E3506" s="2" t="str">
        <x:v>WB_population</x:v>
      </x:c>
      <x:c r="F3506" s="2" t="str">
        <x:v>Population, total</x:v>
      </x:c>
    </x:row>
    <x:row r="3507" ht="44" customHeight="1">
      <x:c r="A3507" s="2" t="str">
        <x:v>MWI</x:v>
      </x:c>
      <x:c r="B3507" s="2" t="str">
        <x:v>income_ppp</x:v>
      </x:c>
      <x:c r="C3507" s="2" t="n">
        <x:v>1623.02178529282</x:v>
      </x:c>
      <x:c r="D3507" s="2" t="n">
        <x:v>2025</x:v>
      </x:c>
      <x:c r="E3507" s="2" t="str">
        <x:v>WB_income_ppp</x:v>
      </x:c>
      <x:c r="F3507" s="2" t="str">
        <x:v>GDP per capita, PPP (constant 2021 international $)</x:v>
      </x:c>
    </x:row>
    <x:row r="3508" ht="44" customHeight="1">
      <x:c r="A3508" s="2" t="str">
        <x:v>MWI</x:v>
      </x:c>
      <x:c r="B3508" s="2" t="str">
        <x:v>urban</x:v>
      </x:c>
      <x:c r="C3508" s="2" t="n">
        <x:v>17.5949868386317</x:v>
      </x:c>
      <x:c r="D3508" s="2" t="n">
        <x:v>2025</x:v>
      </x:c>
      <x:c r="E3508" s="2" t="str">
        <x:v>WB_urban</x:v>
      </x:c>
      <x:c r="F3508" s="2" t="str">
        <x:v>Urban population (% of total population)</x:v>
      </x:c>
    </x:row>
    <x:row r="3509" ht="44" customHeight="1">
      <x:c r="A3509" s="2" t="str">
        <x:v>MWI</x:v>
      </x:c>
      <x:c r="B3509" s="2" t="str">
        <x:v>inflation</x:v>
      </x:c>
      <x:c r="C3509" s="2" t="n">
        <x:v>28.3702565330281</x:v>
      </x:c>
      <x:c r="D3509" s="2" t="n">
        <x:v>2025</x:v>
      </x:c>
      <x:c r="E3509" s="2" t="str">
        <x:v>WB_inflation</x:v>
      </x:c>
      <x:c r="F3509" s="2" t="str">
        <x:v>Inflation, consumer prices (annual %)</x:v>
      </x:c>
    </x:row>
    <x:row r="3510" ht="44" customHeight="1">
      <x:c r="A3510" s="2" t="str">
        <x:v>MWI</x:v>
      </x:c>
      <x:c r="B3510" s="2" t="str">
        <x:v>food_index</x:v>
      </x:c>
      <x:c r="C3510" s="2" t="n">
        <x:v>146.13</x:v>
      </x:c>
      <x:c r="D3510" s="2" t="n">
        <x:v>2022</x:v>
      </x:c>
      <x:c r="E3510" s="2" t="str">
        <x:v>WB_food_index</x:v>
      </x:c>
      <x:c r="F3510" s="2" t="str">
        <x:v>Food production index (2014-2016 = 100)</x:v>
      </x:c>
    </x:row>
    <x:row r="3511" ht="44" customHeight="1">
      <x:c r="A3511" s="2" t="str">
        <x:v>MWI</x:v>
      </x:c>
      <x:c r="B3511" s="2" t="str">
        <x:v>food_import_share</x:v>
      </x:c>
      <x:c r="C3511" s="2" t="n">
        <x:v>11.7955009669364</x:v>
      </x:c>
      <x:c r="D3511" s="2" t="n">
        <x:v>2024</x:v>
      </x:c>
      <x:c r="E3511" s="2" t="str">
        <x:v>WB_food_import_share</x:v>
      </x:c>
      <x:c r="F3511" s="2" t="str">
        <x:v>Food imports (% of merchandise imports)</x:v>
      </x:c>
    </x:row>
    <x:row r="3512" ht="44" customHeight="1">
      <x:c r="A3512" s="2" t="str">
        <x:v>MWI</x:v>
      </x:c>
      <x:c r="B3512" s="2" t="str">
        <x:v>food_export_share</x:v>
      </x:c>
      <x:c r="C3512" s="2" t="n">
        <x:v>90.1811336591516</x:v>
      </x:c>
      <x:c r="D3512" s="2" t="n">
        <x:v>2024</x:v>
      </x:c>
      <x:c r="E3512" s="2" t="str">
        <x:v>WB_food_export_share</x:v>
      </x:c>
      <x:c r="F3512" s="2" t="str">
        <x:v>Food exports (% of merchandise exports)</x:v>
      </x:c>
    </x:row>
    <x:row r="3513" ht="44" customHeight="1">
      <x:c r="A3513" s="2" t="str">
        <x:v>MWI</x:v>
      </x:c>
      <x:c r="B3513" s="2" t="str">
        <x:v>imports_usd</x:v>
      </x:c>
      <x:c r="C3513" s="2" t="n">
        <x:v>3661000000</x:v>
      </x:c>
      <x:c r="D3513" s="2" t="n">
        <x:v>2025</x:v>
      </x:c>
      <x:c r="E3513" s="2" t="str">
        <x:v>WB_imports_usd</x:v>
      </x:c>
      <x:c r="F3513" s="2" t="str">
        <x:v>Merchandise imports (current US$)</x:v>
      </x:c>
    </x:row>
    <x:row r="3514" ht="44" customHeight="1">
      <x:c r="A3514" s="2" t="str">
        <x:v>MWI</x:v>
      </x:c>
      <x:c r="B3514" s="2" t="str">
        <x:v>exports_usd</x:v>
      </x:c>
      <x:c r="C3514" s="2" t="n">
        <x:v>947000000</x:v>
      </x:c>
      <x:c r="D3514" s="2" t="n">
        <x:v>2025</x:v>
      </x:c>
      <x:c r="E3514" s="2" t="str">
        <x:v>WB_exports_usd</x:v>
      </x:c>
      <x:c r="F3514" s="2" t="str">
        <x:v>Merchandise exports (current US$)</x:v>
      </x:c>
    </x:row>
    <x:row r="3515" ht="44" customHeight="1">
      <x:c r="A3515" s="2" t="str">
        <x:v>MWI</x:v>
      </x:c>
      <x:c r="B3515" s="2" t="str">
        <x:v>cereal_yield</x:v>
      </x:c>
      <x:c r="C3515" s="2" t="n">
        <x:v>1856.9</x:v>
      </x:c>
      <x:c r="D3515" s="2" t="n">
        <x:v>2023</x:v>
      </x:c>
      <x:c r="E3515" s="2" t="str">
        <x:v>WB_cereal_yield</x:v>
      </x:c>
      <x:c r="F3515" s="2" t="str">
        <x:v>Cereal yield (kg per hectare)</x:v>
      </x:c>
    </x:row>
    <x:row r="3516" ht="44" customHeight="1">
      <x:c r="A3516" s="2" t="str">
        <x:v>MWI</x:v>
      </x:c>
      <x:c r="B3516" s="2" t="str">
        <x:v>water_stress</x:v>
      </x:c>
      <x:c r="C3516" s="2" t="n">
        <x:v>17.50483809</x:v>
      </x:c>
      <x:c r="D3516" s="2" t="n">
        <x:v>2022</x:v>
      </x:c>
      <x:c r="E3516" s="2" t="str">
        <x:v>WB_water_stress</x:v>
      </x:c>
      <x:c r="F3516" s="2" t="str">
        <x:v>Level of water stress: freshwater withdrawal as a proportion of available freshwater resources</x:v>
      </x:c>
    </x:row>
    <x:row r="3517" ht="44" customHeight="1">
      <x:c r="A3517" s="2" t="str">
        <x:v>MWI</x:v>
      </x:c>
      <x:c r="B3517" s="2" t="str">
        <x:v>fertility</x:v>
      </x:c>
      <x:c r="C3517" s="2" t="n">
        <x:v>3.59</x:v>
      </x:c>
      <x:c r="D3517" s="2" t="n">
        <x:v>2024</x:v>
      </x:c>
      <x:c r="E3517" s="2" t="str">
        <x:v>WB_fertility</x:v>
      </x:c>
      <x:c r="F3517" s="2" t="str">
        <x:v>Fertility rate, total (births per woman)</x:v>
      </x:c>
    </x:row>
    <x:row r="3518" ht="44" customHeight="1">
      <x:c r="A3518" s="2" t="str">
        <x:v>MWI</x:v>
      </x:c>
      <x:c r="B3518" s="2" t="str">
        <x:v>life_expectancy</x:v>
      </x:c>
      <x:c r="C3518" s="2" t="n">
        <x:v>67.561</x:v>
      </x:c>
      <x:c r="D3518" s="2" t="n">
        <x:v>2024</x:v>
      </x:c>
      <x:c r="E3518" s="2" t="str">
        <x:v>WB_life_expectancy</x:v>
      </x:c>
      <x:c r="F3518" s="2" t="str">
        <x:v>Life expectancy at birth, total (years)</x:v>
      </x:c>
    </x:row>
    <x:row r="3519" ht="44" customHeight="1">
      <x:c r="A3519" s="2" t="str">
        <x:v>MWI</x:v>
      </x:c>
      <x:c r="B3519" s="2" t="str">
        <x:v>age_under15</x:v>
      </x:c>
      <x:c r="C3519" s="2" t="n">
        <x:v>40.1264766333292</x:v>
      </x:c>
      <x:c r="D3519" s="2" t="n">
        <x:v>2025</x:v>
      </x:c>
      <x:c r="E3519" s="2" t="str">
        <x:v>WB_age_under15</x:v>
      </x:c>
      <x:c r="F3519" s="2" t="str">
        <x:v>Population ages 0-14 (% of total population)</x:v>
      </x:c>
    </x:row>
    <x:row r="3520" ht="44" customHeight="1">
      <x:c r="A3520" s="2" t="str">
        <x:v>MWI</x:v>
      </x:c>
      <x:c r="B3520" s="2" t="str">
        <x:v>age_over65</x:v>
      </x:c>
      <x:c r="C3520" s="2" t="n">
        <x:v>2.58857988227872</x:v>
      </x:c>
      <x:c r="D3520" s="2" t="n">
        <x:v>2025</x:v>
      </x:c>
      <x:c r="E3520" s="2" t="str">
        <x:v>WB_age_over65</x:v>
      </x:c>
      <x:c r="F3520" s="2" t="str">
        <x:v>Population ages 65 and above (% of total population)</x:v>
      </x:c>
    </x:row>
    <x:row r="3521" ht="44" customHeight="1">
      <x:c r="A3521" s="2" t="str">
        <x:v>MWI</x:v>
      </x:c>
      <x:c r="B3521" s="2" t="str">
        <x:v>dependency_ratio</x:v>
      </x:c>
      <x:c r="C3521" s="2" t="n">
        <x:v>74.5659369447606</x:v>
      </x:c>
      <x:c r="D3521" s="2" t="n">
        <x:v>2025</x:v>
      </x:c>
      <x:c r="E3521" s="2" t="str">
        <x:v>WB_dependency_ratio</x:v>
      </x:c>
      <x:c r="F3521" s="2" t="str">
        <x:v>Age dependency ratio (% of working-age population)</x:v>
      </x:c>
    </x:row>
    <x:row r="3522" ht="44" customHeight="1">
      <x:c r="A3522" s="2" t="str">
        <x:v>MWI</x:v>
      </x:c>
      <x:c r="B3522" s="2" t="str">
        <x:v>net_migration</x:v>
      </x:c>
      <x:c r="C3522" s="2" t="n">
        <x:v>-5628</x:v>
      </x:c>
      <x:c r="D3522" s="2" t="n">
        <x:v>2025</x:v>
      </x:c>
      <x:c r="E3522" s="2" t="str">
        <x:v>WB_net_migration</x:v>
      </x:c>
      <x:c r="F3522" s="2" t="str">
        <x:v>Net migration</x:v>
      </x:c>
    </x:row>
    <x:row r="3523" ht="44" customHeight="1">
      <x:c r="A3523" s="2" t="str">
        <x:v>MWI</x:v>
      </x:c>
      <x:c r="B3523" s="2" t="str">
        <x:v>real_gdp</x:v>
      </x:c>
      <x:c r="C3523" s="2" t="n">
        <x:v>12177998253.3931</x:v>
      </x:c>
      <x:c r="D3523" s="2" t="n">
        <x:v>2025</x:v>
      </x:c>
      <x:c r="E3523" s="2" t="str">
        <x:v>WB_real_gdp</x:v>
      </x:c>
      <x:c r="F3523" s="2" t="str">
        <x:v>GDP (constant 2015 US$)</x:v>
      </x:c>
    </x:row>
    <x:row r="3524" ht="44" customHeight="1">
      <x:c r="A3524" s="2" t="str">
        <x:v>MWI</x:v>
      </x:c>
      <x:c r="B3524" s="2" t="str">
        <x:v>gdp_growth</x:v>
      </x:c>
      <x:c r="C3524" s="2" t="n">
        <x:v>1.88518707821663</x:v>
      </x:c>
      <x:c r="D3524" s="2" t="n">
        <x:v>2025</x:v>
      </x:c>
      <x:c r="E3524" s="2" t="str">
        <x:v>WB_gdp_growth</x:v>
      </x:c>
      <x:c r="F3524" s="2" t="str">
        <x:v>GDP growth (annual %)</x:v>
      </x:c>
    </x:row>
    <x:row r="3525" ht="44" customHeight="1">
      <x:c r="A3525" s="2" t="str">
        <x:v>MWI</x:v>
      </x:c>
      <x:c r="B3525" s="2" t="str">
        <x:v>real_income</x:v>
      </x:c>
      <x:c r="C3525" s="2" t="n">
        <x:v>548.160446261232</x:v>
      </x:c>
      <x:c r="D3525" s="2" t="n">
        <x:v>2025</x:v>
      </x:c>
      <x:c r="E3525" s="2" t="str">
        <x:v>WB_real_income</x:v>
      </x:c>
      <x:c r="F3525" s="2" t="str">
        <x:v>GDP per capita (constant 2015 US$)</x:v>
      </x:c>
    </x:row>
    <x:row r="3526" ht="44" customHeight="1">
      <x:c r="A3526" s="2" t="str">
        <x:v>MWI</x:v>
      </x:c>
      <x:c r="B3526" s="2" t="str">
        <x:v>agriculture_gdp</x:v>
      </x:c>
      <x:c r="C3526" s="2" t="n">
        <x:v>30.0312624526817</x:v>
      </x:c>
      <x:c r="D3526" s="2" t="n">
        <x:v>2025</x:v>
      </x:c>
      <x:c r="E3526" s="2" t="str">
        <x:v>WB_agriculture_gdp</x:v>
      </x:c>
      <x:c r="F3526" s="2" t="str">
        <x:v>Agriculture, forestry, and fishing, value added (% of GDP)</x:v>
      </x:c>
    </x:row>
    <x:row r="3527" ht="44" customHeight="1">
      <x:c r="A3527" s="2" t="str">
        <x:v>MWI</x:v>
      </x:c>
      <x:c r="B3527" s="2" t="str">
        <x:v>poverty</x:v>
      </x:c>
      <x:c r="C3527" s="2" t="n">
        <x:v>75.4</x:v>
      </x:c>
      <x:c r="D3527" s="2" t="n">
        <x:v>2019</x:v>
      </x:c>
      <x:c r="E3527" s="2" t="str">
        <x:v>WB_poverty</x:v>
      </x:c>
      <x:c r="F3527" s="2" t="str">
        <x:v>Poverty headcount ratio at $3.00 a day (2021 PPP) (% of population)</x:v>
      </x:c>
    </x:row>
    <x:row r="3528" ht="44" customHeight="1">
      <x:c r="A3528" s="2" t="str">
        <x:v>MWI</x:v>
      </x:c>
      <x:c r="B3528" s="2" t="str">
        <x:v>gini</x:v>
      </x:c>
      <x:c r="C3528" s="2" t="n">
        <x:v>38.5</x:v>
      </x:c>
      <x:c r="D3528" s="2" t="n">
        <x:v>2019</x:v>
      </x:c>
      <x:c r="E3528" s="2" t="str">
        <x:v>WB_gini</x:v>
      </x:c>
      <x:c r="F3528" s="2" t="str">
        <x:v>Gini index</x:v>
      </x:c>
    </x:row>
    <x:row r="3529" ht="44" customHeight="1">
      <x:c r="A3529" s="2" t="str">
        <x:v>MWI</x:v>
      </x:c>
      <x:c r="B3529" s="2" t="str">
        <x:v>unemployment</x:v>
      </x:c>
      <x:c r="C3529" s="2" t="n">
        <x:v>5.072</x:v>
      </x:c>
      <x:c r="D3529" s="2" t="n">
        <x:v>2025</x:v>
      </x:c>
      <x:c r="E3529" s="2" t="str">
        <x:v>WB_unemployment</x:v>
      </x:c>
      <x:c r="F3529" s="2" t="str">
        <x:v>Unemployment, total (% of total labor force) (modeled ILO estimate)</x:v>
      </x:c>
    </x:row>
    <x:row r="3530" ht="44" customHeight="1">
      <x:c r="A3530" s="2" t="str">
        <x:v>MWI</x:v>
      </x:c>
      <x:c r="B3530" s="2" t="str">
        <x:v>private_credit</x:v>
      </x:c>
      <x:c r="C3530" s="2" t="n">
        <x:v>7.91033846538175</x:v>
      </x:c>
      <x:c r="D3530" s="2" t="n">
        <x:v>2024</x:v>
      </x:c>
      <x:c r="E3530" s="2" t="str">
        <x:v>WB_private_credit</x:v>
      </x:c>
      <x:c r="F3530" s="2" t="str">
        <x:v>Domestic credit to private sector (% of GDP)</x:v>
      </x:c>
    </x:row>
    <x:row r="3531" ht="44" customHeight="1">
      <x:c r="A3531" s="2" t="str">
        <x:v>MWI</x:v>
      </x:c>
      <x:c r="B3531" s="2" t="str">
        <x:v>lending_rate</x:v>
      </x:c>
      <x:c r="C3531" s="2" t="n">
        <x:v>37.0641666666667</x:v>
      </x:c>
      <x:c r="D3531" s="2" t="n">
        <x:v>2024</x:v>
      </x:c>
      <x:c r="E3531" s="2" t="str">
        <x:v>WB_lending_rate</x:v>
      </x:c>
      <x:c r="F3531" s="2" t="str">
        <x:v>Lending interest rate (%)</x:v>
      </x:c>
    </x:row>
    <x:row r="3532" ht="44" customHeight="1">
      <x:c r="A3532" s="2" t="str">
        <x:v>MWI</x:v>
      </x:c>
      <x:c r="B3532" s="2" t="str">
        <x:v>real_interest</x:v>
      </x:c>
      <x:c r="C3532" s="2" t="n">
        <x:v>9.96431112479113</x:v>
      </x:c>
      <x:c r="D3532" s="2" t="n">
        <x:v>2024</x:v>
      </x:c>
      <x:c r="E3532" s="2" t="str">
        <x:v>WB_real_interest</x:v>
      </x:c>
      <x:c r="F3532" s="2" t="str">
        <x:v>Real interest rate (%)</x:v>
      </x:c>
    </x:row>
    <x:row r="3533" ht="44" customHeight="1">
      <x:c r="A3533" s="2" t="str">
        <x:v>MWI</x:v>
      </x:c>
      <x:c r="B3533" s="2" t="str">
        <x:v>government_debt</x:v>
      </x:c>
      <x:c r="C3533" s="2" t="n">
        <x:v>61.8124167800324</x:v>
      </x:c>
      <x:c r="D3533" s="2" t="n">
        <x:v>2023</x:v>
      </x:c>
      <x:c r="E3533" s="2" t="str">
        <x:v>WB_government_debt</x:v>
      </x:c>
      <x:c r="F3533" s="2" t="str">
        <x:v>Central government debt, total (% of GDP)</x:v>
      </x:c>
    </x:row>
    <x:row r="3534" ht="44" customHeight="1">
      <x:c r="A3534" s="2" t="str">
        <x:v>MWI</x:v>
      </x:c>
      <x:c r="B3534" s="2" t="str">
        <x:v>electricity_access</x:v>
      </x:c>
      <x:c r="C3534" s="2" t="n">
        <x:v>15.6</x:v>
      </x:c>
      <x:c r="D3534" s="2" t="n">
        <x:v>2024</x:v>
      </x:c>
      <x:c r="E3534" s="2" t="str">
        <x:v>WB_electricity_access</x:v>
      </x:c>
      <x:c r="F3534" s="2" t="str">
        <x:v>Access to electricity (% of population)</x:v>
      </x:c>
    </x:row>
    <x:row r="3535" ht="44" customHeight="1">
      <x:c r="A3535" s="2" t="str">
        <x:v>MWI</x:v>
      </x:c>
      <x:c r="B3535" s="2" t="str">
        <x:v>irrigated_land</x:v>
      </x:c>
      <x:c r="C3535" s="2" t="n">
        <x:v>0.582329317269076</x:v>
      </x:c>
      <x:c r="D3535" s="2" t="n">
        <x:v>2004</x:v>
      </x:c>
      <x:c r="E3535" s="2" t="str">
        <x:v>WB_irrigated_land</x:v>
      </x:c>
      <x:c r="F3535" s="2" t="str">
        <x:v>Agricultural irrigated land (% of total agricultural land)</x:v>
      </x:c>
    </x:row>
    <x:row r="3536" ht="44" customHeight="1">
      <x:c r="A3536" s="2" t="str">
        <x:v>MWI</x:v>
      </x:c>
      <x:c r="B3536" s="2" t="str">
        <x:v>cereal_area</x:v>
      </x:c>
      <x:c r="C3536" s="2" t="n">
        <x:v>2043825</x:v>
      </x:c>
      <x:c r="D3536" s="2" t="n">
        <x:v>2023</x:v>
      </x:c>
      <x:c r="E3536" s="2" t="str">
        <x:v>WB_cereal_area</x:v>
      </x:c>
      <x:c r="F3536" s="2" t="str">
        <x:v>Land under cereal production (hectares)</x:v>
      </x:c>
    </x:row>
    <x:row r="3537" ht="44" customHeight="1">
      <x:c r="A3537" s="2" t="str">
        <x:v>MWI</x:v>
      </x:c>
      <x:c r="B3537" s="2" t="str">
        <x:v>undernourishment</x:v>
      </x:c>
      <x:c r="C3537" s="2" t="n">
        <x:v>21.4</x:v>
      </x:c>
      <x:c r="D3537" s="2" t="n">
        <x:v>2023</x:v>
      </x:c>
      <x:c r="E3537" s="2" t="str">
        <x:v>WB_undernourishment</x:v>
      </x:c>
      <x:c r="F3537" s="2" t="str">
        <x:v>Prevalence of undernourishment (% of population)</x:v>
      </x:c>
    </x:row>
    <x:row r="3538" ht="44" customHeight="1">
      <x:c r="A3538" s="2" t="str">
        <x:v>MWI</x:v>
      </x:c>
      <x:c r="B3538" s="2" t="str">
        <x:v>agriculture_employment</x:v>
      </x:c>
      <x:c r="C3538" s="2" t="n">
        <x:v>64.9775164281121</x:v>
      </x:c>
      <x:c r="D3538" s="2" t="n">
        <x:v>2025</x:v>
      </x:c>
      <x:c r="E3538" s="2" t="str">
        <x:v>WB_agriculture_employment</x:v>
      </x:c>
      <x:c r="F3538" s="2" t="str">
        <x:v>Employment in agriculture (% of total employment) (modeled ILO estimate)</x:v>
      </x:c>
    </x:row>
    <x:row r="3539" ht="44" customHeight="1">
      <x:c r="A3539" s="2" t="str">
        <x:v>MWI</x:v>
      </x:c>
      <x:c r="B3539" s="2" t="str">
        <x:v>water_withdrawal</x:v>
      </x:c>
      <x:c r="C3539" s="2" t="n">
        <x:v>8.40644361833953</x:v>
      </x:c>
      <x:c r="D3539" s="2" t="n">
        <x:v>2022</x:v>
      </x:c>
      <x:c r="E3539" s="2" t="str">
        <x:v>WB_water_withdrawal</x:v>
      </x:c>
      <x:c r="F3539" s="2" t="str">
        <x:v>Annual freshwater withdrawals, total (% of internal resources)</x:v>
      </x:c>
    </x:row>
    <x:row r="3540" ht="44" customHeight="1">
      <x:c r="A3540" s="2" t="str">
        <x:v>MYS</x:v>
      </x:c>
      <x:c r="B3540" s="2" t="str">
        <x:v>population</x:v>
      </x:c>
      <x:c r="C3540" s="2" t="n">
        <x:v>35977838</x:v>
      </x:c>
      <x:c r="D3540" s="2" t="n">
        <x:v>2025</x:v>
      </x:c>
      <x:c r="E3540" s="2" t="str">
        <x:v>WB_population</x:v>
      </x:c>
      <x:c r="F3540" s="2" t="str">
        <x:v>Population, total</x:v>
      </x:c>
    </x:row>
    <x:row r="3541" ht="44" customHeight="1">
      <x:c r="A3541" s="2" t="str">
        <x:v>MYS</x:v>
      </x:c>
      <x:c r="B3541" s="2" t="str">
        <x:v>income_ppp</x:v>
      </x:c>
      <x:c r="C3541" s="2" t="n">
        <x:v>35461.4465805872</x:v>
      </x:c>
      <x:c r="D3541" s="2" t="n">
        <x:v>2025</x:v>
      </x:c>
      <x:c r="E3541" s="2" t="str">
        <x:v>WB_income_ppp</x:v>
      </x:c>
      <x:c r="F3541" s="2" t="str">
        <x:v>GDP per capita, PPP (constant 2021 international $)</x:v>
      </x:c>
    </x:row>
    <x:row r="3542" ht="44" customHeight="1">
      <x:c r="A3542" s="2" t="str">
        <x:v>MYS</x:v>
      </x:c>
      <x:c r="B3542" s="2" t="str">
        <x:v>urban</x:v>
      </x:c>
      <x:c r="C3542" s="2" t="n">
        <x:v>77.3948812296229</x:v>
      </x:c>
      <x:c r="D3542" s="2" t="n">
        <x:v>2025</x:v>
      </x:c>
      <x:c r="E3542" s="2" t="str">
        <x:v>WB_urban</x:v>
      </x:c>
      <x:c r="F3542" s="2" t="str">
        <x:v>Urban population (% of total population)</x:v>
      </x:c>
    </x:row>
    <x:row r="3543" ht="44" customHeight="1">
      <x:c r="A3543" s="2" t="str">
        <x:v>MYS</x:v>
      </x:c>
      <x:c r="B3543" s="2" t="str">
        <x:v>inflation</x:v>
      </x:c>
      <x:c r="C3543" s="2" t="n">
        <x:v>1.38060872293692</x:v>
      </x:c>
      <x:c r="D3543" s="2" t="n">
        <x:v>2025</x:v>
      </x:c>
      <x:c r="E3543" s="2" t="str">
        <x:v>WB_inflation</x:v>
      </x:c>
      <x:c r="F3543" s="2" t="str">
        <x:v>Inflation, consumer prices (annual %)</x:v>
      </x:c>
    </x:row>
    <x:row r="3544" ht="44" customHeight="1">
      <x:c r="A3544" s="2" t="str">
        <x:v>MYS</x:v>
      </x:c>
      <x:c r="B3544" s="2" t="str">
        <x:v>food_index</x:v>
      </x:c>
      <x:c r="C3544" s="2" t="n">
        <x:v>102.8</x:v>
      </x:c>
      <x:c r="D3544" s="2" t="n">
        <x:v>2022</x:v>
      </x:c>
      <x:c r="E3544" s="2" t="str">
        <x:v>WB_food_index</x:v>
      </x:c>
      <x:c r="F3544" s="2" t="str">
        <x:v>Food production index (2014-2016 = 100)</x:v>
      </x:c>
    </x:row>
    <x:row r="3545" ht="44" customHeight="1">
      <x:c r="A3545" s="2" t="str">
        <x:v>MYS</x:v>
      </x:c>
      <x:c r="B3545" s="2" t="str">
        <x:v>food_import_share</x:v>
      </x:c>
      <x:c r="C3545" s="2" t="n">
        <x:v>8.27865446508905</x:v>
      </x:c>
      <x:c r="D3545" s="2" t="n">
        <x:v>2025</x:v>
      </x:c>
      <x:c r="E3545" s="2" t="str">
        <x:v>WB_food_import_share</x:v>
      </x:c>
      <x:c r="F3545" s="2" t="str">
        <x:v>Food imports (% of merchandise imports)</x:v>
      </x:c>
    </x:row>
    <x:row r="3546" ht="44" customHeight="1">
      <x:c r="A3546" s="2" t="str">
        <x:v>MYS</x:v>
      </x:c>
      <x:c r="B3546" s="2" t="str">
        <x:v>food_export_share</x:v>
      </x:c>
      <x:c r="C3546" s="2" t="n">
        <x:v>10.3743761273309</x:v>
      </x:c>
      <x:c r="D3546" s="2" t="n">
        <x:v>2025</x:v>
      </x:c>
      <x:c r="E3546" s="2" t="str">
        <x:v>WB_food_export_share</x:v>
      </x:c>
      <x:c r="F3546" s="2" t="str">
        <x:v>Food exports (% of merchandise exports)</x:v>
      </x:c>
    </x:row>
    <x:row r="3547" ht="44" customHeight="1">
      <x:c r="A3547" s="2" t="str">
        <x:v>MYS</x:v>
      </x:c>
      <x:c r="B3547" s="2" t="str">
        <x:v>imports_usd</x:v>
      </x:c>
      <x:c r="C3547" s="2" t="n">
        <x:v>340436000000</x:v>
      </x:c>
      <x:c r="D3547" s="2" t="n">
        <x:v>2025</x:v>
      </x:c>
      <x:c r="E3547" s="2" t="str">
        <x:v>WB_imports_usd</x:v>
      </x:c>
      <x:c r="F3547" s="2" t="str">
        <x:v>Merchandise imports (current US$)</x:v>
      </x:c>
    </x:row>
    <x:row r="3548" ht="44" customHeight="1">
      <x:c r="A3548" s="2" t="str">
        <x:v>MYS</x:v>
      </x:c>
      <x:c r="B3548" s="2" t="str">
        <x:v>exports_usd</x:v>
      </x:c>
      <x:c r="C3548" s="2" t="n">
        <x:v>376041000000</x:v>
      </x:c>
      <x:c r="D3548" s="2" t="n">
        <x:v>2025</x:v>
      </x:c>
      <x:c r="E3548" s="2" t="str">
        <x:v>WB_exports_usd</x:v>
      </x:c>
      <x:c r="F3548" s="2" t="str">
        <x:v>Merchandise exports (current US$)</x:v>
      </x:c>
    </x:row>
    <x:row r="3549" ht="44" customHeight="1">
      <x:c r="A3549" s="2" t="str">
        <x:v>MYS</x:v>
      </x:c>
      <x:c r="B3549" s="2" t="str">
        <x:v>cereal_yield</x:v>
      </x:c>
      <x:c r="C3549" s="2" t="n">
        <x:v>3523.7</x:v>
      </x:c>
      <x:c r="D3549" s="2" t="n">
        <x:v>2023</x:v>
      </x:c>
      <x:c r="E3549" s="2" t="str">
        <x:v>WB_cereal_yield</x:v>
      </x:c>
      <x:c r="F3549" s="2" t="str">
        <x:v>Cereal yield (kg per hectare)</x:v>
      </x:c>
    </x:row>
    <x:row r="3550" ht="44" customHeight="1">
      <x:c r="A3550" s="2" t="str">
        <x:v>MYS</x:v>
      </x:c>
      <x:c r="B3550" s="2" t="str">
        <x:v>water_stress</x:v>
      </x:c>
      <x:c r="C3550" s="2" t="n">
        <x:v>3.43948718</x:v>
      </x:c>
      <x:c r="D3550" s="2" t="n">
        <x:v>2022</x:v>
      </x:c>
      <x:c r="E3550" s="2" t="str">
        <x:v>WB_water_stress</x:v>
      </x:c>
      <x:c r="F3550" s="2" t="str">
        <x:v>Level of water stress: freshwater withdrawal as a proportion of available freshwater resources</x:v>
      </x:c>
    </x:row>
    <x:row r="3551" ht="44" customHeight="1">
      <x:c r="A3551" s="2" t="str">
        <x:v>MYS</x:v>
      </x:c>
      <x:c r="B3551" s="2" t="str">
        <x:v>fertility</x:v>
      </x:c>
      <x:c r="C3551" s="2" t="n">
        <x:v>1.543</x:v>
      </x:c>
      <x:c r="D3551" s="2" t="n">
        <x:v>2024</x:v>
      </x:c>
      <x:c r="E3551" s="2" t="str">
        <x:v>WB_fertility</x:v>
      </x:c>
      <x:c r="F3551" s="2" t="str">
        <x:v>Fertility rate, total (births per woman)</x:v>
      </x:c>
    </x:row>
    <x:row r="3552" ht="44" customHeight="1">
      <x:c r="A3552" s="2" t="str">
        <x:v>MYS</x:v>
      </x:c>
      <x:c r="B3552" s="2" t="str">
        <x:v>life_expectancy</x:v>
      </x:c>
      <x:c r="C3552" s="2" t="n">
        <x:v>76.821</x:v>
      </x:c>
      <x:c r="D3552" s="2" t="n">
        <x:v>2024</x:v>
      </x:c>
      <x:c r="E3552" s="2" t="str">
        <x:v>WB_life_expectancy</x:v>
      </x:c>
      <x:c r="F3552" s="2" t="str">
        <x:v>Life expectancy at birth, total (years)</x:v>
      </x:c>
    </x:row>
    <x:row r="3553" ht="44" customHeight="1">
      <x:c r="A3553" s="2" t="str">
        <x:v>MYS</x:v>
      </x:c>
      <x:c r="B3553" s="2" t="str">
        <x:v>age_under15</x:v>
      </x:c>
      <x:c r="C3553" s="2" t="n">
        <x:v>21.3091653811994</x:v>
      </x:c>
      <x:c r="D3553" s="2" t="n">
        <x:v>2025</x:v>
      </x:c>
      <x:c r="E3553" s="2" t="str">
        <x:v>WB_age_under15</x:v>
      </x:c>
      <x:c r="F3553" s="2" t="str">
        <x:v>Population ages 0-14 (% of total population)</x:v>
      </x:c>
    </x:row>
    <x:row r="3554" ht="44" customHeight="1">
      <x:c r="A3554" s="2" t="str">
        <x:v>MYS</x:v>
      </x:c>
      <x:c r="B3554" s="2" t="str">
        <x:v>age_over65</x:v>
      </x:c>
      <x:c r="C3554" s="2" t="n">
        <x:v>8.03318142685505</x:v>
      </x:c>
      <x:c r="D3554" s="2" t="n">
        <x:v>2025</x:v>
      </x:c>
      <x:c r="E3554" s="2" t="str">
        <x:v>WB_age_over65</x:v>
      </x:c>
      <x:c r="F3554" s="2" t="str">
        <x:v>Population ages 65 and above (% of total population)</x:v>
      </x:c>
    </x:row>
    <x:row r="3555" ht="44" customHeight="1">
      <x:c r="A3555" s="2" t="str">
        <x:v>MYS</x:v>
      </x:c>
      <x:c r="B3555" s="2" t="str">
        <x:v>dependency_ratio</x:v>
      </x:c>
      <x:c r="C3555" s="2" t="n">
        <x:v>41.5274856756766</x:v>
      </x:c>
      <x:c r="D3555" s="2" t="n">
        <x:v>2025</x:v>
      </x:c>
      <x:c r="E3555" s="2" t="str">
        <x:v>WB_dependency_ratio</x:v>
      </x:c>
      <x:c r="F3555" s="2" t="str">
        <x:v>Age dependency ratio (% of working-age population)</x:v>
      </x:c>
    </x:row>
    <x:row r="3556" ht="44" customHeight="1">
      <x:c r="A3556" s="2" t="str">
        <x:v>MYS</x:v>
      </x:c>
      <x:c r="B3556" s="2" t="str">
        <x:v>net_migration</x:v>
      </x:c>
      <x:c r="C3556" s="2" t="n">
        <x:v>166615</x:v>
      </x:c>
      <x:c r="D3556" s="2" t="n">
        <x:v>2025</x:v>
      </x:c>
      <x:c r="E3556" s="2" t="str">
        <x:v>WB_net_migration</x:v>
      </x:c>
      <x:c r="F3556" s="2" t="str">
        <x:v>Net migration</x:v>
      </x:c>
    </x:row>
    <x:row r="3557" ht="44" customHeight="1">
      <x:c r="A3557" s="2" t="str">
        <x:v>MYS</x:v>
      </x:c>
      <x:c r="B3557" s="2" t="str">
        <x:v>real_gdp</x:v>
      </x:c>
      <x:c r="C3557" s="2" t="n">
        <x:v>444411684411.754</x:v>
      </x:c>
      <x:c r="D3557" s="2" t="n">
        <x:v>2025</x:v>
      </x:c>
      <x:c r="E3557" s="2" t="str">
        <x:v>WB_real_gdp</x:v>
      </x:c>
      <x:c r="F3557" s="2" t="str">
        <x:v>GDP (constant 2015 US$)</x:v>
      </x:c>
    </x:row>
    <x:row r="3558" ht="44" customHeight="1">
      <x:c r="A3558" s="2" t="str">
        <x:v>MYS</x:v>
      </x:c>
      <x:c r="B3558" s="2" t="str">
        <x:v>gdp_growth</x:v>
      </x:c>
      <x:c r="C3558" s="2" t="n">
        <x:v>5.17127082911057</x:v>
      </x:c>
      <x:c r="D3558" s="2" t="n">
        <x:v>2025</x:v>
      </x:c>
      <x:c r="E3558" s="2" t="str">
        <x:v>WB_gdp_growth</x:v>
      </x:c>
      <x:c r="F3558" s="2" t="str">
        <x:v>GDP growth (annual %)</x:v>
      </x:c>
    </x:row>
    <x:row r="3559" ht="44" customHeight="1">
      <x:c r="A3559" s="2" t="str">
        <x:v>MYS</x:v>
      </x:c>
      <x:c r="B3559" s="2" t="str">
        <x:v>real_income</x:v>
      </x:c>
      <x:c r="C3559" s="2" t="n">
        <x:v>12352.373269671</x:v>
      </x:c>
      <x:c r="D3559" s="2" t="n">
        <x:v>2025</x:v>
      </x:c>
      <x:c r="E3559" s="2" t="str">
        <x:v>WB_real_income</x:v>
      </x:c>
      <x:c r="F3559" s="2" t="str">
        <x:v>GDP per capita (constant 2015 US$)</x:v>
      </x:c>
    </x:row>
    <x:row r="3560" ht="44" customHeight="1">
      <x:c r="A3560" s="2" t="str">
        <x:v>MYS</x:v>
      </x:c>
      <x:c r="B3560" s="2" t="str">
        <x:v>agriculture_gdp</x:v>
      </x:c>
      <x:c r="C3560" s="2" t="n">
        <x:v>8.2158916957078</x:v>
      </x:c>
      <x:c r="D3560" s="2" t="n">
        <x:v>2025</x:v>
      </x:c>
      <x:c r="E3560" s="2" t="str">
        <x:v>WB_agriculture_gdp</x:v>
      </x:c>
      <x:c r="F3560" s="2" t="str">
        <x:v>Agriculture, forestry, and fishing, value added (% of GDP)</x:v>
      </x:c>
    </x:row>
    <x:row r="3561" ht="44" customHeight="1">
      <x:c r="A3561" s="2" t="str">
        <x:v>MYS</x:v>
      </x:c>
      <x:c r="B3561" s="2" t="str">
        <x:v>poverty</x:v>
      </x:c>
      <x:c r="C3561" s="2" t="n">
        <x:v>0</x:v>
      </x:c>
      <x:c r="D3561" s="2" t="n">
        <x:v>2021</x:v>
      </x:c>
      <x:c r="E3561" s="2" t="str">
        <x:v>WB_poverty</x:v>
      </x:c>
      <x:c r="F3561" s="2" t="str">
        <x:v>Poverty headcount ratio at $3.00 a day (2021 PPP) (% of population)</x:v>
      </x:c>
    </x:row>
    <x:row r="3562" ht="44" customHeight="1">
      <x:c r="A3562" s="2" t="str">
        <x:v>MYS</x:v>
      </x:c>
      <x:c r="B3562" s="2" t="str">
        <x:v>gini</x:v>
      </x:c>
      <x:c r="C3562" s="2" t="n">
        <x:v>40.7</x:v>
      </x:c>
      <x:c r="D3562" s="2" t="n">
        <x:v>2021</x:v>
      </x:c>
      <x:c r="E3562" s="2" t="str">
        <x:v>WB_gini</x:v>
      </x:c>
      <x:c r="F3562" s="2" t="str">
        <x:v>Gini index</x:v>
      </x:c>
    </x:row>
    <x:row r="3563" ht="44" customHeight="1">
      <x:c r="A3563" s="2" t="str">
        <x:v>MYS</x:v>
      </x:c>
      <x:c r="B3563" s="2" t="str">
        <x:v>unemployment</x:v>
      </x:c>
      <x:c r="C3563" s="2" t="n">
        <x:v>3.764</x:v>
      </x:c>
      <x:c r="D3563" s="2" t="n">
        <x:v>2025</x:v>
      </x:c>
      <x:c r="E3563" s="2" t="str">
        <x:v>WB_unemployment</x:v>
      </x:c>
      <x:c r="F3563" s="2" t="str">
        <x:v>Unemployment, total (% of total labor force) (modeled ILO estimate)</x:v>
      </x:c>
    </x:row>
    <x:row r="3564" ht="44" customHeight="1">
      <x:c r="A3564" s="2" t="str">
        <x:v>MYS</x:v>
      </x:c>
      <x:c r="B3564" s="2" t="str">
        <x:v>private_credit</x:v>
      </x:c>
      <x:c r="C3564" s="2" t="n">
        <x:v>117.938077066737</x:v>
      </x:c>
      <x:c r="D3564" s="2" t="n">
        <x:v>2025</x:v>
      </x:c>
      <x:c r="E3564" s="2" t="str">
        <x:v>WB_private_credit</x:v>
      </x:c>
      <x:c r="F3564" s="2" t="str">
        <x:v>Domestic credit to private sector (% of GDP)</x:v>
      </x:c>
    </x:row>
    <x:row r="3565" ht="44" customHeight="1">
      <x:c r="A3565" s="2" t="str">
        <x:v>MYS</x:v>
      </x:c>
      <x:c r="B3565" s="2" t="str">
        <x:v>lending_rate</x:v>
      </x:c>
      <x:c r="C3565" s="2" t="n">
        <x:v>4.82472886111111</x:v>
      </x:c>
      <x:c r="D3565" s="2" t="n">
        <x:v>2025</x:v>
      </x:c>
      <x:c r="E3565" s="2" t="str">
        <x:v>WB_lending_rate</x:v>
      </x:c>
      <x:c r="F3565" s="2" t="str">
        <x:v>Lending interest rate (%)</x:v>
      </x:c>
    </x:row>
    <x:row r="3566" ht="44" customHeight="1">
      <x:c r="A3566" s="2" t="str">
        <x:v>MYS</x:v>
      </x:c>
      <x:c r="B3566" s="2" t="str">
        <x:v>real_interest</x:v>
      </x:c>
      <x:c r="C3566" s="2" t="n">
        <x:v>5.29831080530282</x:v>
      </x:c>
      <x:c r="D3566" s="2" t="n">
        <x:v>2025</x:v>
      </x:c>
      <x:c r="E3566" s="2" t="str">
        <x:v>WB_real_interest</x:v>
      </x:c>
      <x:c r="F3566" s="2" t="str">
        <x:v>Real interest rate (%)</x:v>
      </x:c>
    </x:row>
    <x:row r="3567" ht="44" customHeight="1">
      <x:c r="A3567" s="2" t="str">
        <x:v>MYS</x:v>
      </x:c>
      <x:c r="B3567" s="2" t="str">
        <x:v>government_debt</x:v>
      </x:c>
      <x:c r="C3567" s="2" t="n">
        <x:v>64.566529006102</x:v>
      </x:c>
      <x:c r="D3567" s="2" t="n">
        <x:v>2024</x:v>
      </x:c>
      <x:c r="E3567" s="2" t="str">
        <x:v>WB_government_debt</x:v>
      </x:c>
      <x:c r="F3567" s="2" t="str">
        <x:v>Central government debt, total (% of GDP)</x:v>
      </x:c>
    </x:row>
    <x:row r="3568" ht="44" customHeight="1">
      <x:c r="A3568" s="2" t="str">
        <x:v>MYS</x:v>
      </x:c>
      <x:c r="B3568" s="2" t="str">
        <x:v>electricity_access</x:v>
      </x:c>
      <x:c r="C3568" s="2" t="n">
        <x:v>100</x:v>
      </x:c>
      <x:c r="D3568" s="2" t="n">
        <x:v>2024</x:v>
      </x:c>
      <x:c r="E3568" s="2" t="str">
        <x:v>WB_electricity_access</x:v>
      </x:c>
      <x:c r="F3568" s="2" t="str">
        <x:v>Access to electricity (% of population)</x:v>
      </x:c>
    </x:row>
    <x:row r="3569" ht="44" customHeight="1">
      <x:c r="A3569" s="2" t="str">
        <x:v>MYS</x:v>
      </x:c>
      <x:c r="B3569" s="2" t="str">
        <x:v>irrigated_land</x:v>
      </x:c>
      <x:c r="C3569" s="2" t="n">
        <x:v>5.15692451289231</x:v>
      </x:c>
      <x:c r="D3569" s="2" t="n">
        <x:v>2023</x:v>
      </x:c>
      <x:c r="E3569" s="2" t="str">
        <x:v>WB_irrigated_land</x:v>
      </x:c>
      <x:c r="F3569" s="2" t="str">
        <x:v>Agricultural irrigated land (% of total agricultural land)</x:v>
      </x:c>
    </x:row>
    <x:row r="3570" ht="44" customHeight="1">
      <x:c r="A3570" s="2" t="str">
        <x:v>MYS</x:v>
      </x:c>
      <x:c r="B3570" s="2" t="str">
        <x:v>cereal_area</x:v>
      </x:c>
      <x:c r="C3570" s="2" t="n">
        <x:v>615072</x:v>
      </x:c>
      <x:c r="D3570" s="2" t="n">
        <x:v>2023</x:v>
      </x:c>
      <x:c r="E3570" s="2" t="str">
        <x:v>WB_cereal_area</x:v>
      </x:c>
      <x:c r="F3570" s="2" t="str">
        <x:v>Land under cereal production (hectares)</x:v>
      </x:c>
    </x:row>
    <x:row r="3571" ht="44" customHeight="1">
      <x:c r="A3571" s="2" t="str">
        <x:v>MYS</x:v>
      </x:c>
      <x:c r="B3571" s="2" t="str">
        <x:v>undernourishment</x:v>
      </x:c>
      <x:c r="C3571" s="2" t="n">
        <x:v>2.5</x:v>
      </x:c>
      <x:c r="D3571" s="2" t="n">
        <x:v>2023</x:v>
      </x:c>
      <x:c r="E3571" s="2" t="str">
        <x:v>WB_undernourishment</x:v>
      </x:c>
      <x:c r="F3571" s="2" t="str">
        <x:v>Prevalence of undernourishment (% of population)</x:v>
      </x:c>
    </x:row>
    <x:row r="3572" ht="44" customHeight="1">
      <x:c r="A3572" s="2" t="str">
        <x:v>MYS</x:v>
      </x:c>
      <x:c r="B3572" s="2" t="str">
        <x:v>agriculture_employment</x:v>
      </x:c>
      <x:c r="C3572" s="2" t="n">
        <x:v>9.18230248992663</x:v>
      </x:c>
      <x:c r="D3572" s="2" t="n">
        <x:v>2025</x:v>
      </x:c>
      <x:c r="E3572" s="2" t="str">
        <x:v>WB_agriculture_employment</x:v>
      </x:c>
      <x:c r="F3572" s="2" t="str">
        <x:v>Employment in agriculture (% of total employment) (modeled ILO estimate)</x:v>
      </x:c>
    </x:row>
    <x:row r="3573" ht="44" customHeight="1">
      <x:c r="A3573" s="2" t="str">
        <x:v>MYS</x:v>
      </x:c>
      <x:c r="B3573" s="2" t="str">
        <x:v>water_withdrawal</x:v>
      </x:c>
      <x:c r="C3573" s="2" t="n">
        <x:v>1.15637931034483</x:v>
      </x:c>
      <x:c r="D3573" s="2" t="n">
        <x:v>2022</x:v>
      </x:c>
      <x:c r="E3573" s="2" t="str">
        <x:v>WB_water_withdrawal</x:v>
      </x:c>
      <x:c r="F3573" s="2" t="str">
        <x:v>Annual freshwater withdrawals, total (% of internal resources)</x:v>
      </x:c>
    </x:row>
    <x:row r="3574" ht="44" customHeight="1">
      <x:c r="A3574" s="2" t="str">
        <x:v>MDV</x:v>
      </x:c>
      <x:c r="B3574" s="2" t="str">
        <x:v>population</x:v>
      </x:c>
      <x:c r="C3574" s="2" t="n">
        <x:v>529676</x:v>
      </x:c>
      <x:c r="D3574" s="2" t="n">
        <x:v>2025</x:v>
      </x:c>
      <x:c r="E3574" s="2" t="str">
        <x:v>WB_population</x:v>
      </x:c>
      <x:c r="F3574" s="2" t="str">
        <x:v>Population, total</x:v>
      </x:c>
    </x:row>
    <x:row r="3575" ht="44" customHeight="1">
      <x:c r="A3575" s="2" t="str">
        <x:v>MDV</x:v>
      </x:c>
      <x:c r="B3575" s="2" t="str">
        <x:v>income_ppp</x:v>
      </x:c>
      <x:c r="C3575" s="2" t="n">
        <x:v>24401.3159253635</x:v>
      </x:c>
      <x:c r="D3575" s="2" t="n">
        <x:v>2025</x:v>
      </x:c>
      <x:c r="E3575" s="2" t="str">
        <x:v>WB_income_ppp</x:v>
      </x:c>
      <x:c r="F3575" s="2" t="str">
        <x:v>GDP per capita, PPP (constant 2021 international $)</x:v>
      </x:c>
    </x:row>
    <x:row r="3576" ht="44" customHeight="1">
      <x:c r="A3576" s="2" t="str">
        <x:v>MDV</x:v>
      </x:c>
      <x:c r="B3576" s="2" t="str">
        <x:v>urban</x:v>
      </x:c>
      <x:c r="C3576" s="2" t="n">
        <x:v>42.5061567995467</x:v>
      </x:c>
      <x:c r="D3576" s="2" t="n">
        <x:v>2025</x:v>
      </x:c>
      <x:c r="E3576" s="2" t="str">
        <x:v>WB_urban</x:v>
      </x:c>
      <x:c r="F3576" s="2" t="str">
        <x:v>Urban population (% of total population)</x:v>
      </x:c>
    </x:row>
    <x:row r="3577" ht="44" customHeight="1">
      <x:c r="A3577" s="2" t="str">
        <x:v>MDV</x:v>
      </x:c>
      <x:c r="B3577" s="2" t="str">
        <x:v>inflation</x:v>
      </x:c>
      <x:c r="C3577" s="2" t="n">
        <x:v>4.00578494118752</x:v>
      </x:c>
      <x:c r="D3577" s="2" t="n">
        <x:v>2025</x:v>
      </x:c>
      <x:c r="E3577" s="2" t="str">
        <x:v>WB_inflation</x:v>
      </x:c>
      <x:c r="F3577" s="2" t="str">
        <x:v>Inflation, consumer prices (annual %)</x:v>
      </x:c>
    </x:row>
    <x:row r="3578" ht="44" customHeight="1">
      <x:c r="A3578" s="2" t="str">
        <x:v>MDV</x:v>
      </x:c>
      <x:c r="B3578" s="2" t="str">
        <x:v>food_index</x:v>
      </x:c>
      <x:c r="C3578" s="2" t="n">
        <x:v>94.49</x:v>
      </x:c>
      <x:c r="D3578" s="2" t="n">
        <x:v>2022</x:v>
      </x:c>
      <x:c r="E3578" s="2" t="str">
        <x:v>WB_food_index</x:v>
      </x:c>
      <x:c r="F3578" s="2" t="str">
        <x:v>Food production index (2014-2016 = 100)</x:v>
      </x:c>
    </x:row>
    <x:row r="3579" ht="44" customHeight="1">
      <x:c r="A3579" s="2" t="str">
        <x:v>MDV</x:v>
      </x:c>
      <x:c r="B3579" s="2" t="str">
        <x:v>food_import_share</x:v>
      </x:c>
      <x:c r="C3579" s="2" t="n">
        <x:v>21.2439264435855</x:v>
      </x:c>
      <x:c r="D3579" s="2" t="n">
        <x:v>2024</x:v>
      </x:c>
      <x:c r="E3579" s="2" t="str">
        <x:v>WB_food_import_share</x:v>
      </x:c>
      <x:c r="F3579" s="2" t="str">
        <x:v>Food imports (% of merchandise imports)</x:v>
      </x:c>
    </x:row>
    <x:row r="3580" ht="44" customHeight="1">
      <x:c r="A3580" s="2" t="str">
        <x:v>MDV</x:v>
      </x:c>
      <x:c r="B3580" s="2" t="str">
        <x:v>food_export_share</x:v>
      </x:c>
      <x:c r="C3580" s="2" t="n">
        <x:v>94.3539614153214</x:v>
      </x:c>
      <x:c r="D3580" s="2" t="n">
        <x:v>2024</x:v>
      </x:c>
      <x:c r="E3580" s="2" t="str">
        <x:v>WB_food_export_share</x:v>
      </x:c>
      <x:c r="F3580" s="2" t="str">
        <x:v>Food exports (% of merchandise exports)</x:v>
      </x:c>
    </x:row>
    <x:row r="3581" ht="44" customHeight="1">
      <x:c r="A3581" s="2" t="str">
        <x:v>MDV</x:v>
      </x:c>
      <x:c r="B3581" s="2" t="str">
        <x:v>imports_usd</x:v>
      </x:c>
      <x:c r="C3581" s="2" t="n">
        <x:v>3619000000</x:v>
      </x:c>
      <x:c r="D3581" s="2" t="n">
        <x:v>2025</x:v>
      </x:c>
      <x:c r="E3581" s="2" t="str">
        <x:v>WB_imports_usd</x:v>
      </x:c>
      <x:c r="F3581" s="2" t="str">
        <x:v>Merchandise imports (current US$)</x:v>
      </x:c>
    </x:row>
    <x:row r="3582" ht="44" customHeight="1">
      <x:c r="A3582" s="2" t="str">
        <x:v>MDV</x:v>
      </x:c>
      <x:c r="B3582" s="2" t="str">
        <x:v>exports_usd</x:v>
      </x:c>
      <x:c r="C3582" s="2" t="n">
        <x:v>444000000</x:v>
      </x:c>
      <x:c r="D3582" s="2" t="n">
        <x:v>2025</x:v>
      </x:c>
      <x:c r="E3582" s="2" t="str">
        <x:v>WB_exports_usd</x:v>
      </x:c>
      <x:c r="F3582" s="2" t="str">
        <x:v>Merchandise exports (current US$)</x:v>
      </x:c>
    </x:row>
    <x:row r="3583" ht="44" customHeight="1">
      <x:c r="A3583" s="2" t="str">
        <x:v>MDV</x:v>
      </x:c>
      <x:c r="B3583" s="2" t="str">
        <x:v>cereal_yield</x:v>
      </x:c>
      <x:c r="C3583" s="2" t="n">
        <x:v>2441.6</x:v>
      </x:c>
      <x:c r="D3583" s="2" t="n">
        <x:v>2024</x:v>
      </x:c>
      <x:c r="E3583" s="2" t="str">
        <x:v>WB_cereal_yield</x:v>
      </x:c>
      <x:c r="F3583" s="2" t="str">
        <x:v>Cereal yield (kg per hectare)</x:v>
      </x:c>
    </x:row>
    <x:row r="3584" ht="44" customHeight="1">
      <x:c r="A3584" s="2" t="str">
        <x:v>MDV</x:v>
      </x:c>
      <x:c r="B3584" s="2" t="str">
        <x:v>water_stress</x:v>
      </x:c>
      <x:c r="C3584" s="2" t="n">
        <x:v>15.66666667</x:v>
      </x:c>
      <x:c r="D3584" s="2" t="n">
        <x:v>2022</x:v>
      </x:c>
      <x:c r="E3584" s="2" t="str">
        <x:v>WB_water_stress</x:v>
      </x:c>
      <x:c r="F3584" s="2" t="str">
        <x:v>Level of water stress: freshwater withdrawal as a proportion of available freshwater resources</x:v>
      </x:c>
    </x:row>
    <x:row r="3585" ht="44" customHeight="1">
      <x:c r="A3585" s="2" t="str">
        <x:v>MDV</x:v>
      </x:c>
      <x:c r="B3585" s="2" t="str">
        <x:v>fertility</x:v>
      </x:c>
      <x:c r="C3585" s="2" t="n">
        <x:v>1.56</x:v>
      </x:c>
      <x:c r="D3585" s="2" t="n">
        <x:v>2024</x:v>
      </x:c>
      <x:c r="E3585" s="2" t="str">
        <x:v>WB_fertility</x:v>
      </x:c>
      <x:c r="F3585" s="2" t="str">
        <x:v>Fertility rate, total (births per woman)</x:v>
      </x:c>
    </x:row>
    <x:row r="3586" ht="44" customHeight="1">
      <x:c r="A3586" s="2" t="str">
        <x:v>MDV</x:v>
      </x:c>
      <x:c r="B3586" s="2" t="str">
        <x:v>life_expectancy</x:v>
      </x:c>
      <x:c r="C3586" s="2" t="n">
        <x:v>81.285</x:v>
      </x:c>
      <x:c r="D3586" s="2" t="n">
        <x:v>2024</x:v>
      </x:c>
      <x:c r="E3586" s="2" t="str">
        <x:v>WB_life_expectancy</x:v>
      </x:c>
      <x:c r="F3586" s="2" t="str">
        <x:v>Life expectancy at birth, total (years)</x:v>
      </x:c>
    </x:row>
    <x:row r="3587" ht="44" customHeight="1">
      <x:c r="A3587" s="2" t="str">
        <x:v>MDV</x:v>
      </x:c>
      <x:c r="B3587" s="2" t="str">
        <x:v>age_under15</x:v>
      </x:c>
      <x:c r="C3587" s="2" t="n">
        <x:v>19.0365430942689</x:v>
      </x:c>
      <x:c r="D3587" s="2" t="n">
        <x:v>2025</x:v>
      </x:c>
      <x:c r="E3587" s="2" t="str">
        <x:v>WB_age_under15</x:v>
      </x:c>
      <x:c r="F3587" s="2" t="str">
        <x:v>Population ages 0-14 (% of total population)</x:v>
      </x:c>
    </x:row>
    <x:row r="3588" ht="44" customHeight="1">
      <x:c r="A3588" s="2" t="str">
        <x:v>MDV</x:v>
      </x:c>
      <x:c r="B3588" s="2" t="str">
        <x:v>age_over65</x:v>
      </x:c>
      <x:c r="C3588" s="2" t="n">
        <x:v>4.95821974187994</x:v>
      </x:c>
      <x:c r="D3588" s="2" t="n">
        <x:v>2025</x:v>
      </x:c>
      <x:c r="E3588" s="2" t="str">
        <x:v>WB_age_over65</x:v>
      </x:c>
      <x:c r="F3588" s="2" t="str">
        <x:v>Population ages 65 and above (% of total population)</x:v>
      </x:c>
    </x:row>
    <x:row r="3589" ht="44" customHeight="1">
      <x:c r="A3589" s="2" t="str">
        <x:v>MDV</x:v>
      </x:c>
      <x:c r="B3589" s="2" t="str">
        <x:v>dependency_ratio</x:v>
      </x:c>
      <x:c r="C3589" s="2" t="n">
        <x:v>31.5697174737072</x:v>
      </x:c>
      <x:c r="D3589" s="2" t="n">
        <x:v>2025</x:v>
      </x:c>
      <x:c r="E3589" s="2" t="str">
        <x:v>WB_dependency_ratio</x:v>
      </x:c>
      <x:c r="F3589" s="2" t="str">
        <x:v>Age dependency ratio (% of working-age population)</x:v>
      </x:c>
    </x:row>
    <x:row r="3590" ht="44" customHeight="1">
      <x:c r="A3590" s="2" t="str">
        <x:v>MDV</x:v>
      </x:c>
      <x:c r="B3590" s="2" t="str">
        <x:v>net_migration</x:v>
      </x:c>
      <x:c r="C3590" s="2" t="n">
        <x:v>-2283</x:v>
      </x:c>
      <x:c r="D3590" s="2" t="n">
        <x:v>2025</x:v>
      </x:c>
      <x:c r="E3590" s="2" t="str">
        <x:v>WB_net_migration</x:v>
      </x:c>
      <x:c r="F3590" s="2" t="str">
        <x:v>Net migration</x:v>
      </x:c>
    </x:row>
    <x:row r="3591" ht="44" customHeight="1">
      <x:c r="A3591" s="2" t="str">
        <x:v>MDV</x:v>
      </x:c>
      <x:c r="B3591" s="2" t="str">
        <x:v>real_gdp</x:v>
      </x:c>
      <x:c r="C3591" s="2" t="n">
        <x:v>6620396113.49078</x:v>
      </x:c>
      <x:c r="D3591" s="2" t="n">
        <x:v>2025</x:v>
      </x:c>
      <x:c r="E3591" s="2" t="str">
        <x:v>WB_real_gdp</x:v>
      </x:c>
      <x:c r="F3591" s="2" t="str">
        <x:v>GDP (constant 2015 US$)</x:v>
      </x:c>
    </x:row>
    <x:row r="3592" ht="44" customHeight="1">
      <x:c r="A3592" s="2" t="str">
        <x:v>MDV</x:v>
      </x:c>
      <x:c r="B3592" s="2" t="str">
        <x:v>gdp_growth</x:v>
      </x:c>
      <x:c r="C3592" s="2" t="n">
        <x:v>6.31092335003081</x:v>
      </x:c>
      <x:c r="D3592" s="2" t="n">
        <x:v>2025</x:v>
      </x:c>
      <x:c r="E3592" s="2" t="str">
        <x:v>WB_gdp_growth</x:v>
      </x:c>
      <x:c r="F3592" s="2" t="str">
        <x:v>GDP growth (annual %)</x:v>
      </x:c>
    </x:row>
    <x:row r="3593" ht="44" customHeight="1">
      <x:c r="A3593" s="2" t="str">
        <x:v>MDV</x:v>
      </x:c>
      <x:c r="B3593" s="2" t="str">
        <x:v>real_income</x:v>
      </x:c>
      <x:c r="C3593" s="2" t="n">
        <x:v>12498.9542918516</x:v>
      </x:c>
      <x:c r="D3593" s="2" t="n">
        <x:v>2025</x:v>
      </x:c>
      <x:c r="E3593" s="2" t="str">
        <x:v>WB_real_income</x:v>
      </x:c>
      <x:c r="F3593" s="2" t="str">
        <x:v>GDP per capita (constant 2015 US$)</x:v>
      </x:c>
    </x:row>
    <x:row r="3594" ht="44" customHeight="1">
      <x:c r="A3594" s="2" t="str">
        <x:v>MDV</x:v>
      </x:c>
      <x:c r="B3594" s="2" t="str">
        <x:v>agriculture_gdp</x:v>
      </x:c>
      <x:c r="C3594" s="2" t="n">
        <x:v>4.59079378253004</x:v>
      </x:c>
      <x:c r="D3594" s="2" t="n">
        <x:v>2025</x:v>
      </x:c>
      <x:c r="E3594" s="2" t="str">
        <x:v>WB_agriculture_gdp</x:v>
      </x:c>
      <x:c r="F3594" s="2" t="str">
        <x:v>Agriculture, forestry, and fishing, value added (% of GDP)</x:v>
      </x:c>
    </x:row>
    <x:row r="3595" ht="44" customHeight="1">
      <x:c r="A3595" s="2" t="str">
        <x:v>MDV</x:v>
      </x:c>
      <x:c r="B3595" s="2" t="str">
        <x:v>poverty</x:v>
      </x:c>
      <x:c r="C3595" s="2" t="n">
        <x:v>0</x:v>
      </x:c>
      <x:c r="D3595" s="2" t="n">
        <x:v>2019</x:v>
      </x:c>
      <x:c r="E3595" s="2" t="str">
        <x:v>WB_poverty</x:v>
      </x:c>
      <x:c r="F3595" s="2" t="str">
        <x:v>Poverty headcount ratio at $3.00 a day (2021 PPP) (% of population)</x:v>
      </x:c>
    </x:row>
    <x:row r="3596" ht="44" customHeight="1">
      <x:c r="A3596" s="2" t="str">
        <x:v>MDV</x:v>
      </x:c>
      <x:c r="B3596" s="2" t="str">
        <x:v>gini</x:v>
      </x:c>
      <x:c r="C3596" s="2" t="n">
        <x:v>29.3</x:v>
      </x:c>
      <x:c r="D3596" s="2" t="n">
        <x:v>2019</x:v>
      </x:c>
      <x:c r="E3596" s="2" t="str">
        <x:v>WB_gini</x:v>
      </x:c>
      <x:c r="F3596" s="2" t="str">
        <x:v>Gini index</x:v>
      </x:c>
    </x:row>
    <x:row r="3597" ht="44" customHeight="1">
      <x:c r="A3597" s="2" t="str">
        <x:v>MDV</x:v>
      </x:c>
      <x:c r="B3597" s="2" t="str">
        <x:v>unemployment</x:v>
      </x:c>
      <x:c r="C3597" s="2" t="n">
        <x:v>4.514</x:v>
      </x:c>
      <x:c r="D3597" s="2" t="n">
        <x:v>2025</x:v>
      </x:c>
      <x:c r="E3597" s="2" t="str">
        <x:v>WB_unemployment</x:v>
      </x:c>
      <x:c r="F3597" s="2" t="str">
        <x:v>Unemployment, total (% of total labor force) (modeled ILO estimate)</x:v>
      </x:c>
    </x:row>
    <x:row r="3598" ht="44" customHeight="1">
      <x:c r="A3598" s="2" t="str">
        <x:v>MDV</x:v>
      </x:c>
      <x:c r="B3598" s="2" t="str">
        <x:v>private_credit</x:v>
      </x:c>
      <x:c r="C3598" s="2" t="n">
        <x:v>36.4278157508477</x:v>
      </x:c>
      <x:c r="D3598" s="2" t="n">
        <x:v>2025</x:v>
      </x:c>
      <x:c r="E3598" s="2" t="str">
        <x:v>WB_private_credit</x:v>
      </x:c>
      <x:c r="F3598" s="2" t="str">
        <x:v>Domestic credit to private sector (% of GDP)</x:v>
      </x:c>
    </x:row>
    <x:row r="3599" ht="44" customHeight="1">
      <x:c r="A3599" s="2" t="str">
        <x:v>MDV</x:v>
      </x:c>
      <x:c r="B3599" s="2" t="str">
        <x:v>lending_rate</x:v>
      </x:c>
      <x:c r="C3599" s="2" t="n">
        <x:v>11.6320227383198</x:v>
      </x:c>
      <x:c r="D3599" s="2" t="n">
        <x:v>2025</x:v>
      </x:c>
      <x:c r="E3599" s="2" t="str">
        <x:v>WB_lending_rate</x:v>
      </x:c>
      <x:c r="F3599" s="2" t="str">
        <x:v>Lending interest rate (%)</x:v>
      </x:c>
    </x:row>
    <x:row r="3600" ht="44" customHeight="1">
      <x:c r="A3600" s="2" t="str">
        <x:v>MDV</x:v>
      </x:c>
      <x:c r="B3600" s="2" t="str">
        <x:v>real_interest</x:v>
      </x:c>
      <x:c r="C3600" s="2" t="n">
        <x:v>8.07438887930662</x:v>
      </x:c>
      <x:c r="D3600" s="2" t="n">
        <x:v>2025</x:v>
      </x:c>
      <x:c r="E3600" s="2" t="str">
        <x:v>WB_real_interest</x:v>
      </x:c>
      <x:c r="F3600" s="2" t="str">
        <x:v>Real interest rate (%)</x:v>
      </x:c>
    </x:row>
    <x:row r="3601" ht="44" customHeight="1">
      <x:c r="A3601" s="2" t="str">
        <x:v>MDV</x:v>
      </x:c>
      <x:c r="B3601" s="2" t="str">
        <x:v>government_debt</x:v>
      </x:c>
      <x:c r="C3601" s="2" t="n">
        <x:v>57.2981206101706</x:v>
      </x:c>
      <x:c r="D3601" s="2" t="n">
        <x:v>2011</x:v>
      </x:c>
      <x:c r="E3601" s="2" t="str">
        <x:v>WB_government_debt</x:v>
      </x:c>
      <x:c r="F3601" s="2" t="str">
        <x:v>Central government debt, total (% of GDP)</x:v>
      </x:c>
    </x:row>
    <x:row r="3602" ht="44" customHeight="1">
      <x:c r="A3602" s="2" t="str">
        <x:v>MDV</x:v>
      </x:c>
      <x:c r="B3602" s="2" t="str">
        <x:v>electricity_access</x:v>
      </x:c>
      <x:c r="C3602" s="2" t="n">
        <x:v>100</x:v>
      </x:c>
      <x:c r="D3602" s="2" t="n">
        <x:v>2024</x:v>
      </x:c>
      <x:c r="E3602" s="2" t="str">
        <x:v>WB_electricity_access</x:v>
      </x:c>
      <x:c r="F3602" s="2" t="str">
        <x:v>Access to electricity (% of population)</x:v>
      </x:c>
    </x:row>
    <x:row r="3603" ht="44" customHeight="1">
      <x:c r="A3603" s="2" t="str">
        <x:v>MDV</x:v>
      </x:c>
      <x:c r="B3603" s="2" t="str">
        <x:v>irrigated_land</x:v>
      </x:c>
      <x:c r="C3603" s="2"/>
      <x:c r="D3603" s="2"/>
      <x:c r="E3603" s="2" t="str">
        <x:v>Missing</x:v>
      </x:c>
      <x:c r="F3603" s="2" t="str">
        <x:v>Agricultural irrigated land (% of total agricultural land)</x:v>
      </x:c>
    </x:row>
    <x:row r="3604" ht="44" customHeight="1">
      <x:c r="A3604" s="2" t="str">
        <x:v>MDV</x:v>
      </x:c>
      <x:c r="B3604" s="2" t="str">
        <x:v>cereal_area</x:v>
      </x:c>
      <x:c r="C3604" s="2" t="n">
        <x:v>84</x:v>
      </x:c>
      <x:c r="D3604" s="2" t="n">
        <x:v>2024</x:v>
      </x:c>
      <x:c r="E3604" s="2" t="str">
        <x:v>WB_cereal_area</x:v>
      </x:c>
      <x:c r="F3604" s="2" t="str">
        <x:v>Land under cereal production (hectares)</x:v>
      </x:c>
    </x:row>
    <x:row r="3605" ht="44" customHeight="1">
      <x:c r="A3605" s="2" t="str">
        <x:v>MDV</x:v>
      </x:c>
      <x:c r="B3605" s="2" t="str">
        <x:v>undernourishment</x:v>
      </x:c>
      <x:c r="C3605" s="2"/>
      <x:c r="D3605" s="2"/>
      <x:c r="E3605" s="2" t="str">
        <x:v>Missing</x:v>
      </x:c>
      <x:c r="F3605" s="2" t="str">
        <x:v>Prevalence of undernourishment (% of population)</x:v>
      </x:c>
    </x:row>
    <x:row r="3606" ht="44" customHeight="1">
      <x:c r="A3606" s="2" t="str">
        <x:v>MDV</x:v>
      </x:c>
      <x:c r="B3606" s="2" t="str">
        <x:v>agriculture_employment</x:v>
      </x:c>
      <x:c r="C3606" s="2" t="n">
        <x:v>11.305066820498</x:v>
      </x:c>
      <x:c r="D3606" s="2" t="n">
        <x:v>2025</x:v>
      </x:c>
      <x:c r="E3606" s="2" t="str">
        <x:v>WB_agriculture_employment</x:v>
      </x:c>
      <x:c r="F3606" s="2" t="str">
        <x:v>Employment in agriculture (% of total employment) (modeled ILO estimate)</x:v>
      </x:c>
    </x:row>
    <x:row r="3607" ht="44" customHeight="1">
      <x:c r="A3607" s="2" t="str">
        <x:v>MDV</x:v>
      </x:c>
      <x:c r="B3607" s="2" t="str">
        <x:v>water_withdrawal</x:v>
      </x:c>
      <x:c r="C3607" s="2" t="n">
        <x:v>15.6666666666667</x:v>
      </x:c>
      <x:c r="D3607" s="2" t="n">
        <x:v>2022</x:v>
      </x:c>
      <x:c r="E3607" s="2" t="str">
        <x:v>WB_water_withdrawal</x:v>
      </x:c>
      <x:c r="F3607" s="2" t="str">
        <x:v>Annual freshwater withdrawals, total (% of internal resources)</x:v>
      </x:c>
    </x:row>
    <x:row r="3608" ht="44" customHeight="1">
      <x:c r="A3608" s="2" t="str">
        <x:v>MLI</x:v>
      </x:c>
      <x:c r="B3608" s="2" t="str">
        <x:v>population</x:v>
      </x:c>
      <x:c r="C3608" s="2" t="n">
        <x:v>25198821</x:v>
      </x:c>
      <x:c r="D3608" s="2" t="n">
        <x:v>2025</x:v>
      </x:c>
      <x:c r="E3608" s="2" t="str">
        <x:v>WB_population</x:v>
      </x:c>
      <x:c r="F3608" s="2" t="str">
        <x:v>Population, total</x:v>
      </x:c>
    </x:row>
    <x:row r="3609" ht="44" customHeight="1">
      <x:c r="A3609" s="2" t="str">
        <x:v>MLI</x:v>
      </x:c>
      <x:c r="B3609" s="2" t="str">
        <x:v>income_ppp</x:v>
      </x:c>
      <x:c r="C3609" s="2" t="n">
        <x:v>2993.25166359257</x:v>
      </x:c>
      <x:c r="D3609" s="2" t="n">
        <x:v>2025</x:v>
      </x:c>
      <x:c r="E3609" s="2" t="str">
        <x:v>WB_income_ppp</x:v>
      </x:c>
      <x:c r="F3609" s="2" t="str">
        <x:v>GDP per capita, PPP (constant 2021 international $)</x:v>
      </x:c>
    </x:row>
    <x:row r="3610" ht="44" customHeight="1">
      <x:c r="A3610" s="2" t="str">
        <x:v>MLI</x:v>
      </x:c>
      <x:c r="B3610" s="2" t="str">
        <x:v>urban</x:v>
      </x:c>
      <x:c r="C3610" s="2" t="n">
        <x:v>32.2127137183989</x:v>
      </x:c>
      <x:c r="D3610" s="2" t="n">
        <x:v>2025</x:v>
      </x:c>
      <x:c r="E3610" s="2" t="str">
        <x:v>WB_urban</x:v>
      </x:c>
      <x:c r="F3610" s="2" t="str">
        <x:v>Urban population (% of total population)</x:v>
      </x:c>
    </x:row>
    <x:row r="3611" ht="44" customHeight="1">
      <x:c r="A3611" s="2" t="str">
        <x:v>MLI</x:v>
      </x:c>
      <x:c r="B3611" s="2" t="str">
        <x:v>inflation</x:v>
      </x:c>
      <x:c r="C3611" s="2" t="n">
        <x:v>3.27823540357584</x:v>
      </x:c>
      <x:c r="D3611" s="2" t="n">
        <x:v>2025</x:v>
      </x:c>
      <x:c r="E3611" s="2" t="str">
        <x:v>WB_inflation</x:v>
      </x:c>
      <x:c r="F3611" s="2" t="str">
        <x:v>Inflation, consumer prices (annual %)</x:v>
      </x:c>
    </x:row>
    <x:row r="3612" ht="44" customHeight="1">
      <x:c r="A3612" s="2" t="str">
        <x:v>MLI</x:v>
      </x:c>
      <x:c r="B3612" s="2" t="str">
        <x:v>food_index</x:v>
      </x:c>
      <x:c r="C3612" s="2" t="n">
        <x:v>136.03</x:v>
      </x:c>
      <x:c r="D3612" s="2" t="n">
        <x:v>2022</x:v>
      </x:c>
      <x:c r="E3612" s="2" t="str">
        <x:v>WB_food_index</x:v>
      </x:c>
      <x:c r="F3612" s="2" t="str">
        <x:v>Food production index (2014-2016 = 100)</x:v>
      </x:c>
    </x:row>
    <x:row r="3613" ht="44" customHeight="1">
      <x:c r="A3613" s="2" t="str">
        <x:v>MLI</x:v>
      </x:c>
      <x:c r="B3613" s="2" t="str">
        <x:v>food_import_share</x:v>
      </x:c>
      <x:c r="C3613" s="2" t="n">
        <x:v>13.5059344388347</x:v>
      </x:c>
      <x:c r="D3613" s="2" t="n">
        <x:v>2023</x:v>
      </x:c>
      <x:c r="E3613" s="2" t="str">
        <x:v>WB_food_import_share</x:v>
      </x:c>
      <x:c r="F3613" s="2" t="str">
        <x:v>Food imports (% of merchandise imports)</x:v>
      </x:c>
    </x:row>
    <x:row r="3614" ht="44" customHeight="1">
      <x:c r="A3614" s="2" t="str">
        <x:v>MLI</x:v>
      </x:c>
      <x:c r="B3614" s="2" t="str">
        <x:v>food_export_share</x:v>
      </x:c>
      <x:c r="C3614" s="2" t="n">
        <x:v>6.16572092381273</x:v>
      </x:c>
      <x:c r="D3614" s="2" t="n">
        <x:v>2023</x:v>
      </x:c>
      <x:c r="E3614" s="2" t="str">
        <x:v>WB_food_export_share</x:v>
      </x:c>
      <x:c r="F3614" s="2" t="str">
        <x:v>Food exports (% of merchandise exports)</x:v>
      </x:c>
    </x:row>
    <x:row r="3615" ht="44" customHeight="1">
      <x:c r="A3615" s="2" t="str">
        <x:v>MLI</x:v>
      </x:c>
      <x:c r="B3615" s="2" t="str">
        <x:v>imports_usd</x:v>
      </x:c>
      <x:c r="C3615" s="2" t="n">
        <x:v>6977000000</x:v>
      </x:c>
      <x:c r="D3615" s="2" t="n">
        <x:v>2025</x:v>
      </x:c>
      <x:c r="E3615" s="2" t="str">
        <x:v>WB_imports_usd</x:v>
      </x:c>
      <x:c r="F3615" s="2" t="str">
        <x:v>Merchandise imports (current US$)</x:v>
      </x:c>
    </x:row>
    <x:row r="3616" ht="44" customHeight="1">
      <x:c r="A3616" s="2" t="str">
        <x:v>MLI</x:v>
      </x:c>
      <x:c r="B3616" s="2" t="str">
        <x:v>exports_usd</x:v>
      </x:c>
      <x:c r="C3616" s="2" t="n">
        <x:v>4855000000</x:v>
      </x:c>
      <x:c r="D3616" s="2" t="n">
        <x:v>2025</x:v>
      </x:c>
      <x:c r="E3616" s="2" t="str">
        <x:v>WB_exports_usd</x:v>
      </x:c>
      <x:c r="F3616" s="2" t="str">
        <x:v>Merchandise exports (current US$)</x:v>
      </x:c>
    </x:row>
    <x:row r="3617" ht="44" customHeight="1">
      <x:c r="A3617" s="2" t="str">
        <x:v>MLI</x:v>
      </x:c>
      <x:c r="B3617" s="2" t="str">
        <x:v>cereal_yield</x:v>
      </x:c>
      <x:c r="C3617" s="2" t="n">
        <x:v>1587.6</x:v>
      </x:c>
      <x:c r="D3617" s="2" t="n">
        <x:v>2023</x:v>
      </x:c>
      <x:c r="E3617" s="2" t="str">
        <x:v>WB_cereal_yield</x:v>
      </x:c>
      <x:c r="F3617" s="2" t="str">
        <x:v>Cereal yield (kg per hectare)</x:v>
      </x:c>
    </x:row>
    <x:row r="3618" ht="44" customHeight="1">
      <x:c r="A3618" s="2" t="str">
        <x:v>MLI</x:v>
      </x:c>
      <x:c r="B3618" s="2" t="str">
        <x:v>water_stress</x:v>
      </x:c>
      <x:c r="C3618" s="2" t="n">
        <x:v>8.00308642</x:v>
      </x:c>
      <x:c r="D3618" s="2" t="n">
        <x:v>2022</x:v>
      </x:c>
      <x:c r="E3618" s="2" t="str">
        <x:v>WB_water_stress</x:v>
      </x:c>
      <x:c r="F3618" s="2" t="str">
        <x:v>Level of water stress: freshwater withdrawal as a proportion of available freshwater resources</x:v>
      </x:c>
    </x:row>
    <x:row r="3619" ht="44" customHeight="1">
      <x:c r="A3619" s="2" t="str">
        <x:v>MLI</x:v>
      </x:c>
      <x:c r="B3619" s="2" t="str">
        <x:v>fertility</x:v>
      </x:c>
      <x:c r="C3619" s="2" t="n">
        <x:v>5.51</x:v>
      </x:c>
      <x:c r="D3619" s="2" t="n">
        <x:v>2024</x:v>
      </x:c>
      <x:c r="E3619" s="2" t="str">
        <x:v>WB_fertility</x:v>
      </x:c>
      <x:c r="F3619" s="2" t="str">
        <x:v>Fertility rate, total (births per woman)</x:v>
      </x:c>
    </x:row>
    <x:row r="3620" ht="44" customHeight="1">
      <x:c r="A3620" s="2" t="str">
        <x:v>MLI</x:v>
      </x:c>
      <x:c r="B3620" s="2" t="str">
        <x:v>life_expectancy</x:v>
      </x:c>
      <x:c r="C3620" s="2" t="n">
        <x:v>60.675</x:v>
      </x:c>
      <x:c r="D3620" s="2" t="n">
        <x:v>2024</x:v>
      </x:c>
      <x:c r="E3620" s="2" t="str">
        <x:v>WB_life_expectancy</x:v>
      </x:c>
      <x:c r="F3620" s="2" t="str">
        <x:v>Life expectancy at birth, total (years)</x:v>
      </x:c>
    </x:row>
    <x:row r="3621" ht="44" customHeight="1">
      <x:c r="A3621" s="2" t="str">
        <x:v>MLI</x:v>
      </x:c>
      <x:c r="B3621" s="2" t="str">
        <x:v>age_under15</x:v>
      </x:c>
      <x:c r="C3621" s="2" t="n">
        <x:v>45.7939034966377</x:v>
      </x:c>
      <x:c r="D3621" s="2" t="n">
        <x:v>2025</x:v>
      </x:c>
      <x:c r="E3621" s="2" t="str">
        <x:v>WB_age_under15</x:v>
      </x:c>
      <x:c r="F3621" s="2" t="str">
        <x:v>Population ages 0-14 (% of total population)</x:v>
      </x:c>
    </x:row>
    <x:row r="3622" ht="44" customHeight="1">
      <x:c r="A3622" s="2" t="str">
        <x:v>MLI</x:v>
      </x:c>
      <x:c r="B3622" s="2" t="str">
        <x:v>age_over65</x:v>
      </x:c>
      <x:c r="C3622" s="2" t="n">
        <x:v>2.36307876540972</x:v>
      </x:c>
      <x:c r="D3622" s="2" t="n">
        <x:v>2025</x:v>
      </x:c>
      <x:c r="E3622" s="2" t="str">
        <x:v>WB_age_over65</x:v>
      </x:c>
      <x:c r="F3622" s="2" t="str">
        <x:v>Population ages 65 and above (% of total population)</x:v>
      </x:c>
    </x:row>
    <x:row r="3623" ht="44" customHeight="1">
      <x:c r="A3623" s="2" t="str">
        <x:v>MLI</x:v>
      </x:c>
      <x:c r="B3623" s="2" t="str">
        <x:v>dependency_ratio</x:v>
      </x:c>
      <x:c r="C3623" s="2" t="n">
        <x:v>92.8900095064012</x:v>
      </x:c>
      <x:c r="D3623" s="2" t="n">
        <x:v>2025</x:v>
      </x:c>
      <x:c r="E3623" s="2" t="str">
        <x:v>WB_dependency_ratio</x:v>
      </x:c>
      <x:c r="F3623" s="2" t="str">
        <x:v>Age dependency ratio (% of working-age population)</x:v>
      </x:c>
    </x:row>
    <x:row r="3624" ht="44" customHeight="1">
      <x:c r="A3624" s="2" t="str">
        <x:v>MLI</x:v>
      </x:c>
      <x:c r="B3624" s="2" t="str">
        <x:v>net_migration</x:v>
      </x:c>
      <x:c r="C3624" s="2" t="n">
        <x:v>-48019</x:v>
      </x:c>
      <x:c r="D3624" s="2" t="n">
        <x:v>2025</x:v>
      </x:c>
      <x:c r="E3624" s="2" t="str">
        <x:v>WB_net_migration</x:v>
      </x:c>
      <x:c r="F3624" s="2" t="str">
        <x:v>Net migration</x:v>
      </x:c>
    </x:row>
    <x:row r="3625" ht="44" customHeight="1">
      <x:c r="A3625" s="2" t="str">
        <x:v>MLI</x:v>
      </x:c>
      <x:c r="B3625" s="2" t="str">
        <x:v>real_gdp</x:v>
      </x:c>
      <x:c r="C3625" s="2" t="n">
        <x:v>23530596747.9351</x:v>
      </x:c>
      <x:c r="D3625" s="2" t="n">
        <x:v>2025</x:v>
      </x:c>
      <x:c r="E3625" s="2" t="str">
        <x:v>WB_real_gdp</x:v>
      </x:c>
      <x:c r="F3625" s="2" t="str">
        <x:v>GDP (constant 2015 US$)</x:v>
      </x:c>
    </x:row>
    <x:row r="3626" ht="44" customHeight="1">
      <x:c r="A3626" s="2" t="str">
        <x:v>MLI</x:v>
      </x:c>
      <x:c r="B3626" s="2" t="str">
        <x:v>gdp_growth</x:v>
      </x:c>
      <x:c r="C3626" s="2" t="n">
        <x:v>5.59946842896643</x:v>
      </x:c>
      <x:c r="D3626" s="2" t="n">
        <x:v>2025</x:v>
      </x:c>
      <x:c r="E3626" s="2" t="str">
        <x:v>WB_gdp_growth</x:v>
      </x:c>
      <x:c r="F3626" s="2" t="str">
        <x:v>GDP growth (annual %)</x:v>
      </x:c>
    </x:row>
    <x:row r="3627" ht="44" customHeight="1">
      <x:c r="A3627" s="2" t="str">
        <x:v>MLI</x:v>
      </x:c>
      <x:c r="B3627" s="2" t="str">
        <x:v>real_income</x:v>
      </x:c>
      <x:c r="C3627" s="2" t="n">
        <x:v>933.797527588101</x:v>
      </x:c>
      <x:c r="D3627" s="2" t="n">
        <x:v>2025</x:v>
      </x:c>
      <x:c r="E3627" s="2" t="str">
        <x:v>WB_real_income</x:v>
      </x:c>
      <x:c r="F3627" s="2" t="str">
        <x:v>GDP per capita (constant 2015 US$)</x:v>
      </x:c>
    </x:row>
    <x:row r="3628" ht="44" customHeight="1">
      <x:c r="A3628" s="2" t="str">
        <x:v>MLI</x:v>
      </x:c>
      <x:c r="B3628" s="2" t="str">
        <x:v>agriculture_gdp</x:v>
      </x:c>
      <x:c r="C3628" s="2" t="n">
        <x:v>33.0195835270972</x:v>
      </x:c>
      <x:c r="D3628" s="2" t="n">
        <x:v>2025</x:v>
      </x:c>
      <x:c r="E3628" s="2" t="str">
        <x:v>WB_agriculture_gdp</x:v>
      </x:c>
      <x:c r="F3628" s="2" t="str">
        <x:v>Agriculture, forestry, and fishing, value added (% of GDP)</x:v>
      </x:c>
    </x:row>
    <x:row r="3629" ht="44" customHeight="1">
      <x:c r="A3629" s="2" t="str">
        <x:v>MLI</x:v>
      </x:c>
      <x:c r="B3629" s="2" t="str">
        <x:v>poverty</x:v>
      </x:c>
      <x:c r="C3629" s="2" t="n">
        <x:v>36.1</x:v>
      </x:c>
      <x:c r="D3629" s="2" t="n">
        <x:v>2021</x:v>
      </x:c>
      <x:c r="E3629" s="2" t="str">
        <x:v>WB_poverty</x:v>
      </x:c>
      <x:c r="F3629" s="2" t="str">
        <x:v>Poverty headcount ratio at $3.00 a day (2021 PPP) (% of population)</x:v>
      </x:c>
    </x:row>
    <x:row r="3630" ht="44" customHeight="1">
      <x:c r="A3630" s="2" t="str">
        <x:v>MLI</x:v>
      </x:c>
      <x:c r="B3630" s="2" t="str">
        <x:v>gini</x:v>
      </x:c>
      <x:c r="C3630" s="2" t="n">
        <x:v>35.7</x:v>
      </x:c>
      <x:c r="D3630" s="2" t="n">
        <x:v>2021</x:v>
      </x:c>
      <x:c r="E3630" s="2" t="str">
        <x:v>WB_gini</x:v>
      </x:c>
      <x:c r="F3630" s="2" t="str">
        <x:v>Gini index</x:v>
      </x:c>
    </x:row>
    <x:row r="3631" ht="44" customHeight="1">
      <x:c r="A3631" s="2" t="str">
        <x:v>MLI</x:v>
      </x:c>
      <x:c r="B3631" s="2" t="str">
        <x:v>unemployment</x:v>
      </x:c>
      <x:c r="C3631" s="2" t="n">
        <x:v>2.831</x:v>
      </x:c>
      <x:c r="D3631" s="2" t="n">
        <x:v>2025</x:v>
      </x:c>
      <x:c r="E3631" s="2" t="str">
        <x:v>WB_unemployment</x:v>
      </x:c>
      <x:c r="F3631" s="2" t="str">
        <x:v>Unemployment, total (% of total labor force) (modeled ILO estimate)</x:v>
      </x:c>
    </x:row>
    <x:row r="3632" ht="44" customHeight="1">
      <x:c r="A3632" s="2" t="str">
        <x:v>MLI</x:v>
      </x:c>
      <x:c r="B3632" s="2" t="str">
        <x:v>private_credit</x:v>
      </x:c>
      <x:c r="C3632" s="2" t="n">
        <x:v>20.413132297147</x:v>
      </x:c>
      <x:c r="D3632" s="2" t="n">
        <x:v>2025</x:v>
      </x:c>
      <x:c r="E3632" s="2" t="str">
        <x:v>WB_private_credit</x:v>
      </x:c>
      <x:c r="F3632" s="2" t="str">
        <x:v>Domestic credit to private sector (% of GDP)</x:v>
      </x:c>
    </x:row>
    <x:row r="3633" ht="44" customHeight="1">
      <x:c r="A3633" s="2" t="str">
        <x:v>MLI</x:v>
      </x:c>
      <x:c r="B3633" s="2" t="str">
        <x:v>lending_rate</x:v>
      </x:c>
      <x:c r="C3633" s="2" t="n">
        <x:v>5.295</x:v>
      </x:c>
      <x:c r="D3633" s="2" t="n">
        <x:v>2016</x:v>
      </x:c>
      <x:c r="E3633" s="2" t="str">
        <x:v>WB_lending_rate</x:v>
      </x:c>
      <x:c r="F3633" s="2" t="str">
        <x:v>Lending interest rate (%)</x:v>
      </x:c>
    </x:row>
    <x:row r="3634" ht="44" customHeight="1">
      <x:c r="A3634" s="2" t="str">
        <x:v>MLI</x:v>
      </x:c>
      <x:c r="B3634" s="2" t="str">
        <x:v>real_interest</x:v>
      </x:c>
      <x:c r="C3634" s="2" t="n">
        <x:v>3.63675094593401</x:v>
      </x:c>
      <x:c r="D3634" s="2" t="n">
        <x:v>2016</x:v>
      </x:c>
      <x:c r="E3634" s="2" t="str">
        <x:v>WB_real_interest</x:v>
      </x:c>
      <x:c r="F3634" s="2" t="str">
        <x:v>Real interest rate (%)</x:v>
      </x:c>
    </x:row>
    <x:row r="3635" ht="44" customHeight="1">
      <x:c r="A3635" s="2" t="str">
        <x:v>MLI</x:v>
      </x:c>
      <x:c r="B3635" s="2" t="str">
        <x:v>government_debt</x:v>
      </x:c>
      <x:c r="C3635" s="2"/>
      <x:c r="D3635" s="2"/>
      <x:c r="E3635" s="2" t="str">
        <x:v>Missing</x:v>
      </x:c>
      <x:c r="F3635" s="2" t="str">
        <x:v>Central government debt, total (% of GDP)</x:v>
      </x:c>
    </x:row>
    <x:row r="3636" ht="44" customHeight="1">
      <x:c r="A3636" s="2" t="str">
        <x:v>MLI</x:v>
      </x:c>
      <x:c r="B3636" s="2" t="str">
        <x:v>electricity_access</x:v>
      </x:c>
      <x:c r="C3636" s="2" t="n">
        <x:v>49.5</x:v>
      </x:c>
      <x:c r="D3636" s="2" t="n">
        <x:v>2024</x:v>
      </x:c>
      <x:c r="E3636" s="2" t="str">
        <x:v>WB_electricity_access</x:v>
      </x:c>
      <x:c r="F3636" s="2" t="str">
        <x:v>Access to electricity (% of population)</x:v>
      </x:c>
    </x:row>
    <x:row r="3637" ht="44" customHeight="1">
      <x:c r="A3637" s="2" t="str">
        <x:v>MLI</x:v>
      </x:c>
      <x:c r="B3637" s="2" t="str">
        <x:v>irrigated_land</x:v>
      </x:c>
      <x:c r="C3637" s="2"/>
      <x:c r="D3637" s="2"/>
      <x:c r="E3637" s="2" t="str">
        <x:v>Missing</x:v>
      </x:c>
      <x:c r="F3637" s="2" t="str">
        <x:v>Agricultural irrigated land (% of total agricultural land)</x:v>
      </x:c>
    </x:row>
    <x:row r="3638" ht="44" customHeight="1">
      <x:c r="A3638" s="2" t="str">
        <x:v>MLI</x:v>
      </x:c>
      <x:c r="B3638" s="2" t="str">
        <x:v>cereal_area</x:v>
      </x:c>
      <x:c r="C3638" s="2" t="n">
        <x:v>6285756</x:v>
      </x:c>
      <x:c r="D3638" s="2" t="n">
        <x:v>2023</x:v>
      </x:c>
      <x:c r="E3638" s="2" t="str">
        <x:v>WB_cereal_area</x:v>
      </x:c>
      <x:c r="F3638" s="2" t="str">
        <x:v>Land under cereal production (hectares)</x:v>
      </x:c>
    </x:row>
    <x:row r="3639" ht="44" customHeight="1">
      <x:c r="A3639" s="2" t="str">
        <x:v>MLI</x:v>
      </x:c>
      <x:c r="B3639" s="2" t="str">
        <x:v>undernourishment</x:v>
      </x:c>
      <x:c r="C3639" s="2" t="n">
        <x:v>12.3</x:v>
      </x:c>
      <x:c r="D3639" s="2" t="n">
        <x:v>2023</x:v>
      </x:c>
      <x:c r="E3639" s="2" t="str">
        <x:v>WB_undernourishment</x:v>
      </x:c>
      <x:c r="F3639" s="2" t="str">
        <x:v>Prevalence of undernourishment (% of population)</x:v>
      </x:c>
    </x:row>
    <x:row r="3640" ht="44" customHeight="1">
      <x:c r="A3640" s="2" t="str">
        <x:v>MLI</x:v>
      </x:c>
      <x:c r="B3640" s="2" t="str">
        <x:v>agriculture_employment</x:v>
      </x:c>
      <x:c r="C3640" s="2" t="n">
        <x:v>63.0137141803861</x:v>
      </x:c>
      <x:c r="D3640" s="2" t="n">
        <x:v>2025</x:v>
      </x:c>
      <x:c r="E3640" s="2" t="str">
        <x:v>WB_agriculture_employment</x:v>
      </x:c>
      <x:c r="F3640" s="2" t="str">
        <x:v>Employment in agriculture (% of total employment) (modeled ILO estimate)</x:v>
      </x:c>
    </x:row>
    <x:row r="3641" ht="44" customHeight="1">
      <x:c r="A3641" s="2" t="str">
        <x:v>MLI</x:v>
      </x:c>
      <x:c r="B3641" s="2" t="str">
        <x:v>water_withdrawal</x:v>
      </x:c>
      <x:c r="C3641" s="2" t="n">
        <x:v>8.64333333333333</x:v>
      </x:c>
      <x:c r="D3641" s="2" t="n">
        <x:v>2022</x:v>
      </x:c>
      <x:c r="E3641" s="2" t="str">
        <x:v>WB_water_withdrawal</x:v>
      </x:c>
      <x:c r="F3641" s="2" t="str">
        <x:v>Annual freshwater withdrawals, total (% of internal resources)</x:v>
      </x:c>
    </x:row>
    <x:row r="3642" ht="44" customHeight="1">
      <x:c r="A3642" s="2" t="str">
        <x:v>MLT</x:v>
      </x:c>
      <x:c r="B3642" s="2" t="str">
        <x:v>population</x:v>
      </x:c>
      <x:c r="C3642" s="2" t="n">
        <x:v>579704</x:v>
      </x:c>
      <x:c r="D3642" s="2" t="n">
        <x:v>2025</x:v>
      </x:c>
      <x:c r="E3642" s="2" t="str">
        <x:v>WB_population</x:v>
      </x:c>
      <x:c r="F3642" s="2" t="str">
        <x:v>Population, total</x:v>
      </x:c>
    </x:row>
    <x:row r="3643" ht="44" customHeight="1">
      <x:c r="A3643" s="2" t="str">
        <x:v>MLT</x:v>
      </x:c>
      <x:c r="B3643" s="2" t="str">
        <x:v>income_ppp</x:v>
      </x:c>
      <x:c r="C3643" s="2" t="n">
        <x:v>63655.5160659665</x:v>
      </x:c>
      <x:c r="D3643" s="2" t="n">
        <x:v>2025</x:v>
      </x:c>
      <x:c r="E3643" s="2" t="str">
        <x:v>WB_income_ppp</x:v>
      </x:c>
      <x:c r="F3643" s="2" t="str">
        <x:v>GDP per capita, PPP (constant 2021 international $)</x:v>
      </x:c>
    </x:row>
    <x:row r="3644" ht="44" customHeight="1">
      <x:c r="A3644" s="2" t="str">
        <x:v>MLT</x:v>
      </x:c>
      <x:c r="B3644" s="2" t="str">
        <x:v>urban</x:v>
      </x:c>
      <x:c r="C3644" s="2" t="n">
        <x:v>95.6805856649593</x:v>
      </x:c>
      <x:c r="D3644" s="2" t="n">
        <x:v>2025</x:v>
      </x:c>
      <x:c r="E3644" s="2" t="str">
        <x:v>WB_urban</x:v>
      </x:c>
      <x:c r="F3644" s="2" t="str">
        <x:v>Urban population (% of total population)</x:v>
      </x:c>
    </x:row>
    <x:row r="3645" ht="44" customHeight="1">
      <x:c r="A3645" s="2" t="str">
        <x:v>MLT</x:v>
      </x:c>
      <x:c r="B3645" s="2" t="str">
        <x:v>inflation</x:v>
      </x:c>
      <x:c r="C3645" s="2" t="n">
        <x:v>2.36351752252186</x:v>
      </x:c>
      <x:c r="D3645" s="2" t="n">
        <x:v>2025</x:v>
      </x:c>
      <x:c r="E3645" s="2" t="str">
        <x:v>WB_inflation</x:v>
      </x:c>
      <x:c r="F3645" s="2" t="str">
        <x:v>Inflation, consumer prices (annual %)</x:v>
      </x:c>
    </x:row>
    <x:row r="3646" ht="44" customHeight="1">
      <x:c r="A3646" s="2" t="str">
        <x:v>MLT</x:v>
      </x:c>
      <x:c r="B3646" s="2" t="str">
        <x:v>food_index</x:v>
      </x:c>
      <x:c r="C3646" s="2" t="n">
        <x:v>75.95</x:v>
      </x:c>
      <x:c r="D3646" s="2" t="n">
        <x:v>2022</x:v>
      </x:c>
      <x:c r="E3646" s="2" t="str">
        <x:v>WB_food_index</x:v>
      </x:c>
      <x:c r="F3646" s="2" t="str">
        <x:v>Food production index (2014-2016 = 100)</x:v>
      </x:c>
    </x:row>
    <x:row r="3647" ht="44" customHeight="1">
      <x:c r="A3647" s="2" t="str">
        <x:v>MLT</x:v>
      </x:c>
      <x:c r="B3647" s="2" t="str">
        <x:v>food_import_share</x:v>
      </x:c>
      <x:c r="C3647" s="2" t="n">
        <x:v>11.9403406750573</x:v>
      </x:c>
      <x:c r="D3647" s="2" t="n">
        <x:v>2024</x:v>
      </x:c>
      <x:c r="E3647" s="2" t="str">
        <x:v>WB_food_import_share</x:v>
      </x:c>
      <x:c r="F3647" s="2" t="str">
        <x:v>Food imports (% of merchandise imports)</x:v>
      </x:c>
    </x:row>
    <x:row r="3648" ht="44" customHeight="1">
      <x:c r="A3648" s="2" t="str">
        <x:v>MLT</x:v>
      </x:c>
      <x:c r="B3648" s="2" t="str">
        <x:v>food_export_share</x:v>
      </x:c>
      <x:c r="C3648" s="2" t="n">
        <x:v>9.66482394348357</x:v>
      </x:c>
      <x:c r="D3648" s="2" t="n">
        <x:v>2024</x:v>
      </x:c>
      <x:c r="E3648" s="2" t="str">
        <x:v>WB_food_export_share</x:v>
      </x:c>
      <x:c r="F3648" s="2" t="str">
        <x:v>Food exports (% of merchandise exports)</x:v>
      </x:c>
    </x:row>
    <x:row r="3649" ht="44" customHeight="1">
      <x:c r="A3649" s="2" t="str">
        <x:v>MLT</x:v>
      </x:c>
      <x:c r="B3649" s="2" t="str">
        <x:v>imports_usd</x:v>
      </x:c>
      <x:c r="C3649" s="2" t="n">
        <x:v>9217000000</x:v>
      </x:c>
      <x:c r="D3649" s="2" t="n">
        <x:v>2025</x:v>
      </x:c>
      <x:c r="E3649" s="2" t="str">
        <x:v>WB_imports_usd</x:v>
      </x:c>
      <x:c r="F3649" s="2" t="str">
        <x:v>Merchandise imports (current US$)</x:v>
      </x:c>
    </x:row>
    <x:row r="3650" ht="44" customHeight="1">
      <x:c r="A3650" s="2" t="str">
        <x:v>MLT</x:v>
      </x:c>
      <x:c r="B3650" s="2" t="str">
        <x:v>exports_usd</x:v>
      </x:c>
      <x:c r="C3650" s="2" t="n">
        <x:v>3819000000</x:v>
      </x:c>
      <x:c r="D3650" s="2" t="n">
        <x:v>2025</x:v>
      </x:c>
      <x:c r="E3650" s="2" t="str">
        <x:v>WB_exports_usd</x:v>
      </x:c>
      <x:c r="F3650" s="2" t="str">
        <x:v>Merchandise exports (current US$)</x:v>
      </x:c>
    </x:row>
    <x:row r="3651" ht="44" customHeight="1">
      <x:c r="A3651" s="2" t="str">
        <x:v>MLT</x:v>
      </x:c>
      <x:c r="B3651" s="2" t="str">
        <x:v>cereal_yield</x:v>
      </x:c>
      <x:c r="C3651" s="2" t="n">
        <x:v>4879.9</x:v>
      </x:c>
      <x:c r="D3651" s="2" t="n">
        <x:v>2017</x:v>
      </x:c>
      <x:c r="E3651" s="2" t="str">
        <x:v>WB_cereal_yield</x:v>
      </x:c>
      <x:c r="F3651" s="2" t="str">
        <x:v>Cereal yield (kg per hectare)</x:v>
      </x:c>
    </x:row>
    <x:row r="3652" ht="44" customHeight="1">
      <x:c r="A3652" s="2" t="str">
        <x:v>MLT</x:v>
      </x:c>
      <x:c r="B3652" s="2" t="str">
        <x:v>water_stress</x:v>
      </x:c>
      <x:c r="C3652" s="2" t="n">
        <x:v>72.60000792</x:v>
      </x:c>
      <x:c r="D3652" s="2" t="n">
        <x:v>2022</x:v>
      </x:c>
      <x:c r="E3652" s="2" t="str">
        <x:v>WB_water_stress</x:v>
      </x:c>
      <x:c r="F3652" s="2" t="str">
        <x:v>Level of water stress: freshwater withdrawal as a proportion of available freshwater resources</x:v>
      </x:c>
    </x:row>
    <x:row r="3653" ht="44" customHeight="1">
      <x:c r="A3653" s="2" t="str">
        <x:v>MLT</x:v>
      </x:c>
      <x:c r="B3653" s="2" t="str">
        <x:v>fertility</x:v>
      </x:c>
      <x:c r="C3653" s="2" t="n">
        <x:v>1.01</x:v>
      </x:c>
      <x:c r="D3653" s="2" t="n">
        <x:v>2024</x:v>
      </x:c>
      <x:c r="E3653" s="2" t="str">
        <x:v>WB_fertility</x:v>
      </x:c>
      <x:c r="F3653" s="2" t="str">
        <x:v>Fertility rate, total (births per woman)</x:v>
      </x:c>
    </x:row>
    <x:row r="3654" ht="44" customHeight="1">
      <x:c r="A3654" s="2" t="str">
        <x:v>MLT</x:v>
      </x:c>
      <x:c r="B3654" s="2" t="str">
        <x:v>life_expectancy</x:v>
      </x:c>
      <x:c r="C3654" s="2" t="n">
        <x:v>82.9560975609756</x:v>
      </x:c>
      <x:c r="D3654" s="2" t="n">
        <x:v>2024</x:v>
      </x:c>
      <x:c r="E3654" s="2" t="str">
        <x:v>WB_life_expectancy</x:v>
      </x:c>
      <x:c r="F3654" s="2" t="str">
        <x:v>Life expectancy at birth, total (years)</x:v>
      </x:c>
    </x:row>
    <x:row r="3655" ht="44" customHeight="1">
      <x:c r="A3655" s="2" t="str">
        <x:v>MLT</x:v>
      </x:c>
      <x:c r="B3655" s="2" t="str">
        <x:v>age_under15</x:v>
      </x:c>
      <x:c r="C3655" s="2" t="n">
        <x:v>12.8992216793025</x:v>
      </x:c>
      <x:c r="D3655" s="2" t="n">
        <x:v>2025</x:v>
      </x:c>
      <x:c r="E3655" s="2" t="str">
        <x:v>WB_age_under15</x:v>
      </x:c>
      <x:c r="F3655" s="2" t="str">
        <x:v>Population ages 0-14 (% of total population)</x:v>
      </x:c>
    </x:row>
    <x:row r="3656" ht="44" customHeight="1">
      <x:c r="A3656" s="2" t="str">
        <x:v>MLT</x:v>
      </x:c>
      <x:c r="B3656" s="2" t="str">
        <x:v>age_over65</x:v>
      </x:c>
      <x:c r="C3656" s="2" t="n">
        <x:v>20.5407907884966</x:v>
      </x:c>
      <x:c r="D3656" s="2" t="n">
        <x:v>2025</x:v>
      </x:c>
      <x:c r="E3656" s="2" t="str">
        <x:v>WB_age_over65</x:v>
      </x:c>
      <x:c r="F3656" s="2" t="str">
        <x:v>Population ages 65 and above (% of total population)</x:v>
      </x:c>
    </x:row>
    <x:row r="3657" ht="44" customHeight="1">
      <x:c r="A3657" s="2" t="str">
        <x:v>MLT</x:v>
      </x:c>
      <x:c r="B3657" s="2" t="str">
        <x:v>dependency_ratio</x:v>
      </x:c>
      <x:c r="C3657" s="2" t="n">
        <x:v>50.2403777624005</x:v>
      </x:c>
      <x:c r="D3657" s="2" t="n">
        <x:v>2025</x:v>
      </x:c>
      <x:c r="E3657" s="2" t="str">
        <x:v>WB_dependency_ratio</x:v>
      </x:c>
      <x:c r="F3657" s="2" t="str">
        <x:v>Age dependency ratio (% of working-age population)</x:v>
      </x:c>
    </x:row>
    <x:row r="3658" ht="44" customHeight="1">
      <x:c r="A3658" s="2" t="str">
        <x:v>MLT</x:v>
      </x:c>
      <x:c r="B3658" s="2" t="str">
        <x:v>net_migration</x:v>
      </x:c>
      <x:c r="C3658" s="2" t="n">
        <x:v>5161</x:v>
      </x:c>
      <x:c r="D3658" s="2" t="n">
        <x:v>2025</x:v>
      </x:c>
      <x:c r="E3658" s="2" t="str">
        <x:v>WB_net_migration</x:v>
      </x:c>
      <x:c r="F3658" s="2" t="str">
        <x:v>Net migration</x:v>
      </x:c>
    </x:row>
    <x:row r="3659" ht="44" customHeight="1">
      <x:c r="A3659" s="2" t="str">
        <x:v>MLT</x:v>
      </x:c>
      <x:c r="B3659" s="2" t="str">
        <x:v>real_gdp</x:v>
      </x:c>
      <x:c r="C3659" s="2" t="n">
        <x:v>20403744841.7559</x:v>
      </x:c>
      <x:c r="D3659" s="2" t="n">
        <x:v>2025</x:v>
      </x:c>
      <x:c r="E3659" s="2" t="str">
        <x:v>WB_real_gdp</x:v>
      </x:c>
      <x:c r="F3659" s="2" t="str">
        <x:v>GDP (constant 2015 US$)</x:v>
      </x:c>
    </x:row>
    <x:row r="3660" ht="44" customHeight="1">
      <x:c r="A3660" s="2" t="str">
        <x:v>MLT</x:v>
      </x:c>
      <x:c r="B3660" s="2" t="str">
        <x:v>gdp_growth</x:v>
      </x:c>
      <x:c r="C3660" s="2" t="n">
        <x:v>3.96156139018959</x:v>
      </x:c>
      <x:c r="D3660" s="2" t="n">
        <x:v>2025</x:v>
      </x:c>
      <x:c r="E3660" s="2" t="str">
        <x:v>WB_gdp_growth</x:v>
      </x:c>
      <x:c r="F3660" s="2" t="str">
        <x:v>GDP growth (annual %)</x:v>
      </x:c>
    </x:row>
    <x:row r="3661" ht="44" customHeight="1">
      <x:c r="A3661" s="2" t="str">
        <x:v>MLT</x:v>
      </x:c>
      <x:c r="B3661" s="2" t="str">
        <x:v>real_income</x:v>
      </x:c>
      <x:c r="C3661" s="2" t="n">
        <x:v>35196.832938458</x:v>
      </x:c>
      <x:c r="D3661" s="2" t="n">
        <x:v>2025</x:v>
      </x:c>
      <x:c r="E3661" s="2" t="str">
        <x:v>WB_real_income</x:v>
      </x:c>
      <x:c r="F3661" s="2" t="str">
        <x:v>GDP per capita (constant 2015 US$)</x:v>
      </x:c>
    </x:row>
    <x:row r="3662" ht="44" customHeight="1">
      <x:c r="A3662" s="2" t="str">
        <x:v>MLT</x:v>
      </x:c>
      <x:c r="B3662" s="2" t="str">
        <x:v>agriculture_gdp</x:v>
      </x:c>
      <x:c r="C3662" s="2" t="n">
        <x:v>0.469133994108361</x:v>
      </x:c>
      <x:c r="D3662" s="2" t="n">
        <x:v>2025</x:v>
      </x:c>
      <x:c r="E3662" s="2" t="str">
        <x:v>WB_agriculture_gdp</x:v>
      </x:c>
      <x:c r="F3662" s="2" t="str">
        <x:v>Agriculture, forestry, and fishing, value added (% of GDP)</x:v>
      </x:c>
    </x:row>
    <x:row r="3663" ht="44" customHeight="1">
      <x:c r="A3663" s="2" t="str">
        <x:v>MLT</x:v>
      </x:c>
      <x:c r="B3663" s="2" t="str">
        <x:v>poverty</x:v>
      </x:c>
      <x:c r="C3663" s="2" t="n">
        <x:v>0.4</x:v>
      </x:c>
      <x:c r="D3663" s="2" t="n">
        <x:v>2023</x:v>
      </x:c>
      <x:c r="E3663" s="2" t="str">
        <x:v>WB_poverty</x:v>
      </x:c>
      <x:c r="F3663" s="2" t="str">
        <x:v>Poverty headcount ratio at $3.00 a day (2021 PPP) (% of population)</x:v>
      </x:c>
    </x:row>
    <x:row r="3664" ht="44" customHeight="1">
      <x:c r="A3664" s="2" t="str">
        <x:v>MLT</x:v>
      </x:c>
      <x:c r="B3664" s="2" t="str">
        <x:v>gini</x:v>
      </x:c>
      <x:c r="C3664" s="2" t="n">
        <x:v>31.8</x:v>
      </x:c>
      <x:c r="D3664" s="2" t="n">
        <x:v>2023</x:v>
      </x:c>
      <x:c r="E3664" s="2" t="str">
        <x:v>WB_gini</x:v>
      </x:c>
      <x:c r="F3664" s="2" t="str">
        <x:v>Gini index</x:v>
      </x:c>
    </x:row>
    <x:row r="3665" ht="44" customHeight="1">
      <x:c r="A3665" s="2" t="str">
        <x:v>MLT</x:v>
      </x:c>
      <x:c r="B3665" s="2" t="str">
        <x:v>unemployment</x:v>
      </x:c>
      <x:c r="C3665" s="2" t="n">
        <x:v>2.896</x:v>
      </x:c>
      <x:c r="D3665" s="2" t="n">
        <x:v>2025</x:v>
      </x:c>
      <x:c r="E3665" s="2" t="str">
        <x:v>WB_unemployment</x:v>
      </x:c>
      <x:c r="F3665" s="2" t="str">
        <x:v>Unemployment, total (% of total labor force) (modeled ILO estimate)</x:v>
      </x:c>
    </x:row>
    <x:row r="3666" ht="44" customHeight="1">
      <x:c r="A3666" s="2" t="str">
        <x:v>MLT</x:v>
      </x:c>
      <x:c r="B3666" s="2" t="str">
        <x:v>private_credit</x:v>
      </x:c>
      <x:c r="C3666" s="2" t="n">
        <x:v>61.7437231757338</x:v>
      </x:c>
      <x:c r="D3666" s="2" t="n">
        <x:v>2024</x:v>
      </x:c>
      <x:c r="E3666" s="2" t="str">
        <x:v>WB_private_credit</x:v>
      </x:c>
      <x:c r="F3666" s="2" t="str">
        <x:v>Domestic credit to private sector (% of GDP)</x:v>
      </x:c>
    </x:row>
    <x:row r="3667" ht="44" customHeight="1">
      <x:c r="A3667" s="2" t="str">
        <x:v>MLT</x:v>
      </x:c>
      <x:c r="B3667" s="2" t="str">
        <x:v>lending_rate</x:v>
      </x:c>
      <x:c r="C3667" s="2" t="n">
        <x:v>4.705</x:v>
      </x:c>
      <x:c r="D3667" s="2" t="n">
        <x:v>2013</x:v>
      </x:c>
      <x:c r="E3667" s="2" t="str">
        <x:v>WB_lending_rate</x:v>
      </x:c>
      <x:c r="F3667" s="2" t="str">
        <x:v>Lending interest rate (%)</x:v>
      </x:c>
    </x:row>
    <x:row r="3668" ht="44" customHeight="1">
      <x:c r="A3668" s="2" t="str">
        <x:v>MLT</x:v>
      </x:c>
      <x:c r="B3668" s="2" t="str">
        <x:v>real_interest</x:v>
      </x:c>
      <x:c r="C3668" s="2" t="n">
        <x:v>2.39582000579142</x:v>
      </x:c>
      <x:c r="D3668" s="2" t="n">
        <x:v>2013</x:v>
      </x:c>
      <x:c r="E3668" s="2" t="str">
        <x:v>WB_real_interest</x:v>
      </x:c>
      <x:c r="F3668" s="2" t="str">
        <x:v>Real interest rate (%)</x:v>
      </x:c>
    </x:row>
    <x:row r="3669" ht="44" customHeight="1">
      <x:c r="A3669" s="2" t="str">
        <x:v>MLT</x:v>
      </x:c>
      <x:c r="B3669" s="2" t="str">
        <x:v>government_debt</x:v>
      </x:c>
      <x:c r="C3669" s="2"/>
      <x:c r="D3669" s="2"/>
      <x:c r="E3669" s="2" t="str">
        <x:v>Missing</x:v>
      </x:c>
      <x:c r="F3669" s="2" t="str">
        <x:v>Central government debt, total (% of GDP)</x:v>
      </x:c>
    </x:row>
    <x:row r="3670" ht="44" customHeight="1">
      <x:c r="A3670" s="2" t="str">
        <x:v>MLT</x:v>
      </x:c>
      <x:c r="B3670" s="2" t="str">
        <x:v>electricity_access</x:v>
      </x:c>
      <x:c r="C3670" s="2" t="n">
        <x:v>100</x:v>
      </x:c>
      <x:c r="D3670" s="2" t="n">
        <x:v>2024</x:v>
      </x:c>
      <x:c r="E3670" s="2" t="str">
        <x:v>WB_electricity_access</x:v>
      </x:c>
      <x:c r="F3670" s="2" t="str">
        <x:v>Access to electricity (% of population)</x:v>
      </x:c>
    </x:row>
    <x:row r="3671" ht="44" customHeight="1">
      <x:c r="A3671" s="2" t="str">
        <x:v>MLT</x:v>
      </x:c>
      <x:c r="B3671" s="2" t="str">
        <x:v>irrigated_land</x:v>
      </x:c>
      <x:c r="C3671" s="2" t="n">
        <x:v>33.8680496924376</x:v>
      </x:c>
      <x:c r="D3671" s="2" t="n">
        <x:v>2023</x:v>
      </x:c>
      <x:c r="E3671" s="2" t="str">
        <x:v>WB_irrigated_land</x:v>
      </x:c>
      <x:c r="F3671" s="2" t="str">
        <x:v>Agricultural irrigated land (% of total agricultural land)</x:v>
      </x:c>
    </x:row>
    <x:row r="3672" ht="44" customHeight="1">
      <x:c r="A3672" s="2" t="str">
        <x:v>MLT</x:v>
      </x:c>
      <x:c r="B3672" s="2" t="str">
        <x:v>cereal_area</x:v>
      </x:c>
      <x:c r="C3672" s="2" t="n">
        <x:v>0</x:v>
      </x:c>
      <x:c r="D3672" s="2" t="n">
        <x:v>2023</x:v>
      </x:c>
      <x:c r="E3672" s="2" t="str">
        <x:v>WB_cereal_area</x:v>
      </x:c>
      <x:c r="F3672" s="2" t="str">
        <x:v>Land under cereal production (hectares)</x:v>
      </x:c>
    </x:row>
    <x:row r="3673" ht="44" customHeight="1">
      <x:c r="A3673" s="2" t="str">
        <x:v>MLT</x:v>
      </x:c>
      <x:c r="B3673" s="2" t="str">
        <x:v>undernourishment</x:v>
      </x:c>
      <x:c r="C3673" s="2" t="n">
        <x:v>2.5</x:v>
      </x:c>
      <x:c r="D3673" s="2" t="n">
        <x:v>2023</x:v>
      </x:c>
      <x:c r="E3673" s="2" t="str">
        <x:v>WB_undernourishment</x:v>
      </x:c>
      <x:c r="F3673" s="2" t="str">
        <x:v>Prevalence of undernourishment (% of population)</x:v>
      </x:c>
    </x:row>
    <x:row r="3674" ht="44" customHeight="1">
      <x:c r="A3674" s="2" t="str">
        <x:v>MLT</x:v>
      </x:c>
      <x:c r="B3674" s="2" t="str">
        <x:v>agriculture_employment</x:v>
      </x:c>
      <x:c r="C3674" s="2" t="n">
        <x:v>0.876548020397445</x:v>
      </x:c>
      <x:c r="D3674" s="2" t="n">
        <x:v>2025</x:v>
      </x:c>
      <x:c r="E3674" s="2" t="str">
        <x:v>WB_agriculture_employment</x:v>
      </x:c>
      <x:c r="F3674" s="2" t="str">
        <x:v>Employment in agriculture (% of total employment) (modeled ILO estimate)</x:v>
      </x:c>
    </x:row>
    <x:row r="3675" ht="44" customHeight="1">
      <x:c r="A3675" s="2" t="str">
        <x:v>MLT</x:v>
      </x:c>
      <x:c r="B3675" s="2" t="str">
        <x:v>water_withdrawal</x:v>
      </x:c>
      <x:c r="C3675" s="2" t="n">
        <x:v>72.6000079207921</x:v>
      </x:c>
      <x:c r="D3675" s="2" t="n">
        <x:v>2022</x:v>
      </x:c>
      <x:c r="E3675" s="2" t="str">
        <x:v>WB_water_withdrawal</x:v>
      </x:c>
      <x:c r="F3675" s="2" t="str">
        <x:v>Annual freshwater withdrawals, total (% of internal resources)</x:v>
      </x:c>
    </x:row>
    <x:row r="3676" ht="44" customHeight="1">
      <x:c r="A3676" s="2" t="str">
        <x:v>MHL</x:v>
      </x:c>
      <x:c r="B3676" s="2" t="str">
        <x:v>population</x:v>
      </x:c>
      <x:c r="C3676" s="2" t="n">
        <x:v>36282</x:v>
      </x:c>
      <x:c r="D3676" s="2" t="n">
        <x:v>2025</x:v>
      </x:c>
      <x:c r="E3676" s="2" t="str">
        <x:v>WB_population</x:v>
      </x:c>
      <x:c r="F3676" s="2" t="str">
        <x:v>Population, total</x:v>
      </x:c>
    </x:row>
    <x:row r="3677" ht="44" customHeight="1">
      <x:c r="A3677" s="2" t="str">
        <x:v>MHL</x:v>
      </x:c>
      <x:c r="B3677" s="2" t="str">
        <x:v>income_ppp</x:v>
      </x:c>
      <x:c r="C3677" s="2" t="n">
        <x:v>7660.37695591168</x:v>
      </x:c>
      <x:c r="D3677" s="2" t="n">
        <x:v>2025</x:v>
      </x:c>
      <x:c r="E3677" s="2" t="str">
        <x:v>WB_income_ppp</x:v>
      </x:c>
      <x:c r="F3677" s="2" t="str">
        <x:v>GDP per capita, PPP (constant 2021 international $)</x:v>
      </x:c>
    </x:row>
    <x:row r="3678" ht="44" customHeight="1">
      <x:c r="A3678" s="2" t="str">
        <x:v>MHL</x:v>
      </x:c>
      <x:c r="B3678" s="2" t="str">
        <x:v>urban</x:v>
      </x:c>
      <x:c r="C3678" s="2" t="n">
        <x:v>79.105503091452</x:v>
      </x:c>
      <x:c r="D3678" s="2" t="n">
        <x:v>2025</x:v>
      </x:c>
      <x:c r="E3678" s="2" t="str">
        <x:v>WB_urban</x:v>
      </x:c>
      <x:c r="F3678" s="2" t="str">
        <x:v>Urban population (% of total population)</x:v>
      </x:c>
    </x:row>
    <x:row r="3679" ht="44" customHeight="1">
      <x:c r="A3679" s="2" t="str">
        <x:v>MHL</x:v>
      </x:c>
      <x:c r="B3679" s="2" t="str">
        <x:v>inflation</x:v>
      </x:c>
      <x:c r="C3679" s="2"/>
      <x:c r="D3679" s="2"/>
      <x:c r="E3679" s="2" t="str">
        <x:v>Missing</x:v>
      </x:c>
      <x:c r="F3679" s="2" t="str">
        <x:v>Inflation, consumer prices (annual %)</x:v>
      </x:c>
    </x:row>
    <x:row r="3680" ht="44" customHeight="1">
      <x:c r="A3680" s="2" t="str">
        <x:v>MHL</x:v>
      </x:c>
      <x:c r="B3680" s="2" t="str">
        <x:v>food_index</x:v>
      </x:c>
      <x:c r="C3680" s="2" t="n">
        <x:v>90.84</x:v>
      </x:c>
      <x:c r="D3680" s="2" t="n">
        <x:v>2022</x:v>
      </x:c>
      <x:c r="E3680" s="2" t="str">
        <x:v>WB_food_index</x:v>
      </x:c>
      <x:c r="F3680" s="2" t="str">
        <x:v>Food production index (2014-2016 = 100)</x:v>
      </x:c>
    </x:row>
    <x:row r="3681" ht="44" customHeight="1">
      <x:c r="A3681" s="2" t="str">
        <x:v>MHL</x:v>
      </x:c>
      <x:c r="B3681" s="2" t="str">
        <x:v>food_import_share</x:v>
      </x:c>
      <x:c r="C3681" s="2"/>
      <x:c r="D3681" s="2"/>
      <x:c r="E3681" s="2" t="str">
        <x:v>Missing</x:v>
      </x:c>
      <x:c r="F3681" s="2" t="str">
        <x:v>Food imports (% of merchandise imports)</x:v>
      </x:c>
    </x:row>
    <x:row r="3682" ht="44" customHeight="1">
      <x:c r="A3682" s="2" t="str">
        <x:v>MHL</x:v>
      </x:c>
      <x:c r="B3682" s="2" t="str">
        <x:v>food_export_share</x:v>
      </x:c>
      <x:c r="C3682" s="2"/>
      <x:c r="D3682" s="2"/>
      <x:c r="E3682" s="2" t="str">
        <x:v>Missing</x:v>
      </x:c>
      <x:c r="F3682" s="2" t="str">
        <x:v>Food exports (% of merchandise exports)</x:v>
      </x:c>
    </x:row>
    <x:row r="3683" ht="44" customHeight="1">
      <x:c r="A3683" s="2" t="str">
        <x:v>MHL</x:v>
      </x:c>
      <x:c r="B3683" s="2" t="str">
        <x:v>imports_usd</x:v>
      </x:c>
      <x:c r="C3683" s="2" t="n">
        <x:v>111000000</x:v>
      </x:c>
      <x:c r="D3683" s="2" t="n">
        <x:v>2025</x:v>
      </x:c>
      <x:c r="E3683" s="2" t="str">
        <x:v>WB_imports_usd</x:v>
      </x:c>
      <x:c r="F3683" s="2" t="str">
        <x:v>Merchandise imports (current US$)</x:v>
      </x:c>
    </x:row>
    <x:row r="3684" ht="44" customHeight="1">
      <x:c r="A3684" s="2" t="str">
        <x:v>MHL</x:v>
      </x:c>
      <x:c r="B3684" s="2" t="str">
        <x:v>exports_usd</x:v>
      </x:c>
      <x:c r="C3684" s="2" t="n">
        <x:v>72000000</x:v>
      </x:c>
      <x:c r="D3684" s="2" t="n">
        <x:v>2025</x:v>
      </x:c>
      <x:c r="E3684" s="2" t="str">
        <x:v>WB_exports_usd</x:v>
      </x:c>
      <x:c r="F3684" s="2" t="str">
        <x:v>Merchandise exports (current US$)</x:v>
      </x:c>
    </x:row>
    <x:row r="3685" ht="44" customHeight="1">
      <x:c r="A3685" s="2" t="str">
        <x:v>MHL</x:v>
      </x:c>
      <x:c r="B3685" s="2" t="str">
        <x:v>cereal_yield</x:v>
      </x:c>
      <x:c r="C3685" s="2"/>
      <x:c r="D3685" s="2"/>
      <x:c r="E3685" s="2" t="str">
        <x:v>Missing</x:v>
      </x:c>
      <x:c r="F3685" s="2" t="str">
        <x:v>Cereal yield (kg per hectare)</x:v>
      </x:c>
    </x:row>
    <x:row r="3686" ht="44" customHeight="1">
      <x:c r="A3686" s="2" t="str">
        <x:v>MHL</x:v>
      </x:c>
      <x:c r="B3686" s="2" t="str">
        <x:v>water_stress</x:v>
      </x:c>
      <x:c r="C3686" s="2"/>
      <x:c r="D3686" s="2"/>
      <x:c r="E3686" s="2" t="str">
        <x:v>Missing</x:v>
      </x:c>
      <x:c r="F3686" s="2" t="str">
        <x:v>Level of water stress: freshwater withdrawal as a proportion of available freshwater resources</x:v>
      </x:c>
    </x:row>
    <x:row r="3687" ht="44" customHeight="1">
      <x:c r="A3687" s="2" t="str">
        <x:v>MHL</x:v>
      </x:c>
      <x:c r="B3687" s="2" t="str">
        <x:v>fertility</x:v>
      </x:c>
      <x:c r="C3687" s="2" t="n">
        <x:v>2.864</x:v>
      </x:c>
      <x:c r="D3687" s="2" t="n">
        <x:v>2024</x:v>
      </x:c>
      <x:c r="E3687" s="2" t="str">
        <x:v>WB_fertility</x:v>
      </x:c>
      <x:c r="F3687" s="2" t="str">
        <x:v>Fertility rate, total (births per woman)</x:v>
      </x:c>
    </x:row>
    <x:row r="3688" ht="44" customHeight="1">
      <x:c r="A3688" s="2" t="str">
        <x:v>MHL</x:v>
      </x:c>
      <x:c r="B3688" s="2" t="str">
        <x:v>life_expectancy</x:v>
      </x:c>
      <x:c r="C3688" s="2" t="n">
        <x:v>67.075</x:v>
      </x:c>
      <x:c r="D3688" s="2" t="n">
        <x:v>2024</x:v>
      </x:c>
      <x:c r="E3688" s="2" t="str">
        <x:v>WB_life_expectancy</x:v>
      </x:c>
      <x:c r="F3688" s="2" t="str">
        <x:v>Life expectancy at birth, total (years)</x:v>
      </x:c>
    </x:row>
    <x:row r="3689" ht="44" customHeight="1">
      <x:c r="A3689" s="2" t="str">
        <x:v>MHL</x:v>
      </x:c>
      <x:c r="B3689" s="2" t="str">
        <x:v>age_under15</x:v>
      </x:c>
      <x:c r="C3689" s="2" t="n">
        <x:v>33.8942175183287</x:v>
      </x:c>
      <x:c r="D3689" s="2" t="n">
        <x:v>2025</x:v>
      </x:c>
      <x:c r="E3689" s="2" t="str">
        <x:v>WB_age_under15</x:v>
      </x:c>
      <x:c r="F3689" s="2" t="str">
        <x:v>Population ages 0-14 (% of total population)</x:v>
      </x:c>
    </x:row>
    <x:row r="3690" ht="44" customHeight="1">
      <x:c r="A3690" s="2" t="str">
        <x:v>MHL</x:v>
      </x:c>
      <x:c r="B3690" s="2" t="str">
        <x:v>age_over65</x:v>
      </x:c>
      <x:c r="C3690" s="2" t="n">
        <x:v>4.87569593737942</x:v>
      </x:c>
      <x:c r="D3690" s="2" t="n">
        <x:v>2025</x:v>
      </x:c>
      <x:c r="E3690" s="2" t="str">
        <x:v>WB_age_over65</x:v>
      </x:c>
      <x:c r="F3690" s="2" t="str">
        <x:v>Population ages 65 and above (% of total population)</x:v>
      </x:c>
    </x:row>
    <x:row r="3691" ht="44" customHeight="1">
      <x:c r="A3691" s="2" t="str">
        <x:v>MHL</x:v>
      </x:c>
      <x:c r="B3691" s="2" t="str">
        <x:v>dependency_ratio</x:v>
      </x:c>
      <x:c r="C3691" s="2" t="n">
        <x:v>63.3220796758947</x:v>
      </x:c>
      <x:c r="D3691" s="2" t="n">
        <x:v>2025</x:v>
      </x:c>
      <x:c r="E3691" s="2" t="str">
        <x:v>WB_dependency_ratio</x:v>
      </x:c>
      <x:c r="F3691" s="2" t="str">
        <x:v>Age dependency ratio (% of working-age population)</x:v>
      </x:c>
    </x:row>
    <x:row r="3692" ht="44" customHeight="1">
      <x:c r="A3692" s="2" t="str">
        <x:v>MHL</x:v>
      </x:c>
      <x:c r="B3692" s="2" t="str">
        <x:v>net_migration</x:v>
      </x:c>
      <x:c r="C3692" s="2" t="n">
        <x:v>-1698</x:v>
      </x:c>
      <x:c r="D3692" s="2" t="n">
        <x:v>2025</x:v>
      </x:c>
      <x:c r="E3692" s="2" t="str">
        <x:v>WB_net_migration</x:v>
      </x:c>
      <x:c r="F3692" s="2" t="str">
        <x:v>Net migration</x:v>
      </x:c>
    </x:row>
    <x:row r="3693" ht="44" customHeight="1">
      <x:c r="A3693" s="2" t="str">
        <x:v>MHL</x:v>
      </x:c>
      <x:c r="B3693" s="2" t="str">
        <x:v>real_gdp</x:v>
      </x:c>
      <x:c r="C3693" s="2" t="n">
        <x:v>224000000</x:v>
      </x:c>
      <x:c r="D3693" s="2" t="n">
        <x:v>2025</x:v>
      </x:c>
      <x:c r="E3693" s="2" t="str">
        <x:v>WB_real_gdp</x:v>
      </x:c>
      <x:c r="F3693" s="2" t="str">
        <x:v>GDP (constant 2015 US$)</x:v>
      </x:c>
    </x:row>
    <x:row r="3694" ht="44" customHeight="1">
      <x:c r="A3694" s="2" t="str">
        <x:v>MHL</x:v>
      </x:c>
      <x:c r="B3694" s="2" t="str">
        <x:v>gdp_growth</x:v>
      </x:c>
      <x:c r="C3694" s="2" t="n">
        <x:v>2.28310502283105</x:v>
      </x:c>
      <x:c r="D3694" s="2" t="n">
        <x:v>2025</x:v>
      </x:c>
      <x:c r="E3694" s="2" t="str">
        <x:v>WB_gdp_growth</x:v>
      </x:c>
      <x:c r="F3694" s="2" t="str">
        <x:v>GDP growth (annual %)</x:v>
      </x:c>
    </x:row>
    <x:row r="3695" ht="44" customHeight="1">
      <x:c r="A3695" s="2" t="str">
        <x:v>MHL</x:v>
      </x:c>
      <x:c r="B3695" s="2" t="str">
        <x:v>real_income</x:v>
      </x:c>
      <x:c r="C3695" s="2" t="n">
        <x:v>6173.86031641034</x:v>
      </x:c>
      <x:c r="D3695" s="2" t="n">
        <x:v>2025</x:v>
      </x:c>
      <x:c r="E3695" s="2" t="str">
        <x:v>WB_real_income</x:v>
      </x:c>
      <x:c r="F3695" s="2" t="str">
        <x:v>GDP per capita (constant 2015 US$)</x:v>
      </x:c>
    </x:row>
    <x:row r="3696" ht="44" customHeight="1">
      <x:c r="A3696" s="2" t="str">
        <x:v>MHL</x:v>
      </x:c>
      <x:c r="B3696" s="2" t="str">
        <x:v>agriculture_gdp</x:v>
      </x:c>
      <x:c r="C3696" s="2" t="n">
        <x:v>19.9359649122807</x:v>
      </x:c>
      <x:c r="D3696" s="2" t="n">
        <x:v>2024</x:v>
      </x:c>
      <x:c r="E3696" s="2" t="str">
        <x:v>WB_agriculture_gdp</x:v>
      </x:c>
      <x:c r="F3696" s="2" t="str">
        <x:v>Agriculture, forestry, and fishing, value added (% of GDP)</x:v>
      </x:c>
    </x:row>
    <x:row r="3697" ht="44" customHeight="1">
      <x:c r="A3697" s="2" t="str">
        <x:v>MHL</x:v>
      </x:c>
      <x:c r="B3697" s="2" t="str">
        <x:v>poverty</x:v>
      </x:c>
      <x:c r="C3697" s="2" t="n">
        <x:v>2.1</x:v>
      </x:c>
      <x:c r="D3697" s="2" t="n">
        <x:v>2019</x:v>
      </x:c>
      <x:c r="E3697" s="2" t="str">
        <x:v>WB_poverty</x:v>
      </x:c>
      <x:c r="F3697" s="2" t="str">
        <x:v>Poverty headcount ratio at $3.00 a day (2021 PPP) (% of population)</x:v>
      </x:c>
    </x:row>
    <x:row r="3698" ht="44" customHeight="1">
      <x:c r="A3698" s="2" t="str">
        <x:v>MHL</x:v>
      </x:c>
      <x:c r="B3698" s="2" t="str">
        <x:v>gini</x:v>
      </x:c>
      <x:c r="C3698" s="2" t="n">
        <x:v>35.5</x:v>
      </x:c>
      <x:c r="D3698" s="2" t="n">
        <x:v>2019</x:v>
      </x:c>
      <x:c r="E3698" s="2" t="str">
        <x:v>WB_gini</x:v>
      </x:c>
      <x:c r="F3698" s="2" t="str">
        <x:v>Gini index</x:v>
      </x:c>
    </x:row>
    <x:row r="3699" ht="44" customHeight="1">
      <x:c r="A3699" s="2" t="str">
        <x:v>MHL</x:v>
      </x:c>
      <x:c r="B3699" s="2" t="str">
        <x:v>unemployment</x:v>
      </x:c>
      <x:c r="C3699" s="2"/>
      <x:c r="D3699" s="2"/>
      <x:c r="E3699" s="2" t="str">
        <x:v>Missing</x:v>
      </x:c>
      <x:c r="F3699" s="2" t="str">
        <x:v>Unemployment, total (% of total labor force) (modeled ILO estimate)</x:v>
      </x:c>
    </x:row>
    <x:row r="3700" ht="44" customHeight="1">
      <x:c r="A3700" s="2" t="str">
        <x:v>MHL</x:v>
      </x:c>
      <x:c r="B3700" s="2" t="str">
        <x:v>private_credit</x:v>
      </x:c>
      <x:c r="C3700" s="2"/>
      <x:c r="D3700" s="2"/>
      <x:c r="E3700" s="2" t="str">
        <x:v>Missing</x:v>
      </x:c>
      <x:c r="F3700" s="2" t="str">
        <x:v>Domestic credit to private sector (% of GDP)</x:v>
      </x:c>
    </x:row>
    <x:row r="3701" ht="44" customHeight="1">
      <x:c r="A3701" s="2" t="str">
        <x:v>MHL</x:v>
      </x:c>
      <x:c r="B3701" s="2" t="str">
        <x:v>lending_rate</x:v>
      </x:c>
      <x:c r="C3701" s="2"/>
      <x:c r="D3701" s="2"/>
      <x:c r="E3701" s="2" t="str">
        <x:v>Missing</x:v>
      </x:c>
      <x:c r="F3701" s="2" t="str">
        <x:v>Lending interest rate (%)</x:v>
      </x:c>
    </x:row>
    <x:row r="3702" ht="44" customHeight="1">
      <x:c r="A3702" s="2" t="str">
        <x:v>MHL</x:v>
      </x:c>
      <x:c r="B3702" s="2" t="str">
        <x:v>real_interest</x:v>
      </x:c>
      <x:c r="C3702" s="2"/>
      <x:c r="D3702" s="2"/>
      <x:c r="E3702" s="2" t="str">
        <x:v>Missing</x:v>
      </x:c>
      <x:c r="F3702" s="2" t="str">
        <x:v>Real interest rate (%)</x:v>
      </x:c>
    </x:row>
    <x:row r="3703" ht="44" customHeight="1">
      <x:c r="A3703" s="2" t="str">
        <x:v>MHL</x:v>
      </x:c>
      <x:c r="B3703" s="2" t="str">
        <x:v>government_debt</x:v>
      </x:c>
      <x:c r="C3703" s="2" t="n">
        <x:v>41.5637492486046</x:v>
      </x:c>
      <x:c r="D3703" s="2" t="n">
        <x:v>2019</x:v>
      </x:c>
      <x:c r="E3703" s="2" t="str">
        <x:v>WB_government_debt</x:v>
      </x:c>
      <x:c r="F3703" s="2" t="str">
        <x:v>Central government debt, total (% of GDP)</x:v>
      </x:c>
    </x:row>
    <x:row r="3704" ht="44" customHeight="1">
      <x:c r="A3704" s="2" t="str">
        <x:v>MHL</x:v>
      </x:c>
      <x:c r="B3704" s="2" t="str">
        <x:v>electricity_access</x:v>
      </x:c>
      <x:c r="C3704" s="2" t="n">
        <x:v>97.2</x:v>
      </x:c>
      <x:c r="D3704" s="2" t="n">
        <x:v>2024</x:v>
      </x:c>
      <x:c r="E3704" s="2" t="str">
        <x:v>WB_electricity_access</x:v>
      </x:c>
      <x:c r="F3704" s="2" t="str">
        <x:v>Access to electricity (% of population)</x:v>
      </x:c>
    </x:row>
    <x:row r="3705" ht="44" customHeight="1">
      <x:c r="A3705" s="2" t="str">
        <x:v>MHL</x:v>
      </x:c>
      <x:c r="B3705" s="2" t="str">
        <x:v>irrigated_land</x:v>
      </x:c>
      <x:c r="C3705" s="2"/>
      <x:c r="D3705" s="2"/>
      <x:c r="E3705" s="2" t="str">
        <x:v>Missing</x:v>
      </x:c>
      <x:c r="F3705" s="2" t="str">
        <x:v>Agricultural irrigated land (% of total agricultural land)</x:v>
      </x:c>
    </x:row>
    <x:row r="3706" ht="44" customHeight="1">
      <x:c r="A3706" s="2" t="str">
        <x:v>MHL</x:v>
      </x:c>
      <x:c r="B3706" s="2" t="str">
        <x:v>cereal_area</x:v>
      </x:c>
      <x:c r="C3706" s="2"/>
      <x:c r="D3706" s="2"/>
      <x:c r="E3706" s="2" t="str">
        <x:v>Missing</x:v>
      </x:c>
      <x:c r="F3706" s="2" t="str">
        <x:v>Land under cereal production (hectares)</x:v>
      </x:c>
    </x:row>
    <x:row r="3707" ht="44" customHeight="1">
      <x:c r="A3707" s="2" t="str">
        <x:v>MHL</x:v>
      </x:c>
      <x:c r="B3707" s="2" t="str">
        <x:v>undernourishment</x:v>
      </x:c>
      <x:c r="C3707" s="2"/>
      <x:c r="D3707" s="2"/>
      <x:c r="E3707" s="2" t="str">
        <x:v>Missing</x:v>
      </x:c>
      <x:c r="F3707" s="2" t="str">
        <x:v>Prevalence of undernourishment (% of population)</x:v>
      </x:c>
    </x:row>
    <x:row r="3708" ht="44" customHeight="1">
      <x:c r="A3708" s="2" t="str">
        <x:v>MHL</x:v>
      </x:c>
      <x:c r="B3708" s="2" t="str">
        <x:v>agriculture_employment</x:v>
      </x:c>
      <x:c r="C3708" s="2"/>
      <x:c r="D3708" s="2"/>
      <x:c r="E3708" s="2" t="str">
        <x:v>Missing</x:v>
      </x:c>
      <x:c r="F3708" s="2" t="str">
        <x:v>Employment in agriculture (% of total employment) (modeled ILO estimate)</x:v>
      </x:c>
    </x:row>
    <x:row r="3709" ht="44" customHeight="1">
      <x:c r="A3709" s="2" t="str">
        <x:v>MHL</x:v>
      </x:c>
      <x:c r="B3709" s="2" t="str">
        <x:v>water_withdrawal</x:v>
      </x:c>
      <x:c r="C3709" s="2"/>
      <x:c r="D3709" s="2"/>
      <x:c r="E3709" s="2" t="str">
        <x:v>Missing</x:v>
      </x:c>
      <x:c r="F3709" s="2" t="str">
        <x:v>Annual freshwater withdrawals, total (% of internal resources)</x:v>
      </x:c>
    </x:row>
    <x:row r="3710" ht="44" customHeight="1">
      <x:c r="A3710" s="2" t="str">
        <x:v>MRT</x:v>
      </x:c>
      <x:c r="B3710" s="2" t="str">
        <x:v>population</x:v>
      </x:c>
      <x:c r="C3710" s="2" t="n">
        <x:v>5315065</x:v>
      </x:c>
      <x:c r="D3710" s="2" t="n">
        <x:v>2025</x:v>
      </x:c>
      <x:c r="E3710" s="2" t="str">
        <x:v>WB_population</x:v>
      </x:c>
      <x:c r="F3710" s="2" t="str">
        <x:v>Population, total</x:v>
      </x:c>
    </x:row>
    <x:row r="3711" ht="44" customHeight="1">
      <x:c r="A3711" s="2" t="str">
        <x:v>MRT</x:v>
      </x:c>
      <x:c r="B3711" s="2" t="str">
        <x:v>income_ppp</x:v>
      </x:c>
      <x:c r="C3711" s="2" t="n">
        <x:v>6559.04321960566</x:v>
      </x:c>
      <x:c r="D3711" s="2" t="n">
        <x:v>2025</x:v>
      </x:c>
      <x:c r="E3711" s="2" t="str">
        <x:v>WB_income_ppp</x:v>
      </x:c>
      <x:c r="F3711" s="2" t="str">
        <x:v>GDP per capita, PPP (constant 2021 international $)</x:v>
      </x:c>
    </x:row>
    <x:row r="3712" ht="44" customHeight="1">
      <x:c r="A3712" s="2" t="str">
        <x:v>MRT</x:v>
      </x:c>
      <x:c r="B3712" s="2" t="str">
        <x:v>urban</x:v>
      </x:c>
      <x:c r="C3712" s="2" t="n">
        <x:v>61.4888190537696</x:v>
      </x:c>
      <x:c r="D3712" s="2" t="n">
        <x:v>2025</x:v>
      </x:c>
      <x:c r="E3712" s="2" t="str">
        <x:v>WB_urban</x:v>
      </x:c>
      <x:c r="F3712" s="2" t="str">
        <x:v>Urban population (% of total population)</x:v>
      </x:c>
    </x:row>
    <x:row r="3713" ht="44" customHeight="1">
      <x:c r="A3713" s="2" t="str">
        <x:v>MRT</x:v>
      </x:c>
      <x:c r="B3713" s="2" t="str">
        <x:v>inflation</x:v>
      </x:c>
      <x:c r="C3713" s="2" t="n">
        <x:v>1.54796926167072</x:v>
      </x:c>
      <x:c r="D3713" s="2" t="n">
        <x:v>2025</x:v>
      </x:c>
      <x:c r="E3713" s="2" t="str">
        <x:v>WB_inflation</x:v>
      </x:c>
      <x:c r="F3713" s="2" t="str">
        <x:v>Inflation, consumer prices (annual %)</x:v>
      </x:c>
    </x:row>
    <x:row r="3714" ht="44" customHeight="1">
      <x:c r="A3714" s="2" t="str">
        <x:v>MRT</x:v>
      </x:c>
      <x:c r="B3714" s="2" t="str">
        <x:v>food_index</x:v>
      </x:c>
      <x:c r="C3714" s="2" t="n">
        <x:v>116.51</x:v>
      </x:c>
      <x:c r="D3714" s="2" t="n">
        <x:v>2022</x:v>
      </x:c>
      <x:c r="E3714" s="2" t="str">
        <x:v>WB_food_index</x:v>
      </x:c>
      <x:c r="F3714" s="2" t="str">
        <x:v>Food production index (2014-2016 = 100)</x:v>
      </x:c>
    </x:row>
    <x:row r="3715" ht="44" customHeight="1">
      <x:c r="A3715" s="2" t="str">
        <x:v>MRT</x:v>
      </x:c>
      <x:c r="B3715" s="2" t="str">
        <x:v>food_import_share</x:v>
      </x:c>
      <x:c r="C3715" s="2" t="n">
        <x:v>23.8661948263684</x:v>
      </x:c>
      <x:c r="D3715" s="2" t="n">
        <x:v>2024</x:v>
      </x:c>
      <x:c r="E3715" s="2" t="str">
        <x:v>WB_food_import_share</x:v>
      </x:c>
      <x:c r="F3715" s="2" t="str">
        <x:v>Food imports (% of merchandise imports)</x:v>
      </x:c>
    </x:row>
    <x:row r="3716" ht="44" customHeight="1">
      <x:c r="A3716" s="2" t="str">
        <x:v>MRT</x:v>
      </x:c>
      <x:c r="B3716" s="2" t="str">
        <x:v>food_export_share</x:v>
      </x:c>
      <x:c r="C3716" s="2" t="n">
        <x:v>25.5160194490114</x:v>
      </x:c>
      <x:c r="D3716" s="2" t="n">
        <x:v>2024</x:v>
      </x:c>
      <x:c r="E3716" s="2" t="str">
        <x:v>WB_food_export_share</x:v>
      </x:c>
      <x:c r="F3716" s="2" t="str">
        <x:v>Food exports (% of merchandise exports)</x:v>
      </x:c>
    </x:row>
    <x:row r="3717" ht="44" customHeight="1">
      <x:c r="A3717" s="2" t="str">
        <x:v>MRT</x:v>
      </x:c>
      <x:c r="B3717" s="2" t="str">
        <x:v>imports_usd</x:v>
      </x:c>
      <x:c r="C3717" s="2" t="n">
        <x:v>5685000000</x:v>
      </x:c>
      <x:c r="D3717" s="2" t="n">
        <x:v>2025</x:v>
      </x:c>
      <x:c r="E3717" s="2" t="str">
        <x:v>WB_imports_usd</x:v>
      </x:c>
      <x:c r="F3717" s="2" t="str">
        <x:v>Merchandise imports (current US$)</x:v>
      </x:c>
    </x:row>
    <x:row r="3718" ht="44" customHeight="1">
      <x:c r="A3718" s="2" t="str">
        <x:v>MRT</x:v>
      </x:c>
      <x:c r="B3718" s="2" t="str">
        <x:v>exports_usd</x:v>
      </x:c>
      <x:c r="C3718" s="2" t="n">
        <x:v>4510000000</x:v>
      </x:c>
      <x:c r="D3718" s="2" t="n">
        <x:v>2025</x:v>
      </x:c>
      <x:c r="E3718" s="2" t="str">
        <x:v>WB_exports_usd</x:v>
      </x:c>
      <x:c r="F3718" s="2" t="str">
        <x:v>Merchandise exports (current US$)</x:v>
      </x:c>
    </x:row>
    <x:row r="3719" ht="44" customHeight="1">
      <x:c r="A3719" s="2" t="str">
        <x:v>MRT</x:v>
      </x:c>
      <x:c r="B3719" s="2" t="str">
        <x:v>cereal_yield</x:v>
      </x:c>
      <x:c r="C3719" s="2" t="n">
        <x:v>1537.4</x:v>
      </x:c>
      <x:c r="D3719" s="2" t="n">
        <x:v>2024</x:v>
      </x:c>
      <x:c r="E3719" s="2" t="str">
        <x:v>WB_cereal_yield</x:v>
      </x:c>
      <x:c r="F3719" s="2" t="str">
        <x:v>Cereal yield (kg per hectare)</x:v>
      </x:c>
    </x:row>
    <x:row r="3720" ht="44" customHeight="1">
      <x:c r="A3720" s="2" t="str">
        <x:v>MRT</x:v>
      </x:c>
      <x:c r="B3720" s="2" t="str">
        <x:v>water_stress</x:v>
      </x:c>
      <x:c r="C3720" s="2" t="n">
        <x:v>13.24621733</x:v>
      </x:c>
      <x:c r="D3720" s="2" t="n">
        <x:v>2022</x:v>
      </x:c>
      <x:c r="E3720" s="2" t="str">
        <x:v>WB_water_stress</x:v>
      </x:c>
      <x:c r="F3720" s="2" t="str">
        <x:v>Level of water stress: freshwater withdrawal as a proportion of available freshwater resources</x:v>
      </x:c>
    </x:row>
    <x:row r="3721" ht="44" customHeight="1">
      <x:c r="A3721" s="2" t="str">
        <x:v>MRT</x:v>
      </x:c>
      <x:c r="B3721" s="2" t="str">
        <x:v>fertility</x:v>
      </x:c>
      <x:c r="C3721" s="2" t="n">
        <x:v>4.625</x:v>
      </x:c>
      <x:c r="D3721" s="2" t="n">
        <x:v>2024</x:v>
      </x:c>
      <x:c r="E3721" s="2" t="str">
        <x:v>WB_fertility</x:v>
      </x:c>
      <x:c r="F3721" s="2" t="str">
        <x:v>Fertility rate, total (births per woman)</x:v>
      </x:c>
    </x:row>
    <x:row r="3722" ht="44" customHeight="1">
      <x:c r="A3722" s="2" t="str">
        <x:v>MRT</x:v>
      </x:c>
      <x:c r="B3722" s="2" t="str">
        <x:v>life_expectancy</x:v>
      </x:c>
      <x:c r="C3722" s="2" t="n">
        <x:v>68.713</x:v>
      </x:c>
      <x:c r="D3722" s="2" t="n">
        <x:v>2024</x:v>
      </x:c>
      <x:c r="E3722" s="2" t="str">
        <x:v>WB_life_expectancy</x:v>
      </x:c>
      <x:c r="F3722" s="2" t="str">
        <x:v>Life expectancy at birth, total (years)</x:v>
      </x:c>
    </x:row>
    <x:row r="3723" ht="44" customHeight="1">
      <x:c r="A3723" s="2" t="str">
        <x:v>MRT</x:v>
      </x:c>
      <x:c r="B3723" s="2" t="str">
        <x:v>age_under15</x:v>
      </x:c>
      <x:c r="C3723" s="2" t="n">
        <x:v>42.3845750131537</x:v>
      </x:c>
      <x:c r="D3723" s="2" t="n">
        <x:v>2025</x:v>
      </x:c>
      <x:c r="E3723" s="2" t="str">
        <x:v>WB_age_under15</x:v>
      </x:c>
      <x:c r="F3723" s="2" t="str">
        <x:v>Population ages 0-14 (% of total population)</x:v>
      </x:c>
    </x:row>
    <x:row r="3724" ht="44" customHeight="1">
      <x:c r="A3724" s="2" t="str">
        <x:v>MRT</x:v>
      </x:c>
      <x:c r="B3724" s="2" t="str">
        <x:v>age_over65</x:v>
      </x:c>
      <x:c r="C3724" s="2" t="n">
        <x:v>3.24673388253332</x:v>
      </x:c>
      <x:c r="D3724" s="2" t="n">
        <x:v>2025</x:v>
      </x:c>
      <x:c r="E3724" s="2" t="str">
        <x:v>WB_age_over65</x:v>
      </x:c>
      <x:c r="F3724" s="2" t="str">
        <x:v>Population ages 65 and above (% of total population)</x:v>
      </x:c>
    </x:row>
    <x:row r="3725" ht="44" customHeight="1">
      <x:c r="A3725" s="2" t="str">
        <x:v>MRT</x:v>
      </x:c>
      <x:c r="B3725" s="2" t="str">
        <x:v>dependency_ratio</x:v>
      </x:c>
      <x:c r="C3725" s="2" t="n">
        <x:v>83.9294038095587</x:v>
      </x:c>
      <x:c r="D3725" s="2" t="n">
        <x:v>2025</x:v>
      </x:c>
      <x:c r="E3725" s="2" t="str">
        <x:v>WB_dependency_ratio</x:v>
      </x:c>
      <x:c r="F3725" s="2" t="str">
        <x:v>Age dependency ratio (% of working-age population)</x:v>
      </x:c>
    </x:row>
    <x:row r="3726" ht="44" customHeight="1">
      <x:c r="A3726" s="2" t="str">
        <x:v>MRT</x:v>
      </x:c>
      <x:c r="B3726" s="2" t="str">
        <x:v>net_migration</x:v>
      </x:c>
      <x:c r="C3726" s="2" t="n">
        <x:v>-5044</x:v>
      </x:c>
      <x:c r="D3726" s="2" t="n">
        <x:v>2025</x:v>
      </x:c>
      <x:c r="E3726" s="2" t="str">
        <x:v>WB_net_migration</x:v>
      </x:c>
      <x:c r="F3726" s="2" t="str">
        <x:v>Net migration</x:v>
      </x:c>
    </x:row>
    <x:row r="3727" ht="44" customHeight="1">
      <x:c r="A3727" s="2" t="str">
        <x:v>MRT</x:v>
      </x:c>
      <x:c r="B3727" s="2" t="str">
        <x:v>real_gdp</x:v>
      </x:c>
      <x:c r="C3727" s="2" t="n">
        <x:v>9103536665.50591</x:v>
      </x:c>
      <x:c r="D3727" s="2" t="n">
        <x:v>2025</x:v>
      </x:c>
      <x:c r="E3727" s="2" t="str">
        <x:v>WB_real_gdp</x:v>
      </x:c>
      <x:c r="F3727" s="2" t="str">
        <x:v>GDP (constant 2015 US$)</x:v>
      </x:c>
    </x:row>
    <x:row r="3728" ht="44" customHeight="1">
      <x:c r="A3728" s="2" t="str">
        <x:v>MRT</x:v>
      </x:c>
      <x:c r="B3728" s="2" t="str">
        <x:v>gdp_growth</x:v>
      </x:c>
      <x:c r="C3728" s="2" t="n">
        <x:v>4.02891976567948</x:v>
      </x:c>
      <x:c r="D3728" s="2" t="n">
        <x:v>2025</x:v>
      </x:c>
      <x:c r="E3728" s="2" t="str">
        <x:v>WB_gdp_growth</x:v>
      </x:c>
      <x:c r="F3728" s="2" t="str">
        <x:v>GDP growth (annual %)</x:v>
      </x:c>
    </x:row>
    <x:row r="3729" ht="44" customHeight="1">
      <x:c r="A3729" s="2" t="str">
        <x:v>MRT</x:v>
      </x:c>
      <x:c r="B3729" s="2" t="str">
        <x:v>real_income</x:v>
      </x:c>
      <x:c r="C3729" s="2" t="n">
        <x:v>1712.77993129076</x:v>
      </x:c>
      <x:c r="D3729" s="2" t="n">
        <x:v>2025</x:v>
      </x:c>
      <x:c r="E3729" s="2" t="str">
        <x:v>WB_real_income</x:v>
      </x:c>
      <x:c r="F3729" s="2" t="str">
        <x:v>GDP per capita (constant 2015 US$)</x:v>
      </x:c>
    </x:row>
    <x:row r="3730" ht="44" customHeight="1">
      <x:c r="A3730" s="2" t="str">
        <x:v>MRT</x:v>
      </x:c>
      <x:c r="B3730" s="2" t="str">
        <x:v>agriculture_gdp</x:v>
      </x:c>
      <x:c r="C3730" s="2" t="n">
        <x:v>19.9526937998331</x:v>
      </x:c>
      <x:c r="D3730" s="2" t="n">
        <x:v>2025</x:v>
      </x:c>
      <x:c r="E3730" s="2" t="str">
        <x:v>WB_agriculture_gdp</x:v>
      </x:c>
      <x:c r="F3730" s="2" t="str">
        <x:v>Agriculture, forestry, and fishing, value added (% of GDP)</x:v>
      </x:c>
    </x:row>
    <x:row r="3731" ht="44" customHeight="1">
      <x:c r="A3731" s="2" t="str">
        <x:v>MRT</x:v>
      </x:c>
      <x:c r="B3731" s="2" t="str">
        <x:v>poverty</x:v>
      </x:c>
      <x:c r="C3731" s="2" t="n">
        <x:v>10.2</x:v>
      </x:c>
      <x:c r="D3731" s="2" t="n">
        <x:v>2019</x:v>
      </x:c>
      <x:c r="E3731" s="2" t="str">
        <x:v>WB_poverty</x:v>
      </x:c>
      <x:c r="F3731" s="2" t="str">
        <x:v>Poverty headcount ratio at $3.00 a day (2021 PPP) (% of population)</x:v>
      </x:c>
    </x:row>
    <x:row r="3732" ht="44" customHeight="1">
      <x:c r="A3732" s="2" t="str">
        <x:v>MRT</x:v>
      </x:c>
      <x:c r="B3732" s="2" t="str">
        <x:v>gini</x:v>
      </x:c>
      <x:c r="C3732" s="2" t="n">
        <x:v>32</x:v>
      </x:c>
      <x:c r="D3732" s="2" t="n">
        <x:v>2019</x:v>
      </x:c>
      <x:c r="E3732" s="2" t="str">
        <x:v>WB_gini</x:v>
      </x:c>
      <x:c r="F3732" s="2" t="str">
        <x:v>Gini index</x:v>
      </x:c>
    </x:row>
    <x:row r="3733" ht="44" customHeight="1">
      <x:c r="A3733" s="2" t="str">
        <x:v>MRT</x:v>
      </x:c>
      <x:c r="B3733" s="2" t="str">
        <x:v>unemployment</x:v>
      </x:c>
      <x:c r="C3733" s="2" t="n">
        <x:v>10.319</x:v>
      </x:c>
      <x:c r="D3733" s="2" t="n">
        <x:v>2025</x:v>
      </x:c>
      <x:c r="E3733" s="2" t="str">
        <x:v>WB_unemployment</x:v>
      </x:c>
      <x:c r="F3733" s="2" t="str">
        <x:v>Unemployment, total (% of total labor force) (modeled ILO estimate)</x:v>
      </x:c>
    </x:row>
    <x:row r="3734" ht="44" customHeight="1">
      <x:c r="A3734" s="2" t="str">
        <x:v>MRT</x:v>
      </x:c>
      <x:c r="B3734" s="2" t="str">
        <x:v>private_credit</x:v>
      </x:c>
      <x:c r="C3734" s="2" t="n">
        <x:v>22.7235411550392</x:v>
      </x:c>
      <x:c r="D3734" s="2" t="n">
        <x:v>2019</x:v>
      </x:c>
      <x:c r="E3734" s="2" t="str">
        <x:v>WB_private_credit</x:v>
      </x:c>
      <x:c r="F3734" s="2" t="str">
        <x:v>Domestic credit to private sector (% of GDP)</x:v>
      </x:c>
    </x:row>
    <x:row r="3735" ht="44" customHeight="1">
      <x:c r="A3735" s="2" t="str">
        <x:v>MRT</x:v>
      </x:c>
      <x:c r="B3735" s="2" t="str">
        <x:v>lending_rate</x:v>
      </x:c>
      <x:c r="C3735" s="2" t="n">
        <x:v>17</x:v>
      </x:c>
      <x:c r="D3735" s="2" t="n">
        <x:v>2017</x:v>
      </x:c>
      <x:c r="E3735" s="2" t="str">
        <x:v>WB_lending_rate</x:v>
      </x:c>
      <x:c r="F3735" s="2" t="str">
        <x:v>Lending interest rate (%)</x:v>
      </x:c>
    </x:row>
    <x:row r="3736" ht="44" customHeight="1">
      <x:c r="A3736" s="2" t="str">
        <x:v>MRT</x:v>
      </x:c>
      <x:c r="B3736" s="2" t="str">
        <x:v>real_interest</x:v>
      </x:c>
      <x:c r="C3736" s="2" t="n">
        <x:v>15.1756881333696</x:v>
      </x:c>
      <x:c r="D3736" s="2" t="n">
        <x:v>2017</x:v>
      </x:c>
      <x:c r="E3736" s="2" t="str">
        <x:v>WB_real_interest</x:v>
      </x:c>
      <x:c r="F3736" s="2" t="str">
        <x:v>Real interest rate (%)</x:v>
      </x:c>
    </x:row>
    <x:row r="3737" ht="44" customHeight="1">
      <x:c r="A3737" s="2" t="str">
        <x:v>MRT</x:v>
      </x:c>
      <x:c r="B3737" s="2" t="str">
        <x:v>government_debt</x:v>
      </x:c>
      <x:c r="C3737" s="2"/>
      <x:c r="D3737" s="2"/>
      <x:c r="E3737" s="2" t="str">
        <x:v>Missing</x:v>
      </x:c>
      <x:c r="F3737" s="2" t="str">
        <x:v>Central government debt, total (% of GDP)</x:v>
      </x:c>
    </x:row>
    <x:row r="3738" ht="44" customHeight="1">
      <x:c r="A3738" s="2" t="str">
        <x:v>MRT</x:v>
      </x:c>
      <x:c r="B3738" s="2" t="str">
        <x:v>electricity_access</x:v>
      </x:c>
      <x:c r="C3738" s="2" t="n">
        <x:v>52.2</x:v>
      </x:c>
      <x:c r="D3738" s="2" t="n">
        <x:v>2024</x:v>
      </x:c>
      <x:c r="E3738" s="2" t="str">
        <x:v>WB_electricity_access</x:v>
      </x:c>
      <x:c r="F3738" s="2" t="str">
        <x:v>Access to electricity (% of population)</x:v>
      </x:c>
    </x:row>
    <x:row r="3739" ht="44" customHeight="1">
      <x:c r="A3739" s="2" t="str">
        <x:v>MRT</x:v>
      </x:c>
      <x:c r="B3739" s="2" t="str">
        <x:v>irrigated_land</x:v>
      </x:c>
      <x:c r="C3739" s="2" t="n">
        <x:v>0.0575169982372198</x:v>
      </x:c>
      <x:c r="D3739" s="2" t="n">
        <x:v>2004</x:v>
      </x:c>
      <x:c r="E3739" s="2" t="str">
        <x:v>WB_irrigated_land</x:v>
      </x:c>
      <x:c r="F3739" s="2" t="str">
        <x:v>Agricultural irrigated land (% of total agricultural land)</x:v>
      </x:c>
    </x:row>
    <x:row r="3740" ht="44" customHeight="1">
      <x:c r="A3740" s="2" t="str">
        <x:v>MRT</x:v>
      </x:c>
      <x:c r="B3740" s="2" t="str">
        <x:v>cereal_area</x:v>
      </x:c>
      <x:c r="C3740" s="2" t="n">
        <x:v>370911</x:v>
      </x:c>
      <x:c r="D3740" s="2" t="n">
        <x:v>2024</x:v>
      </x:c>
      <x:c r="E3740" s="2" t="str">
        <x:v>WB_cereal_area</x:v>
      </x:c>
      <x:c r="F3740" s="2" t="str">
        <x:v>Land under cereal production (hectares)</x:v>
      </x:c>
    </x:row>
    <x:row r="3741" ht="44" customHeight="1">
      <x:c r="A3741" s="2" t="str">
        <x:v>MRT</x:v>
      </x:c>
      <x:c r="B3741" s="2" t="str">
        <x:v>undernourishment</x:v>
      </x:c>
      <x:c r="C3741" s="2" t="n">
        <x:v>8.7</x:v>
      </x:c>
      <x:c r="D3741" s="2" t="n">
        <x:v>2023</x:v>
      </x:c>
      <x:c r="E3741" s="2" t="str">
        <x:v>WB_undernourishment</x:v>
      </x:c>
      <x:c r="F3741" s="2" t="str">
        <x:v>Prevalence of undernourishment (% of population)</x:v>
      </x:c>
    </x:row>
    <x:row r="3742" ht="44" customHeight="1">
      <x:c r="A3742" s="2" t="str">
        <x:v>MRT</x:v>
      </x:c>
      <x:c r="B3742" s="2" t="str">
        <x:v>agriculture_employment</x:v>
      </x:c>
      <x:c r="C3742" s="2" t="n">
        <x:v>32.1227244148495</x:v>
      </x:c>
      <x:c r="D3742" s="2" t="n">
        <x:v>2025</x:v>
      </x:c>
      <x:c r="E3742" s="2" t="str">
        <x:v>WB_agriculture_employment</x:v>
      </x:c>
      <x:c r="F3742" s="2" t="str">
        <x:v>Employment in agriculture (% of total employment) (modeled ILO estimate)</x:v>
      </x:c>
    </x:row>
    <x:row r="3743" ht="44" customHeight="1">
      <x:c r="A3743" s="2" t="str">
        <x:v>MRT</x:v>
      </x:c>
      <x:c r="B3743" s="2" t="str">
        <x:v>water_withdrawal</x:v>
      </x:c>
      <x:c r="C3743" s="2" t="n">
        <x:v>337.05</x:v>
      </x:c>
      <x:c r="D3743" s="2" t="n">
        <x:v>2022</x:v>
      </x:c>
      <x:c r="E3743" s="2" t="str">
        <x:v>WB_water_withdrawal</x:v>
      </x:c>
      <x:c r="F3743" s="2" t="str">
        <x:v>Annual freshwater withdrawals, total (% of internal resources)</x:v>
      </x:c>
    </x:row>
    <x:row r="3744" ht="44" customHeight="1">
      <x:c r="A3744" s="2" t="str">
        <x:v>MUS</x:v>
      </x:c>
      <x:c r="B3744" s="2" t="str">
        <x:v>population</x:v>
      </x:c>
      <x:c r="C3744" s="2" t="n">
        <x:v>1243741</x:v>
      </x:c>
      <x:c r="D3744" s="2" t="n">
        <x:v>2025</x:v>
      </x:c>
      <x:c r="E3744" s="2" t="str">
        <x:v>WB_population</x:v>
      </x:c>
      <x:c r="F3744" s="2" t="str">
        <x:v>Population, total</x:v>
      </x:c>
    </x:row>
    <x:row r="3745" ht="44" customHeight="1">
      <x:c r="A3745" s="2" t="str">
        <x:v>MUS</x:v>
      </x:c>
      <x:c r="B3745" s="2" t="str">
        <x:v>income_ppp</x:v>
      </x:c>
      <x:c r="C3745" s="2" t="n">
        <x:v>28769.5128307709</x:v>
      </x:c>
      <x:c r="D3745" s="2" t="n">
        <x:v>2025</x:v>
      </x:c>
      <x:c r="E3745" s="2" t="str">
        <x:v>WB_income_ppp</x:v>
      </x:c>
      <x:c r="F3745" s="2" t="str">
        <x:v>GDP per capita, PPP (constant 2021 international $)</x:v>
      </x:c>
    </x:row>
    <x:row r="3746" ht="44" customHeight="1">
      <x:c r="A3746" s="2" t="str">
        <x:v>MUS</x:v>
      </x:c>
      <x:c r="B3746" s="2" t="str">
        <x:v>urban</x:v>
      </x:c>
      <x:c r="C3746" s="2" t="n">
        <x:v>39.0369663368524</x:v>
      </x:c>
      <x:c r="D3746" s="2" t="n">
        <x:v>2025</x:v>
      </x:c>
      <x:c r="E3746" s="2" t="str">
        <x:v>WB_urban</x:v>
      </x:c>
      <x:c r="F3746" s="2" t="str">
        <x:v>Urban population (% of total population)</x:v>
      </x:c>
    </x:row>
    <x:row r="3747" ht="44" customHeight="1">
      <x:c r="A3747" s="2" t="str">
        <x:v>MUS</x:v>
      </x:c>
      <x:c r="B3747" s="2" t="str">
        <x:v>inflation</x:v>
      </x:c>
      <x:c r="C3747" s="2" t="n">
        <x:v>3.67359279962943</x:v>
      </x:c>
      <x:c r="D3747" s="2" t="n">
        <x:v>2025</x:v>
      </x:c>
      <x:c r="E3747" s="2" t="str">
        <x:v>WB_inflation</x:v>
      </x:c>
      <x:c r="F3747" s="2" t="str">
        <x:v>Inflation, consumer prices (annual %)</x:v>
      </x:c>
    </x:row>
    <x:row r="3748" ht="44" customHeight="1">
      <x:c r="A3748" s="2" t="str">
        <x:v>MUS</x:v>
      </x:c>
      <x:c r="B3748" s="2" t="str">
        <x:v>food_index</x:v>
      </x:c>
      <x:c r="C3748" s="2" t="n">
        <x:v>84.4</x:v>
      </x:c>
      <x:c r="D3748" s="2" t="n">
        <x:v>2022</x:v>
      </x:c>
      <x:c r="E3748" s="2" t="str">
        <x:v>WB_food_index</x:v>
      </x:c>
      <x:c r="F3748" s="2" t="str">
        <x:v>Food production index (2014-2016 = 100)</x:v>
      </x:c>
    </x:row>
    <x:row r="3749" ht="44" customHeight="1">
      <x:c r="A3749" s="2" t="str">
        <x:v>MUS</x:v>
      </x:c>
      <x:c r="B3749" s="2" t="str">
        <x:v>food_import_share</x:v>
      </x:c>
      <x:c r="C3749" s="2" t="n">
        <x:v>21.2177915969195</x:v>
      </x:c>
      <x:c r="D3749" s="2" t="n">
        <x:v>2024</x:v>
      </x:c>
      <x:c r="E3749" s="2" t="str">
        <x:v>WB_food_import_share</x:v>
      </x:c>
      <x:c r="F3749" s="2" t="str">
        <x:v>Food imports (% of merchandise imports)</x:v>
      </x:c>
    </x:row>
    <x:row r="3750" ht="44" customHeight="1">
      <x:c r="A3750" s="2" t="str">
        <x:v>MUS</x:v>
      </x:c>
      <x:c r="B3750" s="2" t="str">
        <x:v>food_export_share</x:v>
      </x:c>
      <x:c r="C3750" s="2" t="n">
        <x:v>50.9276342215605</x:v>
      </x:c>
      <x:c r="D3750" s="2" t="n">
        <x:v>2024</x:v>
      </x:c>
      <x:c r="E3750" s="2" t="str">
        <x:v>WB_food_export_share</x:v>
      </x:c>
      <x:c r="F3750" s="2" t="str">
        <x:v>Food exports (% of merchandise exports)</x:v>
      </x:c>
    </x:row>
    <x:row r="3751" ht="44" customHeight="1">
      <x:c r="A3751" s="2" t="str">
        <x:v>MUS</x:v>
      </x:c>
      <x:c r="B3751" s="2" t="str">
        <x:v>imports_usd</x:v>
      </x:c>
      <x:c r="C3751" s="2" t="n">
        <x:v>6936000000</x:v>
      </x:c>
      <x:c r="D3751" s="2" t="n">
        <x:v>2025</x:v>
      </x:c>
      <x:c r="E3751" s="2" t="str">
        <x:v>WB_imports_usd</x:v>
      </x:c>
      <x:c r="F3751" s="2" t="str">
        <x:v>Merchandise imports (current US$)</x:v>
      </x:c>
    </x:row>
    <x:row r="3752" ht="44" customHeight="1">
      <x:c r="A3752" s="2" t="str">
        <x:v>MUS</x:v>
      </x:c>
      <x:c r="B3752" s="2" t="str">
        <x:v>exports_usd</x:v>
      </x:c>
      <x:c r="C3752" s="2" t="n">
        <x:v>2342000000</x:v>
      </x:c>
      <x:c r="D3752" s="2" t="n">
        <x:v>2025</x:v>
      </x:c>
      <x:c r="E3752" s="2" t="str">
        <x:v>WB_exports_usd</x:v>
      </x:c>
      <x:c r="F3752" s="2" t="str">
        <x:v>Merchandise exports (current US$)</x:v>
      </x:c>
    </x:row>
    <x:row r="3753" ht="44" customHeight="1">
      <x:c r="A3753" s="2" t="str">
        <x:v>MUS</x:v>
      </x:c>
      <x:c r="B3753" s="2" t="str">
        <x:v>cereal_yield</x:v>
      </x:c>
      <x:c r="C3753" s="2" t="n">
        <x:v>11643.4</x:v>
      </x:c>
      <x:c r="D3753" s="2" t="n">
        <x:v>2023</x:v>
      </x:c>
      <x:c r="E3753" s="2" t="str">
        <x:v>WB_cereal_yield</x:v>
      </x:c>
      <x:c r="F3753" s="2" t="str">
        <x:v>Cereal yield (kg per hectare)</x:v>
      </x:c>
    </x:row>
    <x:row r="3754" ht="44" customHeight="1">
      <x:c r="A3754" s="2" t="str">
        <x:v>MUS</x:v>
      </x:c>
      <x:c r="B3754" s="2" t="str">
        <x:v>water_stress</x:v>
      </x:c>
      <x:c r="C3754" s="2" t="n">
        <x:v>22.97346419</x:v>
      </x:c>
      <x:c r="D3754" s="2" t="n">
        <x:v>2022</x:v>
      </x:c>
      <x:c r="E3754" s="2" t="str">
        <x:v>WB_water_stress</x:v>
      </x:c>
      <x:c r="F3754" s="2" t="str">
        <x:v>Level of water stress: freshwater withdrawal as a proportion of available freshwater resources</x:v>
      </x:c>
    </x:row>
    <x:row r="3755" ht="44" customHeight="1">
      <x:c r="A3755" s="2" t="str">
        <x:v>MUS</x:v>
      </x:c>
      <x:c r="B3755" s="2" t="str">
        <x:v>fertility</x:v>
      </x:c>
      <x:c r="C3755" s="2" t="n">
        <x:v>1.44</x:v>
      </x:c>
      <x:c r="D3755" s="2" t="n">
        <x:v>2024</x:v>
      </x:c>
      <x:c r="E3755" s="2" t="str">
        <x:v>WB_fertility</x:v>
      </x:c>
      <x:c r="F3755" s="2" t="str">
        <x:v>Fertility rate, total (births per woman)</x:v>
      </x:c>
    </x:row>
    <x:row r="3756" ht="44" customHeight="1">
      <x:c r="A3756" s="2" t="str">
        <x:v>MUS</x:v>
      </x:c>
      <x:c r="B3756" s="2" t="str">
        <x:v>life_expectancy</x:v>
      </x:c>
      <x:c r="C3756" s="2" t="n">
        <x:v>73.7890243902439</x:v>
      </x:c>
      <x:c r="D3756" s="2" t="n">
        <x:v>2024</x:v>
      </x:c>
      <x:c r="E3756" s="2" t="str">
        <x:v>WB_life_expectancy</x:v>
      </x:c>
      <x:c r="F3756" s="2" t="str">
        <x:v>Life expectancy at birth, total (years)</x:v>
      </x:c>
    </x:row>
    <x:row r="3757" ht="44" customHeight="1">
      <x:c r="A3757" s="2" t="str">
        <x:v>MUS</x:v>
      </x:c>
      <x:c r="B3757" s="2" t="str">
        <x:v>age_under15</x:v>
      </x:c>
      <x:c r="C3757" s="2" t="n">
        <x:v>14.5371347561795</x:v>
      </x:c>
      <x:c r="D3757" s="2" t="n">
        <x:v>2025</x:v>
      </x:c>
      <x:c r="E3757" s="2" t="str">
        <x:v>WB_age_under15</x:v>
      </x:c>
      <x:c r="F3757" s="2" t="str">
        <x:v>Population ages 0-14 (% of total population)</x:v>
      </x:c>
    </x:row>
    <x:row r="3758" ht="44" customHeight="1">
      <x:c r="A3758" s="2" t="str">
        <x:v>MUS</x:v>
      </x:c>
      <x:c r="B3758" s="2" t="str">
        <x:v>age_over65</x:v>
      </x:c>
      <x:c r="C3758" s="2" t="n">
        <x:v>14.1145544022434</x:v>
      </x:c>
      <x:c r="D3758" s="2" t="n">
        <x:v>2025</x:v>
      </x:c>
      <x:c r="E3758" s="2" t="str">
        <x:v>WB_age_over65</x:v>
      </x:c>
      <x:c r="F3758" s="2" t="str">
        <x:v>Population ages 65 and above (% of total population)</x:v>
      </x:c>
    </x:row>
    <x:row r="3759" ht="44" customHeight="1">
      <x:c r="A3759" s="2" t="str">
        <x:v>MUS</x:v>
      </x:c>
      <x:c r="B3759" s="2" t="str">
        <x:v>dependency_ratio</x:v>
      </x:c>
      <x:c r="C3759" s="2" t="n">
        <x:v>40.1575184699365</x:v>
      </x:c>
      <x:c r="D3759" s="2" t="n">
        <x:v>2025</x:v>
      </x:c>
      <x:c r="E3759" s="2" t="str">
        <x:v>WB_dependency_ratio</x:v>
      </x:c>
      <x:c r="F3759" s="2" t="str">
        <x:v>Age dependency ratio (% of working-age population)</x:v>
      </x:c>
    </x:row>
    <x:row r="3760" ht="44" customHeight="1">
      <x:c r="A3760" s="2" t="str">
        <x:v>MUS</x:v>
      </x:c>
      <x:c r="B3760" s="2" t="str">
        <x:v>net_migration</x:v>
      </x:c>
      <x:c r="C3760" s="2" t="n">
        <x:v>-2784</x:v>
      </x:c>
      <x:c r="D3760" s="2" t="n">
        <x:v>2025</x:v>
      </x:c>
      <x:c r="E3760" s="2" t="str">
        <x:v>WB_net_migration</x:v>
      </x:c>
      <x:c r="F3760" s="2" t="str">
        <x:v>Net migration</x:v>
      </x:c>
    </x:row>
    <x:row r="3761" ht="44" customHeight="1">
      <x:c r="A3761" s="2" t="str">
        <x:v>MUS</x:v>
      </x:c>
      <x:c r="B3761" s="2" t="str">
        <x:v>real_gdp</x:v>
      </x:c>
      <x:c r="C3761" s="2" t="n">
        <x:v>15316148267.1641</x:v>
      </x:c>
      <x:c r="D3761" s="2" t="n">
        <x:v>2025</x:v>
      </x:c>
      <x:c r="E3761" s="2" t="str">
        <x:v>WB_real_gdp</x:v>
      </x:c>
      <x:c r="F3761" s="2" t="str">
        <x:v>GDP (constant 2015 US$)</x:v>
      </x:c>
    </x:row>
    <x:row r="3762" ht="44" customHeight="1">
      <x:c r="A3762" s="2" t="str">
        <x:v>MUS</x:v>
      </x:c>
      <x:c r="B3762" s="2" t="str">
        <x:v>gdp_growth</x:v>
      </x:c>
      <x:c r="C3762" s="2" t="n">
        <x:v>3.15157395305867</x:v>
      </x:c>
      <x:c r="D3762" s="2" t="n">
        <x:v>2025</x:v>
      </x:c>
      <x:c r="E3762" s="2" t="str">
        <x:v>WB_gdp_growth</x:v>
      </x:c>
      <x:c r="F3762" s="2" t="str">
        <x:v>GDP growth (annual %)</x:v>
      </x:c>
    </x:row>
    <x:row r="3763" ht="44" customHeight="1">
      <x:c r="A3763" s="2" t="str">
        <x:v>MUS</x:v>
      </x:c>
      <x:c r="B3763" s="2" t="str">
        <x:v>real_income</x:v>
      </x:c>
      <x:c r="C3763" s="2" t="n">
        <x:v>12314.5801796066</x:v>
      </x:c>
      <x:c r="D3763" s="2" t="n">
        <x:v>2025</x:v>
      </x:c>
      <x:c r="E3763" s="2" t="str">
        <x:v>WB_real_income</x:v>
      </x:c>
      <x:c r="F3763" s="2" t="str">
        <x:v>GDP per capita (constant 2015 US$)</x:v>
      </x:c>
    </x:row>
    <x:row r="3764" ht="44" customHeight="1">
      <x:c r="A3764" s="2" t="str">
        <x:v>MUS</x:v>
      </x:c>
      <x:c r="B3764" s="2" t="str">
        <x:v>agriculture_gdp</x:v>
      </x:c>
      <x:c r="C3764" s="2" t="n">
        <x:v>4.61632647569328</x:v>
      </x:c>
      <x:c r="D3764" s="2" t="n">
        <x:v>2025</x:v>
      </x:c>
      <x:c r="E3764" s="2" t="str">
        <x:v>WB_agriculture_gdp</x:v>
      </x:c>
      <x:c r="F3764" s="2" t="str">
        <x:v>Agriculture, forestry, and fishing, value added (% of GDP)</x:v>
      </x:c>
    </x:row>
    <x:row r="3765" ht="44" customHeight="1">
      <x:c r="A3765" s="2" t="str">
        <x:v>MUS</x:v>
      </x:c>
      <x:c r="B3765" s="2" t="str">
        <x:v>poverty</x:v>
      </x:c>
      <x:c r="C3765" s="2" t="n">
        <x:v>0.5</x:v>
      </x:c>
      <x:c r="D3765" s="2" t="n">
        <x:v>2017</x:v>
      </x:c>
      <x:c r="E3765" s="2" t="str">
        <x:v>WB_poverty</x:v>
      </x:c>
      <x:c r="F3765" s="2" t="str">
        <x:v>Poverty headcount ratio at $3.00 a day (2021 PPP) (% of population)</x:v>
      </x:c>
    </x:row>
    <x:row r="3766" ht="44" customHeight="1">
      <x:c r="A3766" s="2" t="str">
        <x:v>MUS</x:v>
      </x:c>
      <x:c r="B3766" s="2" t="str">
        <x:v>gini</x:v>
      </x:c>
      <x:c r="C3766" s="2" t="n">
        <x:v>36.8</x:v>
      </x:c>
      <x:c r="D3766" s="2" t="n">
        <x:v>2017</x:v>
      </x:c>
      <x:c r="E3766" s="2" t="str">
        <x:v>WB_gini</x:v>
      </x:c>
      <x:c r="F3766" s="2" t="str">
        <x:v>Gini index</x:v>
      </x:c>
    </x:row>
    <x:row r="3767" ht="44" customHeight="1">
      <x:c r="A3767" s="2" t="str">
        <x:v>MUS</x:v>
      </x:c>
      <x:c r="B3767" s="2" t="str">
        <x:v>unemployment</x:v>
      </x:c>
      <x:c r="C3767" s="2" t="n">
        <x:v>5.635</x:v>
      </x:c>
      <x:c r="D3767" s="2" t="n">
        <x:v>2025</x:v>
      </x:c>
      <x:c r="E3767" s="2" t="str">
        <x:v>WB_unemployment</x:v>
      </x:c>
      <x:c r="F3767" s="2" t="str">
        <x:v>Unemployment, total (% of total labor force) (modeled ILO estimate)</x:v>
      </x:c>
    </x:row>
    <x:row r="3768" ht="44" customHeight="1">
      <x:c r="A3768" s="2" t="str">
        <x:v>MUS</x:v>
      </x:c>
      <x:c r="B3768" s="2" t="str">
        <x:v>private_credit</x:v>
      </x:c>
      <x:c r="C3768" s="2" t="n">
        <x:v>72.0328373814832</x:v>
      </x:c>
      <x:c r="D3768" s="2" t="n">
        <x:v>2025</x:v>
      </x:c>
      <x:c r="E3768" s="2" t="str">
        <x:v>WB_private_credit</x:v>
      </x:c>
      <x:c r="F3768" s="2" t="str">
        <x:v>Domestic credit to private sector (% of GDP)</x:v>
      </x:c>
    </x:row>
    <x:row r="3769" ht="44" customHeight="1">
      <x:c r="A3769" s="2" t="str">
        <x:v>MUS</x:v>
      </x:c>
      <x:c r="B3769" s="2" t="str">
        <x:v>lending_rate</x:v>
      </x:c>
      <x:c r="C3769" s="2" t="n">
        <x:v>9</x:v>
      </x:c>
      <x:c r="D3769" s="2" t="n">
        <x:v>2025</x:v>
      </x:c>
      <x:c r="E3769" s="2" t="str">
        <x:v>WB_lending_rate</x:v>
      </x:c>
      <x:c r="F3769" s="2" t="str">
        <x:v>Lending interest rate (%)</x:v>
      </x:c>
    </x:row>
    <x:row r="3770" ht="44" customHeight="1">
      <x:c r="A3770" s="2" t="str">
        <x:v>MUS</x:v>
      </x:c>
      <x:c r="B3770" s="2" t="str">
        <x:v>real_interest</x:v>
      </x:c>
      <x:c r="C3770" s="2" t="n">
        <x:v>4.89147692618099</x:v>
      </x:c>
      <x:c r="D3770" s="2" t="n">
        <x:v>2025</x:v>
      </x:c>
      <x:c r="E3770" s="2" t="str">
        <x:v>WB_real_interest</x:v>
      </x:c>
      <x:c r="F3770" s="2" t="str">
        <x:v>Real interest rate (%)</x:v>
      </x:c>
    </x:row>
    <x:row r="3771" ht="44" customHeight="1">
      <x:c r="A3771" s="2" t="str">
        <x:v>MUS</x:v>
      </x:c>
      <x:c r="B3771" s="2" t="str">
        <x:v>government_debt</x:v>
      </x:c>
      <x:c r="C3771" s="2" t="n">
        <x:v>57.1349404640455</x:v>
      </x:c>
      <x:c r="D3771" s="2" t="n">
        <x:v>2019</x:v>
      </x:c>
      <x:c r="E3771" s="2" t="str">
        <x:v>WB_government_debt</x:v>
      </x:c>
      <x:c r="F3771" s="2" t="str">
        <x:v>Central government debt, total (% of GDP)</x:v>
      </x:c>
    </x:row>
    <x:row r="3772" ht="44" customHeight="1">
      <x:c r="A3772" s="2" t="str">
        <x:v>MUS</x:v>
      </x:c>
      <x:c r="B3772" s="2" t="str">
        <x:v>electricity_access</x:v>
      </x:c>
      <x:c r="C3772" s="2" t="n">
        <x:v>100</x:v>
      </x:c>
      <x:c r="D3772" s="2" t="n">
        <x:v>2024</x:v>
      </x:c>
      <x:c r="E3772" s="2" t="str">
        <x:v>WB_electricity_access</x:v>
      </x:c>
      <x:c r="F3772" s="2" t="str">
        <x:v>Access to electricity (% of population)</x:v>
      </x:c>
    </x:row>
    <x:row r="3773" ht="44" customHeight="1">
      <x:c r="A3773" s="2" t="str">
        <x:v>MUS</x:v>
      </x:c>
      <x:c r="B3773" s="2" t="str">
        <x:v>irrigated_land</x:v>
      </x:c>
      <x:c r="C3773" s="2" t="n">
        <x:v>15.7054540970295</x:v>
      </x:c>
      <x:c r="D3773" s="2" t="n">
        <x:v>2023</x:v>
      </x:c>
      <x:c r="E3773" s="2" t="str">
        <x:v>WB_irrigated_land</x:v>
      </x:c>
      <x:c r="F3773" s="2" t="str">
        <x:v>Agricultural irrigated land (% of total agricultural land)</x:v>
      </x:c>
    </x:row>
    <x:row r="3774" ht="44" customHeight="1">
      <x:c r="A3774" s="2" t="str">
        <x:v>MUS</x:v>
      </x:c>
      <x:c r="B3774" s="2" t="str">
        <x:v>cereal_area</x:v>
      </x:c>
      <x:c r="C3774" s="2" t="n">
        <x:v>129</x:v>
      </x:c>
      <x:c r="D3774" s="2" t="n">
        <x:v>2023</x:v>
      </x:c>
      <x:c r="E3774" s="2" t="str">
        <x:v>WB_cereal_area</x:v>
      </x:c>
      <x:c r="F3774" s="2" t="str">
        <x:v>Land under cereal production (hectares)</x:v>
      </x:c>
    </x:row>
    <x:row r="3775" ht="44" customHeight="1">
      <x:c r="A3775" s="2" t="str">
        <x:v>MUS</x:v>
      </x:c>
      <x:c r="B3775" s="2" t="str">
        <x:v>undernourishment</x:v>
      </x:c>
      <x:c r="C3775" s="2" t="n">
        <x:v>8.7</x:v>
      </x:c>
      <x:c r="D3775" s="2" t="n">
        <x:v>2023</x:v>
      </x:c>
      <x:c r="E3775" s="2" t="str">
        <x:v>WB_undernourishment</x:v>
      </x:c>
      <x:c r="F3775" s="2" t="str">
        <x:v>Prevalence of undernourishment (% of population)</x:v>
      </x:c>
    </x:row>
    <x:row r="3776" ht="44" customHeight="1">
      <x:c r="A3776" s="2" t="str">
        <x:v>MUS</x:v>
      </x:c>
      <x:c r="B3776" s="2" t="str">
        <x:v>agriculture_employment</x:v>
      </x:c>
      <x:c r="C3776" s="2" t="n">
        <x:v>4.71100587289368</x:v>
      </x:c>
      <x:c r="D3776" s="2" t="n">
        <x:v>2025</x:v>
      </x:c>
      <x:c r="E3776" s="2" t="str">
        <x:v>WB_agriculture_employment</x:v>
      </x:c>
      <x:c r="F3776" s="2" t="str">
        <x:v>Employment in agriculture (% of total employment) (modeled ILO estimate)</x:v>
      </x:c>
    </x:row>
    <x:row r="3777" ht="44" customHeight="1">
      <x:c r="A3777" s="2" t="str">
        <x:v>MUS</x:v>
      </x:c>
      <x:c r="B3777" s="2" t="str">
        <x:v>water_withdrawal</x:v>
      </x:c>
      <x:c r="C3777" s="2" t="n">
        <x:v>22.9734641948382</x:v>
      </x:c>
      <x:c r="D3777" s="2" t="n">
        <x:v>2022</x:v>
      </x:c>
      <x:c r="E3777" s="2" t="str">
        <x:v>WB_water_withdrawal</x:v>
      </x:c>
      <x:c r="F3777" s="2" t="str">
        <x:v>Annual freshwater withdrawals, total (% of internal resources)</x:v>
      </x:c>
    </x:row>
    <x:row r="3778" ht="44" customHeight="1">
      <x:c r="A3778" s="2" t="str">
        <x:v>MEX</x:v>
      </x:c>
      <x:c r="B3778" s="2" t="str">
        <x:v>population</x:v>
      </x:c>
      <x:c r="C3778" s="2" t="n">
        <x:v>131946900</x:v>
      </x:c>
      <x:c r="D3778" s="2" t="n">
        <x:v>2025</x:v>
      </x:c>
      <x:c r="E3778" s="2" t="str">
        <x:v>WB_population</x:v>
      </x:c>
      <x:c r="F3778" s="2" t="str">
        <x:v>Population, total</x:v>
      </x:c>
    </x:row>
    <x:row r="3779" ht="44" customHeight="1">
      <x:c r="A3779" s="2" t="str">
        <x:v>MEX</x:v>
      </x:c>
      <x:c r="B3779" s="2" t="str">
        <x:v>income_ppp</x:v>
      </x:c>
      <x:c r="C3779" s="2" t="n">
        <x:v>21911.9292842747</x:v>
      </x:c>
      <x:c r="D3779" s="2" t="n">
        <x:v>2025</x:v>
      </x:c>
      <x:c r="E3779" s="2" t="str">
        <x:v>WB_income_ppp</x:v>
      </x:c>
      <x:c r="F3779" s="2" t="str">
        <x:v>GDP per capita, PPP (constant 2021 international $)</x:v>
      </x:c>
    </x:row>
    <x:row r="3780" ht="44" customHeight="1">
      <x:c r="A3780" s="2" t="str">
        <x:v>MEX</x:v>
      </x:c>
      <x:c r="B3780" s="2" t="str">
        <x:v>urban</x:v>
      </x:c>
      <x:c r="C3780" s="2" t="n">
        <x:v>80.0408930629723</x:v>
      </x:c>
      <x:c r="D3780" s="2" t="n">
        <x:v>2025</x:v>
      </x:c>
      <x:c r="E3780" s="2" t="str">
        <x:v>WB_urban</x:v>
      </x:c>
      <x:c r="F3780" s="2" t="str">
        <x:v>Urban population (% of total population)</x:v>
      </x:c>
    </x:row>
    <x:row r="3781" ht="44" customHeight="1">
      <x:c r="A3781" s="2" t="str">
        <x:v>MEX</x:v>
      </x:c>
      <x:c r="B3781" s="2" t="str">
        <x:v>inflation</x:v>
      </x:c>
      <x:c r="C3781" s="2" t="n">
        <x:v>3.80668650726485</x:v>
      </x:c>
      <x:c r="D3781" s="2" t="n">
        <x:v>2025</x:v>
      </x:c>
      <x:c r="E3781" s="2" t="str">
        <x:v>WB_inflation</x:v>
      </x:c>
      <x:c r="F3781" s="2" t="str">
        <x:v>Inflation, consumer prices (annual %)</x:v>
      </x:c>
    </x:row>
    <x:row r="3782" ht="44" customHeight="1">
      <x:c r="A3782" s="2" t="str">
        <x:v>MEX</x:v>
      </x:c>
      <x:c r="B3782" s="2" t="str">
        <x:v>food_index</x:v>
      </x:c>
      <x:c r="C3782" s="2" t="n">
        <x:v>117.03</x:v>
      </x:c>
      <x:c r="D3782" s="2" t="n">
        <x:v>2022</x:v>
      </x:c>
      <x:c r="E3782" s="2" t="str">
        <x:v>WB_food_index</x:v>
      </x:c>
      <x:c r="F3782" s="2" t="str">
        <x:v>Food production index (2014-2016 = 100)</x:v>
      </x:c>
    </x:row>
    <x:row r="3783" ht="44" customHeight="1">
      <x:c r="A3783" s="2" t="str">
        <x:v>MEX</x:v>
      </x:c>
      <x:c r="B3783" s="2" t="str">
        <x:v>food_import_share</x:v>
      </x:c>
      <x:c r="C3783" s="2" t="n">
        <x:v>6.32404187815951</x:v>
      </x:c>
      <x:c r="D3783" s="2" t="n">
        <x:v>2025</x:v>
      </x:c>
      <x:c r="E3783" s="2" t="str">
        <x:v>WB_food_import_share</x:v>
      </x:c>
      <x:c r="F3783" s="2" t="str">
        <x:v>Food imports (% of merchandise imports)</x:v>
      </x:c>
    </x:row>
    <x:row r="3784" ht="44" customHeight="1">
      <x:c r="A3784" s="2" t="str">
        <x:v>MEX</x:v>
      </x:c>
      <x:c r="B3784" s="2" t="str">
        <x:v>food_export_share</x:v>
      </x:c>
      <x:c r="C3784" s="2" t="n">
        <x:v>7.53972003456379</x:v>
      </x:c>
      <x:c r="D3784" s="2" t="n">
        <x:v>2025</x:v>
      </x:c>
      <x:c r="E3784" s="2" t="str">
        <x:v>WB_food_export_share</x:v>
      </x:c>
      <x:c r="F3784" s="2" t="str">
        <x:v>Food exports (% of merchandise exports)</x:v>
      </x:c>
    </x:row>
    <x:row r="3785" ht="44" customHeight="1">
      <x:c r="A3785" s="2" t="str">
        <x:v>MEX</x:v>
      </x:c>
      <x:c r="B3785" s="2" t="str">
        <x:v>imports_usd</x:v>
      </x:c>
      <x:c r="C3785" s="2" t="n">
        <x:v>683018000000</x:v>
      </x:c>
      <x:c r="D3785" s="2" t="n">
        <x:v>2025</x:v>
      </x:c>
      <x:c r="E3785" s="2" t="str">
        <x:v>WB_imports_usd</x:v>
      </x:c>
      <x:c r="F3785" s="2" t="str">
        <x:v>Merchandise imports (current US$)</x:v>
      </x:c>
    </x:row>
    <x:row r="3786" ht="44" customHeight="1">
      <x:c r="A3786" s="2" t="str">
        <x:v>MEX</x:v>
      </x:c>
      <x:c r="B3786" s="2" t="str">
        <x:v>exports_usd</x:v>
      </x:c>
      <x:c r="C3786" s="2" t="n">
        <x:v>664837000000</x:v>
      </x:c>
      <x:c r="D3786" s="2" t="n">
        <x:v>2025</x:v>
      </x:c>
      <x:c r="E3786" s="2" t="str">
        <x:v>WB_exports_usd</x:v>
      </x:c>
      <x:c r="F3786" s="2" t="str">
        <x:v>Merchandise exports (current US$)</x:v>
      </x:c>
    </x:row>
    <x:row r="3787" ht="44" customHeight="1">
      <x:c r="A3787" s="2" t="str">
        <x:v>MEX</x:v>
      </x:c>
      <x:c r="B3787" s="2" t="str">
        <x:v>cereal_yield</x:v>
      </x:c>
      <x:c r="C3787" s="2" t="n">
        <x:v>4262.2</x:v>
      </x:c>
      <x:c r="D3787" s="2" t="n">
        <x:v>2023</x:v>
      </x:c>
      <x:c r="E3787" s="2" t="str">
        <x:v>WB_cereal_yield</x:v>
      </x:c>
      <x:c r="F3787" s="2" t="str">
        <x:v>Cereal yield (kg per hectare)</x:v>
      </x:c>
    </x:row>
    <x:row r="3788" ht="44" customHeight="1">
      <x:c r="A3788" s="2" t="str">
        <x:v>MEX</x:v>
      </x:c>
      <x:c r="B3788" s="2" t="str">
        <x:v>water_stress</x:v>
      </x:c>
      <x:c r="C3788" s="2" t="n">
        <x:v>44.94514734</x:v>
      </x:c>
      <x:c r="D3788" s="2" t="n">
        <x:v>2022</x:v>
      </x:c>
      <x:c r="E3788" s="2" t="str">
        <x:v>WB_water_stress</x:v>
      </x:c>
      <x:c r="F3788" s="2" t="str">
        <x:v>Level of water stress: freshwater withdrawal as a proportion of available freshwater resources</x:v>
      </x:c>
    </x:row>
    <x:row r="3789" ht="44" customHeight="1">
      <x:c r="A3789" s="2" t="str">
        <x:v>MEX</x:v>
      </x:c>
      <x:c r="B3789" s="2" t="str">
        <x:v>fertility</x:v>
      </x:c>
      <x:c r="C3789" s="2" t="n">
        <x:v>1.892</x:v>
      </x:c>
      <x:c r="D3789" s="2" t="n">
        <x:v>2024</x:v>
      </x:c>
      <x:c r="E3789" s="2" t="str">
        <x:v>WB_fertility</x:v>
      </x:c>
      <x:c r="F3789" s="2" t="str">
        <x:v>Fertility rate, total (births per woman)</x:v>
      </x:c>
    </x:row>
    <x:row r="3790" ht="44" customHeight="1">
      <x:c r="A3790" s="2" t="str">
        <x:v>MEX</x:v>
      </x:c>
      <x:c r="B3790" s="2" t="str">
        <x:v>life_expectancy</x:v>
      </x:c>
      <x:c r="C3790" s="2" t="n">
        <x:v>75.264</x:v>
      </x:c>
      <x:c r="D3790" s="2" t="n">
        <x:v>2024</x:v>
      </x:c>
      <x:c r="E3790" s="2" t="str">
        <x:v>WB_life_expectancy</x:v>
      </x:c>
      <x:c r="F3790" s="2" t="str">
        <x:v>Life expectancy at birth, total (years)</x:v>
      </x:c>
    </x:row>
    <x:row r="3791" ht="44" customHeight="1">
      <x:c r="A3791" s="2" t="str">
        <x:v>MEX</x:v>
      </x:c>
      <x:c r="B3791" s="2" t="str">
        <x:v>age_under15</x:v>
      </x:c>
      <x:c r="C3791" s="2" t="n">
        <x:v>24.0910608737303</x:v>
      </x:c>
      <x:c r="D3791" s="2" t="n">
        <x:v>2025</x:v>
      </x:c>
      <x:c r="E3791" s="2" t="str">
        <x:v>WB_age_under15</x:v>
      </x:c>
      <x:c r="F3791" s="2" t="str">
        <x:v>Population ages 0-14 (% of total population)</x:v>
      </x:c>
    </x:row>
    <x:row r="3792" ht="44" customHeight="1">
      <x:c r="A3792" s="2" t="str">
        <x:v>MEX</x:v>
      </x:c>
      <x:c r="B3792" s="2" t="str">
        <x:v>age_over65</x:v>
      </x:c>
      <x:c r="C3792" s="2" t="n">
        <x:v>8.52143438004228</x:v>
      </x:c>
      <x:c r="D3792" s="2" t="n">
        <x:v>2025</x:v>
      </x:c>
      <x:c r="E3792" s="2" t="str">
        <x:v>WB_age_over65</x:v>
      </x:c>
      <x:c r="F3792" s="2" t="str">
        <x:v>Population ages 65 and above (% of total population)</x:v>
      </x:c>
    </x:row>
    <x:row r="3793" ht="44" customHeight="1">
      <x:c r="A3793" s="2" t="str">
        <x:v>MEX</x:v>
      </x:c>
      <x:c r="B3793" s="2" t="str">
        <x:v>dependency_ratio</x:v>
      </x:c>
      <x:c r="C3793" s="2" t="n">
        <x:v>48.3954637764632</x:v>
      </x:c>
      <x:c r="D3793" s="2" t="n">
        <x:v>2025</x:v>
      </x:c>
      <x:c r="E3793" s="2" t="str">
        <x:v>WB_dependency_ratio</x:v>
      </x:c>
      <x:c r="F3793" s="2" t="str">
        <x:v>Age dependency ratio (% of working-age population)</x:v>
      </x:c>
    </x:row>
    <x:row r="3794" ht="44" customHeight="1">
      <x:c r="A3794" s="2" t="str">
        <x:v>MEX</x:v>
      </x:c>
      <x:c r="B3794" s="2" t="str">
        <x:v>net_migration</x:v>
      </x:c>
      <x:c r="C3794" s="2" t="n">
        <x:v>-108037</x:v>
      </x:c>
      <x:c r="D3794" s="2" t="n">
        <x:v>2025</x:v>
      </x:c>
      <x:c r="E3794" s="2" t="str">
        <x:v>WB_net_migration</x:v>
      </x:c>
      <x:c r="F3794" s="2" t="str">
        <x:v>Net migration</x:v>
      </x:c>
    </x:row>
    <x:row r="3795" ht="44" customHeight="1">
      <x:c r="A3795" s="2" t="str">
        <x:v>MEX</x:v>
      </x:c>
      <x:c r="B3795" s="2" t="str">
        <x:v>real_gdp</x:v>
      </x:c>
      <x:c r="C3795" s="2" t="n">
        <x:v>1353338023059.52</x:v>
      </x:c>
      <x:c r="D3795" s="2" t="n">
        <x:v>2025</x:v>
      </x:c>
      <x:c r="E3795" s="2" t="str">
        <x:v>WB_real_gdp</x:v>
      </x:c>
      <x:c r="F3795" s="2" t="str">
        <x:v>GDP (constant 2015 US$)</x:v>
      </x:c>
    </x:row>
    <x:row r="3796" ht="44" customHeight="1">
      <x:c r="A3796" s="2" t="str">
        <x:v>MEX</x:v>
      </x:c>
      <x:c r="B3796" s="2" t="str">
        <x:v>gdp_growth</x:v>
      </x:c>
      <x:c r="C3796" s="2" t="n">
        <x:v>0.561683456144578</x:v>
      </x:c>
      <x:c r="D3796" s="2" t="n">
        <x:v>2025</x:v>
      </x:c>
      <x:c r="E3796" s="2" t="str">
        <x:v>WB_gdp_growth</x:v>
      </x:c>
      <x:c r="F3796" s="2" t="str">
        <x:v>GDP growth (annual %)</x:v>
      </x:c>
    </x:row>
    <x:row r="3797" ht="44" customHeight="1">
      <x:c r="A3797" s="2" t="str">
        <x:v>MEX</x:v>
      </x:c>
      <x:c r="B3797" s="2" t="str">
        <x:v>real_income</x:v>
      </x:c>
      <x:c r="C3797" s="2" t="n">
        <x:v>10256.6867661121</x:v>
      </x:c>
      <x:c r="D3797" s="2" t="n">
        <x:v>2025</x:v>
      </x:c>
      <x:c r="E3797" s="2" t="str">
        <x:v>WB_real_income</x:v>
      </x:c>
      <x:c r="F3797" s="2" t="str">
        <x:v>GDP per capita (constant 2015 US$)</x:v>
      </x:c>
    </x:row>
    <x:row r="3798" ht="44" customHeight="1">
      <x:c r="A3798" s="2" t="str">
        <x:v>MEX</x:v>
      </x:c>
      <x:c r="B3798" s="2" t="str">
        <x:v>agriculture_gdp</x:v>
      </x:c>
      <x:c r="C3798" s="2" t="n">
        <x:v>3.88408341898948</x:v>
      </x:c>
      <x:c r="D3798" s="2" t="n">
        <x:v>2025</x:v>
      </x:c>
      <x:c r="E3798" s="2" t="str">
        <x:v>WB_agriculture_gdp</x:v>
      </x:c>
      <x:c r="F3798" s="2" t="str">
        <x:v>Agriculture, forestry, and fishing, value added (% of GDP)</x:v>
      </x:c>
    </x:row>
    <x:row r="3799" ht="44" customHeight="1">
      <x:c r="A3799" s="2" t="str">
        <x:v>MEX</x:v>
      </x:c>
      <x:c r="B3799" s="2" t="str">
        <x:v>poverty</x:v>
      </x:c>
      <x:c r="C3799" s="2" t="n">
        <x:v>1.6</x:v>
      </x:c>
      <x:c r="D3799" s="2" t="n">
        <x:v>2024</x:v>
      </x:c>
      <x:c r="E3799" s="2" t="str">
        <x:v>WB_poverty</x:v>
      </x:c>
      <x:c r="F3799" s="2" t="str">
        <x:v>Poverty headcount ratio at $3.00 a day (2021 PPP) (% of population)</x:v>
      </x:c>
    </x:row>
    <x:row r="3800" ht="44" customHeight="1">
      <x:c r="A3800" s="2" t="str">
        <x:v>MEX</x:v>
      </x:c>
      <x:c r="B3800" s="2" t="str">
        <x:v>gini</x:v>
      </x:c>
      <x:c r="C3800" s="2" t="n">
        <x:v>42.6</x:v>
      </x:c>
      <x:c r="D3800" s="2" t="n">
        <x:v>2024</x:v>
      </x:c>
      <x:c r="E3800" s="2" t="str">
        <x:v>WB_gini</x:v>
      </x:c>
      <x:c r="F3800" s="2" t="str">
        <x:v>Gini index</x:v>
      </x:c>
    </x:row>
    <x:row r="3801" ht="44" customHeight="1">
      <x:c r="A3801" s="2" t="str">
        <x:v>MEX</x:v>
      </x:c>
      <x:c r="B3801" s="2" t="str">
        <x:v>unemployment</x:v>
      </x:c>
      <x:c r="C3801" s="2" t="n">
        <x:v>2.673</x:v>
      </x:c>
      <x:c r="D3801" s="2" t="n">
        <x:v>2025</x:v>
      </x:c>
      <x:c r="E3801" s="2" t="str">
        <x:v>WB_unemployment</x:v>
      </x:c>
      <x:c r="F3801" s="2" t="str">
        <x:v>Unemployment, total (% of total labor force) (modeled ILO estimate)</x:v>
      </x:c>
    </x:row>
    <x:row r="3802" ht="44" customHeight="1">
      <x:c r="A3802" s="2" t="str">
        <x:v>MEX</x:v>
      </x:c>
      <x:c r="B3802" s="2" t="str">
        <x:v>private_credit</x:v>
      </x:c>
      <x:c r="C3802" s="2" t="n">
        <x:v>35.5021122487568</x:v>
      </x:c>
      <x:c r="D3802" s="2" t="n">
        <x:v>2025</x:v>
      </x:c>
      <x:c r="E3802" s="2" t="str">
        <x:v>WB_private_credit</x:v>
      </x:c>
      <x:c r="F3802" s="2" t="str">
        <x:v>Domestic credit to private sector (% of GDP)</x:v>
      </x:c>
    </x:row>
    <x:row r="3803" ht="44" customHeight="1">
      <x:c r="A3803" s="2" t="str">
        <x:v>MEX</x:v>
      </x:c>
      <x:c r="B3803" s="2" t="str">
        <x:v>lending_rate</x:v>
      </x:c>
      <x:c r="C3803" s="2" t="n">
        <x:v>8.78583333333333</x:v>
      </x:c>
      <x:c r="D3803" s="2" t="n">
        <x:v>2025</x:v>
      </x:c>
      <x:c r="E3803" s="2" t="str">
        <x:v>WB_lending_rate</x:v>
      </x:c>
      <x:c r="F3803" s="2" t="str">
        <x:v>Lending interest rate (%)</x:v>
      </x:c>
    </x:row>
    <x:row r="3804" ht="44" customHeight="1">
      <x:c r="A3804" s="2" t="str">
        <x:v>MEX</x:v>
      </x:c>
      <x:c r="B3804" s="2" t="str">
        <x:v>real_interest</x:v>
      </x:c>
      <x:c r="C3804" s="2" t="n">
        <x:v>3.9709808535188</x:v>
      </x:c>
      <x:c r="D3804" s="2" t="n">
        <x:v>2025</x:v>
      </x:c>
      <x:c r="E3804" s="2" t="str">
        <x:v>WB_real_interest</x:v>
      </x:c>
      <x:c r="F3804" s="2" t="str">
        <x:v>Real interest rate (%)</x:v>
      </x:c>
    </x:row>
    <x:row r="3805" ht="44" customHeight="1">
      <x:c r="A3805" s="2" t="str">
        <x:v>MEX</x:v>
      </x:c>
      <x:c r="B3805" s="2" t="str">
        <x:v>government_debt</x:v>
      </x:c>
      <x:c r="C3805" s="2" t="n">
        <x:v>50.270950655733</x:v>
      </x:c>
      <x:c r="D3805" s="2" t="n">
        <x:v>2024</x:v>
      </x:c>
      <x:c r="E3805" s="2" t="str">
        <x:v>WB_government_debt</x:v>
      </x:c>
      <x:c r="F3805" s="2" t="str">
        <x:v>Central government debt, total (% of GDP)</x:v>
      </x:c>
    </x:row>
    <x:row r="3806" ht="44" customHeight="1">
      <x:c r="A3806" s="2" t="str">
        <x:v>MEX</x:v>
      </x:c>
      <x:c r="B3806" s="2" t="str">
        <x:v>electricity_access</x:v>
      </x:c>
      <x:c r="C3806" s="2" t="n">
        <x:v>99.8</x:v>
      </x:c>
      <x:c r="D3806" s="2" t="n">
        <x:v>2024</x:v>
      </x:c>
      <x:c r="E3806" s="2" t="str">
        <x:v>WB_electricity_access</x:v>
      </x:c>
      <x:c r="F3806" s="2" t="str">
        <x:v>Access to electricity (% of population)</x:v>
      </x:c>
    </x:row>
    <x:row r="3807" ht="44" customHeight="1">
      <x:c r="A3807" s="2" t="str">
        <x:v>MEX</x:v>
      </x:c>
      <x:c r="B3807" s="2" t="str">
        <x:v>irrigated_land</x:v>
      </x:c>
      <x:c r="C3807" s="2" t="n">
        <x:v>6.5807224250307</x:v>
      </x:c>
      <x:c r="D3807" s="2" t="n">
        <x:v>2023</x:v>
      </x:c>
      <x:c r="E3807" s="2" t="str">
        <x:v>WB_irrigated_land</x:v>
      </x:c>
      <x:c r="F3807" s="2" t="str">
        <x:v>Agricultural irrigated land (% of total agricultural land)</x:v>
      </x:c>
    </x:row>
    <x:row r="3808" ht="44" customHeight="1">
      <x:c r="A3808" s="2" t="str">
        <x:v>MEX</x:v>
      </x:c>
      <x:c r="B3808" s="2" t="str">
        <x:v>cereal_area</x:v>
      </x:c>
      <x:c r="C3808" s="2" t="n">
        <x:v>8684694</x:v>
      </x:c>
      <x:c r="D3808" s="2" t="n">
        <x:v>2023</x:v>
      </x:c>
      <x:c r="E3808" s="2" t="str">
        <x:v>WB_cereal_area</x:v>
      </x:c>
      <x:c r="F3808" s="2" t="str">
        <x:v>Land under cereal production (hectares)</x:v>
      </x:c>
    </x:row>
    <x:row r="3809" ht="44" customHeight="1">
      <x:c r="A3809" s="2" t="str">
        <x:v>MEX</x:v>
      </x:c>
      <x:c r="B3809" s="2" t="str">
        <x:v>undernourishment</x:v>
      </x:c>
      <x:c r="C3809" s="2" t="n">
        <x:v>2.7</x:v>
      </x:c>
      <x:c r="D3809" s="2" t="n">
        <x:v>2023</x:v>
      </x:c>
      <x:c r="E3809" s="2" t="str">
        <x:v>WB_undernourishment</x:v>
      </x:c>
      <x:c r="F3809" s="2" t="str">
        <x:v>Prevalence of undernourishment (% of population)</x:v>
      </x:c>
    </x:row>
    <x:row r="3810" ht="44" customHeight="1">
      <x:c r="A3810" s="2" t="str">
        <x:v>MEX</x:v>
      </x:c>
      <x:c r="B3810" s="2" t="str">
        <x:v>agriculture_employment</x:v>
      </x:c>
      <x:c r="C3810" s="2" t="n">
        <x:v>11.4004255375265</x:v>
      </x:c>
      <x:c r="D3810" s="2" t="n">
        <x:v>2025</x:v>
      </x:c>
      <x:c r="E3810" s="2" t="str">
        <x:v>WB_agriculture_employment</x:v>
      </x:c>
      <x:c r="F3810" s="2" t="str">
        <x:v>Employment in agriculture (% of total employment) (modeled ILO estimate)</x:v>
      </x:c>
    </x:row>
    <x:row r="3811" ht="44" customHeight="1">
      <x:c r="A3811" s="2" t="str">
        <x:v>MEX</x:v>
      </x:c>
      <x:c r="B3811" s="2" t="str">
        <x:v>water_withdrawal</x:v>
      </x:c>
      <x:c r="C3811" s="2" t="n">
        <x:v>21.9569682151589</x:v>
      </x:c>
      <x:c r="D3811" s="2" t="n">
        <x:v>2022</x:v>
      </x:c>
      <x:c r="E3811" s="2" t="str">
        <x:v>WB_water_withdrawal</x:v>
      </x:c>
      <x:c r="F3811" s="2" t="str">
        <x:v>Annual freshwater withdrawals, total (% of internal resources)</x:v>
      </x:c>
    </x:row>
    <x:row r="3812" ht="44" customHeight="1">
      <x:c r="A3812" s="2" t="str">
        <x:v>FSM</x:v>
      </x:c>
      <x:c r="B3812" s="2" t="str">
        <x:v>population</x:v>
      </x:c>
      <x:c r="C3812" s="2" t="n">
        <x:v>113683</x:v>
      </x:c>
      <x:c r="D3812" s="2" t="n">
        <x:v>2025</x:v>
      </x:c>
      <x:c r="E3812" s="2" t="str">
        <x:v>WB_population</x:v>
      </x:c>
      <x:c r="F3812" s="2" t="str">
        <x:v>Population, total</x:v>
      </x:c>
    </x:row>
    <x:row r="3813" ht="44" customHeight="1">
      <x:c r="A3813" s="2" t="str">
        <x:v>FSM</x:v>
      </x:c>
      <x:c r="B3813" s="2" t="str">
        <x:v>income_ppp</x:v>
      </x:c>
      <x:c r="C3813" s="2" t="n">
        <x:v>3934.6426835411</x:v>
      </x:c>
      <x:c r="D3813" s="2" t="n">
        <x:v>2025</x:v>
      </x:c>
      <x:c r="E3813" s="2" t="str">
        <x:v>WB_income_ppp</x:v>
      </x:c>
      <x:c r="F3813" s="2" t="str">
        <x:v>GDP per capita, PPP (constant 2021 international $)</x:v>
      </x:c>
    </x:row>
    <x:row r="3814" ht="44" customHeight="1">
      <x:c r="A3814" s="2" t="str">
        <x:v>FSM</x:v>
      </x:c>
      <x:c r="B3814" s="2" t="str">
        <x:v>urban</x:v>
      </x:c>
      <x:c r="C3814" s="2" t="n">
        <x:v>22.4809290622703</x:v>
      </x:c>
      <x:c r="D3814" s="2" t="n">
        <x:v>2025</x:v>
      </x:c>
      <x:c r="E3814" s="2" t="str">
        <x:v>WB_urban</x:v>
      </x:c>
      <x:c r="F3814" s="2" t="str">
        <x:v>Urban population (% of total population)</x:v>
      </x:c>
    </x:row>
    <x:row r="3815" ht="44" customHeight="1">
      <x:c r="A3815" s="2" t="str">
        <x:v>FSM</x:v>
      </x:c>
      <x:c r="B3815" s="2" t="str">
        <x:v>inflation</x:v>
      </x:c>
      <x:c r="C3815" s="2" t="n">
        <x:v>5.40874375479067</x:v>
      </x:c>
      <x:c r="D3815" s="2" t="n">
        <x:v>2022</x:v>
      </x:c>
      <x:c r="E3815" s="2" t="str">
        <x:v>WB_inflation</x:v>
      </x:c>
      <x:c r="F3815" s="2" t="str">
        <x:v>Inflation, consumer prices (annual %)</x:v>
      </x:c>
    </x:row>
    <x:row r="3816" ht="44" customHeight="1">
      <x:c r="A3816" s="2" t="str">
        <x:v>FSM</x:v>
      </x:c>
      <x:c r="B3816" s="2" t="str">
        <x:v>food_index</x:v>
      </x:c>
      <x:c r="C3816" s="2" t="n">
        <x:v>121.63</x:v>
      </x:c>
      <x:c r="D3816" s="2" t="n">
        <x:v>2022</x:v>
      </x:c>
      <x:c r="E3816" s="2" t="str">
        <x:v>WB_food_index</x:v>
      </x:c>
      <x:c r="F3816" s="2" t="str">
        <x:v>Food production index (2014-2016 = 100)</x:v>
      </x:c>
    </x:row>
    <x:row r="3817" ht="44" customHeight="1">
      <x:c r="A3817" s="2" t="str">
        <x:v>FSM</x:v>
      </x:c>
      <x:c r="B3817" s="2" t="str">
        <x:v>food_import_share</x:v>
      </x:c>
      <x:c r="C3817" s="2" t="n">
        <x:v>27.7638916204232</x:v>
      </x:c>
      <x:c r="D3817" s="2" t="n">
        <x:v>2013</x:v>
      </x:c>
      <x:c r="E3817" s="2" t="str">
        <x:v>WB_food_import_share</x:v>
      </x:c>
      <x:c r="F3817" s="2" t="str">
        <x:v>Food imports (% of merchandise imports)</x:v>
      </x:c>
    </x:row>
    <x:row r="3818" ht="44" customHeight="1">
      <x:c r="A3818" s="2" t="str">
        <x:v>FSM</x:v>
      </x:c>
      <x:c r="B3818" s="2" t="str">
        <x:v>food_export_share</x:v>
      </x:c>
      <x:c r="C3818" s="2" t="n">
        <x:v>99.1909328698673</x:v>
      </x:c>
      <x:c r="D3818" s="2" t="n">
        <x:v>2013</x:v>
      </x:c>
      <x:c r="E3818" s="2" t="str">
        <x:v>WB_food_export_share</x:v>
      </x:c>
      <x:c r="F3818" s="2" t="str">
        <x:v>Food exports (% of merchandise exports)</x:v>
      </x:c>
    </x:row>
    <x:row r="3819" ht="44" customHeight="1">
      <x:c r="A3819" s="2" t="str">
        <x:v>FSM</x:v>
      </x:c>
      <x:c r="B3819" s="2" t="str">
        <x:v>imports_usd</x:v>
      </x:c>
      <x:c r="C3819" s="2" t="n">
        <x:v>310000000</x:v>
      </x:c>
      <x:c r="D3819" s="2" t="n">
        <x:v>2025</x:v>
      </x:c>
      <x:c r="E3819" s="2" t="str">
        <x:v>WB_imports_usd</x:v>
      </x:c>
      <x:c r="F3819" s="2" t="str">
        <x:v>Merchandise imports (current US$)</x:v>
      </x:c>
    </x:row>
    <x:row r="3820" ht="44" customHeight="1">
      <x:c r="A3820" s="2" t="str">
        <x:v>FSM</x:v>
      </x:c>
      <x:c r="B3820" s="2" t="str">
        <x:v>exports_usd</x:v>
      </x:c>
      <x:c r="C3820" s="2" t="n">
        <x:v>109000000</x:v>
      </x:c>
      <x:c r="D3820" s="2" t="n">
        <x:v>2025</x:v>
      </x:c>
      <x:c r="E3820" s="2" t="str">
        <x:v>WB_exports_usd</x:v>
      </x:c>
      <x:c r="F3820" s="2" t="str">
        <x:v>Merchandise exports (current US$)</x:v>
      </x:c>
    </x:row>
    <x:row r="3821" ht="44" customHeight="1">
      <x:c r="A3821" s="2" t="str">
        <x:v>FSM</x:v>
      </x:c>
      <x:c r="B3821" s="2" t="str">
        <x:v>cereal_yield</x:v>
      </x:c>
      <x:c r="C3821" s="2" t="n">
        <x:v>1715.7</x:v>
      </x:c>
      <x:c r="D3821" s="2" t="n">
        <x:v>2024</x:v>
      </x:c>
      <x:c r="E3821" s="2" t="str">
        <x:v>WB_cereal_yield</x:v>
      </x:c>
      <x:c r="F3821" s="2" t="str">
        <x:v>Cereal yield (kg per hectare)</x:v>
      </x:c>
    </x:row>
    <x:row r="3822" ht="44" customHeight="1">
      <x:c r="A3822" s="2" t="str">
        <x:v>FSM</x:v>
      </x:c>
      <x:c r="B3822" s="2" t="str">
        <x:v>water_stress</x:v>
      </x:c>
      <x:c r="C3822" s="2"/>
      <x:c r="D3822" s="2"/>
      <x:c r="E3822" s="2" t="str">
        <x:v>Missing</x:v>
      </x:c>
      <x:c r="F3822" s="2" t="str">
        <x:v>Level of water stress: freshwater withdrawal as a proportion of available freshwater resources</x:v>
      </x:c>
    </x:row>
    <x:row r="3823" ht="44" customHeight="1">
      <x:c r="A3823" s="2" t="str">
        <x:v>FSM</x:v>
      </x:c>
      <x:c r="B3823" s="2" t="str">
        <x:v>fertility</x:v>
      </x:c>
      <x:c r="C3823" s="2" t="n">
        <x:v>2.743</x:v>
      </x:c>
      <x:c r="D3823" s="2" t="n">
        <x:v>2024</x:v>
      </x:c>
      <x:c r="E3823" s="2" t="str">
        <x:v>WB_fertility</x:v>
      </x:c>
      <x:c r="F3823" s="2" t="str">
        <x:v>Fertility rate, total (births per woman)</x:v>
      </x:c>
    </x:row>
    <x:row r="3824" ht="44" customHeight="1">
      <x:c r="A3824" s="2" t="str">
        <x:v>FSM</x:v>
      </x:c>
      <x:c r="B3824" s="2" t="str">
        <x:v>life_expectancy</x:v>
      </x:c>
      <x:c r="C3824" s="2" t="n">
        <x:v>67.357</x:v>
      </x:c>
      <x:c r="D3824" s="2" t="n">
        <x:v>2024</x:v>
      </x:c>
      <x:c r="E3824" s="2" t="str">
        <x:v>WB_life_expectancy</x:v>
      </x:c>
      <x:c r="F3824" s="2" t="str">
        <x:v>Life expectancy at birth, total (years)</x:v>
      </x:c>
    </x:row>
    <x:row r="3825" ht="44" customHeight="1">
      <x:c r="A3825" s="2" t="str">
        <x:v>FSM</x:v>
      </x:c>
      <x:c r="B3825" s="2" t="str">
        <x:v>age_under15</x:v>
      </x:c>
      <x:c r="C3825" s="2" t="n">
        <x:v>31.4941547988705</x:v>
      </x:c>
      <x:c r="D3825" s="2" t="n">
        <x:v>2025</x:v>
      </x:c>
      <x:c r="E3825" s="2" t="str">
        <x:v>WB_age_under15</x:v>
      </x:c>
      <x:c r="F3825" s="2" t="str">
        <x:v>Population ages 0-14 (% of total population)</x:v>
      </x:c>
    </x:row>
    <x:row r="3826" ht="44" customHeight="1">
      <x:c r="A3826" s="2" t="str">
        <x:v>FSM</x:v>
      </x:c>
      <x:c r="B3826" s="2" t="str">
        <x:v>age_over65</x:v>
      </x:c>
      <x:c r="C3826" s="2" t="n">
        <x:v>6.18298250398037</x:v>
      </x:c>
      <x:c r="D3826" s="2" t="n">
        <x:v>2025</x:v>
      </x:c>
      <x:c r="E3826" s="2" t="str">
        <x:v>WB_age_over65</x:v>
      </x:c>
      <x:c r="F3826" s="2" t="str">
        <x:v>Population ages 65 and above (% of total population)</x:v>
      </x:c>
    </x:row>
    <x:row r="3827" ht="44" customHeight="1">
      <x:c r="A3827" s="2" t="str">
        <x:v>FSM</x:v>
      </x:c>
      <x:c r="B3827" s="2" t="str">
        <x:v>dependency_ratio</x:v>
      </x:c>
      <x:c r="C3827" s="2" t="n">
        <x:v>60.4536280363015</x:v>
      </x:c>
      <x:c r="D3827" s="2" t="n">
        <x:v>2025</x:v>
      </x:c>
      <x:c r="E3827" s="2" t="str">
        <x:v>WB_dependency_ratio</x:v>
      </x:c>
      <x:c r="F3827" s="2" t="str">
        <x:v>Age dependency ratio (% of working-age population)</x:v>
      </x:c>
    </x:row>
    <x:row r="3828" ht="44" customHeight="1">
      <x:c r="A3828" s="2" t="str">
        <x:v>FSM</x:v>
      </x:c>
      <x:c r="B3828" s="2" t="str">
        <x:v>net_migration</x:v>
      </x:c>
      <x:c r="C3828" s="2" t="n">
        <x:v>-1125</x:v>
      </x:c>
      <x:c r="D3828" s="2" t="n">
        <x:v>2025</x:v>
      </x:c>
      <x:c r="E3828" s="2" t="str">
        <x:v>WB_net_migration</x:v>
      </x:c>
      <x:c r="F3828" s="2" t="str">
        <x:v>Net migration</x:v>
      </x:c>
    </x:row>
    <x:row r="3829" ht="44" customHeight="1">
      <x:c r="A3829" s="2" t="str">
        <x:v>FSM</x:v>
      </x:c>
      <x:c r="B3829" s="2" t="str">
        <x:v>real_gdp</x:v>
      </x:c>
      <x:c r="C3829" s="2" t="n">
        <x:v>343292813.445378</x:v>
      </x:c>
      <x:c r="D3829" s="2" t="n">
        <x:v>2025</x:v>
      </x:c>
      <x:c r="E3829" s="2" t="str">
        <x:v>WB_real_gdp</x:v>
      </x:c>
      <x:c r="F3829" s="2" t="str">
        <x:v>GDP (constant 2015 US$)</x:v>
      </x:c>
    </x:row>
    <x:row r="3830" ht="44" customHeight="1">
      <x:c r="A3830" s="2" t="str">
        <x:v>FSM</x:v>
      </x:c>
      <x:c r="B3830" s="2" t="str">
        <x:v>gdp_growth</x:v>
      </x:c>
      <x:c r="C3830" s="2" t="n">
        <x:v>1.0626071425539</x:v>
      </x:c>
      <x:c r="D3830" s="2" t="n">
        <x:v>2025</x:v>
      </x:c>
      <x:c r="E3830" s="2" t="str">
        <x:v>WB_gdp_growth</x:v>
      </x:c>
      <x:c r="F3830" s="2" t="str">
        <x:v>GDP growth (annual %)</x:v>
      </x:c>
    </x:row>
    <x:row r="3831" ht="44" customHeight="1">
      <x:c r="A3831" s="2" t="str">
        <x:v>FSM</x:v>
      </x:c>
      <x:c r="B3831" s="2" t="str">
        <x:v>real_income</x:v>
      </x:c>
      <x:c r="C3831" s="2" t="n">
        <x:v>3019.73745806654</x:v>
      </x:c>
      <x:c r="D3831" s="2" t="n">
        <x:v>2025</x:v>
      </x:c>
      <x:c r="E3831" s="2" t="str">
        <x:v>WB_real_income</x:v>
      </x:c>
      <x:c r="F3831" s="2" t="str">
        <x:v>GDP per capita (constant 2015 US$)</x:v>
      </x:c>
    </x:row>
    <x:row r="3832" ht="44" customHeight="1">
      <x:c r="A3832" s="2" t="str">
        <x:v>FSM</x:v>
      </x:c>
      <x:c r="B3832" s="2" t="str">
        <x:v>agriculture_gdp</x:v>
      </x:c>
      <x:c r="C3832" s="2" t="n">
        <x:v>24.1626902958484</x:v>
      </x:c>
      <x:c r="D3832" s="2" t="n">
        <x:v>2025</x:v>
      </x:c>
      <x:c r="E3832" s="2" t="str">
        <x:v>WB_agriculture_gdp</x:v>
      </x:c>
      <x:c r="F3832" s="2" t="str">
        <x:v>Agriculture, forestry, and fishing, value added (% of GDP)</x:v>
      </x:c>
    </x:row>
    <x:row r="3833" ht="44" customHeight="1">
      <x:c r="A3833" s="2" t="str">
        <x:v>FSM</x:v>
      </x:c>
      <x:c r="B3833" s="2" t="str">
        <x:v>poverty</x:v>
      </x:c>
      <x:c r="C3833" s="2" t="n">
        <x:v>26.1</x:v>
      </x:c>
      <x:c r="D3833" s="2" t="n">
        <x:v>2013</x:v>
      </x:c>
      <x:c r="E3833" s="2" t="str">
        <x:v>WB_poverty</x:v>
      </x:c>
      <x:c r="F3833" s="2" t="str">
        <x:v>Poverty headcount ratio at $3.00 a day (2021 PPP) (% of population)</x:v>
      </x:c>
    </x:row>
    <x:row r="3834" ht="44" customHeight="1">
      <x:c r="A3834" s="2" t="str">
        <x:v>FSM</x:v>
      </x:c>
      <x:c r="B3834" s="2" t="str">
        <x:v>gini</x:v>
      </x:c>
      <x:c r="C3834" s="2" t="n">
        <x:v>40.1</x:v>
      </x:c>
      <x:c r="D3834" s="2" t="n">
        <x:v>2013</x:v>
      </x:c>
      <x:c r="E3834" s="2" t="str">
        <x:v>WB_gini</x:v>
      </x:c>
      <x:c r="F3834" s="2" t="str">
        <x:v>Gini index</x:v>
      </x:c>
    </x:row>
    <x:row r="3835" ht="44" customHeight="1">
      <x:c r="A3835" s="2" t="str">
        <x:v>FSM</x:v>
      </x:c>
      <x:c r="B3835" s="2" t="str">
        <x:v>unemployment</x:v>
      </x:c>
      <x:c r="C3835" s="2"/>
      <x:c r="D3835" s="2"/>
      <x:c r="E3835" s="2" t="str">
        <x:v>Missing</x:v>
      </x:c>
      <x:c r="F3835" s="2" t="str">
        <x:v>Unemployment, total (% of total labor force) (modeled ILO estimate)</x:v>
      </x:c>
    </x:row>
    <x:row r="3836" ht="44" customHeight="1">
      <x:c r="A3836" s="2" t="str">
        <x:v>FSM</x:v>
      </x:c>
      <x:c r="B3836" s="2" t="str">
        <x:v>private_credit</x:v>
      </x:c>
      <x:c r="C3836" s="2" t="n">
        <x:v>23.4273633503821</x:v>
      </x:c>
      <x:c r="D3836" s="2" t="n">
        <x:v>2021</x:v>
      </x:c>
      <x:c r="E3836" s="2" t="str">
        <x:v>WB_private_credit</x:v>
      </x:c>
      <x:c r="F3836" s="2" t="str">
        <x:v>Domestic credit to private sector (% of GDP)</x:v>
      </x:c>
    </x:row>
    <x:row r="3837" ht="44" customHeight="1">
      <x:c r="A3837" s="2" t="str">
        <x:v>FSM</x:v>
      </x:c>
      <x:c r="B3837" s="2" t="str">
        <x:v>lending_rate</x:v>
      </x:c>
      <x:c r="C3837" s="2" t="n">
        <x:v>12.62</x:v>
      </x:c>
      <x:c r="D3837" s="2" t="n">
        <x:v>2021</x:v>
      </x:c>
      <x:c r="E3837" s="2" t="str">
        <x:v>WB_lending_rate</x:v>
      </x:c>
      <x:c r="F3837" s="2" t="str">
        <x:v>Lending interest rate (%)</x:v>
      </x:c>
    </x:row>
    <x:row r="3838" ht="44" customHeight="1">
      <x:c r="A3838" s="2" t="str">
        <x:v>FSM</x:v>
      </x:c>
      <x:c r="B3838" s="2" t="str">
        <x:v>real_interest</x:v>
      </x:c>
      <x:c r="C3838" s="2" t="n">
        <x:v>10.5665246982575</x:v>
      </x:c>
      <x:c r="D3838" s="2" t="n">
        <x:v>2021</x:v>
      </x:c>
      <x:c r="E3838" s="2" t="str">
        <x:v>WB_real_interest</x:v>
      </x:c>
      <x:c r="F3838" s="2" t="str">
        <x:v>Real interest rate (%)</x:v>
      </x:c>
    </x:row>
    <x:row r="3839" ht="44" customHeight="1">
      <x:c r="A3839" s="2" t="str">
        <x:v>FSM</x:v>
      </x:c>
      <x:c r="B3839" s="2" t="str">
        <x:v>government_debt</x:v>
      </x:c>
      <x:c r="C3839" s="2" t="n">
        <x:v>27.7955651702173</x:v>
      </x:c>
      <x:c r="D3839" s="2" t="n">
        <x:v>2020</x:v>
      </x:c>
      <x:c r="E3839" s="2" t="str">
        <x:v>WB_government_debt</x:v>
      </x:c>
      <x:c r="F3839" s="2" t="str">
        <x:v>Central government debt, total (% of GDP)</x:v>
      </x:c>
    </x:row>
    <x:row r="3840" ht="44" customHeight="1">
      <x:c r="A3840" s="2" t="str">
        <x:v>FSM</x:v>
      </x:c>
      <x:c r="B3840" s="2" t="str">
        <x:v>electricity_access</x:v>
      </x:c>
      <x:c r="C3840" s="2" t="n">
        <x:v>88.9</x:v>
      </x:c>
      <x:c r="D3840" s="2" t="n">
        <x:v>2024</x:v>
      </x:c>
      <x:c r="E3840" s="2" t="str">
        <x:v>WB_electricity_access</x:v>
      </x:c>
      <x:c r="F3840" s="2" t="str">
        <x:v>Access to electricity (% of population)</x:v>
      </x:c>
    </x:row>
    <x:row r="3841" ht="44" customHeight="1">
      <x:c r="A3841" s="2" t="str">
        <x:v>FSM</x:v>
      </x:c>
      <x:c r="B3841" s="2" t="str">
        <x:v>irrigated_land</x:v>
      </x:c>
      <x:c r="C3841" s="2"/>
      <x:c r="D3841" s="2"/>
      <x:c r="E3841" s="2" t="str">
        <x:v>Missing</x:v>
      </x:c>
      <x:c r="F3841" s="2" t="str">
        <x:v>Agricultural irrigated land (% of total agricultural land)</x:v>
      </x:c>
    </x:row>
    <x:row r="3842" ht="44" customHeight="1">
      <x:c r="A3842" s="2" t="str">
        <x:v>FSM</x:v>
      </x:c>
      <x:c r="B3842" s="2" t="str">
        <x:v>cereal_area</x:v>
      </x:c>
      <x:c r="C3842" s="2" t="n">
        <x:v>169</x:v>
      </x:c>
      <x:c r="D3842" s="2" t="n">
        <x:v>2024</x:v>
      </x:c>
      <x:c r="E3842" s="2" t="str">
        <x:v>WB_cereal_area</x:v>
      </x:c>
      <x:c r="F3842" s="2" t="str">
        <x:v>Land under cereal production (hectares)</x:v>
      </x:c>
    </x:row>
    <x:row r="3843" ht="44" customHeight="1">
      <x:c r="A3843" s="2" t="str">
        <x:v>FSM</x:v>
      </x:c>
      <x:c r="B3843" s="2" t="str">
        <x:v>undernourishment</x:v>
      </x:c>
      <x:c r="C3843" s="2"/>
      <x:c r="D3843" s="2"/>
      <x:c r="E3843" s="2" t="str">
        <x:v>Missing</x:v>
      </x:c>
      <x:c r="F3843" s="2" t="str">
        <x:v>Prevalence of undernourishment (% of population)</x:v>
      </x:c>
    </x:row>
    <x:row r="3844" ht="44" customHeight="1">
      <x:c r="A3844" s="2" t="str">
        <x:v>FSM</x:v>
      </x:c>
      <x:c r="B3844" s="2" t="str">
        <x:v>agriculture_employment</x:v>
      </x:c>
      <x:c r="C3844" s="2"/>
      <x:c r="D3844" s="2"/>
      <x:c r="E3844" s="2" t="str">
        <x:v>Missing</x:v>
      </x:c>
      <x:c r="F3844" s="2" t="str">
        <x:v>Employment in agriculture (% of total employment) (modeled ILO estimate)</x:v>
      </x:c>
    </x:row>
    <x:row r="3845" ht="44" customHeight="1">
      <x:c r="A3845" s="2" t="str">
        <x:v>FSM</x:v>
      </x:c>
      <x:c r="B3845" s="2" t="str">
        <x:v>water_withdrawal</x:v>
      </x:c>
      <x:c r="C3845" s="2"/>
      <x:c r="D3845" s="2"/>
      <x:c r="E3845" s="2" t="str">
        <x:v>Missing</x:v>
      </x:c>
      <x:c r="F3845" s="2" t="str">
        <x:v>Annual freshwater withdrawals, total (% of internal resources)</x:v>
      </x:c>
    </x:row>
    <x:row r="3846" ht="44" customHeight="1">
      <x:c r="A3846" s="2" t="str">
        <x:v>MCO</x:v>
      </x:c>
      <x:c r="B3846" s="2" t="str">
        <x:v>population</x:v>
      </x:c>
      <x:c r="C3846" s="2" t="n">
        <x:v>38341</x:v>
      </x:c>
      <x:c r="D3846" s="2" t="n">
        <x:v>2025</x:v>
      </x:c>
      <x:c r="E3846" s="2" t="str">
        <x:v>WB_population</x:v>
      </x:c>
      <x:c r="F3846" s="2" t="str">
        <x:v>Population, total</x:v>
      </x:c>
    </x:row>
    <x:row r="3847" ht="44" customHeight="1">
      <x:c r="A3847" s="2" t="str">
        <x:v>MCO</x:v>
      </x:c>
      <x:c r="B3847" s="2" t="str">
        <x:v>income_ppp</x:v>
      </x:c>
      <x:c r="C3847" s="2"/>
      <x:c r="D3847" s="2"/>
      <x:c r="E3847" s="2" t="str">
        <x:v>Missing</x:v>
      </x:c>
      <x:c r="F3847" s="2" t="str">
        <x:v>GDP per capita, PPP (constant 2021 international $)</x:v>
      </x:c>
    </x:row>
    <x:row r="3848" ht="44" customHeight="1">
      <x:c r="A3848" s="2" t="str">
        <x:v>MCO</x:v>
      </x:c>
      <x:c r="B3848" s="2" t="str">
        <x:v>urban</x:v>
      </x:c>
      <x:c r="C3848" s="2" t="n">
        <x:v>100</x:v>
      </x:c>
      <x:c r="D3848" s="2" t="n">
        <x:v>2025</x:v>
      </x:c>
      <x:c r="E3848" s="2" t="str">
        <x:v>WB_urban</x:v>
      </x:c>
      <x:c r="F3848" s="2" t="str">
        <x:v>Urban population (% of total population)</x:v>
      </x:c>
    </x:row>
    <x:row r="3849" ht="44" customHeight="1">
      <x:c r="A3849" s="2" t="str">
        <x:v>MCO</x:v>
      </x:c>
      <x:c r="B3849" s="2" t="str">
        <x:v>inflation</x:v>
      </x:c>
      <x:c r="C3849" s="2"/>
      <x:c r="D3849" s="2"/>
      <x:c r="E3849" s="2" t="str">
        <x:v>Missing</x:v>
      </x:c>
      <x:c r="F3849" s="2" t="str">
        <x:v>Inflation, consumer prices (annual %)</x:v>
      </x:c>
    </x:row>
    <x:row r="3850" ht="44" customHeight="1">
      <x:c r="A3850" s="2" t="str">
        <x:v>MCO</x:v>
      </x:c>
      <x:c r="B3850" s="2" t="str">
        <x:v>food_index</x:v>
      </x:c>
      <x:c r="C3850" s="2"/>
      <x:c r="D3850" s="2"/>
      <x:c r="E3850" s="2" t="str">
        <x:v>Missing</x:v>
      </x:c>
      <x:c r="F3850" s="2" t="str">
        <x:v>Food production index (2014-2016 = 100)</x:v>
      </x:c>
    </x:row>
    <x:row r="3851" ht="44" customHeight="1">
      <x:c r="A3851" s="2" t="str">
        <x:v>MCO</x:v>
      </x:c>
      <x:c r="B3851" s="2" t="str">
        <x:v>food_import_share</x:v>
      </x:c>
      <x:c r="C3851" s="2"/>
      <x:c r="D3851" s="2"/>
      <x:c r="E3851" s="2" t="str">
        <x:v>Missing</x:v>
      </x:c>
      <x:c r="F3851" s="2" t="str">
        <x:v>Food imports (% of merchandise imports)</x:v>
      </x:c>
    </x:row>
    <x:row r="3852" ht="44" customHeight="1">
      <x:c r="A3852" s="2" t="str">
        <x:v>MCO</x:v>
      </x:c>
      <x:c r="B3852" s="2" t="str">
        <x:v>food_export_share</x:v>
      </x:c>
      <x:c r="C3852" s="2"/>
      <x:c r="D3852" s="2"/>
      <x:c r="E3852" s="2" t="str">
        <x:v>Missing</x:v>
      </x:c>
      <x:c r="F3852" s="2" t="str">
        <x:v>Food exports (% of merchandise exports)</x:v>
      </x:c>
    </x:row>
    <x:row r="3853" ht="44" customHeight="1">
      <x:c r="A3853" s="2" t="str">
        <x:v>MCO</x:v>
      </x:c>
      <x:c r="B3853" s="2" t="str">
        <x:v>imports_usd</x:v>
      </x:c>
      <x:c r="C3853" s="2"/>
      <x:c r="D3853" s="2"/>
      <x:c r="E3853" s="2" t="str">
        <x:v>Missing</x:v>
      </x:c>
      <x:c r="F3853" s="2" t="str">
        <x:v>Merchandise imports (current US$)</x:v>
      </x:c>
    </x:row>
    <x:row r="3854" ht="44" customHeight="1">
      <x:c r="A3854" s="2" t="str">
        <x:v>MCO</x:v>
      </x:c>
      <x:c r="B3854" s="2" t="str">
        <x:v>exports_usd</x:v>
      </x:c>
      <x:c r="C3854" s="2"/>
      <x:c r="D3854" s="2"/>
      <x:c r="E3854" s="2" t="str">
        <x:v>Missing</x:v>
      </x:c>
      <x:c r="F3854" s="2" t="str">
        <x:v>Merchandise exports (current US$)</x:v>
      </x:c>
    </x:row>
    <x:row r="3855" ht="44" customHeight="1">
      <x:c r="A3855" s="2" t="str">
        <x:v>MCO</x:v>
      </x:c>
      <x:c r="B3855" s="2" t="str">
        <x:v>cereal_yield</x:v>
      </x:c>
      <x:c r="C3855" s="2"/>
      <x:c r="D3855" s="2"/>
      <x:c r="E3855" s="2" t="str">
        <x:v>Missing</x:v>
      </x:c>
      <x:c r="F3855" s="2" t="str">
        <x:v>Cereal yield (kg per hectare)</x:v>
      </x:c>
    </x:row>
    <x:row r="3856" ht="44" customHeight="1">
      <x:c r="A3856" s="2" t="str">
        <x:v>MCO</x:v>
      </x:c>
      <x:c r="B3856" s="2" t="str">
        <x:v>water_stress</x:v>
      </x:c>
      <x:c r="C3856" s="2"/>
      <x:c r="D3856" s="2"/>
      <x:c r="E3856" s="2" t="str">
        <x:v>Missing</x:v>
      </x:c>
      <x:c r="F3856" s="2" t="str">
        <x:v>Level of water stress: freshwater withdrawal as a proportion of available freshwater resources</x:v>
      </x:c>
    </x:row>
    <x:row r="3857" ht="44" customHeight="1">
      <x:c r="A3857" s="2" t="str">
        <x:v>MCO</x:v>
      </x:c>
      <x:c r="B3857" s="2" t="str">
        <x:v>fertility</x:v>
      </x:c>
      <x:c r="C3857" s="2" t="n">
        <x:v>2.102</x:v>
      </x:c>
      <x:c r="D3857" s="2" t="n">
        <x:v>2024</x:v>
      </x:c>
      <x:c r="E3857" s="2" t="str">
        <x:v>WB_fertility</x:v>
      </x:c>
      <x:c r="F3857" s="2" t="str">
        <x:v>Fertility rate, total (births per woman)</x:v>
      </x:c>
    </x:row>
    <x:row r="3858" ht="44" customHeight="1">
      <x:c r="A3858" s="2" t="str">
        <x:v>MCO</x:v>
      </x:c>
      <x:c r="B3858" s="2" t="str">
        <x:v>life_expectancy</x:v>
      </x:c>
      <x:c r="C3858" s="2" t="n">
        <x:v>86.497</x:v>
      </x:c>
      <x:c r="D3858" s="2" t="n">
        <x:v>2024</x:v>
      </x:c>
      <x:c r="E3858" s="2" t="str">
        <x:v>WB_life_expectancy</x:v>
      </x:c>
      <x:c r="F3858" s="2" t="str">
        <x:v>Life expectancy at birth, total (years)</x:v>
      </x:c>
    </x:row>
    <x:row r="3859" ht="44" customHeight="1">
      <x:c r="A3859" s="2" t="str">
        <x:v>MCO</x:v>
      </x:c>
      <x:c r="B3859" s="2" t="str">
        <x:v>age_under15</x:v>
      </x:c>
      <x:c r="C3859" s="2" t="n">
        <x:v>13.7711588117159</x:v>
      </x:c>
      <x:c r="D3859" s="2" t="n">
        <x:v>2025</x:v>
      </x:c>
      <x:c r="E3859" s="2" t="str">
        <x:v>WB_age_under15</x:v>
      </x:c>
      <x:c r="F3859" s="2" t="str">
        <x:v>Population ages 0-14 (% of total population)</x:v>
      </x:c>
    </x:row>
    <x:row r="3860" ht="44" customHeight="1">
      <x:c r="A3860" s="2" t="str">
        <x:v>MCO</x:v>
      </x:c>
      <x:c r="B3860" s="2" t="str">
        <x:v>age_over65</x:v>
      </x:c>
      <x:c r="C3860" s="2" t="n">
        <x:v>36.0110586578337</x:v>
      </x:c>
      <x:c r="D3860" s="2" t="n">
        <x:v>2025</x:v>
      </x:c>
      <x:c r="E3860" s="2" t="str">
        <x:v>WB_age_over65</x:v>
      </x:c>
      <x:c r="F3860" s="2" t="str">
        <x:v>Population ages 65 and above (% of total population)</x:v>
      </x:c>
    </x:row>
    <x:row r="3861" ht="44" customHeight="1">
      <x:c r="A3861" s="2" t="str">
        <x:v>MCO</x:v>
      </x:c>
      <x:c r="B3861" s="2" t="str">
        <x:v>dependency_ratio</x:v>
      </x:c>
      <x:c r="C3861" s="2" t="n">
        <x:v>99.1326477615041</x:v>
      </x:c>
      <x:c r="D3861" s="2" t="n">
        <x:v>2025</x:v>
      </x:c>
      <x:c r="E3861" s="2" t="str">
        <x:v>WB_dependency_ratio</x:v>
      </x:c>
      <x:c r="F3861" s="2" t="str">
        <x:v>Age dependency ratio (% of working-age population)</x:v>
      </x:c>
    </x:row>
    <x:row r="3862" ht="44" customHeight="1">
      <x:c r="A3862" s="2" t="str">
        <x:v>MCO</x:v>
      </x:c>
      <x:c r="B3862" s="2" t="str">
        <x:v>net_migration</x:v>
      </x:c>
      <x:c r="C3862" s="2" t="n">
        <x:v>100</x:v>
      </x:c>
      <x:c r="D3862" s="2" t="n">
        <x:v>2025</x:v>
      </x:c>
      <x:c r="E3862" s="2" t="str">
        <x:v>WB_net_migration</x:v>
      </x:c>
      <x:c r="F3862" s="2" t="str">
        <x:v>Net migration</x:v>
      </x:c>
    </x:row>
    <x:row r="3863" ht="44" customHeight="1">
      <x:c r="A3863" s="2" t="str">
        <x:v>MCO</x:v>
      </x:c>
      <x:c r="B3863" s="2" t="str">
        <x:v>real_gdp</x:v>
      </x:c>
      <x:c r="C3863" s="2" t="n">
        <x:v>9548428280.17131</x:v>
      </x:c>
      <x:c r="D3863" s="2" t="n">
        <x:v>2024</x:v>
      </x:c>
      <x:c r="E3863" s="2" t="str">
        <x:v>WB_real_gdp</x:v>
      </x:c>
      <x:c r="F3863" s="2" t="str">
        <x:v>GDP (constant 2015 US$)</x:v>
      </x:c>
    </x:row>
    <x:row r="3864" ht="44" customHeight="1">
      <x:c r="A3864" s="2" t="str">
        <x:v>MCO</x:v>
      </x:c>
      <x:c r="B3864" s="2" t="str">
        <x:v>gdp_growth</x:v>
      </x:c>
      <x:c r="C3864" s="2" t="n">
        <x:v>8.51053758860212</x:v>
      </x:c>
      <x:c r="D3864" s="2" t="n">
        <x:v>2024</x:v>
      </x:c>
      <x:c r="E3864" s="2" t="str">
        <x:v>WB_gdp_growth</x:v>
      </x:c>
      <x:c r="F3864" s="2" t="str">
        <x:v>GDP growth (annual %)</x:v>
      </x:c>
    </x:row>
    <x:row r="3865" ht="44" customHeight="1">
      <x:c r="A3865" s="2" t="str">
        <x:v>MCO</x:v>
      </x:c>
      <x:c r="B3865" s="2" t="str">
        <x:v>real_income</x:v>
      </x:c>
      <x:c r="C3865" s="2" t="n">
        <x:v>247170.10380708</x:v>
      </x:c>
      <x:c r="D3865" s="2" t="n">
        <x:v>2024</x:v>
      </x:c>
      <x:c r="E3865" s="2" t="str">
        <x:v>WB_real_income</x:v>
      </x:c>
      <x:c r="F3865" s="2" t="str">
        <x:v>GDP per capita (constant 2015 US$)</x:v>
      </x:c>
    </x:row>
    <x:row r="3866" ht="44" customHeight="1">
      <x:c r="A3866" s="2" t="str">
        <x:v>MCO</x:v>
      </x:c>
      <x:c r="B3866" s="2" t="str">
        <x:v>agriculture_gdp</x:v>
      </x:c>
      <x:c r="C3866" s="2"/>
      <x:c r="D3866" s="2"/>
      <x:c r="E3866" s="2" t="str">
        <x:v>Missing</x:v>
      </x:c>
      <x:c r="F3866" s="2" t="str">
        <x:v>Agriculture, forestry, and fishing, value added (% of GDP)</x:v>
      </x:c>
    </x:row>
    <x:row r="3867" ht="44" customHeight="1">
      <x:c r="A3867" s="2" t="str">
        <x:v>MCO</x:v>
      </x:c>
      <x:c r="B3867" s="2" t="str">
        <x:v>poverty</x:v>
      </x:c>
      <x:c r="C3867" s="2"/>
      <x:c r="D3867" s="2"/>
      <x:c r="E3867" s="2" t="str">
        <x:v>Missing</x:v>
      </x:c>
      <x:c r="F3867" s="2" t="str">
        <x:v>Poverty headcount ratio at $3.00 a day (2021 PPP) (% of population)</x:v>
      </x:c>
    </x:row>
    <x:row r="3868" ht="44" customHeight="1">
      <x:c r="A3868" s="2" t="str">
        <x:v>MCO</x:v>
      </x:c>
      <x:c r="B3868" s="2" t="str">
        <x:v>gini</x:v>
      </x:c>
      <x:c r="C3868" s="2"/>
      <x:c r="D3868" s="2"/>
      <x:c r="E3868" s="2" t="str">
        <x:v>Missing</x:v>
      </x:c>
      <x:c r="F3868" s="2" t="str">
        <x:v>Gini index</x:v>
      </x:c>
    </x:row>
    <x:row r="3869" ht="44" customHeight="1">
      <x:c r="A3869" s="2" t="str">
        <x:v>MCO</x:v>
      </x:c>
      <x:c r="B3869" s="2" t="str">
        <x:v>unemployment</x:v>
      </x:c>
      <x:c r="C3869" s="2"/>
      <x:c r="D3869" s="2"/>
      <x:c r="E3869" s="2" t="str">
        <x:v>Missing</x:v>
      </x:c>
      <x:c r="F3869" s="2" t="str">
        <x:v>Unemployment, total (% of total labor force) (modeled ILO estimate)</x:v>
      </x:c>
    </x:row>
    <x:row r="3870" ht="44" customHeight="1">
      <x:c r="A3870" s="2" t="str">
        <x:v>MCO</x:v>
      </x:c>
      <x:c r="B3870" s="2" t="str">
        <x:v>private_credit</x:v>
      </x:c>
      <x:c r="C3870" s="2"/>
      <x:c r="D3870" s="2"/>
      <x:c r="E3870" s="2" t="str">
        <x:v>Missing</x:v>
      </x:c>
      <x:c r="F3870" s="2" t="str">
        <x:v>Domestic credit to private sector (% of GDP)</x:v>
      </x:c>
    </x:row>
    <x:row r="3871" ht="44" customHeight="1">
      <x:c r="A3871" s="2" t="str">
        <x:v>MCO</x:v>
      </x:c>
      <x:c r="B3871" s="2" t="str">
        <x:v>lending_rate</x:v>
      </x:c>
      <x:c r="C3871" s="2"/>
      <x:c r="D3871" s="2"/>
      <x:c r="E3871" s="2" t="str">
        <x:v>Missing</x:v>
      </x:c>
      <x:c r="F3871" s="2" t="str">
        <x:v>Lending interest rate (%)</x:v>
      </x:c>
    </x:row>
    <x:row r="3872" ht="44" customHeight="1">
      <x:c r="A3872" s="2" t="str">
        <x:v>MCO</x:v>
      </x:c>
      <x:c r="B3872" s="2" t="str">
        <x:v>real_interest</x:v>
      </x:c>
      <x:c r="C3872" s="2"/>
      <x:c r="D3872" s="2"/>
      <x:c r="E3872" s="2" t="str">
        <x:v>Missing</x:v>
      </x:c>
      <x:c r="F3872" s="2" t="str">
        <x:v>Real interest rate (%)</x:v>
      </x:c>
    </x:row>
    <x:row r="3873" ht="44" customHeight="1">
      <x:c r="A3873" s="2" t="str">
        <x:v>MCO</x:v>
      </x:c>
      <x:c r="B3873" s="2" t="str">
        <x:v>government_debt</x:v>
      </x:c>
      <x:c r="C3873" s="2"/>
      <x:c r="D3873" s="2"/>
      <x:c r="E3873" s="2" t="str">
        <x:v>Missing</x:v>
      </x:c>
      <x:c r="F3873" s="2" t="str">
        <x:v>Central government debt, total (% of GDP)</x:v>
      </x:c>
    </x:row>
    <x:row r="3874" ht="44" customHeight="1">
      <x:c r="A3874" s="2" t="str">
        <x:v>MCO</x:v>
      </x:c>
      <x:c r="B3874" s="2" t="str">
        <x:v>electricity_access</x:v>
      </x:c>
      <x:c r="C3874" s="2" t="n">
        <x:v>100</x:v>
      </x:c>
      <x:c r="D3874" s="2" t="n">
        <x:v>2024</x:v>
      </x:c>
      <x:c r="E3874" s="2" t="str">
        <x:v>WB_electricity_access</x:v>
      </x:c>
      <x:c r="F3874" s="2" t="str">
        <x:v>Access to electricity (% of population)</x:v>
      </x:c>
    </x:row>
    <x:row r="3875" ht="44" customHeight="1">
      <x:c r="A3875" s="2" t="str">
        <x:v>MCO</x:v>
      </x:c>
      <x:c r="B3875" s="2" t="str">
        <x:v>irrigated_land</x:v>
      </x:c>
      <x:c r="C3875" s="2"/>
      <x:c r="D3875" s="2"/>
      <x:c r="E3875" s="2" t="str">
        <x:v>Missing</x:v>
      </x:c>
      <x:c r="F3875" s="2" t="str">
        <x:v>Agricultural irrigated land (% of total agricultural land)</x:v>
      </x:c>
    </x:row>
    <x:row r="3876" ht="44" customHeight="1">
      <x:c r="A3876" s="2" t="str">
        <x:v>MCO</x:v>
      </x:c>
      <x:c r="B3876" s="2" t="str">
        <x:v>cereal_area</x:v>
      </x:c>
      <x:c r="C3876" s="2"/>
      <x:c r="D3876" s="2"/>
      <x:c r="E3876" s="2" t="str">
        <x:v>Missing</x:v>
      </x:c>
      <x:c r="F3876" s="2" t="str">
        <x:v>Land under cereal production (hectares)</x:v>
      </x:c>
    </x:row>
    <x:row r="3877" ht="44" customHeight="1">
      <x:c r="A3877" s="2" t="str">
        <x:v>MCO</x:v>
      </x:c>
      <x:c r="B3877" s="2" t="str">
        <x:v>undernourishment</x:v>
      </x:c>
      <x:c r="C3877" s="2"/>
      <x:c r="D3877" s="2"/>
      <x:c r="E3877" s="2" t="str">
        <x:v>Missing</x:v>
      </x:c>
      <x:c r="F3877" s="2" t="str">
        <x:v>Prevalence of undernourishment (% of population)</x:v>
      </x:c>
    </x:row>
    <x:row r="3878" ht="44" customHeight="1">
      <x:c r="A3878" s="2" t="str">
        <x:v>MCO</x:v>
      </x:c>
      <x:c r="B3878" s="2" t="str">
        <x:v>agriculture_employment</x:v>
      </x:c>
      <x:c r="C3878" s="2"/>
      <x:c r="D3878" s="2"/>
      <x:c r="E3878" s="2" t="str">
        <x:v>Missing</x:v>
      </x:c>
      <x:c r="F3878" s="2" t="str">
        <x:v>Employment in agriculture (% of total employment) (modeled ILO estimate)</x:v>
      </x:c>
    </x:row>
    <x:row r="3879" ht="44" customHeight="1">
      <x:c r="A3879" s="2" t="str">
        <x:v>MCO</x:v>
      </x:c>
      <x:c r="B3879" s="2" t="str">
        <x:v>water_withdrawal</x:v>
      </x:c>
      <x:c r="C3879" s="2"/>
      <x:c r="D3879" s="2"/>
      <x:c r="E3879" s="2" t="str">
        <x:v>Missing</x:v>
      </x:c>
      <x:c r="F3879" s="2" t="str">
        <x:v>Annual freshwater withdrawals, total (% of internal resources)</x:v>
      </x:c>
    </x:row>
    <x:row r="3880" ht="44" customHeight="1">
      <x:c r="A3880" s="2" t="str">
        <x:v>MNG</x:v>
      </x:c>
      <x:c r="B3880" s="2" t="str">
        <x:v>population</x:v>
      </x:c>
      <x:c r="C3880" s="2" t="n">
        <x:v>3568978</x:v>
      </x:c>
      <x:c r="D3880" s="2" t="n">
        <x:v>2025</x:v>
      </x:c>
      <x:c r="E3880" s="2" t="str">
        <x:v>WB_population</x:v>
      </x:c>
      <x:c r="F3880" s="2" t="str">
        <x:v>Population, total</x:v>
      </x:c>
    </x:row>
    <x:row r="3881" ht="44" customHeight="1">
      <x:c r="A3881" s="2" t="str">
        <x:v>MNG</x:v>
      </x:c>
      <x:c r="B3881" s="2" t="str">
        <x:v>income_ppp</x:v>
      </x:c>
      <x:c r="C3881" s="2" t="n">
        <x:v>17772.5342212559</x:v>
      </x:c>
      <x:c r="D3881" s="2" t="n">
        <x:v>2025</x:v>
      </x:c>
      <x:c r="E3881" s="2" t="str">
        <x:v>WB_income_ppp</x:v>
      </x:c>
      <x:c r="F3881" s="2" t="str">
        <x:v>GDP per capita, PPP (constant 2021 international $)</x:v>
      </x:c>
    </x:row>
    <x:row r="3882" ht="44" customHeight="1">
      <x:c r="A3882" s="2" t="str">
        <x:v>MNG</x:v>
      </x:c>
      <x:c r="B3882" s="2" t="str">
        <x:v>urban</x:v>
      </x:c>
      <x:c r="C3882" s="2" t="n">
        <x:v>71.1450719126123</x:v>
      </x:c>
      <x:c r="D3882" s="2" t="n">
        <x:v>2025</x:v>
      </x:c>
      <x:c r="E3882" s="2" t="str">
        <x:v>WB_urban</x:v>
      </x:c>
      <x:c r="F3882" s="2" t="str">
        <x:v>Urban population (% of total population)</x:v>
      </x:c>
    </x:row>
    <x:row r="3883" ht="44" customHeight="1">
      <x:c r="A3883" s="2" t="str">
        <x:v>MNG</x:v>
      </x:c>
      <x:c r="B3883" s="2" t="str">
        <x:v>inflation</x:v>
      </x:c>
      <x:c r="C3883" s="2" t="n">
        <x:v>8.60536487369695</x:v>
      </x:c>
      <x:c r="D3883" s="2" t="n">
        <x:v>2025</x:v>
      </x:c>
      <x:c r="E3883" s="2" t="str">
        <x:v>WB_inflation</x:v>
      </x:c>
      <x:c r="F3883" s="2" t="str">
        <x:v>Inflation, consumer prices (annual %)</x:v>
      </x:c>
    </x:row>
    <x:row r="3884" ht="44" customHeight="1">
      <x:c r="A3884" s="2" t="str">
        <x:v>MNG</x:v>
      </x:c>
      <x:c r="B3884" s="2" t="str">
        <x:v>food_index</x:v>
      </x:c>
      <x:c r="C3884" s="2" t="n">
        <x:v>157.87</x:v>
      </x:c>
      <x:c r="D3884" s="2" t="n">
        <x:v>2022</x:v>
      </x:c>
      <x:c r="E3884" s="2" t="str">
        <x:v>WB_food_index</x:v>
      </x:c>
      <x:c r="F3884" s="2" t="str">
        <x:v>Food production index (2014-2016 = 100)</x:v>
      </x:c>
    </x:row>
    <x:row r="3885" ht="44" customHeight="1">
      <x:c r="A3885" s="2" t="str">
        <x:v>MNG</x:v>
      </x:c>
      <x:c r="B3885" s="2" t="str">
        <x:v>food_import_share</x:v>
      </x:c>
      <x:c r="C3885" s="2" t="n">
        <x:v>11.0102584059355</x:v>
      </x:c>
      <x:c r="D3885" s="2" t="n">
        <x:v>2023</x:v>
      </x:c>
      <x:c r="E3885" s="2" t="str">
        <x:v>WB_food_import_share</x:v>
      </x:c>
      <x:c r="F3885" s="2" t="str">
        <x:v>Food imports (% of merchandise imports)</x:v>
      </x:c>
    </x:row>
    <x:row r="3886" ht="44" customHeight="1">
      <x:c r="A3886" s="2" t="str">
        <x:v>MNG</x:v>
      </x:c>
      <x:c r="B3886" s="2" t="str">
        <x:v>food_export_share</x:v>
      </x:c>
      <x:c r="C3886" s="2" t="n">
        <x:v>3.33847813154935</x:v>
      </x:c>
      <x:c r="D3886" s="2" t="n">
        <x:v>2023</x:v>
      </x:c>
      <x:c r="E3886" s="2" t="str">
        <x:v>WB_food_export_share</x:v>
      </x:c>
      <x:c r="F3886" s="2" t="str">
        <x:v>Food exports (% of merchandise exports)</x:v>
      </x:c>
    </x:row>
    <x:row r="3887" ht="44" customHeight="1">
      <x:c r="A3887" s="2" t="str">
        <x:v>MNG</x:v>
      </x:c>
      <x:c r="B3887" s="2" t="str">
        <x:v>imports_usd</x:v>
      </x:c>
      <x:c r="C3887" s="2" t="n">
        <x:v>11312000000</x:v>
      </x:c>
      <x:c r="D3887" s="2" t="n">
        <x:v>2025</x:v>
      </x:c>
      <x:c r="E3887" s="2" t="str">
        <x:v>WB_imports_usd</x:v>
      </x:c>
      <x:c r="F3887" s="2" t="str">
        <x:v>Merchandise imports (current US$)</x:v>
      </x:c>
    </x:row>
    <x:row r="3888" ht="44" customHeight="1">
      <x:c r="A3888" s="2" t="str">
        <x:v>MNG</x:v>
      </x:c>
      <x:c r="B3888" s="2" t="str">
        <x:v>exports_usd</x:v>
      </x:c>
      <x:c r="C3888" s="2" t="n">
        <x:v>15761000000</x:v>
      </x:c>
      <x:c r="D3888" s="2" t="n">
        <x:v>2025</x:v>
      </x:c>
      <x:c r="E3888" s="2" t="str">
        <x:v>WB_exports_usd</x:v>
      </x:c>
      <x:c r="F3888" s="2" t="str">
        <x:v>Merchandise exports (current US$)</x:v>
      </x:c>
    </x:row>
    <x:row r="3889" ht="44" customHeight="1">
      <x:c r="A3889" s="2" t="str">
        <x:v>MNG</x:v>
      </x:c>
      <x:c r="B3889" s="2" t="str">
        <x:v>cereal_yield</x:v>
      </x:c>
      <x:c r="C3889" s="2" t="n">
        <x:v>1295.5</x:v>
      </x:c>
      <x:c r="D3889" s="2" t="n">
        <x:v>2023</x:v>
      </x:c>
      <x:c r="E3889" s="2" t="str">
        <x:v>WB_cereal_yield</x:v>
      </x:c>
      <x:c r="F3889" s="2" t="str">
        <x:v>Cereal yield (kg per hectare)</x:v>
      </x:c>
    </x:row>
    <x:row r="3890" ht="44" customHeight="1">
      <x:c r="A3890" s="2" t="str">
        <x:v>MNG</x:v>
      </x:c>
      <x:c r="B3890" s="2" t="str">
        <x:v>water_stress</x:v>
      </x:c>
      <x:c r="C3890" s="2" t="n">
        <x:v>3.395007342</x:v>
      </x:c>
      <x:c r="D3890" s="2" t="n">
        <x:v>2022</x:v>
      </x:c>
      <x:c r="E3890" s="2" t="str">
        <x:v>WB_water_stress</x:v>
      </x:c>
      <x:c r="F3890" s="2" t="str">
        <x:v>Level of water stress: freshwater withdrawal as a proportion of available freshwater resources</x:v>
      </x:c>
    </x:row>
    <x:row r="3891" ht="44" customHeight="1">
      <x:c r="A3891" s="2" t="str">
        <x:v>MNG</x:v>
      </x:c>
      <x:c r="B3891" s="2" t="str">
        <x:v>fertility</x:v>
      </x:c>
      <x:c r="C3891" s="2" t="n">
        <x:v>2.5</x:v>
      </x:c>
      <x:c r="D3891" s="2" t="n">
        <x:v>2024</x:v>
      </x:c>
      <x:c r="E3891" s="2" t="str">
        <x:v>WB_fertility</x:v>
      </x:c>
      <x:c r="F3891" s="2" t="str">
        <x:v>Fertility rate, total (births per woman)</x:v>
      </x:c>
    </x:row>
    <x:row r="3892" ht="44" customHeight="1">
      <x:c r="A3892" s="2" t="str">
        <x:v>MNG</x:v>
      </x:c>
      <x:c r="B3892" s="2" t="str">
        <x:v>life_expectancy</x:v>
      </x:c>
      <x:c r="C3892" s="2" t="n">
        <x:v>72.3980487804878</x:v>
      </x:c>
      <x:c r="D3892" s="2" t="n">
        <x:v>2024</x:v>
      </x:c>
      <x:c r="E3892" s="2" t="str">
        <x:v>WB_life_expectancy</x:v>
      </x:c>
      <x:c r="F3892" s="2" t="str">
        <x:v>Life expectancy at birth, total (years)</x:v>
      </x:c>
    </x:row>
    <x:row r="3893" ht="44" customHeight="1">
      <x:c r="A3893" s="2" t="str">
        <x:v>MNG</x:v>
      </x:c>
      <x:c r="B3893" s="2" t="str">
        <x:v>age_under15</x:v>
      </x:c>
      <x:c r="C3893" s="2" t="n">
        <x:v>31.5602200676694</x:v>
      </x:c>
      <x:c r="D3893" s="2" t="n">
        <x:v>2025</x:v>
      </x:c>
      <x:c r="E3893" s="2" t="str">
        <x:v>WB_age_under15</x:v>
      </x:c>
      <x:c r="F3893" s="2" t="str">
        <x:v>Population ages 0-14 (% of total population)</x:v>
      </x:c>
    </x:row>
    <x:row r="3894" ht="44" customHeight="1">
      <x:c r="A3894" s="2" t="str">
        <x:v>MNG</x:v>
      </x:c>
      <x:c r="B3894" s="2" t="str">
        <x:v>age_over65</x:v>
      </x:c>
      <x:c r="C3894" s="2" t="n">
        <x:v>5.43106536635296</x:v>
      </x:c>
      <x:c r="D3894" s="2" t="n">
        <x:v>2025</x:v>
      </x:c>
      <x:c r="E3894" s="2" t="str">
        <x:v>WB_age_over65</x:v>
      </x:c>
      <x:c r="F3894" s="2" t="str">
        <x:v>Population ages 65 and above (% of total population)</x:v>
      </x:c>
    </x:row>
    <x:row r="3895" ht="44" customHeight="1">
      <x:c r="A3895" s="2" t="str">
        <x:v>MNG</x:v>
      </x:c>
      <x:c r="B3895" s="2" t="str">
        <x:v>dependency_ratio</x:v>
      </x:c>
      <x:c r="C3895" s="2" t="n">
        <x:v>58.7082165471123</x:v>
      </x:c>
      <x:c r="D3895" s="2" t="n">
        <x:v>2025</x:v>
      </x:c>
      <x:c r="E3895" s="2" t="str">
        <x:v>WB_dependency_ratio</x:v>
      </x:c>
      <x:c r="F3895" s="2" t="str">
        <x:v>Age dependency ratio (% of working-age population)</x:v>
      </x:c>
    </x:row>
    <x:row r="3896" ht="44" customHeight="1">
      <x:c r="A3896" s="2" t="str">
        <x:v>MNG</x:v>
      </x:c>
      <x:c r="B3896" s="2" t="str">
        <x:v>net_migration</x:v>
      </x:c>
      <x:c r="C3896" s="2" t="n">
        <x:v>79</x:v>
      </x:c>
      <x:c r="D3896" s="2" t="n">
        <x:v>2025</x:v>
      </x:c>
      <x:c r="E3896" s="2" t="str">
        <x:v>WB_net_migration</x:v>
      </x:c>
      <x:c r="F3896" s="2" t="str">
        <x:v>Net migration</x:v>
      </x:c>
    </x:row>
    <x:row r="3897" ht="44" customHeight="1">
      <x:c r="A3897" s="2" t="str">
        <x:v>MNG</x:v>
      </x:c>
      <x:c r="B3897" s="2" t="str">
        <x:v>real_gdp</x:v>
      </x:c>
      <x:c r="C3897" s="2" t="n">
        <x:v>17424613413.4745</x:v>
      </x:c>
      <x:c r="D3897" s="2" t="n">
        <x:v>2025</x:v>
      </x:c>
      <x:c r="E3897" s="2" t="str">
        <x:v>WB_real_gdp</x:v>
      </x:c>
      <x:c r="F3897" s="2" t="str">
        <x:v>GDP (constant 2015 US$)</x:v>
      </x:c>
    </x:row>
    <x:row r="3898" ht="44" customHeight="1">
      <x:c r="A3898" s="2" t="str">
        <x:v>MNG</x:v>
      </x:c>
      <x:c r="B3898" s="2" t="str">
        <x:v>gdp_growth</x:v>
      </x:c>
      <x:c r="C3898" s="2" t="n">
        <x:v>6.84391415938607</x:v>
      </x:c>
      <x:c r="D3898" s="2" t="n">
        <x:v>2025</x:v>
      </x:c>
      <x:c r="E3898" s="2" t="str">
        <x:v>WB_gdp_growth</x:v>
      </x:c>
      <x:c r="F3898" s="2" t="str">
        <x:v>GDP growth (annual %)</x:v>
      </x:c>
    </x:row>
    <x:row r="3899" ht="44" customHeight="1">
      <x:c r="A3899" s="2" t="str">
        <x:v>MNG</x:v>
      </x:c>
      <x:c r="B3899" s="2" t="str">
        <x:v>real_income</x:v>
      </x:c>
      <x:c r="C3899" s="2" t="n">
        <x:v>4882.24175477532</x:v>
      </x:c>
      <x:c r="D3899" s="2" t="n">
        <x:v>2025</x:v>
      </x:c>
      <x:c r="E3899" s="2" t="str">
        <x:v>WB_real_income</x:v>
      </x:c>
      <x:c r="F3899" s="2" t="str">
        <x:v>GDP per capita (constant 2015 US$)</x:v>
      </x:c>
    </x:row>
    <x:row r="3900" ht="44" customHeight="1">
      <x:c r="A3900" s="2" t="str">
        <x:v>MNG</x:v>
      </x:c>
      <x:c r="B3900" s="2" t="str">
        <x:v>agriculture_gdp</x:v>
      </x:c>
      <x:c r="C3900" s="2" t="n">
        <x:v>8.93883278645661</x:v>
      </x:c>
      <x:c r="D3900" s="2" t="n">
        <x:v>2025</x:v>
      </x:c>
      <x:c r="E3900" s="2" t="str">
        <x:v>WB_agriculture_gdp</x:v>
      </x:c>
      <x:c r="F3900" s="2" t="str">
        <x:v>Agriculture, forestry, and fishing, value added (% of GDP)</x:v>
      </x:c>
    </x:row>
    <x:row r="3901" ht="44" customHeight="1">
      <x:c r="A3901" s="2" t="str">
        <x:v>MNG</x:v>
      </x:c>
      <x:c r="B3901" s="2" t="str">
        <x:v>poverty</x:v>
      </x:c>
      <x:c r="C3901" s="2" t="n">
        <x:v>0.4</x:v>
      </x:c>
      <x:c r="D3901" s="2" t="n">
        <x:v>2022</x:v>
      </x:c>
      <x:c r="E3901" s="2" t="str">
        <x:v>WB_poverty</x:v>
      </x:c>
      <x:c r="F3901" s="2" t="str">
        <x:v>Poverty headcount ratio at $3.00 a day (2021 PPP) (% of population)</x:v>
      </x:c>
    </x:row>
    <x:row r="3902" ht="44" customHeight="1">
      <x:c r="A3902" s="2" t="str">
        <x:v>MNG</x:v>
      </x:c>
      <x:c r="B3902" s="2" t="str">
        <x:v>gini</x:v>
      </x:c>
      <x:c r="C3902" s="2" t="n">
        <x:v>31.4</x:v>
      </x:c>
      <x:c r="D3902" s="2" t="n">
        <x:v>2022</x:v>
      </x:c>
      <x:c r="E3902" s="2" t="str">
        <x:v>WB_gini</x:v>
      </x:c>
      <x:c r="F3902" s="2" t="str">
        <x:v>Gini index</x:v>
      </x:c>
    </x:row>
    <x:row r="3903" ht="44" customHeight="1">
      <x:c r="A3903" s="2" t="str">
        <x:v>MNG</x:v>
      </x:c>
      <x:c r="B3903" s="2" t="str">
        <x:v>unemployment</x:v>
      </x:c>
      <x:c r="C3903" s="2" t="n">
        <x:v>5.233</x:v>
      </x:c>
      <x:c r="D3903" s="2" t="n">
        <x:v>2025</x:v>
      </x:c>
      <x:c r="E3903" s="2" t="str">
        <x:v>WB_unemployment</x:v>
      </x:c>
      <x:c r="F3903" s="2" t="str">
        <x:v>Unemployment, total (% of total labor force) (modeled ILO estimate)</x:v>
      </x:c>
    </x:row>
    <x:row r="3904" ht="44" customHeight="1">
      <x:c r="A3904" s="2" t="str">
        <x:v>MNG</x:v>
      </x:c>
      <x:c r="B3904" s="2" t="str">
        <x:v>private_credit</x:v>
      </x:c>
      <x:c r="C3904" s="2" t="n">
        <x:v>44.9058835509055</x:v>
      </x:c>
      <x:c r="D3904" s="2" t="n">
        <x:v>2024</x:v>
      </x:c>
      <x:c r="E3904" s="2" t="str">
        <x:v>WB_private_credit</x:v>
      </x:c>
      <x:c r="F3904" s="2" t="str">
        <x:v>Domestic credit to private sector (% of GDP)</x:v>
      </x:c>
    </x:row>
    <x:row r="3905" ht="44" customHeight="1">
      <x:c r="A3905" s="2" t="str">
        <x:v>MNG</x:v>
      </x:c>
      <x:c r="B3905" s="2" t="str">
        <x:v>lending_rate</x:v>
      </x:c>
      <x:c r="C3905" s="2" t="n">
        <x:v>16.0067624800933</x:v>
      </x:c>
      <x:c r="D3905" s="2" t="n">
        <x:v>2021</x:v>
      </x:c>
      <x:c r="E3905" s="2" t="str">
        <x:v>WB_lending_rate</x:v>
      </x:c>
      <x:c r="F3905" s="2" t="str">
        <x:v>Lending interest rate (%)</x:v>
      </x:c>
    </x:row>
    <x:row r="3906" ht="44" customHeight="1">
      <x:c r="A3906" s="2" t="str">
        <x:v>MNG</x:v>
      </x:c>
      <x:c r="B3906" s="2" t="str">
        <x:v>real_interest</x:v>
      </x:c>
      <x:c r="C3906" s="2" t="n">
        <x:v>1.38672967252835</x:v>
      </x:c>
      <x:c r="D3906" s="2" t="n">
        <x:v>2021</x:v>
      </x:c>
      <x:c r="E3906" s="2" t="str">
        <x:v>WB_real_interest</x:v>
      </x:c>
      <x:c r="F3906" s="2" t="str">
        <x:v>Real interest rate (%)</x:v>
      </x:c>
    </x:row>
    <x:row r="3907" ht="44" customHeight="1">
      <x:c r="A3907" s="2" t="str">
        <x:v>MNG</x:v>
      </x:c>
      <x:c r="B3907" s="2" t="str">
        <x:v>government_debt</x:v>
      </x:c>
      <x:c r="C3907" s="2" t="n">
        <x:v>43.3447191804482</x:v>
      </x:c>
      <x:c r="D3907" s="2" t="n">
        <x:v>2024</x:v>
      </x:c>
      <x:c r="E3907" s="2" t="str">
        <x:v>WB_government_debt</x:v>
      </x:c>
      <x:c r="F3907" s="2" t="str">
        <x:v>Central government debt, total (% of GDP)</x:v>
      </x:c>
    </x:row>
    <x:row r="3908" ht="44" customHeight="1">
      <x:c r="A3908" s="2" t="str">
        <x:v>MNG</x:v>
      </x:c>
      <x:c r="B3908" s="2" t="str">
        <x:v>electricity_access</x:v>
      </x:c>
      <x:c r="C3908" s="2" t="n">
        <x:v>99.1</x:v>
      </x:c>
      <x:c r="D3908" s="2" t="n">
        <x:v>2024</x:v>
      </x:c>
      <x:c r="E3908" s="2" t="str">
        <x:v>WB_electricity_access</x:v>
      </x:c>
      <x:c r="F3908" s="2" t="str">
        <x:v>Access to electricity (% of population)</x:v>
      </x:c>
    </x:row>
    <x:row r="3909" ht="44" customHeight="1">
      <x:c r="A3909" s="2" t="str">
        <x:v>MNG</x:v>
      </x:c>
      <x:c r="B3909" s="2" t="str">
        <x:v>irrigated_land</x:v>
      </x:c>
      <x:c r="C3909" s="2" t="n">
        <x:v>0.0472112220514459</x:v>
      </x:c>
      <x:c r="D3909" s="2" t="n">
        <x:v>2023</x:v>
      </x:c>
      <x:c r="E3909" s="2" t="str">
        <x:v>WB_irrigated_land</x:v>
      </x:c>
      <x:c r="F3909" s="2" t="str">
        <x:v>Agricultural irrigated land (% of total agricultural land)</x:v>
      </x:c>
    </x:row>
    <x:row r="3910" ht="44" customHeight="1">
      <x:c r="A3910" s="2" t="str">
        <x:v>MNG</x:v>
      </x:c>
      <x:c r="B3910" s="2" t="str">
        <x:v>cereal_area</x:v>
      </x:c>
      <x:c r="C3910" s="2" t="n">
        <x:v>363061</x:v>
      </x:c>
      <x:c r="D3910" s="2" t="n">
        <x:v>2023</x:v>
      </x:c>
      <x:c r="E3910" s="2" t="str">
        <x:v>WB_cereal_area</x:v>
      </x:c>
      <x:c r="F3910" s="2" t="str">
        <x:v>Land under cereal production (hectares)</x:v>
      </x:c>
    </x:row>
    <x:row r="3911" ht="44" customHeight="1">
      <x:c r="A3911" s="2" t="str">
        <x:v>MNG</x:v>
      </x:c>
      <x:c r="B3911" s="2" t="str">
        <x:v>undernourishment</x:v>
      </x:c>
      <x:c r="C3911" s="2" t="n">
        <x:v>2.5</x:v>
      </x:c>
      <x:c r="D3911" s="2" t="n">
        <x:v>2023</x:v>
      </x:c>
      <x:c r="E3911" s="2" t="str">
        <x:v>WB_undernourishment</x:v>
      </x:c>
      <x:c r="F3911" s="2" t="str">
        <x:v>Prevalence of undernourishment (% of population)</x:v>
      </x:c>
    </x:row>
    <x:row r="3912" ht="44" customHeight="1">
      <x:c r="A3912" s="2" t="str">
        <x:v>MNG</x:v>
      </x:c>
      <x:c r="B3912" s="2" t="str">
        <x:v>agriculture_employment</x:v>
      </x:c>
      <x:c r="C3912" s="2" t="n">
        <x:v>27.0038543570098</x:v>
      </x:c>
      <x:c r="D3912" s="2" t="n">
        <x:v>2025</x:v>
      </x:c>
      <x:c r="E3912" s="2" t="str">
        <x:v>WB_agriculture_employment</x:v>
      </x:c>
      <x:c r="F3912" s="2" t="str">
        <x:v>Employment in agriculture (% of total employment) (modeled ILO estimate)</x:v>
      </x:c>
    </x:row>
    <x:row r="3913" ht="44" customHeight="1">
      <x:c r="A3913" s="2" t="str">
        <x:v>MNG</x:v>
      </x:c>
      <x:c r="B3913" s="2" t="str">
        <x:v>water_withdrawal</x:v>
      </x:c>
      <x:c r="C3913" s="2" t="n">
        <x:v>1.32873563218391</x:v>
      </x:c>
      <x:c r="D3913" s="2" t="n">
        <x:v>2022</x:v>
      </x:c>
      <x:c r="E3913" s="2" t="str">
        <x:v>WB_water_withdrawal</x:v>
      </x:c>
      <x:c r="F3913" s="2" t="str">
        <x:v>Annual freshwater withdrawals, total (% of internal resources)</x:v>
      </x:c>
    </x:row>
    <x:row r="3914" ht="44" customHeight="1">
      <x:c r="A3914" s="2" t="str">
        <x:v>MNE</x:v>
      </x:c>
      <x:c r="B3914" s="2" t="str">
        <x:v>population</x:v>
      </x:c>
      <x:c r="C3914" s="2" t="n">
        <x:v>623129</x:v>
      </x:c>
      <x:c r="D3914" s="2" t="n">
        <x:v>2025</x:v>
      </x:c>
      <x:c r="E3914" s="2" t="str">
        <x:v>WB_population</x:v>
      </x:c>
      <x:c r="F3914" s="2" t="str">
        <x:v>Population, total</x:v>
      </x:c>
    </x:row>
    <x:row r="3915" ht="44" customHeight="1">
      <x:c r="A3915" s="2" t="str">
        <x:v>MNE</x:v>
      </x:c>
      <x:c r="B3915" s="2" t="str">
        <x:v>income_ppp</x:v>
      </x:c>
      <x:c r="C3915" s="2" t="n">
        <x:v>28895.3171970071</x:v>
      </x:c>
      <x:c r="D3915" s="2" t="n">
        <x:v>2025</x:v>
      </x:c>
      <x:c r="E3915" s="2" t="str">
        <x:v>WB_income_ppp</x:v>
      </x:c>
      <x:c r="F3915" s="2" t="str">
        <x:v>GDP per capita, PPP (constant 2021 international $)</x:v>
      </x:c>
    </x:row>
    <x:row r="3916" ht="44" customHeight="1">
      <x:c r="A3916" s="2" t="str">
        <x:v>MNE</x:v>
      </x:c>
      <x:c r="B3916" s="2" t="str">
        <x:v>urban</x:v>
      </x:c>
      <x:c r="C3916" s="2" t="n">
        <x:v>65.6085083521036</x:v>
      </x:c>
      <x:c r="D3916" s="2" t="n">
        <x:v>2025</x:v>
      </x:c>
      <x:c r="E3916" s="2" t="str">
        <x:v>WB_urban</x:v>
      </x:c>
      <x:c r="F3916" s="2" t="str">
        <x:v>Urban population (% of total population)</x:v>
      </x:c>
    </x:row>
    <x:row r="3917" ht="44" customHeight="1">
      <x:c r="A3917" s="2" t="str">
        <x:v>MNE</x:v>
      </x:c>
      <x:c r="B3917" s="2" t="str">
        <x:v>inflation</x:v>
      </x:c>
      <x:c r="C3917" s="2" t="n">
        <x:v>3.89960910704956</x:v>
      </x:c>
      <x:c r="D3917" s="2" t="n">
        <x:v>2025</x:v>
      </x:c>
      <x:c r="E3917" s="2" t="str">
        <x:v>WB_inflation</x:v>
      </x:c>
      <x:c r="F3917" s="2" t="str">
        <x:v>Inflation, consumer prices (annual %)</x:v>
      </x:c>
    </x:row>
    <x:row r="3918" ht="44" customHeight="1">
      <x:c r="A3918" s="2" t="str">
        <x:v>MNE</x:v>
      </x:c>
      <x:c r="B3918" s="2" t="str">
        <x:v>food_index</x:v>
      </x:c>
      <x:c r="C3918" s="2" t="n">
        <x:v>100.56</x:v>
      </x:c>
      <x:c r="D3918" s="2" t="n">
        <x:v>2022</x:v>
      </x:c>
      <x:c r="E3918" s="2" t="str">
        <x:v>WB_food_index</x:v>
      </x:c>
      <x:c r="F3918" s="2" t="str">
        <x:v>Food production index (2014-2016 = 100)</x:v>
      </x:c>
    </x:row>
    <x:row r="3919" ht="44" customHeight="1">
      <x:c r="A3919" s="2" t="str">
        <x:v>MNE</x:v>
      </x:c>
      <x:c r="B3919" s="2" t="str">
        <x:v>food_import_share</x:v>
      </x:c>
      <x:c r="C3919" s="2" t="n">
        <x:v>23.6003133483077</x:v>
      </x:c>
      <x:c r="D3919" s="2" t="n">
        <x:v>2024</x:v>
      </x:c>
      <x:c r="E3919" s="2" t="str">
        <x:v>WB_food_import_share</x:v>
      </x:c>
      <x:c r="F3919" s="2" t="str">
        <x:v>Food imports (% of merchandise imports)</x:v>
      </x:c>
    </x:row>
    <x:row r="3920" ht="44" customHeight="1">
      <x:c r="A3920" s="2" t="str">
        <x:v>MNE</x:v>
      </x:c>
      <x:c r="B3920" s="2" t="str">
        <x:v>food_export_share</x:v>
      </x:c>
      <x:c r="C3920" s="2" t="n">
        <x:v>16.8444611565394</x:v>
      </x:c>
      <x:c r="D3920" s="2" t="n">
        <x:v>2024</x:v>
      </x:c>
      <x:c r="E3920" s="2" t="str">
        <x:v>WB_food_export_share</x:v>
      </x:c>
      <x:c r="F3920" s="2" t="str">
        <x:v>Food exports (% of merchandise exports)</x:v>
      </x:c>
    </x:row>
    <x:row r="3921" ht="44" customHeight="1">
      <x:c r="A3921" s="2" t="str">
        <x:v>MNE</x:v>
      </x:c>
      <x:c r="B3921" s="2" t="str">
        <x:v>imports_usd</x:v>
      </x:c>
      <x:c r="C3921" s="2" t="n">
        <x:v>5057000000</x:v>
      </x:c>
      <x:c r="D3921" s="2" t="n">
        <x:v>2025</x:v>
      </x:c>
      <x:c r="E3921" s="2" t="str">
        <x:v>WB_imports_usd</x:v>
      </x:c>
      <x:c r="F3921" s="2" t="str">
        <x:v>Merchandise imports (current US$)</x:v>
      </x:c>
    </x:row>
    <x:row r="3922" ht="44" customHeight="1">
      <x:c r="A3922" s="2" t="str">
        <x:v>MNE</x:v>
      </x:c>
      <x:c r="B3922" s="2" t="str">
        <x:v>exports_usd</x:v>
      </x:c>
      <x:c r="C3922" s="2" t="n">
        <x:v>646000000</x:v>
      </x:c>
      <x:c r="D3922" s="2" t="n">
        <x:v>2025</x:v>
      </x:c>
      <x:c r="E3922" s="2" t="str">
        <x:v>WB_exports_usd</x:v>
      </x:c>
      <x:c r="F3922" s="2" t="str">
        <x:v>Merchandise exports (current US$)</x:v>
      </x:c>
    </x:row>
    <x:row r="3923" ht="44" customHeight="1">
      <x:c r="A3923" s="2" t="str">
        <x:v>MNE</x:v>
      </x:c>
      <x:c r="B3923" s="2" t="str">
        <x:v>cereal_yield</x:v>
      </x:c>
      <x:c r="C3923" s="2" t="n">
        <x:v>3314.8</x:v>
      </x:c>
      <x:c r="D3923" s="2" t="n">
        <x:v>2023</x:v>
      </x:c>
      <x:c r="E3923" s="2" t="str">
        <x:v>WB_cereal_yield</x:v>
      </x:c>
      <x:c r="F3923" s="2" t="str">
        <x:v>Cereal yield (kg per hectare)</x:v>
      </x:c>
    </x:row>
    <x:row r="3924" ht="44" customHeight="1">
      <x:c r="A3924" s="2" t="str">
        <x:v>MNE</x:v>
      </x:c>
      <x:c r="B3924" s="2" t="str">
        <x:v>water_stress</x:v>
      </x:c>
      <x:c r="C3924" s="2"/>
      <x:c r="D3924" s="2"/>
      <x:c r="E3924" s="2" t="str">
        <x:v>Missing</x:v>
      </x:c>
      <x:c r="F3924" s="2" t="str">
        <x:v>Level of water stress: freshwater withdrawal as a proportion of available freshwater resources</x:v>
      </x:c>
    </x:row>
    <x:row r="3925" ht="44" customHeight="1">
      <x:c r="A3925" s="2" t="str">
        <x:v>MNE</x:v>
      </x:c>
      <x:c r="B3925" s="2" t="str">
        <x:v>fertility</x:v>
      </x:c>
      <x:c r="C3925" s="2" t="n">
        <x:v>1.8</x:v>
      </x:c>
      <x:c r="D3925" s="2" t="n">
        <x:v>2024</x:v>
      </x:c>
      <x:c r="E3925" s="2" t="str">
        <x:v>WB_fertility</x:v>
      </x:c>
      <x:c r="F3925" s="2" t="str">
        <x:v>Fertility rate, total (births per woman)</x:v>
      </x:c>
    </x:row>
    <x:row r="3926" ht="44" customHeight="1">
      <x:c r="A3926" s="2" t="str">
        <x:v>MNE</x:v>
      </x:c>
      <x:c r="B3926" s="2" t="str">
        <x:v>life_expectancy</x:v>
      </x:c>
      <x:c r="C3926" s="2" t="n">
        <x:v>77.890243902439</x:v>
      </x:c>
      <x:c r="D3926" s="2" t="n">
        <x:v>2024</x:v>
      </x:c>
      <x:c r="E3926" s="2" t="str">
        <x:v>WB_life_expectancy</x:v>
      </x:c>
      <x:c r="F3926" s="2" t="str">
        <x:v>Life expectancy at birth, total (years)</x:v>
      </x:c>
    </x:row>
    <x:row r="3927" ht="44" customHeight="1">
      <x:c r="A3927" s="2" t="str">
        <x:v>MNE</x:v>
      </x:c>
      <x:c r="B3927" s="2" t="str">
        <x:v>age_under15</x:v>
      </x:c>
      <x:c r="C3927" s="2" t="n">
        <x:v>17.8804827975326</x:v>
      </x:c>
      <x:c r="D3927" s="2" t="n">
        <x:v>2025</x:v>
      </x:c>
      <x:c r="E3927" s="2" t="str">
        <x:v>WB_age_under15</x:v>
      </x:c>
      <x:c r="F3927" s="2" t="str">
        <x:v>Population ages 0-14 (% of total population)</x:v>
      </x:c>
    </x:row>
    <x:row r="3928" ht="44" customHeight="1">
      <x:c r="A3928" s="2" t="str">
        <x:v>MNE</x:v>
      </x:c>
      <x:c r="B3928" s="2" t="str">
        <x:v>age_over65</x:v>
      </x:c>
      <x:c r="C3928" s="2" t="n">
        <x:v>18.2940089675043</x:v>
      </x:c>
      <x:c r="D3928" s="2" t="n">
        <x:v>2025</x:v>
      </x:c>
      <x:c r="E3928" s="2" t="str">
        <x:v>WB_age_over65</x:v>
      </x:c>
      <x:c r="F3928" s="2" t="str">
        <x:v>Population ages 65 and above (% of total population)</x:v>
      </x:c>
    </x:row>
    <x:row r="3929" ht="44" customHeight="1">
      <x:c r="A3929" s="2" t="str">
        <x:v>MNE</x:v>
      </x:c>
      <x:c r="B3929" s="2" t="str">
        <x:v>dependency_ratio</x:v>
      </x:c>
      <x:c r="C3929" s="2" t="n">
        <x:v>56.6770174622531</x:v>
      </x:c>
      <x:c r="D3929" s="2" t="n">
        <x:v>2025</x:v>
      </x:c>
      <x:c r="E3929" s="2" t="str">
        <x:v>WB_dependency_ratio</x:v>
      </x:c>
      <x:c r="F3929" s="2" t="str">
        <x:v>Age dependency ratio (% of working-age population)</x:v>
      </x:c>
    </x:row>
    <x:row r="3930" ht="44" customHeight="1">
      <x:c r="A3930" s="2" t="str">
        <x:v>MNE</x:v>
      </x:c>
      <x:c r="B3930" s="2" t="str">
        <x:v>net_migration</x:v>
      </x:c>
      <x:c r="C3930" s="2" t="n">
        <x:v>-9279</x:v>
      </x:c>
      <x:c r="D3930" s="2" t="n">
        <x:v>2025</x:v>
      </x:c>
      <x:c r="E3930" s="2" t="str">
        <x:v>WB_net_migration</x:v>
      </x:c>
      <x:c r="F3930" s="2" t="str">
        <x:v>Net migration</x:v>
      </x:c>
    </x:row>
    <x:row r="3931" ht="44" customHeight="1">
      <x:c r="A3931" s="2" t="str">
        <x:v>MNE</x:v>
      </x:c>
      <x:c r="B3931" s="2" t="str">
        <x:v>real_gdp</x:v>
      </x:c>
      <x:c r="C3931" s="2" t="n">
        <x:v>5471051068.05593</x:v>
      </x:c>
      <x:c r="D3931" s="2" t="n">
        <x:v>2025</x:v>
      </x:c>
      <x:c r="E3931" s="2" t="str">
        <x:v>WB_real_gdp</x:v>
      </x:c>
      <x:c r="F3931" s="2" t="str">
        <x:v>GDP (constant 2015 US$)</x:v>
      </x:c>
    </x:row>
    <x:row r="3932" ht="44" customHeight="1">
      <x:c r="A3932" s="2" t="str">
        <x:v>MNE</x:v>
      </x:c>
      <x:c r="B3932" s="2" t="str">
        <x:v>gdp_growth</x:v>
      </x:c>
      <x:c r="C3932" s="2" t="n">
        <x:v>2.74455354258522</x:v>
      </x:c>
      <x:c r="D3932" s="2" t="n">
        <x:v>2025</x:v>
      </x:c>
      <x:c r="E3932" s="2" t="str">
        <x:v>WB_gdp_growth</x:v>
      </x:c>
      <x:c r="F3932" s="2" t="str">
        <x:v>GDP growth (annual %)</x:v>
      </x:c>
    </x:row>
    <x:row r="3933" ht="44" customHeight="1">
      <x:c r="A3933" s="2" t="str">
        <x:v>MNE</x:v>
      </x:c>
      <x:c r="B3933" s="2" t="str">
        <x:v>real_income</x:v>
      </x:c>
      <x:c r="C3933" s="2" t="n">
        <x:v>8779.9654133509</x:v>
      </x:c>
      <x:c r="D3933" s="2" t="n">
        <x:v>2025</x:v>
      </x:c>
      <x:c r="E3933" s="2" t="str">
        <x:v>WB_real_income</x:v>
      </x:c>
      <x:c r="F3933" s="2" t="str">
        <x:v>GDP per capita (constant 2015 US$)</x:v>
      </x:c>
    </x:row>
    <x:row r="3934" ht="44" customHeight="1">
      <x:c r="A3934" s="2" t="str">
        <x:v>MNE</x:v>
      </x:c>
      <x:c r="B3934" s="2" t="str">
        <x:v>agriculture_gdp</x:v>
      </x:c>
      <x:c r="C3934" s="2" t="n">
        <x:v>3.3668899806023</x:v>
      </x:c>
      <x:c r="D3934" s="2" t="n">
        <x:v>2025</x:v>
      </x:c>
      <x:c r="E3934" s="2" t="str">
        <x:v>WB_agriculture_gdp</x:v>
      </x:c>
      <x:c r="F3934" s="2" t="str">
        <x:v>Agriculture, forestry, and fishing, value added (% of GDP)</x:v>
      </x:c>
    </x:row>
    <x:row r="3935" ht="44" customHeight="1">
      <x:c r="A3935" s="2" t="str">
        <x:v>MNE</x:v>
      </x:c>
      <x:c r="B3935" s="2" t="str">
        <x:v>poverty</x:v>
      </x:c>
      <x:c r="C3935" s="2" t="n">
        <x:v>2.5</x:v>
      </x:c>
      <x:c r="D3935" s="2" t="n">
        <x:v>2021</x:v>
      </x:c>
      <x:c r="E3935" s="2" t="str">
        <x:v>WB_poverty</x:v>
      </x:c>
      <x:c r="F3935" s="2" t="str">
        <x:v>Poverty headcount ratio at $3.00 a day (2021 PPP) (% of population)</x:v>
      </x:c>
    </x:row>
    <x:row r="3936" ht="44" customHeight="1">
      <x:c r="A3936" s="2" t="str">
        <x:v>MNE</x:v>
      </x:c>
      <x:c r="B3936" s="2" t="str">
        <x:v>gini</x:v>
      </x:c>
      <x:c r="C3936" s="2" t="n">
        <x:v>34.3</x:v>
      </x:c>
      <x:c r="D3936" s="2" t="n">
        <x:v>2021</x:v>
      </x:c>
      <x:c r="E3936" s="2" t="str">
        <x:v>WB_gini</x:v>
      </x:c>
      <x:c r="F3936" s="2" t="str">
        <x:v>Gini index</x:v>
      </x:c>
    </x:row>
    <x:row r="3937" ht="44" customHeight="1">
      <x:c r="A3937" s="2" t="str">
        <x:v>MNE</x:v>
      </x:c>
      <x:c r="B3937" s="2" t="str">
        <x:v>unemployment</x:v>
      </x:c>
      <x:c r="C3937" s="2" t="n">
        <x:v>13.572</x:v>
      </x:c>
      <x:c r="D3937" s="2" t="n">
        <x:v>2025</x:v>
      </x:c>
      <x:c r="E3937" s="2" t="str">
        <x:v>WB_unemployment</x:v>
      </x:c>
      <x:c r="F3937" s="2" t="str">
        <x:v>Unemployment, total (% of total labor force) (modeled ILO estimate)</x:v>
      </x:c>
    </x:row>
    <x:row r="3938" ht="44" customHeight="1">
      <x:c r="A3938" s="2" t="str">
        <x:v>MNE</x:v>
      </x:c>
      <x:c r="B3938" s="2" t="str">
        <x:v>private_credit</x:v>
      </x:c>
      <x:c r="C3938" s="2" t="n">
        <x:v>45.2736633073804</x:v>
      </x:c>
      <x:c r="D3938" s="2" t="n">
        <x:v>2024</x:v>
      </x:c>
      <x:c r="E3938" s="2" t="str">
        <x:v>WB_private_credit</x:v>
      </x:c>
      <x:c r="F3938" s="2" t="str">
        <x:v>Domestic credit to private sector (% of GDP)</x:v>
      </x:c>
    </x:row>
    <x:row r="3939" ht="44" customHeight="1">
      <x:c r="A3939" s="2" t="str">
        <x:v>MNE</x:v>
      </x:c>
      <x:c r="B3939" s="2" t="str">
        <x:v>lending_rate</x:v>
      </x:c>
      <x:c r="C3939" s="2" t="n">
        <x:v>6.31833333333333</x:v>
      </x:c>
      <x:c r="D3939" s="2" t="n">
        <x:v>2025</x:v>
      </x:c>
      <x:c r="E3939" s="2" t="str">
        <x:v>WB_lending_rate</x:v>
      </x:c>
      <x:c r="F3939" s="2" t="str">
        <x:v>Lending interest rate (%)</x:v>
      </x:c>
    </x:row>
    <x:row r="3940" ht="44" customHeight="1">
      <x:c r="A3940" s="2" t="str">
        <x:v>MNE</x:v>
      </x:c>
      <x:c r="B3940" s="2" t="str">
        <x:v>real_interest</x:v>
      </x:c>
      <x:c r="C3940" s="2" t="n">
        <x:v>2.20126059633121</x:v>
      </x:c>
      <x:c r="D3940" s="2" t="n">
        <x:v>2025</x:v>
      </x:c>
      <x:c r="E3940" s="2" t="str">
        <x:v>WB_real_interest</x:v>
      </x:c>
      <x:c r="F3940" s="2" t="str">
        <x:v>Real interest rate (%)</x:v>
      </x:c>
    </x:row>
    <x:row r="3941" ht="44" customHeight="1">
      <x:c r="A3941" s="2" t="str">
        <x:v>MNE</x:v>
      </x:c>
      <x:c r="B3941" s="2" t="str">
        <x:v>government_debt</x:v>
      </x:c>
      <x:c r="C3941" s="2"/>
      <x:c r="D3941" s="2"/>
      <x:c r="E3941" s="2" t="str">
        <x:v>Missing</x:v>
      </x:c>
      <x:c r="F3941" s="2" t="str">
        <x:v>Central government debt, total (% of GDP)</x:v>
      </x:c>
    </x:row>
    <x:row r="3942" ht="44" customHeight="1">
      <x:c r="A3942" s="2" t="str">
        <x:v>MNE</x:v>
      </x:c>
      <x:c r="B3942" s="2" t="str">
        <x:v>electricity_access</x:v>
      </x:c>
      <x:c r="C3942" s="2" t="n">
        <x:v>100</x:v>
      </x:c>
      <x:c r="D3942" s="2" t="n">
        <x:v>2024</x:v>
      </x:c>
      <x:c r="E3942" s="2" t="str">
        <x:v>WB_electricity_access</x:v>
      </x:c>
      <x:c r="F3942" s="2" t="str">
        <x:v>Access to electricity (% of population)</x:v>
      </x:c>
    </x:row>
    <x:row r="3943" ht="44" customHeight="1">
      <x:c r="A3943" s="2" t="str">
        <x:v>MNE</x:v>
      </x:c>
      <x:c r="B3943" s="2" t="str">
        <x:v>irrigated_land</x:v>
      </x:c>
      <x:c r="C3943" s="2"/>
      <x:c r="D3943" s="2"/>
      <x:c r="E3943" s="2" t="str">
        <x:v>Missing</x:v>
      </x:c>
      <x:c r="F3943" s="2" t="str">
        <x:v>Agricultural irrigated land (% of total agricultural land)</x:v>
      </x:c>
    </x:row>
    <x:row r="3944" ht="44" customHeight="1">
      <x:c r="A3944" s="2" t="str">
        <x:v>MNE</x:v>
      </x:c>
      <x:c r="B3944" s="2" t="str">
        <x:v>cereal_area</x:v>
      </x:c>
      <x:c r="C3944" s="2" t="n">
        <x:v>2065</x:v>
      </x:c>
      <x:c r="D3944" s="2" t="n">
        <x:v>2023</x:v>
      </x:c>
      <x:c r="E3944" s="2" t="str">
        <x:v>WB_cereal_area</x:v>
      </x:c>
      <x:c r="F3944" s="2" t="str">
        <x:v>Land under cereal production (hectares)</x:v>
      </x:c>
    </x:row>
    <x:row r="3945" ht="44" customHeight="1">
      <x:c r="A3945" s="2" t="str">
        <x:v>MNE</x:v>
      </x:c>
      <x:c r="B3945" s="2" t="str">
        <x:v>undernourishment</x:v>
      </x:c>
      <x:c r="C3945" s="2" t="n">
        <x:v>2.5</x:v>
      </x:c>
      <x:c r="D3945" s="2" t="n">
        <x:v>2023</x:v>
      </x:c>
      <x:c r="E3945" s="2" t="str">
        <x:v>WB_undernourishment</x:v>
      </x:c>
      <x:c r="F3945" s="2" t="str">
        <x:v>Prevalence of undernourishment (% of population)</x:v>
      </x:c>
    </x:row>
    <x:row r="3946" ht="44" customHeight="1">
      <x:c r="A3946" s="2" t="str">
        <x:v>MNE</x:v>
      </x:c>
      <x:c r="B3946" s="2" t="str">
        <x:v>agriculture_employment</x:v>
      </x:c>
      <x:c r="C3946" s="2" t="n">
        <x:v>4.1927094337883</x:v>
      </x:c>
      <x:c r="D3946" s="2" t="n">
        <x:v>2025</x:v>
      </x:c>
      <x:c r="E3946" s="2" t="str">
        <x:v>WB_agriculture_employment</x:v>
      </x:c>
      <x:c r="F3946" s="2" t="str">
        <x:v>Employment in agriculture (% of total employment) (modeled ILO estimate)</x:v>
      </x:c>
    </x:row>
    <x:row r="3947" ht="44" customHeight="1">
      <x:c r="A3947" s="2" t="str">
        <x:v>MNE</x:v>
      </x:c>
      <x:c r="B3947" s="2" t="str">
        <x:v>water_withdrawal</x:v>
      </x:c>
      <x:c r="C3947" s="2"/>
      <x:c r="D3947" s="2"/>
      <x:c r="E3947" s="2" t="str">
        <x:v>Missing</x:v>
      </x:c>
      <x:c r="F3947" s="2" t="str">
        <x:v>Annual freshwater withdrawals, total (% of internal resources)</x:v>
      </x:c>
    </x:row>
    <x:row r="3948" ht="44" customHeight="1">
      <x:c r="A3948" s="2" t="str">
        <x:v>MAR</x:v>
      </x:c>
      <x:c r="B3948" s="2" t="str">
        <x:v>population</x:v>
      </x:c>
      <x:c r="C3948" s="2" t="n">
        <x:v>38430770</x:v>
      </x:c>
      <x:c r="D3948" s="2" t="n">
        <x:v>2025</x:v>
      </x:c>
      <x:c r="E3948" s="2" t="str">
        <x:v>WB_population</x:v>
      </x:c>
      <x:c r="F3948" s="2" t="str">
        <x:v>Population, total</x:v>
      </x:c>
    </x:row>
    <x:row r="3949" ht="44" customHeight="1">
      <x:c r="A3949" s="2" t="str">
        <x:v>MAR</x:v>
      </x:c>
      <x:c r="B3949" s="2" t="str">
        <x:v>income_ppp</x:v>
      </x:c>
      <x:c r="C3949" s="2" t="n">
        <x:v>9495.4052734375</x:v>
      </x:c>
      <x:c r="D3949" s="2" t="n">
        <x:v>2025</x:v>
      </x:c>
      <x:c r="E3949" s="2" t="str">
        <x:v>WB_income_ppp</x:v>
      </x:c>
      <x:c r="F3949" s="2" t="str">
        <x:v>GDP per capita, PPP (constant 2021 international $)</x:v>
      </x:c>
    </x:row>
    <x:row r="3950" ht="44" customHeight="1">
      <x:c r="A3950" s="2" t="str">
        <x:v>MAR</x:v>
      </x:c>
      <x:c r="B3950" s="2" t="str">
        <x:v>urban</x:v>
      </x:c>
      <x:c r="C3950" s="2" t="n">
        <x:v>63.1278612260269</x:v>
      </x:c>
      <x:c r="D3950" s="2" t="n">
        <x:v>2025</x:v>
      </x:c>
      <x:c r="E3950" s="2" t="str">
        <x:v>WB_urban</x:v>
      </x:c>
      <x:c r="F3950" s="2" t="str">
        <x:v>Urban population (% of total population)</x:v>
      </x:c>
    </x:row>
    <x:row r="3951" ht="44" customHeight="1">
      <x:c r="A3951" s="2" t="str">
        <x:v>MAR</x:v>
      </x:c>
      <x:c r="B3951" s="2" t="str">
        <x:v>inflation</x:v>
      </x:c>
      <x:c r="C3951" s="2" t="n">
        <x:v>0.701902154839545</x:v>
      </x:c>
      <x:c r="D3951" s="2" t="n">
        <x:v>2025</x:v>
      </x:c>
      <x:c r="E3951" s="2" t="str">
        <x:v>WB_inflation</x:v>
      </x:c>
      <x:c r="F3951" s="2" t="str">
        <x:v>Inflation, consumer prices (annual %)</x:v>
      </x:c>
    </x:row>
    <x:row r="3952" ht="44" customHeight="1">
      <x:c r="A3952" s="2" t="str">
        <x:v>MAR</x:v>
      </x:c>
      <x:c r="B3952" s="2" t="str">
        <x:v>food_index</x:v>
      </x:c>
      <x:c r="C3952" s="2" t="n">
        <x:v>106.07</x:v>
      </x:c>
      <x:c r="D3952" s="2" t="n">
        <x:v>2022</x:v>
      </x:c>
      <x:c r="E3952" s="2" t="str">
        <x:v>WB_food_index</x:v>
      </x:c>
      <x:c r="F3952" s="2" t="str">
        <x:v>Food production index (2014-2016 = 100)</x:v>
      </x:c>
    </x:row>
    <x:row r="3953" ht="44" customHeight="1">
      <x:c r="A3953" s="2" t="str">
        <x:v>MAR</x:v>
      </x:c>
      <x:c r="B3953" s="2" t="str">
        <x:v>food_import_share</x:v>
      </x:c>
      <x:c r="C3953" s="2" t="n">
        <x:v>11.1809766440455</x:v>
      </x:c>
      <x:c r="D3953" s="2" t="n">
        <x:v>2024</x:v>
      </x:c>
      <x:c r="E3953" s="2" t="str">
        <x:v>WB_food_import_share</x:v>
      </x:c>
      <x:c r="F3953" s="2" t="str">
        <x:v>Food imports (% of merchandise imports)</x:v>
      </x:c>
    </x:row>
    <x:row r="3954" ht="44" customHeight="1">
      <x:c r="A3954" s="2" t="str">
        <x:v>MAR</x:v>
      </x:c>
      <x:c r="B3954" s="2" t="str">
        <x:v>food_export_share</x:v>
      </x:c>
      <x:c r="C3954" s="2" t="n">
        <x:v>12.5218573798343</x:v>
      </x:c>
      <x:c r="D3954" s="2" t="n">
        <x:v>2024</x:v>
      </x:c>
      <x:c r="E3954" s="2" t="str">
        <x:v>WB_food_export_share</x:v>
      </x:c>
      <x:c r="F3954" s="2" t="str">
        <x:v>Food exports (% of merchandise exports)</x:v>
      </x:c>
    </x:row>
    <x:row r="3955" ht="44" customHeight="1">
      <x:c r="A3955" s="2" t="str">
        <x:v>MAR</x:v>
      </x:c>
      <x:c r="B3955" s="2" t="str">
        <x:v>imports_usd</x:v>
      </x:c>
      <x:c r="C3955" s="2" t="n">
        <x:v>87389000000</x:v>
      </x:c>
      <x:c r="D3955" s="2" t="n">
        <x:v>2025</x:v>
      </x:c>
      <x:c r="E3955" s="2" t="str">
        <x:v>WB_imports_usd</x:v>
      </x:c>
      <x:c r="F3955" s="2" t="str">
        <x:v>Merchandise imports (current US$)</x:v>
      </x:c>
    </x:row>
    <x:row r="3956" ht="44" customHeight="1">
      <x:c r="A3956" s="2" t="str">
        <x:v>MAR</x:v>
      </x:c>
      <x:c r="B3956" s="2" t="str">
        <x:v>exports_usd</x:v>
      </x:c>
      <x:c r="C3956" s="2" t="n">
        <x:v>49777000000</x:v>
      </x:c>
      <x:c r="D3956" s="2" t="n">
        <x:v>2025</x:v>
      </x:c>
      <x:c r="E3956" s="2" t="str">
        <x:v>WB_exports_usd</x:v>
      </x:c>
      <x:c r="F3956" s="2" t="str">
        <x:v>Merchandise exports (current US$)</x:v>
      </x:c>
    </x:row>
    <x:row r="3957" ht="44" customHeight="1">
      <x:c r="A3957" s="2" t="str">
        <x:v>MAR</x:v>
      </x:c>
      <x:c r="B3957" s="2" t="str">
        <x:v>cereal_yield</x:v>
      </x:c>
      <x:c r="C3957" s="2" t="n">
        <x:v>1240.1</x:v>
      </x:c>
      <x:c r="D3957" s="2" t="n">
        <x:v>2024</x:v>
      </x:c>
      <x:c r="E3957" s="2" t="str">
        <x:v>WB_cereal_yield</x:v>
      </x:c>
      <x:c r="F3957" s="2" t="str">
        <x:v>Cereal yield (kg per hectare)</x:v>
      </x:c>
    </x:row>
    <x:row r="3958" ht="44" customHeight="1">
      <x:c r="A3958" s="2" t="str">
        <x:v>MAR</x:v>
      </x:c>
      <x:c r="B3958" s="2" t="str">
        <x:v>water_stress</x:v>
      </x:c>
      <x:c r="C3958" s="2" t="n">
        <x:v>50.75121202</x:v>
      </x:c>
      <x:c r="D3958" s="2" t="n">
        <x:v>2022</x:v>
      </x:c>
      <x:c r="E3958" s="2" t="str">
        <x:v>WB_water_stress</x:v>
      </x:c>
      <x:c r="F3958" s="2" t="str">
        <x:v>Level of water stress: freshwater withdrawal as a proportion of available freshwater resources</x:v>
      </x:c>
    </x:row>
    <x:row r="3959" ht="44" customHeight="1">
      <x:c r="A3959" s="2" t="str">
        <x:v>MAR</x:v>
      </x:c>
      <x:c r="B3959" s="2" t="str">
        <x:v>fertility</x:v>
      </x:c>
      <x:c r="C3959" s="2" t="n">
        <x:v>2.208</x:v>
      </x:c>
      <x:c r="D3959" s="2" t="n">
        <x:v>2024</x:v>
      </x:c>
      <x:c r="E3959" s="2" t="str">
        <x:v>WB_fertility</x:v>
      </x:c>
      <x:c r="F3959" s="2" t="str">
        <x:v>Fertility rate, total (births per woman)</x:v>
      </x:c>
    </x:row>
    <x:row r="3960" ht="44" customHeight="1">
      <x:c r="A3960" s="2" t="str">
        <x:v>MAR</x:v>
      </x:c>
      <x:c r="B3960" s="2" t="str">
        <x:v>life_expectancy</x:v>
      </x:c>
      <x:c r="C3960" s="2" t="n">
        <x:v>75.493</x:v>
      </x:c>
      <x:c r="D3960" s="2" t="n">
        <x:v>2024</x:v>
      </x:c>
      <x:c r="E3960" s="2" t="str">
        <x:v>WB_life_expectancy</x:v>
      </x:c>
      <x:c r="F3960" s="2" t="str">
        <x:v>Life expectancy at birth, total (years)</x:v>
      </x:c>
    </x:row>
    <x:row r="3961" ht="44" customHeight="1">
      <x:c r="A3961" s="2" t="str">
        <x:v>MAR</x:v>
      </x:c>
      <x:c r="B3961" s="2" t="str">
        <x:v>age_under15</x:v>
      </x:c>
      <x:c r="C3961" s="2" t="n">
        <x:v>25.1994729743901</x:v>
      </x:c>
      <x:c r="D3961" s="2" t="n">
        <x:v>2025</x:v>
      </x:c>
      <x:c r="E3961" s="2" t="str">
        <x:v>WB_age_under15</x:v>
      </x:c>
      <x:c r="F3961" s="2" t="str">
        <x:v>Population ages 0-14 (% of total population)</x:v>
      </x:c>
    </x:row>
    <x:row r="3962" ht="44" customHeight="1">
      <x:c r="A3962" s="2" t="str">
        <x:v>MAR</x:v>
      </x:c>
      <x:c r="B3962" s="2" t="str">
        <x:v>age_over65</x:v>
      </x:c>
      <x:c r="C3962" s="2" t="n">
        <x:v>8.45030687649506</x:v>
      </x:c>
      <x:c r="D3962" s="2" t="n">
        <x:v>2025</x:v>
      </x:c>
      <x:c r="E3962" s="2" t="str">
        <x:v>WB_age_over65</x:v>
      </x:c>
      <x:c r="F3962" s="2" t="str">
        <x:v>Population ages 65 and above (% of total population)</x:v>
      </x:c>
    </x:row>
    <x:row r="3963" ht="44" customHeight="1">
      <x:c r="A3963" s="2" t="str">
        <x:v>MAR</x:v>
      </x:c>
      <x:c r="B3963" s="2" t="str">
        <x:v>dependency_ratio</x:v>
      </x:c>
      <x:c r="C3963" s="2" t="n">
        <x:v>50.7154014206338</x:v>
      </x:c>
      <x:c r="D3963" s="2" t="n">
        <x:v>2025</x:v>
      </x:c>
      <x:c r="E3963" s="2" t="str">
        <x:v>WB_dependency_ratio</x:v>
      </x:c>
      <x:c r="F3963" s="2" t="str">
        <x:v>Age dependency ratio (% of working-age population)</x:v>
      </x:c>
    </x:row>
    <x:row r="3964" ht="44" customHeight="1">
      <x:c r="A3964" s="2" t="str">
        <x:v>MAR</x:v>
      </x:c>
      <x:c r="B3964" s="2" t="str">
        <x:v>net_migration</x:v>
      </x:c>
      <x:c r="C3964" s="2" t="n">
        <x:v>-56254</x:v>
      </x:c>
      <x:c r="D3964" s="2" t="n">
        <x:v>2025</x:v>
      </x:c>
      <x:c r="E3964" s="2" t="str">
        <x:v>WB_net_migration</x:v>
      </x:c>
      <x:c r="F3964" s="2" t="str">
        <x:v>Net migration</x:v>
      </x:c>
    </x:row>
    <x:row r="3965" ht="44" customHeight="1">
      <x:c r="A3965" s="2" t="str">
        <x:v>MAR</x:v>
      </x:c>
      <x:c r="B3965" s="2" t="str">
        <x:v>real_gdp</x:v>
      </x:c>
      <x:c r="C3965" s="2" t="n">
        <x:v>142223991027.897</x:v>
      </x:c>
      <x:c r="D3965" s="2" t="n">
        <x:v>2025</x:v>
      </x:c>
      <x:c r="E3965" s="2" t="str">
        <x:v>WB_real_gdp</x:v>
      </x:c>
      <x:c r="F3965" s="2" t="str">
        <x:v>GDP (constant 2015 US$)</x:v>
      </x:c>
    </x:row>
    <x:row r="3966" ht="44" customHeight="1">
      <x:c r="A3966" s="2" t="str">
        <x:v>MAR</x:v>
      </x:c>
      <x:c r="B3966" s="2" t="str">
        <x:v>gdp_growth</x:v>
      </x:c>
      <x:c r="C3966" s="2" t="n">
        <x:v>4.59524349182247</x:v>
      </x:c>
      <x:c r="D3966" s="2" t="n">
        <x:v>2025</x:v>
      </x:c>
      <x:c r="E3966" s="2" t="str">
        <x:v>WB_gdp_growth</x:v>
      </x:c>
      <x:c r="F3966" s="2" t="str">
        <x:v>GDP growth (annual %)</x:v>
      </x:c>
    </x:row>
    <x:row r="3967" ht="44" customHeight="1">
      <x:c r="A3967" s="2" t="str">
        <x:v>MAR</x:v>
      </x:c>
      <x:c r="B3967" s="2" t="str">
        <x:v>real_income</x:v>
      </x:c>
      <x:c r="C3967" s="2" t="n">
        <x:v>3643.8095703125</x:v>
      </x:c>
      <x:c r="D3967" s="2" t="n">
        <x:v>2025</x:v>
      </x:c>
      <x:c r="E3967" s="2" t="str">
        <x:v>WB_real_income</x:v>
      </x:c>
      <x:c r="F3967" s="2" t="str">
        <x:v>GDP per capita (constant 2015 US$)</x:v>
      </x:c>
    </x:row>
    <x:row r="3968" ht="44" customHeight="1">
      <x:c r="A3968" s="2" t="str">
        <x:v>MAR</x:v>
      </x:c>
      <x:c r="B3968" s="2" t="str">
        <x:v>agriculture_gdp</x:v>
      </x:c>
      <x:c r="C3968" s="2" t="n">
        <x:v>10.5468998514808</x:v>
      </x:c>
      <x:c r="D3968" s="2" t="n">
        <x:v>2025</x:v>
      </x:c>
      <x:c r="E3968" s="2" t="str">
        <x:v>WB_agriculture_gdp</x:v>
      </x:c>
      <x:c r="F3968" s="2" t="str">
        <x:v>Agriculture, forestry, and fishing, value added (% of GDP)</x:v>
      </x:c>
    </x:row>
    <x:row r="3969" ht="44" customHeight="1">
      <x:c r="A3969" s="2" t="str">
        <x:v>MAR</x:v>
      </x:c>
      <x:c r="B3969" s="2" t="str">
        <x:v>poverty</x:v>
      </x:c>
      <x:c r="C3969" s="2" t="n">
        <x:v>3.7</x:v>
      </x:c>
      <x:c r="D3969" s="2" t="n">
        <x:v>2013</x:v>
      </x:c>
      <x:c r="E3969" s="2" t="str">
        <x:v>WB_poverty</x:v>
      </x:c>
      <x:c r="F3969" s="2" t="str">
        <x:v>Poverty headcount ratio at $3.00 a day (2021 PPP) (% of population)</x:v>
      </x:c>
    </x:row>
    <x:row r="3970" ht="44" customHeight="1">
      <x:c r="A3970" s="2" t="str">
        <x:v>MAR</x:v>
      </x:c>
      <x:c r="B3970" s="2" t="str">
        <x:v>gini</x:v>
      </x:c>
      <x:c r="C3970" s="2" t="n">
        <x:v>39.5</x:v>
      </x:c>
      <x:c r="D3970" s="2" t="n">
        <x:v>2013</x:v>
      </x:c>
      <x:c r="E3970" s="2" t="str">
        <x:v>WB_gini</x:v>
      </x:c>
      <x:c r="F3970" s="2" t="str">
        <x:v>Gini index</x:v>
      </x:c>
    </x:row>
    <x:row r="3971" ht="44" customHeight="1">
      <x:c r="A3971" s="2" t="str">
        <x:v>MAR</x:v>
      </x:c>
      <x:c r="B3971" s="2" t="str">
        <x:v>unemployment</x:v>
      </x:c>
      <x:c r="C3971" s="2" t="n">
        <x:v>9</x:v>
      </x:c>
      <x:c r="D3971" s="2" t="n">
        <x:v>2025</x:v>
      </x:c>
      <x:c r="E3971" s="2" t="str">
        <x:v>WB_unemployment</x:v>
      </x:c>
      <x:c r="F3971" s="2" t="str">
        <x:v>Unemployment, total (% of total labor force) (modeled ILO estimate)</x:v>
      </x:c>
    </x:row>
    <x:row r="3972" ht="44" customHeight="1">
      <x:c r="A3972" s="2" t="str">
        <x:v>MAR</x:v>
      </x:c>
      <x:c r="B3972" s="2" t="str">
        <x:v>private_credit</x:v>
      </x:c>
      <x:c r="C3972" s="2" t="n">
        <x:v>77.7635533817471</x:v>
      </x:c>
      <x:c r="D3972" s="2" t="n">
        <x:v>2024</x:v>
      </x:c>
      <x:c r="E3972" s="2" t="str">
        <x:v>WB_private_credit</x:v>
      </x:c>
      <x:c r="F3972" s="2" t="str">
        <x:v>Domestic credit to private sector (% of GDP)</x:v>
      </x:c>
    </x:row>
    <x:row r="3973" ht="44" customHeight="1">
      <x:c r="A3973" s="2" t="str">
        <x:v>MAR</x:v>
      </x:c>
      <x:c r="B3973" s="2" t="str">
        <x:v>lending_rate</x:v>
      </x:c>
      <x:c r="C3973" s="2"/>
      <x:c r="D3973" s="2"/>
      <x:c r="E3973" s="2" t="str">
        <x:v>Missing</x:v>
      </x:c>
      <x:c r="F3973" s="2" t="str">
        <x:v>Lending interest rate (%)</x:v>
      </x:c>
    </x:row>
    <x:row r="3974" ht="44" customHeight="1">
      <x:c r="A3974" s="2" t="str">
        <x:v>MAR</x:v>
      </x:c>
      <x:c r="B3974" s="2" t="str">
        <x:v>real_interest</x:v>
      </x:c>
      <x:c r="C3974" s="2"/>
      <x:c r="D3974" s="2"/>
      <x:c r="E3974" s="2" t="str">
        <x:v>Missing</x:v>
      </x:c>
      <x:c r="F3974" s="2" t="str">
        <x:v>Real interest rate (%)</x:v>
      </x:c>
    </x:row>
    <x:row r="3975" ht="44" customHeight="1">
      <x:c r="A3975" s="2" t="str">
        <x:v>MAR</x:v>
      </x:c>
      <x:c r="B3975" s="2" t="str">
        <x:v>government_debt</x:v>
      </x:c>
      <x:c r="C3975" s="2" t="n">
        <x:v>51.2263215704569</x:v>
      </x:c>
      <x:c r="D3975" s="2" t="n">
        <x:v>2011</x:v>
      </x:c>
      <x:c r="E3975" s="2" t="str">
        <x:v>WB_government_debt</x:v>
      </x:c>
      <x:c r="F3975" s="2" t="str">
        <x:v>Central government debt, total (% of GDP)</x:v>
      </x:c>
    </x:row>
    <x:row r="3976" ht="44" customHeight="1">
      <x:c r="A3976" s="2" t="str">
        <x:v>MAR</x:v>
      </x:c>
      <x:c r="B3976" s="2" t="str">
        <x:v>electricity_access</x:v>
      </x:c>
      <x:c r="C3976" s="2" t="n">
        <x:v>100</x:v>
      </x:c>
      <x:c r="D3976" s="2" t="n">
        <x:v>2024</x:v>
      </x:c>
      <x:c r="E3976" s="2" t="str">
        <x:v>WB_electricity_access</x:v>
      </x:c>
      <x:c r="F3976" s="2" t="str">
        <x:v>Access to electricity (% of population)</x:v>
      </x:c>
    </x:row>
    <x:row r="3977" ht="44" customHeight="1">
      <x:c r="A3977" s="2" t="str">
        <x:v>MAR</x:v>
      </x:c>
      <x:c r="B3977" s="2" t="str">
        <x:v>irrigated_land</x:v>
      </x:c>
      <x:c r="C3977" s="2" t="n">
        <x:v>5.95875166026963</x:v>
      </x:c>
      <x:c r="D3977" s="2" t="n">
        <x:v>2019</x:v>
      </x:c>
      <x:c r="E3977" s="2" t="str">
        <x:v>WB_irrigated_land</x:v>
      </x:c>
      <x:c r="F3977" s="2" t="str">
        <x:v>Agricultural irrigated land (% of total agricultural land)</x:v>
      </x:c>
    </x:row>
    <x:row r="3978" ht="44" customHeight="1">
      <x:c r="A3978" s="2" t="str">
        <x:v>MAR</x:v>
      </x:c>
      <x:c r="B3978" s="2" t="str">
        <x:v>cereal_area</x:v>
      </x:c>
      <x:c r="C3978" s="2" t="n">
        <x:v>2584760</x:v>
      </x:c>
      <x:c r="D3978" s="2" t="n">
        <x:v>2024</x:v>
      </x:c>
      <x:c r="E3978" s="2" t="str">
        <x:v>WB_cereal_area</x:v>
      </x:c>
      <x:c r="F3978" s="2" t="str">
        <x:v>Land under cereal production (hectares)</x:v>
      </x:c>
    </x:row>
    <x:row r="3979" ht="44" customHeight="1">
      <x:c r="A3979" s="2" t="str">
        <x:v>MAR</x:v>
      </x:c>
      <x:c r="B3979" s="2" t="str">
        <x:v>undernourishment</x:v>
      </x:c>
      <x:c r="C3979" s="2" t="n">
        <x:v>7</x:v>
      </x:c>
      <x:c r="D3979" s="2" t="n">
        <x:v>2023</x:v>
      </x:c>
      <x:c r="E3979" s="2" t="str">
        <x:v>WB_undernourishment</x:v>
      </x:c>
      <x:c r="F3979" s="2" t="str">
        <x:v>Prevalence of undernourishment (% of population)</x:v>
      </x:c>
    </x:row>
    <x:row r="3980" ht="44" customHeight="1">
      <x:c r="A3980" s="2" t="str">
        <x:v>MAR</x:v>
      </x:c>
      <x:c r="B3980" s="2" t="str">
        <x:v>agriculture_employment</x:v>
      </x:c>
      <x:c r="C3980" s="2" t="n">
        <x:v>27.8922171629209</x:v>
      </x:c>
      <x:c r="D3980" s="2" t="n">
        <x:v>2025</x:v>
      </x:c>
      <x:c r="E3980" s="2" t="str">
        <x:v>WB_agriculture_employment</x:v>
      </x:c>
      <x:c r="F3980" s="2" t="str">
        <x:v>Employment in agriculture (% of total employment) (modeled ILO estimate)</x:v>
      </x:c>
    </x:row>
    <x:row r="3981" ht="44" customHeight="1">
      <x:c r="A3981" s="2" t="str">
        <x:v>MAR</x:v>
      </x:c>
      <x:c r="B3981" s="2" t="str">
        <x:v>water_withdrawal</x:v>
      </x:c>
      <x:c r="C3981" s="2" t="n">
        <x:v>36.4586206896552</x:v>
      </x:c>
      <x:c r="D3981" s="2" t="n">
        <x:v>2022</x:v>
      </x:c>
      <x:c r="E3981" s="2" t="str">
        <x:v>WB_water_withdrawal</x:v>
      </x:c>
      <x:c r="F3981" s="2" t="str">
        <x:v>Annual freshwater withdrawals, total (% of internal resources)</x:v>
      </x:c>
    </x:row>
    <x:row r="3982" ht="44" customHeight="1">
      <x:c r="A3982" s="2" t="str">
        <x:v>MOZ</x:v>
      </x:c>
      <x:c r="B3982" s="2" t="str">
        <x:v>population</x:v>
      </x:c>
      <x:c r="C3982" s="2" t="n">
        <x:v>35631653</x:v>
      </x:c>
      <x:c r="D3982" s="2" t="n">
        <x:v>2025</x:v>
      </x:c>
      <x:c r="E3982" s="2" t="str">
        <x:v>WB_population</x:v>
      </x:c>
      <x:c r="F3982" s="2" t="str">
        <x:v>Population, total</x:v>
      </x:c>
    </x:row>
    <x:row r="3983" ht="44" customHeight="1">
      <x:c r="A3983" s="2" t="str">
        <x:v>MOZ</x:v>
      </x:c>
      <x:c r="B3983" s="2" t="str">
        <x:v>income_ppp</x:v>
      </x:c>
      <x:c r="C3983" s="2" t="n">
        <x:v>1450.95955248858</x:v>
      </x:c>
      <x:c r="D3983" s="2" t="n">
        <x:v>2025</x:v>
      </x:c>
      <x:c r="E3983" s="2" t="str">
        <x:v>WB_income_ppp</x:v>
      </x:c>
      <x:c r="F3983" s="2" t="str">
        <x:v>GDP per capita, PPP (constant 2021 international $)</x:v>
      </x:c>
    </x:row>
    <x:row r="3984" ht="44" customHeight="1">
      <x:c r="A3984" s="2" t="str">
        <x:v>MOZ</x:v>
      </x:c>
      <x:c r="B3984" s="2" t="str">
        <x:v>urban</x:v>
      </x:c>
      <x:c r="C3984" s="2" t="n">
        <x:v>37.2077944927189</x:v>
      </x:c>
      <x:c r="D3984" s="2" t="n">
        <x:v>2025</x:v>
      </x:c>
      <x:c r="E3984" s="2" t="str">
        <x:v>WB_urban</x:v>
      </x:c>
      <x:c r="F3984" s="2" t="str">
        <x:v>Urban population (% of total population)</x:v>
      </x:c>
    </x:row>
    <x:row r="3985" ht="44" customHeight="1">
      <x:c r="A3985" s="2" t="str">
        <x:v>MOZ</x:v>
      </x:c>
      <x:c r="B3985" s="2" t="str">
        <x:v>inflation</x:v>
      </x:c>
      <x:c r="C3985" s="2" t="n">
        <x:v>4.3684695014615</x:v>
      </x:c>
      <x:c r="D3985" s="2" t="n">
        <x:v>2025</x:v>
      </x:c>
      <x:c r="E3985" s="2" t="str">
        <x:v>WB_inflation</x:v>
      </x:c>
      <x:c r="F3985" s="2" t="str">
        <x:v>Inflation, consumer prices (annual %)</x:v>
      </x:c>
    </x:row>
    <x:row r="3986" ht="44" customHeight="1">
      <x:c r="A3986" s="2" t="str">
        <x:v>MOZ</x:v>
      </x:c>
      <x:c r="B3986" s="2" t="str">
        <x:v>food_index</x:v>
      </x:c>
      <x:c r="C3986" s="2" t="n">
        <x:v>161.67</x:v>
      </x:c>
      <x:c r="D3986" s="2" t="n">
        <x:v>2022</x:v>
      </x:c>
      <x:c r="E3986" s="2" t="str">
        <x:v>WB_food_index</x:v>
      </x:c>
      <x:c r="F3986" s="2" t="str">
        <x:v>Food production index (2014-2016 = 100)</x:v>
      </x:c>
    </x:row>
    <x:row r="3987" ht="44" customHeight="1">
      <x:c r="A3987" s="2" t="str">
        <x:v>MOZ</x:v>
      </x:c>
      <x:c r="B3987" s="2" t="str">
        <x:v>food_import_share</x:v>
      </x:c>
      <x:c r="C3987" s="2" t="n">
        <x:v>19.5889066152119</x:v>
      </x:c>
      <x:c r="D3987" s="2" t="n">
        <x:v>2024</x:v>
      </x:c>
      <x:c r="E3987" s="2" t="str">
        <x:v>WB_food_import_share</x:v>
      </x:c>
      <x:c r="F3987" s="2" t="str">
        <x:v>Food imports (% of merchandise imports)</x:v>
      </x:c>
    </x:row>
    <x:row r="3988" ht="44" customHeight="1">
      <x:c r="A3988" s="2" t="str">
        <x:v>MOZ</x:v>
      </x:c>
      <x:c r="B3988" s="2" t="str">
        <x:v>food_export_share</x:v>
      </x:c>
      <x:c r="C3988" s="2" t="n">
        <x:v>12.3291966861245</x:v>
      </x:c>
      <x:c r="D3988" s="2" t="n">
        <x:v>2024</x:v>
      </x:c>
      <x:c r="E3988" s="2" t="str">
        <x:v>WB_food_export_share</x:v>
      </x:c>
      <x:c r="F3988" s="2" t="str">
        <x:v>Food exports (% of merchandise exports)</x:v>
      </x:c>
    </x:row>
    <x:row r="3989" ht="44" customHeight="1">
      <x:c r="A3989" s="2" t="str">
        <x:v>MOZ</x:v>
      </x:c>
      <x:c r="B3989" s="2" t="str">
        <x:v>imports_usd</x:v>
      </x:c>
      <x:c r="C3989" s="2" t="n">
        <x:v>9210000000</x:v>
      </x:c>
      <x:c r="D3989" s="2" t="n">
        <x:v>2025</x:v>
      </x:c>
      <x:c r="E3989" s="2" t="str">
        <x:v>WB_imports_usd</x:v>
      </x:c>
      <x:c r="F3989" s="2" t="str">
        <x:v>Merchandise imports (current US$)</x:v>
      </x:c>
    </x:row>
    <x:row r="3990" ht="44" customHeight="1">
      <x:c r="A3990" s="2" t="str">
        <x:v>MOZ</x:v>
      </x:c>
      <x:c r="B3990" s="2" t="str">
        <x:v>exports_usd</x:v>
      </x:c>
      <x:c r="C3990" s="2" t="n">
        <x:v>8100000000</x:v>
      </x:c>
      <x:c r="D3990" s="2" t="n">
        <x:v>2025</x:v>
      </x:c>
      <x:c r="E3990" s="2" t="str">
        <x:v>WB_exports_usd</x:v>
      </x:c>
      <x:c r="F3990" s="2" t="str">
        <x:v>Merchandise exports (current US$)</x:v>
      </x:c>
    </x:row>
    <x:row r="3991" ht="44" customHeight="1">
      <x:c r="A3991" s="2" t="str">
        <x:v>MOZ</x:v>
      </x:c>
      <x:c r="B3991" s="2" t="str">
        <x:v>cereal_yield</x:v>
      </x:c>
      <x:c r="C3991" s="2" t="n">
        <x:v>776.4</x:v>
      </x:c>
      <x:c r="D3991" s="2" t="n">
        <x:v>2024</x:v>
      </x:c>
      <x:c r="E3991" s="2" t="str">
        <x:v>WB_cereal_yield</x:v>
      </x:c>
      <x:c r="F3991" s="2" t="str">
        <x:v>Cereal yield (kg per hectare)</x:v>
      </x:c>
    </x:row>
    <x:row r="3992" ht="44" customHeight="1">
      <x:c r="A3992" s="2" t="str">
        <x:v>MOZ</x:v>
      </x:c>
      <x:c r="B3992" s="2" t="str">
        <x:v>water_stress</x:v>
      </x:c>
      <x:c r="C3992" s="2" t="n">
        <x:v>1.751486326</x:v>
      </x:c>
      <x:c r="D3992" s="2" t="n">
        <x:v>2022</x:v>
      </x:c>
      <x:c r="E3992" s="2" t="str">
        <x:v>WB_water_stress</x:v>
      </x:c>
      <x:c r="F3992" s="2" t="str">
        <x:v>Level of water stress: freshwater withdrawal as a proportion of available freshwater resources</x:v>
      </x:c>
    </x:row>
    <x:row r="3993" ht="44" customHeight="1">
      <x:c r="A3993" s="2" t="str">
        <x:v>MOZ</x:v>
      </x:c>
      <x:c r="B3993" s="2" t="str">
        <x:v>fertility</x:v>
      </x:c>
      <x:c r="C3993" s="2" t="n">
        <x:v>4.69</x:v>
      </x:c>
      <x:c r="D3993" s="2" t="n">
        <x:v>2024</x:v>
      </x:c>
      <x:c r="E3993" s="2" t="str">
        <x:v>WB_fertility</x:v>
      </x:c>
      <x:c r="F3993" s="2" t="str">
        <x:v>Fertility rate, total (births per woman)</x:v>
      </x:c>
    </x:row>
    <x:row r="3994" ht="44" customHeight="1">
      <x:c r="A3994" s="2" t="str">
        <x:v>MOZ</x:v>
      </x:c>
      <x:c r="B3994" s="2" t="str">
        <x:v>life_expectancy</x:v>
      </x:c>
      <x:c r="C3994" s="2" t="n">
        <x:v>63.797</x:v>
      </x:c>
      <x:c r="D3994" s="2" t="n">
        <x:v>2024</x:v>
      </x:c>
      <x:c r="E3994" s="2" t="str">
        <x:v>WB_life_expectancy</x:v>
      </x:c>
      <x:c r="F3994" s="2" t="str">
        <x:v>Life expectancy at birth, total (years)</x:v>
      </x:c>
    </x:row>
    <x:row r="3995" ht="44" customHeight="1">
      <x:c r="A3995" s="2" t="str">
        <x:v>MOZ</x:v>
      </x:c>
      <x:c r="B3995" s="2" t="str">
        <x:v>age_under15</x:v>
      </x:c>
      <x:c r="C3995" s="2" t="n">
        <x:v>44.1685262258251</x:v>
      </x:c>
      <x:c r="D3995" s="2" t="n">
        <x:v>2025</x:v>
      </x:c>
      <x:c r="E3995" s="2" t="str">
        <x:v>WB_age_under15</x:v>
      </x:c>
      <x:c r="F3995" s="2" t="str">
        <x:v>Population ages 0-14 (% of total population)</x:v>
      </x:c>
    </x:row>
    <x:row r="3996" ht="44" customHeight="1">
      <x:c r="A3996" s="2" t="str">
        <x:v>MOZ</x:v>
      </x:c>
      <x:c r="B3996" s="2" t="str">
        <x:v>age_over65</x:v>
      </x:c>
      <x:c r="C3996" s="2" t="n">
        <x:v>2.73388102426795</x:v>
      </x:c>
      <x:c r="D3996" s="2" t="n">
        <x:v>2025</x:v>
      </x:c>
      <x:c r="E3996" s="2" t="str">
        <x:v>WB_age_over65</x:v>
      </x:c>
      <x:c r="F3996" s="2" t="str">
        <x:v>Population ages 65 and above (% of total population)</x:v>
      </x:c>
    </x:row>
    <x:row r="3997" ht="44" customHeight="1">
      <x:c r="A3997" s="2" t="str">
        <x:v>MOZ</x:v>
      </x:c>
      <x:c r="B3997" s="2" t="str">
        <x:v>dependency_ratio</x:v>
      </x:c>
      <x:c r="C3997" s="2" t="n">
        <x:v>88.3324550531064</x:v>
      </x:c>
      <x:c r="D3997" s="2" t="n">
        <x:v>2025</x:v>
      </x:c>
      <x:c r="E3997" s="2" t="str">
        <x:v>WB_dependency_ratio</x:v>
      </x:c>
      <x:c r="F3997" s="2" t="str">
        <x:v>Age dependency ratio (% of working-age population)</x:v>
      </x:c>
    </x:row>
    <x:row r="3998" ht="44" customHeight="1">
      <x:c r="A3998" s="2" t="str">
        <x:v>MOZ</x:v>
      </x:c>
      <x:c r="B3998" s="2" t="str">
        <x:v>net_migration</x:v>
      </x:c>
      <x:c r="C3998" s="2" t="n">
        <x:v>-65573</x:v>
      </x:c>
      <x:c r="D3998" s="2" t="n">
        <x:v>2025</x:v>
      </x:c>
      <x:c r="E3998" s="2" t="str">
        <x:v>WB_net_migration</x:v>
      </x:c>
      <x:c r="F3998" s="2" t="str">
        <x:v>Net migration</x:v>
      </x:c>
    </x:row>
    <x:row r="3999" ht="44" customHeight="1">
      <x:c r="A3999" s="2" t="str">
        <x:v>MOZ</x:v>
      </x:c>
      <x:c r="B3999" s="2" t="str">
        <x:v>real_gdp</x:v>
      </x:c>
      <x:c r="C3999" s="2" t="n">
        <x:v>20868838925.8263</x:v>
      </x:c>
      <x:c r="D3999" s="2" t="n">
        <x:v>2025</x:v>
      </x:c>
      <x:c r="E3999" s="2" t="str">
        <x:v>WB_real_gdp</x:v>
      </x:c>
      <x:c r="F3999" s="2" t="str">
        <x:v>GDP (constant 2015 US$)</x:v>
      </x:c>
    </x:row>
    <x:row r="4000" ht="44" customHeight="1">
      <x:c r="A4000" s="2" t="str">
        <x:v>MOZ</x:v>
      </x:c>
      <x:c r="B4000" s="2" t="str">
        <x:v>gdp_growth</x:v>
      </x:c>
      <x:c r="C4000" s="2" t="n">
        <x:v>-0.523485382072337</x:v>
      </x:c>
      <x:c r="D4000" s="2" t="n">
        <x:v>2025</x:v>
      </x:c>
      <x:c r="E4000" s="2" t="str">
        <x:v>WB_gdp_growth</x:v>
      </x:c>
      <x:c r="F4000" s="2" t="str">
        <x:v>GDP growth (annual %)</x:v>
      </x:c>
    </x:row>
    <x:row r="4001" ht="44" customHeight="1">
      <x:c r="A4001" s="2" t="str">
        <x:v>MOZ</x:v>
      </x:c>
      <x:c r="B4001" s="2" t="str">
        <x:v>real_income</x:v>
      </x:c>
      <x:c r="C4001" s="2" t="n">
        <x:v>585.682593109736</x:v>
      </x:c>
      <x:c r="D4001" s="2" t="n">
        <x:v>2025</x:v>
      </x:c>
      <x:c r="E4001" s="2" t="str">
        <x:v>WB_real_income</x:v>
      </x:c>
      <x:c r="F4001" s="2" t="str">
        <x:v>GDP per capita (constant 2015 US$)</x:v>
      </x:c>
    </x:row>
    <x:row r="4002" ht="44" customHeight="1">
      <x:c r="A4002" s="2" t="str">
        <x:v>MOZ</x:v>
      </x:c>
      <x:c r="B4002" s="2" t="str">
        <x:v>agriculture_gdp</x:v>
      </x:c>
      <x:c r="C4002" s="2" t="n">
        <x:v>25.570048653436</x:v>
      </x:c>
      <x:c r="D4002" s="2" t="n">
        <x:v>2025</x:v>
      </x:c>
      <x:c r="E4002" s="2" t="str">
        <x:v>WB_agriculture_gdp</x:v>
      </x:c>
      <x:c r="F4002" s="2" t="str">
        <x:v>Agriculture, forestry, and fishing, value added (% of GDP)</x:v>
      </x:c>
    </x:row>
    <x:row r="4003" ht="44" customHeight="1">
      <x:c r="A4003" s="2" t="str">
        <x:v>MOZ</x:v>
      </x:c>
      <x:c r="B4003" s="2" t="str">
        <x:v>poverty</x:v>
      </x:c>
      <x:c r="C4003" s="2" t="n">
        <x:v>81.4</x:v>
      </x:c>
      <x:c r="D4003" s="2" t="n">
        <x:v>2022</x:v>
      </x:c>
      <x:c r="E4003" s="2" t="str">
        <x:v>WB_poverty</x:v>
      </x:c>
      <x:c r="F4003" s="2" t="str">
        <x:v>Poverty headcount ratio at $3.00 a day (2021 PPP) (% of population)</x:v>
      </x:c>
    </x:row>
    <x:row r="4004" ht="44" customHeight="1">
      <x:c r="A4004" s="2" t="str">
        <x:v>MOZ</x:v>
      </x:c>
      <x:c r="B4004" s="2" t="str">
        <x:v>gini</x:v>
      </x:c>
      <x:c r="C4004" s="2" t="n">
        <x:v>49.6</x:v>
      </x:c>
      <x:c r="D4004" s="2" t="n">
        <x:v>2022</x:v>
      </x:c>
      <x:c r="E4004" s="2" t="str">
        <x:v>WB_gini</x:v>
      </x:c>
      <x:c r="F4004" s="2" t="str">
        <x:v>Gini index</x:v>
      </x:c>
    </x:row>
    <x:row r="4005" ht="44" customHeight="1">
      <x:c r="A4005" s="2" t="str">
        <x:v>MOZ</x:v>
      </x:c>
      <x:c r="B4005" s="2" t="str">
        <x:v>unemployment</x:v>
      </x:c>
      <x:c r="C4005" s="2" t="n">
        <x:v>6.628</x:v>
      </x:c>
      <x:c r="D4005" s="2" t="n">
        <x:v>2025</x:v>
      </x:c>
      <x:c r="E4005" s="2" t="str">
        <x:v>WB_unemployment</x:v>
      </x:c>
      <x:c r="F4005" s="2" t="str">
        <x:v>Unemployment, total (% of total labor force) (modeled ILO estimate)</x:v>
      </x:c>
    </x:row>
    <x:row r="4006" ht="44" customHeight="1">
      <x:c r="A4006" s="2" t="str">
        <x:v>MOZ</x:v>
      </x:c>
      <x:c r="B4006" s="2" t="str">
        <x:v>private_credit</x:v>
      </x:c>
      <x:c r="C4006" s="2" t="n">
        <x:v>18.2672664919169</x:v>
      </x:c>
      <x:c r="D4006" s="2" t="n">
        <x:v>2025</x:v>
      </x:c>
      <x:c r="E4006" s="2" t="str">
        <x:v>WB_private_credit</x:v>
      </x:c>
      <x:c r="F4006" s="2" t="str">
        <x:v>Domestic credit to private sector (% of GDP)</x:v>
      </x:c>
    </x:row>
    <x:row r="4007" ht="44" customHeight="1">
      <x:c r="A4007" s="2" t="str">
        <x:v>MOZ</x:v>
      </x:c>
      <x:c r="B4007" s="2" t="str">
        <x:v>lending_rate</x:v>
      </x:c>
      <x:c r="C4007" s="2" t="n">
        <x:v>17.5333333333333</x:v>
      </x:c>
      <x:c r="D4007" s="2" t="n">
        <x:v>2025</x:v>
      </x:c>
      <x:c r="E4007" s="2" t="str">
        <x:v>WB_lending_rate</x:v>
      </x:c>
      <x:c r="F4007" s="2" t="str">
        <x:v>Lending interest rate (%)</x:v>
      </x:c>
    </x:row>
    <x:row r="4008" ht="44" customHeight="1">
      <x:c r="A4008" s="2" t="str">
        <x:v>MOZ</x:v>
      </x:c>
      <x:c r="B4008" s="2" t="str">
        <x:v>real_interest</x:v>
      </x:c>
      <x:c r="C4008" s="2" t="n">
        <x:v>18.749171887303</x:v>
      </x:c>
      <x:c r="D4008" s="2" t="n">
        <x:v>2025</x:v>
      </x:c>
      <x:c r="E4008" s="2" t="str">
        <x:v>WB_real_interest</x:v>
      </x:c>
      <x:c r="F4008" s="2" t="str">
        <x:v>Real interest rate (%)</x:v>
      </x:c>
    </x:row>
    <x:row r="4009" ht="44" customHeight="1">
      <x:c r="A4009" s="2" t="str">
        <x:v>MOZ</x:v>
      </x:c>
      <x:c r="B4009" s="2" t="str">
        <x:v>government_debt</x:v>
      </x:c>
      <x:c r="C4009" s="2" t="n">
        <x:v>71.7714670511801</x:v>
      </x:c>
      <x:c r="D4009" s="2" t="n">
        <x:v>2024</x:v>
      </x:c>
      <x:c r="E4009" s="2" t="str">
        <x:v>WB_government_debt</x:v>
      </x:c>
      <x:c r="F4009" s="2" t="str">
        <x:v>Central government debt, total (% of GDP)</x:v>
      </x:c>
    </x:row>
    <x:row r="4010" ht="44" customHeight="1">
      <x:c r="A4010" s="2" t="str">
        <x:v>MOZ</x:v>
      </x:c>
      <x:c r="B4010" s="2" t="str">
        <x:v>electricity_access</x:v>
      </x:c>
      <x:c r="C4010" s="2" t="n">
        <x:v>36.9</x:v>
      </x:c>
      <x:c r="D4010" s="2" t="n">
        <x:v>2024</x:v>
      </x:c>
      <x:c r="E4010" s="2" t="str">
        <x:v>WB_electricity_access</x:v>
      </x:c>
      <x:c r="F4010" s="2" t="str">
        <x:v>Access to electricity (% of population)</x:v>
      </x:c>
    </x:row>
    <x:row r="4011" ht="44" customHeight="1">
      <x:c r="A4011" s="2" t="str">
        <x:v>MOZ</x:v>
      </x:c>
      <x:c r="B4011" s="2" t="str">
        <x:v>irrigated_land</x:v>
      </x:c>
      <x:c r="C4011" s="2" t="n">
        <x:v>0.106340094096383</x:v>
      </x:c>
      <x:c r="D4011" s="2" t="n">
        <x:v>2001</x:v>
      </x:c>
      <x:c r="E4011" s="2" t="str">
        <x:v>WB_irrigated_land</x:v>
      </x:c>
      <x:c r="F4011" s="2" t="str">
        <x:v>Agricultural irrigated land (% of total agricultural land)</x:v>
      </x:c>
    </x:row>
    <x:row r="4012" ht="44" customHeight="1">
      <x:c r="A4012" s="2" t="str">
        <x:v>MOZ</x:v>
      </x:c>
      <x:c r="B4012" s="2" t="str">
        <x:v>cereal_area</x:v>
      </x:c>
      <x:c r="C4012" s="2" t="n">
        <x:v>3420998</x:v>
      </x:c>
      <x:c r="D4012" s="2" t="n">
        <x:v>2024</x:v>
      </x:c>
      <x:c r="E4012" s="2" t="str">
        <x:v>WB_cereal_area</x:v>
      </x:c>
      <x:c r="F4012" s="2" t="str">
        <x:v>Land under cereal production (hectares)</x:v>
      </x:c>
    </x:row>
    <x:row r="4013" ht="44" customHeight="1">
      <x:c r="A4013" s="2" t="str">
        <x:v>MOZ</x:v>
      </x:c>
      <x:c r="B4013" s="2" t="str">
        <x:v>undernourishment</x:v>
      </x:c>
      <x:c r="C4013" s="2" t="n">
        <x:v>21.8</x:v>
      </x:c>
      <x:c r="D4013" s="2" t="n">
        <x:v>2023</x:v>
      </x:c>
      <x:c r="E4013" s="2" t="str">
        <x:v>WB_undernourishment</x:v>
      </x:c>
      <x:c r="F4013" s="2" t="str">
        <x:v>Prevalence of undernourishment (% of population)</x:v>
      </x:c>
    </x:row>
    <x:row r="4014" ht="44" customHeight="1">
      <x:c r="A4014" s="2" t="str">
        <x:v>MOZ</x:v>
      </x:c>
      <x:c r="B4014" s="2" t="str">
        <x:v>agriculture_employment</x:v>
      </x:c>
      <x:c r="C4014" s="2" t="n">
        <x:v>73.0060812164895</x:v>
      </x:c>
      <x:c r="D4014" s="2" t="n">
        <x:v>2025</x:v>
      </x:c>
      <x:c r="E4014" s="2" t="str">
        <x:v>WB_agriculture_employment</x:v>
      </x:c>
      <x:c r="F4014" s="2" t="str">
        <x:v>Employment in agriculture (% of total employment) (modeled ILO estimate)</x:v>
      </x:c>
    </x:row>
    <x:row r="4015" ht="44" customHeight="1">
      <x:c r="A4015" s="2" t="str">
        <x:v>MOZ</x:v>
      </x:c>
      <x:c r="B4015" s="2" t="str">
        <x:v>water_withdrawal</x:v>
      </x:c>
      <x:c r="C4015" s="2" t="n">
        <x:v>1.46859421734796</x:v>
      </x:c>
      <x:c r="D4015" s="2" t="n">
        <x:v>2022</x:v>
      </x:c>
      <x:c r="E4015" s="2" t="str">
        <x:v>WB_water_withdrawal</x:v>
      </x:c>
      <x:c r="F4015" s="2" t="str">
        <x:v>Annual freshwater withdrawals, total (% of internal resources)</x:v>
      </x:c>
    </x:row>
    <x:row r="4016" ht="44" customHeight="1">
      <x:c r="A4016" s="2" t="str">
        <x:v>MMR</x:v>
      </x:c>
      <x:c r="B4016" s="2" t="str">
        <x:v>population</x:v>
      </x:c>
      <x:c r="C4016" s="2" t="n">
        <x:v>54850648</x:v>
      </x:c>
      <x:c r="D4016" s="2" t="n">
        <x:v>2025</x:v>
      </x:c>
      <x:c r="E4016" s="2" t="str">
        <x:v>WB_population</x:v>
      </x:c>
      <x:c r="F4016" s="2" t="str">
        <x:v>Population, total</x:v>
      </x:c>
    </x:row>
    <x:row r="4017" ht="44" customHeight="1">
      <x:c r="A4017" s="2" t="str">
        <x:v>MMR</x:v>
      </x:c>
      <x:c r="B4017" s="2" t="str">
        <x:v>income_ppp</x:v>
      </x:c>
      <x:c r="C4017" s="2" t="n">
        <x:v>5137.10048825615</x:v>
      </x:c>
      <x:c r="D4017" s="2" t="n">
        <x:v>2025</x:v>
      </x:c>
      <x:c r="E4017" s="2" t="str">
        <x:v>WB_income_ppp</x:v>
      </x:c>
      <x:c r="F4017" s="2" t="str">
        <x:v>GDP per capita, PPP (constant 2021 international $)</x:v>
      </x:c>
    </x:row>
    <x:row r="4018" ht="44" customHeight="1">
      <x:c r="A4018" s="2" t="str">
        <x:v>MMR</x:v>
      </x:c>
      <x:c r="B4018" s="2" t="str">
        <x:v>urban</x:v>
      </x:c>
      <x:c r="C4018" s="2" t="n">
        <x:v>30.5836915476767</x:v>
      </x:c>
      <x:c r="D4018" s="2" t="n">
        <x:v>2025</x:v>
      </x:c>
      <x:c r="E4018" s="2" t="str">
        <x:v>WB_urban</x:v>
      </x:c>
      <x:c r="F4018" s="2" t="str">
        <x:v>Urban population (% of total population)</x:v>
      </x:c>
    </x:row>
    <x:row r="4019" ht="44" customHeight="1">
      <x:c r="A4019" s="2" t="str">
        <x:v>MMR</x:v>
      </x:c>
      <x:c r="B4019" s="2" t="str">
        <x:v>inflation</x:v>
      </x:c>
      <x:c r="C4019" s="2" t="n">
        <x:v>8.82506696804558</x:v>
      </x:c>
      <x:c r="D4019" s="2" t="n">
        <x:v>2019</x:v>
      </x:c>
      <x:c r="E4019" s="2" t="str">
        <x:v>WB_inflation</x:v>
      </x:c>
      <x:c r="F4019" s="2" t="str">
        <x:v>Inflation, consumer prices (annual %)</x:v>
      </x:c>
    </x:row>
    <x:row r="4020" ht="44" customHeight="1">
      <x:c r="A4020" s="2" t="str">
        <x:v>MMR</x:v>
      </x:c>
      <x:c r="B4020" s="2" t="str">
        <x:v>food_index</x:v>
      </x:c>
      <x:c r="C4020" s="2" t="n">
        <x:v>76.96</x:v>
      </x:c>
      <x:c r="D4020" s="2" t="n">
        <x:v>2022</x:v>
      </x:c>
      <x:c r="E4020" s="2" t="str">
        <x:v>WB_food_index</x:v>
      </x:c>
      <x:c r="F4020" s="2" t="str">
        <x:v>Food production index (2014-2016 = 100)</x:v>
      </x:c>
    </x:row>
    <x:row r="4021" ht="44" customHeight="1">
      <x:c r="A4021" s="2" t="str">
        <x:v>MMR</x:v>
      </x:c>
      <x:c r="B4021" s="2" t="str">
        <x:v>food_import_share</x:v>
      </x:c>
      <x:c r="C4021" s="2" t="n">
        <x:v>9.73812772908674</x:v>
      </x:c>
      <x:c r="D4021" s="2" t="n">
        <x:v>2024</x:v>
      </x:c>
      <x:c r="E4021" s="2" t="str">
        <x:v>WB_food_import_share</x:v>
      </x:c>
      <x:c r="F4021" s="2" t="str">
        <x:v>Food imports (% of merchandise imports)</x:v>
      </x:c>
    </x:row>
    <x:row r="4022" ht="44" customHeight="1">
      <x:c r="A4022" s="2" t="str">
        <x:v>MMR</x:v>
      </x:c>
      <x:c r="B4022" s="2" t="str">
        <x:v>food_export_share</x:v>
      </x:c>
      <x:c r="C4022" s="2" t="n">
        <x:v>36.6707843923698</x:v>
      </x:c>
      <x:c r="D4022" s="2" t="n">
        <x:v>2024</x:v>
      </x:c>
      <x:c r="E4022" s="2" t="str">
        <x:v>WB_food_export_share</x:v>
      </x:c>
      <x:c r="F4022" s="2" t="str">
        <x:v>Food exports (% of merchandise exports)</x:v>
      </x:c>
    </x:row>
    <x:row r="4023" ht="44" customHeight="1">
      <x:c r="A4023" s="2" t="str">
        <x:v>MMR</x:v>
      </x:c>
      <x:c r="B4023" s="2" t="str">
        <x:v>imports_usd</x:v>
      </x:c>
      <x:c r="C4023" s="2" t="n">
        <x:v>14331000000</x:v>
      </x:c>
      <x:c r="D4023" s="2" t="n">
        <x:v>2025</x:v>
      </x:c>
      <x:c r="E4023" s="2" t="str">
        <x:v>WB_imports_usd</x:v>
      </x:c>
      <x:c r="F4023" s="2" t="str">
        <x:v>Merchandise imports (current US$)</x:v>
      </x:c>
    </x:row>
    <x:row r="4024" ht="44" customHeight="1">
      <x:c r="A4024" s="2" t="str">
        <x:v>MMR</x:v>
      </x:c>
      <x:c r="B4024" s="2" t="str">
        <x:v>exports_usd</x:v>
      </x:c>
      <x:c r="C4024" s="2" t="n">
        <x:v>15298000000</x:v>
      </x:c>
      <x:c r="D4024" s="2" t="n">
        <x:v>2025</x:v>
      </x:c>
      <x:c r="E4024" s="2" t="str">
        <x:v>WB_exports_usd</x:v>
      </x:c>
      <x:c r="F4024" s="2" t="str">
        <x:v>Merchandise exports (current US$)</x:v>
      </x:c>
    </x:row>
    <x:row r="4025" ht="44" customHeight="1">
      <x:c r="A4025" s="2" t="str">
        <x:v>MMR</x:v>
      </x:c>
      <x:c r="B4025" s="2" t="str">
        <x:v>cereal_yield</x:v>
      </x:c>
      <x:c r="C4025" s="2" t="n">
        <x:v>3779.1</x:v>
      </x:c>
      <x:c r="D4025" s="2" t="n">
        <x:v>2024</x:v>
      </x:c>
      <x:c r="E4025" s="2" t="str">
        <x:v>WB_cereal_yield</x:v>
      </x:c>
      <x:c r="F4025" s="2" t="str">
        <x:v>Cereal yield (kg per hectare)</x:v>
      </x:c>
    </x:row>
    <x:row r="4026" ht="44" customHeight="1">
      <x:c r="A4026" s="2" t="str">
        <x:v>MMR</x:v>
      </x:c>
      <x:c r="B4026" s="2" t="str">
        <x:v>water_stress</x:v>
      </x:c>
      <x:c r="C4026" s="2" t="n">
        <x:v>5.801501397</x:v>
      </x:c>
      <x:c r="D4026" s="2" t="n">
        <x:v>2022</x:v>
      </x:c>
      <x:c r="E4026" s="2" t="str">
        <x:v>WB_water_stress</x:v>
      </x:c>
      <x:c r="F4026" s="2" t="str">
        <x:v>Level of water stress: freshwater withdrawal as a proportion of available freshwater resources</x:v>
      </x:c>
    </x:row>
    <x:row r="4027" ht="44" customHeight="1">
      <x:c r="A4027" s="2" t="str">
        <x:v>MMR</x:v>
      </x:c>
      <x:c r="B4027" s="2" t="str">
        <x:v>fertility</x:v>
      </x:c>
      <x:c r="C4027" s="2" t="n">
        <x:v>2.098</x:v>
      </x:c>
      <x:c r="D4027" s="2" t="n">
        <x:v>2024</x:v>
      </x:c>
      <x:c r="E4027" s="2" t="str">
        <x:v>WB_fertility</x:v>
      </x:c>
      <x:c r="F4027" s="2" t="str">
        <x:v>Fertility rate, total (births per woman)</x:v>
      </x:c>
    </x:row>
    <x:row r="4028" ht="44" customHeight="1">
      <x:c r="A4028" s="2" t="str">
        <x:v>MMR</x:v>
      </x:c>
      <x:c r="B4028" s="2" t="str">
        <x:v>life_expectancy</x:v>
      </x:c>
      <x:c r="C4028" s="2" t="n">
        <x:v>67.095</x:v>
      </x:c>
      <x:c r="D4028" s="2" t="n">
        <x:v>2024</x:v>
      </x:c>
      <x:c r="E4028" s="2" t="str">
        <x:v>WB_life_expectancy</x:v>
      </x:c>
      <x:c r="F4028" s="2" t="str">
        <x:v>Life expectancy at birth, total (years)</x:v>
      </x:c>
    </x:row>
    <x:row r="4029" ht="44" customHeight="1">
      <x:c r="A4029" s="2" t="str">
        <x:v>MMR</x:v>
      </x:c>
      <x:c r="B4029" s="2" t="str">
        <x:v>age_under15</x:v>
      </x:c>
      <x:c r="C4029" s="2" t="n">
        <x:v>24.0786362268683</x:v>
      </x:c>
      <x:c r="D4029" s="2" t="n">
        <x:v>2025</x:v>
      </x:c>
      <x:c r="E4029" s="2" t="str">
        <x:v>WB_age_under15</x:v>
      </x:c>
      <x:c r="F4029" s="2" t="str">
        <x:v>Population ages 0-14 (% of total population)</x:v>
      </x:c>
    </x:row>
    <x:row r="4030" ht="44" customHeight="1">
      <x:c r="A4030" s="2" t="str">
        <x:v>MMR</x:v>
      </x:c>
      <x:c r="B4030" s="2" t="str">
        <x:v>age_over65</x:v>
      </x:c>
      <x:c r="C4030" s="2" t="n">
        <x:v>7.52222015681565</x:v>
      </x:c>
      <x:c r="D4030" s="2" t="n">
        <x:v>2025</x:v>
      </x:c>
      <x:c r="E4030" s="2" t="str">
        <x:v>WB_age_over65</x:v>
      </x:c>
      <x:c r="F4030" s="2" t="str">
        <x:v>Population ages 65 and above (% of total population)</x:v>
      </x:c>
    </x:row>
    <x:row r="4031" ht="44" customHeight="1">
      <x:c r="A4031" s="2" t="str">
        <x:v>MMR</x:v>
      </x:c>
      <x:c r="B4031" s="2" t="str">
        <x:v>dependency_ratio</x:v>
      </x:c>
      <x:c r="C4031" s="2" t="n">
        <x:v>46.2006615921466</x:v>
      </x:c>
      <x:c r="D4031" s="2" t="n">
        <x:v>2025</x:v>
      </x:c>
      <x:c r="E4031" s="2" t="str">
        <x:v>WB_dependency_ratio</x:v>
      </x:c>
      <x:c r="F4031" s="2" t="str">
        <x:v>Age dependency ratio (% of working-age population)</x:v>
      </x:c>
    </x:row>
    <x:row r="4032" ht="44" customHeight="1">
      <x:c r="A4032" s="2" t="str">
        <x:v>MMR</x:v>
      </x:c>
      <x:c r="B4032" s="2" t="str">
        <x:v>net_migration</x:v>
      </x:c>
      <x:c r="C4032" s="2" t="n">
        <x:v>-39661</x:v>
      </x:c>
      <x:c r="D4032" s="2" t="n">
        <x:v>2025</x:v>
      </x:c>
      <x:c r="E4032" s="2" t="str">
        <x:v>WB_net_migration</x:v>
      </x:c>
      <x:c r="F4032" s="2" t="str">
        <x:v>Net migration</x:v>
      </x:c>
    </x:row>
    <x:row r="4033" ht="44" customHeight="1">
      <x:c r="A4033" s="2" t="str">
        <x:v>MMR</x:v>
      </x:c>
      <x:c r="B4033" s="2" t="str">
        <x:v>real_gdp</x:v>
      </x:c>
      <x:c r="C4033" s="2" t="n">
        <x:v>61867003258.5508</x:v>
      </x:c>
      <x:c r="D4033" s="2" t="n">
        <x:v>2025</x:v>
      </x:c>
      <x:c r="E4033" s="2" t="str">
        <x:v>WB_real_gdp</x:v>
      </x:c>
      <x:c r="F4033" s="2" t="str">
        <x:v>GDP (constant 2015 US$)</x:v>
      </x:c>
    </x:row>
    <x:row r="4034" ht="44" customHeight="1">
      <x:c r="A4034" s="2" t="str">
        <x:v>MMR</x:v>
      </x:c>
      <x:c r="B4034" s="2" t="str">
        <x:v>gdp_growth</x:v>
      </x:c>
      <x:c r="C4034" s="2" t="n">
        <x:v>-2.01184475795665</x:v>
      </x:c>
      <x:c r="D4034" s="2" t="n">
        <x:v>2025</x:v>
      </x:c>
      <x:c r="E4034" s="2" t="str">
        <x:v>WB_gdp_growth</x:v>
      </x:c>
      <x:c r="F4034" s="2" t="str">
        <x:v>GDP growth (annual %)</x:v>
      </x:c>
    </x:row>
    <x:row r="4035" ht="44" customHeight="1">
      <x:c r="A4035" s="2" t="str">
        <x:v>MMR</x:v>
      </x:c>
      <x:c r="B4035" s="2" t="str">
        <x:v>real_income</x:v>
      </x:c>
      <x:c r="C4035" s="2" t="n">
        <x:v>1127.91745429427</x:v>
      </x:c>
      <x:c r="D4035" s="2" t="n">
        <x:v>2025</x:v>
      </x:c>
      <x:c r="E4035" s="2" t="str">
        <x:v>WB_real_income</x:v>
      </x:c>
      <x:c r="F4035" s="2" t="str">
        <x:v>GDP per capita (constant 2015 US$)</x:v>
      </x:c>
    </x:row>
    <x:row r="4036" ht="44" customHeight="1">
      <x:c r="A4036" s="2" t="str">
        <x:v>MMR</x:v>
      </x:c>
      <x:c r="B4036" s="2" t="str">
        <x:v>agriculture_gdp</x:v>
      </x:c>
      <x:c r="C4036" s="2" t="n">
        <x:v>25.3</x:v>
      </x:c>
      <x:c r="D4036" s="2" t="n">
        <x:v>2025</x:v>
      </x:c>
      <x:c r="E4036" s="2" t="str">
        <x:v>WB_agriculture_gdp</x:v>
      </x:c>
      <x:c r="F4036" s="2" t="str">
        <x:v>Agriculture, forestry, and fishing, value added (% of GDP)</x:v>
      </x:c>
    </x:row>
    <x:row r="4037" ht="44" customHeight="1">
      <x:c r="A4037" s="2" t="str">
        <x:v>MMR</x:v>
      </x:c>
      <x:c r="B4037" s="2" t="str">
        <x:v>poverty</x:v>
      </x:c>
      <x:c r="C4037" s="2" t="n">
        <x:v>10.3</x:v>
      </x:c>
      <x:c r="D4037" s="2" t="n">
        <x:v>2017</x:v>
      </x:c>
      <x:c r="E4037" s="2" t="str">
        <x:v>WB_poverty</x:v>
      </x:c>
      <x:c r="F4037" s="2" t="str">
        <x:v>Poverty headcount ratio at $3.00 a day (2021 PPP) (% of population)</x:v>
      </x:c>
    </x:row>
    <x:row r="4038" ht="44" customHeight="1">
      <x:c r="A4038" s="2" t="str">
        <x:v>MMR</x:v>
      </x:c>
      <x:c r="B4038" s="2" t="str">
        <x:v>gini</x:v>
      </x:c>
      <x:c r="C4038" s="2" t="n">
        <x:v>30.7</x:v>
      </x:c>
      <x:c r="D4038" s="2" t="n">
        <x:v>2017</x:v>
      </x:c>
      <x:c r="E4038" s="2" t="str">
        <x:v>WB_gini</x:v>
      </x:c>
      <x:c r="F4038" s="2" t="str">
        <x:v>Gini index</x:v>
      </x:c>
    </x:row>
    <x:row r="4039" ht="44" customHeight="1">
      <x:c r="A4039" s="2" t="str">
        <x:v>MMR</x:v>
      </x:c>
      <x:c r="B4039" s="2" t="str">
        <x:v>unemployment</x:v>
      </x:c>
      <x:c r="C4039" s="2" t="n">
        <x:v>3.047</x:v>
      </x:c>
      <x:c r="D4039" s="2" t="n">
        <x:v>2025</x:v>
      </x:c>
      <x:c r="E4039" s="2" t="str">
        <x:v>WB_unemployment</x:v>
      </x:c>
      <x:c r="F4039" s="2" t="str">
        <x:v>Unemployment, total (% of total labor force) (modeled ILO estimate)</x:v>
      </x:c>
    </x:row>
    <x:row r="4040" ht="44" customHeight="1">
      <x:c r="A4040" s="2" t="str">
        <x:v>MMR</x:v>
      </x:c>
      <x:c r="B4040" s="2" t="str">
        <x:v>private_credit</x:v>
      </x:c>
      <x:c r="C4040" s="2" t="n">
        <x:v>28.9828999467009</x:v>
      </x:c>
      <x:c r="D4040" s="2" t="n">
        <x:v>2020</x:v>
      </x:c>
      <x:c r="E4040" s="2" t="str">
        <x:v>WB_private_credit</x:v>
      </x:c>
      <x:c r="F4040" s="2" t="str">
        <x:v>Domestic credit to private sector (% of GDP)</x:v>
      </x:c>
    </x:row>
    <x:row r="4041" ht="44" customHeight="1">
      <x:c r="A4041" s="2" t="str">
        <x:v>MMR</x:v>
      </x:c>
      <x:c r="B4041" s="2" t="str">
        <x:v>lending_rate</x:v>
      </x:c>
      <x:c r="C4041" s="2" t="n">
        <x:v>14.8333333333333</x:v>
      </x:c>
      <x:c r="D4041" s="2" t="n">
        <x:v>2020</x:v>
      </x:c>
      <x:c r="E4041" s="2" t="str">
        <x:v>WB_lending_rate</x:v>
      </x:c>
      <x:c r="F4041" s="2" t="str">
        <x:v>Lending interest rate (%)</x:v>
      </x:c>
    </x:row>
    <x:row r="4042" ht="44" customHeight="1">
      <x:c r="A4042" s="2" t="str">
        <x:v>MMR</x:v>
      </x:c>
      <x:c r="B4042" s="2" t="str">
        <x:v>real_interest</x:v>
      </x:c>
      <x:c r="C4042" s="2" t="n">
        <x:v>9.00783472805541</x:v>
      </x:c>
      <x:c r="D4042" s="2" t="n">
        <x:v>2020</x:v>
      </x:c>
      <x:c r="E4042" s="2" t="str">
        <x:v>WB_real_interest</x:v>
      </x:c>
      <x:c r="F4042" s="2" t="str">
        <x:v>Real interest rate (%)</x:v>
      </x:c>
    </x:row>
    <x:row r="4043" ht="44" customHeight="1">
      <x:c r="A4043" s="2" t="str">
        <x:v>MMR</x:v>
      </x:c>
      <x:c r="B4043" s="2" t="str">
        <x:v>government_debt</x:v>
      </x:c>
      <x:c r="C4043" s="2"/>
      <x:c r="D4043" s="2"/>
      <x:c r="E4043" s="2" t="str">
        <x:v>Missing</x:v>
      </x:c>
      <x:c r="F4043" s="2" t="str">
        <x:v>Central government debt, total (% of GDP)</x:v>
      </x:c>
    </x:row>
    <x:row r="4044" ht="44" customHeight="1">
      <x:c r="A4044" s="2" t="str">
        <x:v>MMR</x:v>
      </x:c>
      <x:c r="B4044" s="2" t="str">
        <x:v>electricity_access</x:v>
      </x:c>
      <x:c r="C4044" s="2" t="n">
        <x:v>80.4</x:v>
      </x:c>
      <x:c r="D4044" s="2" t="n">
        <x:v>2024</x:v>
      </x:c>
      <x:c r="E4044" s="2" t="str">
        <x:v>WB_electricity_access</x:v>
      </x:c>
      <x:c r="F4044" s="2" t="str">
        <x:v>Access to electricity (% of population)</x:v>
      </x:c>
    </x:row>
    <x:row r="4045" ht="44" customHeight="1">
      <x:c r="A4045" s="2" t="str">
        <x:v>MMR</x:v>
      </x:c>
      <x:c r="B4045" s="2" t="str">
        <x:v>irrigated_land</x:v>
      </x:c>
      <x:c r="C4045" s="2" t="n">
        <x:v>13.2049306625578</x:v>
      </x:c>
      <x:c r="D4045" s="2" t="n">
        <x:v>2020</x:v>
      </x:c>
      <x:c r="E4045" s="2" t="str">
        <x:v>WB_irrigated_land</x:v>
      </x:c>
      <x:c r="F4045" s="2" t="str">
        <x:v>Agricultural irrigated land (% of total agricultural land)</x:v>
      </x:c>
    </x:row>
    <x:row r="4046" ht="44" customHeight="1">
      <x:c r="A4046" s="2" t="str">
        <x:v>MMR</x:v>
      </x:c>
      <x:c r="B4046" s="2" t="str">
        <x:v>cereal_area</x:v>
      </x:c>
      <x:c r="C4046" s="2" t="n">
        <x:v>7972532</x:v>
      </x:c>
      <x:c r="D4046" s="2" t="n">
        <x:v>2024</x:v>
      </x:c>
      <x:c r="E4046" s="2" t="str">
        <x:v>WB_cereal_area</x:v>
      </x:c>
      <x:c r="F4046" s="2" t="str">
        <x:v>Land under cereal production (hectares)</x:v>
      </x:c>
    </x:row>
    <x:row r="4047" ht="44" customHeight="1">
      <x:c r="A4047" s="2" t="str">
        <x:v>MMR</x:v>
      </x:c>
      <x:c r="B4047" s="2" t="str">
        <x:v>undernourishment</x:v>
      </x:c>
      <x:c r="C4047" s="2" t="n">
        <x:v>5.4</x:v>
      </x:c>
      <x:c r="D4047" s="2" t="n">
        <x:v>2023</x:v>
      </x:c>
      <x:c r="E4047" s="2" t="str">
        <x:v>WB_undernourishment</x:v>
      </x:c>
      <x:c r="F4047" s="2" t="str">
        <x:v>Prevalence of undernourishment (% of population)</x:v>
      </x:c>
    </x:row>
    <x:row r="4048" ht="44" customHeight="1">
      <x:c r="A4048" s="2" t="str">
        <x:v>MMR</x:v>
      </x:c>
      <x:c r="B4048" s="2" t="str">
        <x:v>agriculture_employment</x:v>
      </x:c>
      <x:c r="C4048" s="2" t="n">
        <x:v>44.9546145963458</x:v>
      </x:c>
      <x:c r="D4048" s="2" t="n">
        <x:v>2025</x:v>
      </x:c>
      <x:c r="E4048" s="2" t="str">
        <x:v>WB_agriculture_employment</x:v>
      </x:c>
      <x:c r="F4048" s="2" t="str">
        <x:v>Employment in agriculture (% of total employment) (modeled ILO estimate)</x:v>
      </x:c>
    </x:row>
    <x:row r="4049" ht="44" customHeight="1">
      <x:c r="A4049" s="2" t="str">
        <x:v>MMR</x:v>
      </x:c>
      <x:c r="B4049" s="2" t="str">
        <x:v>water_withdrawal</x:v>
      </x:c>
      <x:c r="C4049" s="2" t="n">
        <x:v>3.313821300359</x:v>
      </x:c>
      <x:c r="D4049" s="2" t="n">
        <x:v>2022</x:v>
      </x:c>
      <x:c r="E4049" s="2" t="str">
        <x:v>WB_water_withdrawal</x:v>
      </x:c>
      <x:c r="F4049" s="2" t="str">
        <x:v>Annual freshwater withdrawals, total (% of internal resources)</x:v>
      </x:c>
    </x:row>
    <x:row r="4050" ht="44" customHeight="1">
      <x:c r="A4050" s="2" t="str">
        <x:v>NAM</x:v>
      </x:c>
      <x:c r="B4050" s="2" t="str">
        <x:v>population</x:v>
      </x:c>
      <x:c r="C4050" s="2" t="n">
        <x:v>3092816</x:v>
      </x:c>
      <x:c r="D4050" s="2" t="n">
        <x:v>2025</x:v>
      </x:c>
      <x:c r="E4050" s="2" t="str">
        <x:v>WB_population</x:v>
      </x:c>
      <x:c r="F4050" s="2" t="str">
        <x:v>Population, total</x:v>
      </x:c>
    </x:row>
    <x:row r="4051" ht="44" customHeight="1">
      <x:c r="A4051" s="2" t="str">
        <x:v>NAM</x:v>
      </x:c>
      <x:c r="B4051" s="2" t="str">
        <x:v>income_ppp</x:v>
      </x:c>
      <x:c r="C4051" s="2" t="n">
        <x:v>10242.2840471219</x:v>
      </x:c>
      <x:c r="D4051" s="2" t="n">
        <x:v>2025</x:v>
      </x:c>
      <x:c r="E4051" s="2" t="str">
        <x:v>WB_income_ppp</x:v>
      </x:c>
      <x:c r="F4051" s="2" t="str">
        <x:v>GDP per capita, PPP (constant 2021 international $)</x:v>
      </x:c>
    </x:row>
    <x:row r="4052" ht="44" customHeight="1">
      <x:c r="A4052" s="2" t="str">
        <x:v>NAM</x:v>
      </x:c>
      <x:c r="B4052" s="2" t="str">
        <x:v>urban</x:v>
      </x:c>
      <x:c r="C4052" s="2" t="n">
        <x:v>50.8666984399326</x:v>
      </x:c>
      <x:c r="D4052" s="2" t="n">
        <x:v>2025</x:v>
      </x:c>
      <x:c r="E4052" s="2" t="str">
        <x:v>WB_urban</x:v>
      </x:c>
      <x:c r="F4052" s="2" t="str">
        <x:v>Urban population (% of total population)</x:v>
      </x:c>
    </x:row>
    <x:row r="4053" ht="44" customHeight="1">
      <x:c r="A4053" s="2" t="str">
        <x:v>NAM</x:v>
      </x:c>
      <x:c r="B4053" s="2" t="str">
        <x:v>inflation</x:v>
      </x:c>
      <x:c r="C4053" s="2" t="n">
        <x:v>3.51074539609587</x:v>
      </x:c>
      <x:c r="D4053" s="2" t="n">
        <x:v>2025</x:v>
      </x:c>
      <x:c r="E4053" s="2" t="str">
        <x:v>WB_inflation</x:v>
      </x:c>
      <x:c r="F4053" s="2" t="str">
        <x:v>Inflation, consumer prices (annual %)</x:v>
      </x:c>
    </x:row>
    <x:row r="4054" ht="44" customHeight="1">
      <x:c r="A4054" s="2" t="str">
        <x:v>NAM</x:v>
      </x:c>
      <x:c r="B4054" s="2" t="str">
        <x:v>food_index</x:v>
      </x:c>
      <x:c r="C4054" s="2" t="n">
        <x:v>100.53</x:v>
      </x:c>
      <x:c r="D4054" s="2" t="n">
        <x:v>2022</x:v>
      </x:c>
      <x:c r="E4054" s="2" t="str">
        <x:v>WB_food_index</x:v>
      </x:c>
      <x:c r="F4054" s="2" t="str">
        <x:v>Food production index (2014-2016 = 100)</x:v>
      </x:c>
    </x:row>
    <x:row r="4055" ht="44" customHeight="1">
      <x:c r="A4055" s="2" t="str">
        <x:v>NAM</x:v>
      </x:c>
      <x:c r="B4055" s="2" t="str">
        <x:v>food_import_share</x:v>
      </x:c>
      <x:c r="C4055" s="2" t="n">
        <x:v>13.2170234792541</x:v>
      </x:c>
      <x:c r="D4055" s="2" t="n">
        <x:v>2024</x:v>
      </x:c>
      <x:c r="E4055" s="2" t="str">
        <x:v>WB_food_import_share</x:v>
      </x:c>
      <x:c r="F4055" s="2" t="str">
        <x:v>Food imports (% of merchandise imports)</x:v>
      </x:c>
    </x:row>
    <x:row r="4056" ht="44" customHeight="1">
      <x:c r="A4056" s="2" t="str">
        <x:v>NAM</x:v>
      </x:c>
      <x:c r="B4056" s="2" t="str">
        <x:v>food_export_share</x:v>
      </x:c>
      <x:c r="C4056" s="2" t="n">
        <x:v>27.9549156495062</x:v>
      </x:c>
      <x:c r="D4056" s="2" t="n">
        <x:v>2024</x:v>
      </x:c>
      <x:c r="E4056" s="2" t="str">
        <x:v>WB_food_export_share</x:v>
      </x:c>
      <x:c r="F4056" s="2" t="str">
        <x:v>Food exports (% of merchandise exports)</x:v>
      </x:c>
    </x:row>
    <x:row r="4057" ht="44" customHeight="1">
      <x:c r="A4057" s="2" t="str">
        <x:v>NAM</x:v>
      </x:c>
      <x:c r="B4057" s="2" t="str">
        <x:v>imports_usd</x:v>
      </x:c>
      <x:c r="C4057" s="2" t="n">
        <x:v>8425000000</x:v>
      </x:c>
      <x:c r="D4057" s="2" t="n">
        <x:v>2025</x:v>
      </x:c>
      <x:c r="E4057" s="2" t="str">
        <x:v>WB_imports_usd</x:v>
      </x:c>
      <x:c r="F4057" s="2" t="str">
        <x:v>Merchandise imports (current US$)</x:v>
      </x:c>
    </x:row>
    <x:row r="4058" ht="44" customHeight="1">
      <x:c r="A4058" s="2" t="str">
        <x:v>NAM</x:v>
      </x:c>
      <x:c r="B4058" s="2" t="str">
        <x:v>exports_usd</x:v>
      </x:c>
      <x:c r="C4058" s="2" t="n">
        <x:v>7024000000</x:v>
      </x:c>
      <x:c r="D4058" s="2" t="n">
        <x:v>2025</x:v>
      </x:c>
      <x:c r="E4058" s="2" t="str">
        <x:v>WB_exports_usd</x:v>
      </x:c>
      <x:c r="F4058" s="2" t="str">
        <x:v>Merchandise exports (current US$)</x:v>
      </x:c>
    </x:row>
    <x:row r="4059" ht="44" customHeight="1">
      <x:c r="A4059" s="2" t="str">
        <x:v>NAM</x:v>
      </x:c>
      <x:c r="B4059" s="2" t="str">
        <x:v>cereal_yield</x:v>
      </x:c>
      <x:c r="C4059" s="2" t="n">
        <x:v>451.2</x:v>
      </x:c>
      <x:c r="D4059" s="2" t="n">
        <x:v>2023</x:v>
      </x:c>
      <x:c r="E4059" s="2" t="str">
        <x:v>WB_cereal_yield</x:v>
      </x:c>
      <x:c r="F4059" s="2" t="str">
        <x:v>Cereal yield (kg per hectare)</x:v>
      </x:c>
    </x:row>
    <x:row r="4060" ht="44" customHeight="1">
      <x:c r="A4060" s="2" t="str">
        <x:v>NAM</x:v>
      </x:c>
      <x:c r="B4060" s="2" t="str">
        <x:v>water_stress</x:v>
      </x:c>
      <x:c r="C4060" s="2" t="n">
        <x:v>0.314668328</x:v>
      </x:c>
      <x:c r="D4060" s="2" t="n">
        <x:v>2022</x:v>
      </x:c>
      <x:c r="E4060" s="2" t="str">
        <x:v>WB_water_stress</x:v>
      </x:c>
      <x:c r="F4060" s="2" t="str">
        <x:v>Level of water stress: freshwater withdrawal as a proportion of available freshwater resources</x:v>
      </x:c>
    </x:row>
    <x:row r="4061" ht="44" customHeight="1">
      <x:c r="A4061" s="2" t="str">
        <x:v>NAM</x:v>
      </x:c>
      <x:c r="B4061" s="2" t="str">
        <x:v>fertility</x:v>
      </x:c>
      <x:c r="C4061" s="2" t="n">
        <x:v>3.211</x:v>
      </x:c>
      <x:c r="D4061" s="2" t="n">
        <x:v>2024</x:v>
      </x:c>
      <x:c r="E4061" s="2" t="str">
        <x:v>WB_fertility</x:v>
      </x:c>
      <x:c r="F4061" s="2" t="str">
        <x:v>Fertility rate, total (births per woman)</x:v>
      </x:c>
    </x:row>
    <x:row r="4062" ht="44" customHeight="1">
      <x:c r="A4062" s="2" t="str">
        <x:v>NAM</x:v>
      </x:c>
      <x:c r="B4062" s="2" t="str">
        <x:v>life_expectancy</x:v>
      </x:c>
      <x:c r="C4062" s="2" t="n">
        <x:v>67.516</x:v>
      </x:c>
      <x:c r="D4062" s="2" t="n">
        <x:v>2024</x:v>
      </x:c>
      <x:c r="E4062" s="2" t="str">
        <x:v>WB_life_expectancy</x:v>
      </x:c>
      <x:c r="F4062" s="2" t="str">
        <x:v>Life expectancy at birth, total (years)</x:v>
      </x:c>
    </x:row>
    <x:row r="4063" ht="44" customHeight="1">
      <x:c r="A4063" s="2" t="str">
        <x:v>NAM</x:v>
      </x:c>
      <x:c r="B4063" s="2" t="str">
        <x:v>age_under15</x:v>
      </x:c>
      <x:c r="C4063" s="2" t="n">
        <x:v>36.6506386654365</x:v>
      </x:c>
      <x:c r="D4063" s="2" t="n">
        <x:v>2025</x:v>
      </x:c>
      <x:c r="E4063" s="2" t="str">
        <x:v>WB_age_under15</x:v>
      </x:c>
      <x:c r="F4063" s="2" t="str">
        <x:v>Population ages 0-14 (% of total population)</x:v>
      </x:c>
    </x:row>
    <x:row r="4064" ht="44" customHeight="1">
      <x:c r="A4064" s="2" t="str">
        <x:v>NAM</x:v>
      </x:c>
      <x:c r="B4064" s="2" t="str">
        <x:v>age_over65</x:v>
      </x:c>
      <x:c r="C4064" s="2" t="n">
        <x:v>3.79304753450455</x:v>
      </x:c>
      <x:c r="D4064" s="2" t="n">
        <x:v>2025</x:v>
      </x:c>
      <x:c r="E4064" s="2" t="str">
        <x:v>WB_age_over65</x:v>
      </x:c>
      <x:c r="F4064" s="2" t="str">
        <x:v>Population ages 65 and above (% of total population)</x:v>
      </x:c>
    </x:row>
    <x:row r="4065" ht="44" customHeight="1">
      <x:c r="A4065" s="2" t="str">
        <x:v>NAM</x:v>
      </x:c>
      <x:c r="B4065" s="2" t="str">
        <x:v>dependency_ratio</x:v>
      </x:c>
      <x:c r="C4065" s="2" t="n">
        <x:v>67.9083284336799</x:v>
      </x:c>
      <x:c r="D4065" s="2" t="n">
        <x:v>2025</x:v>
      </x:c>
      <x:c r="E4065" s="2" t="str">
        <x:v>WB_dependency_ratio</x:v>
      </x:c>
      <x:c r="F4065" s="2" t="str">
        <x:v>Age dependency ratio (% of working-age population)</x:v>
      </x:c>
    </x:row>
    <x:row r="4066" ht="44" customHeight="1">
      <x:c r="A4066" s="2" t="str">
        <x:v>NAM</x:v>
      </x:c>
      <x:c r="B4066" s="2" t="str">
        <x:v>net_migration</x:v>
      </x:c>
      <x:c r="C4066" s="2" t="n">
        <x:v>1866</x:v>
      </x:c>
      <x:c r="D4066" s="2" t="n">
        <x:v>2025</x:v>
      </x:c>
      <x:c r="E4066" s="2" t="str">
        <x:v>WB_net_migration</x:v>
      </x:c>
      <x:c r="F4066" s="2" t="str">
        <x:v>Net migration</x:v>
      </x:c>
    </x:row>
    <x:row r="4067" ht="44" customHeight="1">
      <x:c r="A4067" s="2" t="str">
        <x:v>NAM</x:v>
      </x:c>
      <x:c r="B4067" s="2" t="str">
        <x:v>real_gdp</x:v>
      </x:c>
      <x:c r="C4067" s="2" t="n">
        <x:v>12430110584.9587</x:v>
      </x:c>
      <x:c r="D4067" s="2" t="n">
        <x:v>2025</x:v>
      </x:c>
      <x:c r="E4067" s="2" t="str">
        <x:v>WB_real_gdp</x:v>
      </x:c>
      <x:c r="F4067" s="2" t="str">
        <x:v>GDP (constant 2015 US$)</x:v>
      </x:c>
    </x:row>
    <x:row r="4068" ht="44" customHeight="1">
      <x:c r="A4068" s="2" t="str">
        <x:v>NAM</x:v>
      </x:c>
      <x:c r="B4068" s="2" t="str">
        <x:v>gdp_growth</x:v>
      </x:c>
      <x:c r="C4068" s="2" t="n">
        <x:v>1.73018153842335</x:v>
      </x:c>
      <x:c r="D4068" s="2" t="n">
        <x:v>2025</x:v>
      </x:c>
      <x:c r="E4068" s="2" t="str">
        <x:v>WB_gdp_growth</x:v>
      </x:c>
      <x:c r="F4068" s="2" t="str">
        <x:v>GDP growth (annual %)</x:v>
      </x:c>
    </x:row>
    <x:row r="4069" ht="44" customHeight="1">
      <x:c r="A4069" s="2" t="str">
        <x:v>NAM</x:v>
      </x:c>
      <x:c r="B4069" s="2" t="str">
        <x:v>real_income</x:v>
      </x:c>
      <x:c r="C4069" s="2" t="n">
        <x:v>4019.02686256106</x:v>
      </x:c>
      <x:c r="D4069" s="2" t="n">
        <x:v>2025</x:v>
      </x:c>
      <x:c r="E4069" s="2" t="str">
        <x:v>WB_real_income</x:v>
      </x:c>
      <x:c r="F4069" s="2" t="str">
        <x:v>GDP per capita (constant 2015 US$)</x:v>
      </x:c>
    </x:row>
    <x:row r="4070" ht="44" customHeight="1">
      <x:c r="A4070" s="2" t="str">
        <x:v>NAM</x:v>
      </x:c>
      <x:c r="B4070" s="2" t="str">
        <x:v>agriculture_gdp</x:v>
      </x:c>
      <x:c r="C4070" s="2" t="n">
        <x:v>6.98913188447704</x:v>
      </x:c>
      <x:c r="D4070" s="2" t="n">
        <x:v>2025</x:v>
      </x:c>
      <x:c r="E4070" s="2" t="str">
        <x:v>WB_agriculture_gdp</x:v>
      </x:c>
      <x:c r="F4070" s="2" t="str">
        <x:v>Agriculture, forestry, and fishing, value added (% of GDP)</x:v>
      </x:c>
    </x:row>
    <x:row r="4071" ht="44" customHeight="1">
      <x:c r="A4071" s="2" t="str">
        <x:v>NAM</x:v>
      </x:c>
      <x:c r="B4071" s="2" t="str">
        <x:v>poverty</x:v>
      </x:c>
      <x:c r="C4071" s="2" t="n">
        <x:v>22.9</x:v>
      </x:c>
      <x:c r="D4071" s="2" t="n">
        <x:v>2015</x:v>
      </x:c>
      <x:c r="E4071" s="2" t="str">
        <x:v>WB_poverty</x:v>
      </x:c>
      <x:c r="F4071" s="2" t="str">
        <x:v>Poverty headcount ratio at $3.00 a day (2021 PPP) (% of population)</x:v>
      </x:c>
    </x:row>
    <x:row r="4072" ht="44" customHeight="1">
      <x:c r="A4072" s="2" t="str">
        <x:v>NAM</x:v>
      </x:c>
      <x:c r="B4072" s="2" t="str">
        <x:v>gini</x:v>
      </x:c>
      <x:c r="C4072" s="2" t="n">
        <x:v>59.1</x:v>
      </x:c>
      <x:c r="D4072" s="2" t="n">
        <x:v>2015</x:v>
      </x:c>
      <x:c r="E4072" s="2" t="str">
        <x:v>WB_gini</x:v>
      </x:c>
      <x:c r="F4072" s="2" t="str">
        <x:v>Gini index</x:v>
      </x:c>
    </x:row>
    <x:row r="4073" ht="44" customHeight="1">
      <x:c r="A4073" s="2" t="str">
        <x:v>NAM</x:v>
      </x:c>
      <x:c r="B4073" s="2" t="str">
        <x:v>unemployment</x:v>
      </x:c>
      <x:c r="C4073" s="2" t="n">
        <x:v>19.291</x:v>
      </x:c>
      <x:c r="D4073" s="2" t="n">
        <x:v>2025</x:v>
      </x:c>
      <x:c r="E4073" s="2" t="str">
        <x:v>WB_unemployment</x:v>
      </x:c>
      <x:c r="F4073" s="2" t="str">
        <x:v>Unemployment, total (% of total labor force) (modeled ILO estimate)</x:v>
      </x:c>
    </x:row>
    <x:row r="4074" ht="44" customHeight="1">
      <x:c r="A4074" s="2" t="str">
        <x:v>NAM</x:v>
      </x:c>
      <x:c r="B4074" s="2" t="str">
        <x:v>private_credit</x:v>
      </x:c>
      <x:c r="C4074" s="2" t="n">
        <x:v>55.0557660417046</x:v>
      </x:c>
      <x:c r="D4074" s="2" t="n">
        <x:v>2024</x:v>
      </x:c>
      <x:c r="E4074" s="2" t="str">
        <x:v>WB_private_credit</x:v>
      </x:c>
      <x:c r="F4074" s="2" t="str">
        <x:v>Domestic credit to private sector (% of GDP)</x:v>
      </x:c>
    </x:row>
    <x:row r="4075" ht="44" customHeight="1">
      <x:c r="A4075" s="2" t="str">
        <x:v>NAM</x:v>
      </x:c>
      <x:c r="B4075" s="2" t="str">
        <x:v>lending_rate</x:v>
      </x:c>
      <x:c r="C4075" s="2" t="n">
        <x:v>10.9566133964356</x:v>
      </x:c>
      <x:c r="D4075" s="2" t="n">
        <x:v>2024</x:v>
      </x:c>
      <x:c r="E4075" s="2" t="str">
        <x:v>WB_lending_rate</x:v>
      </x:c>
      <x:c r="F4075" s="2" t="str">
        <x:v>Lending interest rate (%)</x:v>
      </x:c>
    </x:row>
    <x:row r="4076" ht="44" customHeight="1">
      <x:c r="A4076" s="2" t="str">
        <x:v>NAM</x:v>
      </x:c>
      <x:c r="B4076" s="2" t="str">
        <x:v>real_interest</x:v>
      </x:c>
      <x:c r="C4076" s="2" t="n">
        <x:v>6.38032393153702</x:v>
      </x:c>
      <x:c r="D4076" s="2" t="n">
        <x:v>2024</x:v>
      </x:c>
      <x:c r="E4076" s="2" t="str">
        <x:v>WB_real_interest</x:v>
      </x:c>
      <x:c r="F4076" s="2" t="str">
        <x:v>Real interest rate (%)</x:v>
      </x:c>
    </x:row>
    <x:row r="4077" ht="44" customHeight="1">
      <x:c r="A4077" s="2" t="str">
        <x:v>NAM</x:v>
      </x:c>
      <x:c r="B4077" s="2" t="str">
        <x:v>government_debt</x:v>
      </x:c>
      <x:c r="C4077" s="2" t="n">
        <x:v>4.6675823557404</x:v>
      </x:c>
      <x:c r="D4077" s="2" t="n">
        <x:v>2015</x:v>
      </x:c>
      <x:c r="E4077" s="2" t="str">
        <x:v>WB_government_debt</x:v>
      </x:c>
      <x:c r="F4077" s="2" t="str">
        <x:v>Central government debt, total (% of GDP)</x:v>
      </x:c>
    </x:row>
    <x:row r="4078" ht="44" customHeight="1">
      <x:c r="A4078" s="2" t="str">
        <x:v>NAM</x:v>
      </x:c>
      <x:c r="B4078" s="2" t="str">
        <x:v>electricity_access</x:v>
      </x:c>
      <x:c r="C4078" s="2" t="n">
        <x:v>59.3</x:v>
      </x:c>
      <x:c r="D4078" s="2" t="n">
        <x:v>2024</x:v>
      </x:c>
      <x:c r="E4078" s="2" t="str">
        <x:v>WB_electricity_access</x:v>
      </x:c>
      <x:c r="F4078" s="2" t="str">
        <x:v>Access to electricity (% of population)</x:v>
      </x:c>
    </x:row>
    <x:row r="4079" ht="44" customHeight="1">
      <x:c r="A4079" s="2" t="str">
        <x:v>NAM</x:v>
      </x:c>
      <x:c r="B4079" s="2" t="str">
        <x:v>irrigated_land</x:v>
      </x:c>
      <x:c r="C4079" s="2"/>
      <x:c r="D4079" s="2"/>
      <x:c r="E4079" s="2" t="str">
        <x:v>Missing</x:v>
      </x:c>
      <x:c r="F4079" s="2" t="str">
        <x:v>Agricultural irrigated land (% of total agricultural land)</x:v>
      </x:c>
    </x:row>
    <x:row r="4080" ht="44" customHeight="1">
      <x:c r="A4080" s="2" t="str">
        <x:v>NAM</x:v>
      </x:c>
      <x:c r="B4080" s="2" t="str">
        <x:v>cereal_area</x:v>
      </x:c>
      <x:c r="C4080" s="2" t="n">
        <x:v>339089</x:v>
      </x:c>
      <x:c r="D4080" s="2" t="n">
        <x:v>2023</x:v>
      </x:c>
      <x:c r="E4080" s="2" t="str">
        <x:v>WB_cereal_area</x:v>
      </x:c>
      <x:c r="F4080" s="2" t="str">
        <x:v>Land under cereal production (hectares)</x:v>
      </x:c>
    </x:row>
    <x:row r="4081" ht="44" customHeight="1">
      <x:c r="A4081" s="2" t="str">
        <x:v>NAM</x:v>
      </x:c>
      <x:c r="B4081" s="2" t="str">
        <x:v>undernourishment</x:v>
      </x:c>
      <x:c r="C4081" s="2" t="n">
        <x:v>18.1</x:v>
      </x:c>
      <x:c r="D4081" s="2" t="n">
        <x:v>2023</x:v>
      </x:c>
      <x:c r="E4081" s="2" t="str">
        <x:v>WB_undernourishment</x:v>
      </x:c>
      <x:c r="F4081" s="2" t="str">
        <x:v>Prevalence of undernourishment (% of population)</x:v>
      </x:c>
    </x:row>
    <x:row r="4082" ht="44" customHeight="1">
      <x:c r="A4082" s="2" t="str">
        <x:v>NAM</x:v>
      </x:c>
      <x:c r="B4082" s="2" t="str">
        <x:v>agriculture_employment</x:v>
      </x:c>
      <x:c r="C4082" s="2" t="n">
        <x:v>22.3382039197562</x:v>
      </x:c>
      <x:c r="D4082" s="2" t="n">
        <x:v>2025</x:v>
      </x:c>
      <x:c r="E4082" s="2" t="str">
        <x:v>WB_agriculture_employment</x:v>
      </x:c>
      <x:c r="F4082" s="2" t="str">
        <x:v>Employment in agriculture (% of total employment) (modeled ILO estimate)</x:v>
      </x:c>
    </x:row>
    <x:row r="4083" ht="44" customHeight="1">
      <x:c r="A4083" s="2" t="str">
        <x:v>NAM</x:v>
      </x:c>
      <x:c r="B4083" s="2" t="str">
        <x:v>water_withdrawal</x:v>
      </x:c>
      <x:c r="C4083" s="2" t="n">
        <x:v>1.67142008116883</x:v>
      </x:c>
      <x:c r="D4083" s="2" t="n">
        <x:v>2022</x:v>
      </x:c>
      <x:c r="E4083" s="2" t="str">
        <x:v>WB_water_withdrawal</x:v>
      </x:c>
      <x:c r="F4083" s="2" t="str">
        <x:v>Annual freshwater withdrawals, total (% of internal resources)</x:v>
      </x:c>
    </x:row>
    <x:row r="4084" ht="44" customHeight="1">
      <x:c r="A4084" s="2" t="str">
        <x:v>NRU</x:v>
      </x:c>
      <x:c r="B4084" s="2" t="str">
        <x:v>population</x:v>
      </x:c>
      <x:c r="C4084" s="2" t="n">
        <x:v>12025</x:v>
      </x:c>
      <x:c r="D4084" s="2" t="n">
        <x:v>2025</x:v>
      </x:c>
      <x:c r="E4084" s="2" t="str">
        <x:v>WB_population</x:v>
      </x:c>
      <x:c r="F4084" s="2" t="str">
        <x:v>Population, total</x:v>
      </x:c>
    </x:row>
    <x:row r="4085" ht="44" customHeight="1">
      <x:c r="A4085" s="2" t="str">
        <x:v>NRU</x:v>
      </x:c>
      <x:c r="B4085" s="2" t="str">
        <x:v>income_ppp</x:v>
      </x:c>
      <x:c r="C4085" s="2" t="n">
        <x:v>12134.8920885013</x:v>
      </x:c>
      <x:c r="D4085" s="2" t="n">
        <x:v>2025</x:v>
      </x:c>
      <x:c r="E4085" s="2" t="str">
        <x:v>WB_income_ppp</x:v>
      </x:c>
      <x:c r="F4085" s="2" t="str">
        <x:v>GDP per capita, PPP (constant 2021 international $)</x:v>
      </x:c>
    </x:row>
    <x:row r="4086" ht="44" customHeight="1">
      <x:c r="A4086" s="2" t="str">
        <x:v>NRU</x:v>
      </x:c>
      <x:c r="B4086" s="2" t="str">
        <x:v>urban</x:v>
      </x:c>
      <x:c r="C4086" s="2" t="n">
        <x:v>100</x:v>
      </x:c>
      <x:c r="D4086" s="2" t="n">
        <x:v>2025</x:v>
      </x:c>
      <x:c r="E4086" s="2" t="str">
        <x:v>WB_urban</x:v>
      </x:c>
      <x:c r="F4086" s="2" t="str">
        <x:v>Urban population (% of total population)</x:v>
      </x:c>
    </x:row>
    <x:row r="4087" ht="44" customHeight="1">
      <x:c r="A4087" s="2" t="str">
        <x:v>NRU</x:v>
      </x:c>
      <x:c r="B4087" s="2" t="str">
        <x:v>inflation</x:v>
      </x:c>
      <x:c r="C4087" s="2" t="n">
        <x:v>-0.124750499001971</x:v>
      </x:c>
      <x:c r="D4087" s="2" t="n">
        <x:v>2012</x:v>
      </x:c>
      <x:c r="E4087" s="2" t="str">
        <x:v>WB_inflation</x:v>
      </x:c>
      <x:c r="F4087" s="2" t="str">
        <x:v>Inflation, consumer prices (annual %)</x:v>
      </x:c>
    </x:row>
    <x:row r="4088" ht="44" customHeight="1">
      <x:c r="A4088" s="2" t="str">
        <x:v>NRU</x:v>
      </x:c>
      <x:c r="B4088" s="2" t="str">
        <x:v>food_index</x:v>
      </x:c>
      <x:c r="C4088" s="2" t="n">
        <x:v>99.71</x:v>
      </x:c>
      <x:c r="D4088" s="2" t="n">
        <x:v>2022</x:v>
      </x:c>
      <x:c r="E4088" s="2" t="str">
        <x:v>WB_food_index</x:v>
      </x:c>
      <x:c r="F4088" s="2" t="str">
        <x:v>Food production index (2014-2016 = 100)</x:v>
      </x:c>
    </x:row>
    <x:row r="4089" ht="44" customHeight="1">
      <x:c r="A4089" s="2" t="str">
        <x:v>NRU</x:v>
      </x:c>
      <x:c r="B4089" s="2" t="str">
        <x:v>food_import_share</x:v>
      </x:c>
      <x:c r="C4089" s="2"/>
      <x:c r="D4089" s="2"/>
      <x:c r="E4089" s="2" t="str">
        <x:v>Missing</x:v>
      </x:c>
      <x:c r="F4089" s="2" t="str">
        <x:v>Food imports (% of merchandise imports)</x:v>
      </x:c>
    </x:row>
    <x:row r="4090" ht="44" customHeight="1">
      <x:c r="A4090" s="2" t="str">
        <x:v>NRU</x:v>
      </x:c>
      <x:c r="B4090" s="2" t="str">
        <x:v>food_export_share</x:v>
      </x:c>
      <x:c r="C4090" s="2"/>
      <x:c r="D4090" s="2"/>
      <x:c r="E4090" s="2" t="str">
        <x:v>Missing</x:v>
      </x:c>
      <x:c r="F4090" s="2" t="str">
        <x:v>Food exports (% of merchandise exports)</x:v>
      </x:c>
    </x:row>
    <x:row r="4091" ht="44" customHeight="1">
      <x:c r="A4091" s="2" t="str">
        <x:v>NRU</x:v>
      </x:c>
      <x:c r="B4091" s="2" t="str">
        <x:v>imports_usd</x:v>
      </x:c>
      <x:c r="C4091" s="2" t="n">
        <x:v>67000000</x:v>
      </x:c>
      <x:c r="D4091" s="2" t="n">
        <x:v>2025</x:v>
      </x:c>
      <x:c r="E4091" s="2" t="str">
        <x:v>WB_imports_usd</x:v>
      </x:c>
      <x:c r="F4091" s="2" t="str">
        <x:v>Merchandise imports (current US$)</x:v>
      </x:c>
    </x:row>
    <x:row r="4092" ht="44" customHeight="1">
      <x:c r="A4092" s="2" t="str">
        <x:v>NRU</x:v>
      </x:c>
      <x:c r="B4092" s="2" t="str">
        <x:v>exports_usd</x:v>
      </x:c>
      <x:c r="C4092" s="2" t="n">
        <x:v>31000000</x:v>
      </x:c>
      <x:c r="D4092" s="2" t="n">
        <x:v>2025</x:v>
      </x:c>
      <x:c r="E4092" s="2" t="str">
        <x:v>WB_exports_usd</x:v>
      </x:c>
      <x:c r="F4092" s="2" t="str">
        <x:v>Merchandise exports (current US$)</x:v>
      </x:c>
    </x:row>
    <x:row r="4093" ht="44" customHeight="1">
      <x:c r="A4093" s="2" t="str">
        <x:v>NRU</x:v>
      </x:c>
      <x:c r="B4093" s="2" t="str">
        <x:v>cereal_yield</x:v>
      </x:c>
      <x:c r="C4093" s="2"/>
      <x:c r="D4093" s="2"/>
      <x:c r="E4093" s="2" t="str">
        <x:v>Missing</x:v>
      </x:c>
      <x:c r="F4093" s="2" t="str">
        <x:v>Cereal yield (kg per hectare)</x:v>
      </x:c>
    </x:row>
    <x:row r="4094" ht="44" customHeight="1">
      <x:c r="A4094" s="2" t="str">
        <x:v>NRU</x:v>
      </x:c>
      <x:c r="B4094" s="2" t="str">
        <x:v>water_stress</x:v>
      </x:c>
      <x:c r="C4094" s="2"/>
      <x:c r="D4094" s="2"/>
      <x:c r="E4094" s="2" t="str">
        <x:v>Missing</x:v>
      </x:c>
      <x:c r="F4094" s="2" t="str">
        <x:v>Level of water stress: freshwater withdrawal as a proportion of available freshwater resources</x:v>
      </x:c>
    </x:row>
    <x:row r="4095" ht="44" customHeight="1">
      <x:c r="A4095" s="2" t="str">
        <x:v>NRU</x:v>
      </x:c>
      <x:c r="B4095" s="2" t="str">
        <x:v>fertility</x:v>
      </x:c>
      <x:c r="C4095" s="2" t="n">
        <x:v>3.29</x:v>
      </x:c>
      <x:c r="D4095" s="2" t="n">
        <x:v>2024</x:v>
      </x:c>
      <x:c r="E4095" s="2" t="str">
        <x:v>WB_fertility</x:v>
      </x:c>
      <x:c r="F4095" s="2" t="str">
        <x:v>Fertility rate, total (births per woman)</x:v>
      </x:c>
    </x:row>
    <x:row r="4096" ht="44" customHeight="1">
      <x:c r="A4096" s="2" t="str">
        <x:v>NRU</x:v>
      </x:c>
      <x:c r="B4096" s="2" t="str">
        <x:v>life_expectancy</x:v>
      </x:c>
      <x:c r="C4096" s="2" t="n">
        <x:v>62.279</x:v>
      </x:c>
      <x:c r="D4096" s="2" t="n">
        <x:v>2024</x:v>
      </x:c>
      <x:c r="E4096" s="2" t="str">
        <x:v>WB_life_expectancy</x:v>
      </x:c>
      <x:c r="F4096" s="2" t="str">
        <x:v>Life expectancy at birth, total (years)</x:v>
      </x:c>
    </x:row>
    <x:row r="4097" ht="44" customHeight="1">
      <x:c r="A4097" s="2" t="str">
        <x:v>NRU</x:v>
      </x:c>
      <x:c r="B4097" s="2" t="str">
        <x:v>age_under15</x:v>
      </x:c>
      <x:c r="C4097" s="2" t="n">
        <x:v>37.1543802752484</x:v>
      </x:c>
      <x:c r="D4097" s="2" t="n">
        <x:v>2025</x:v>
      </x:c>
      <x:c r="E4097" s="2" t="str">
        <x:v>WB_age_under15</x:v>
      </x:c>
      <x:c r="F4097" s="2" t="str">
        <x:v>Population ages 0-14 (% of total population)</x:v>
      </x:c>
    </x:row>
    <x:row r="4098" ht="44" customHeight="1">
      <x:c r="A4098" s="2" t="str">
        <x:v>NRU</x:v>
      </x:c>
      <x:c r="B4098" s="2" t="str">
        <x:v>age_over65</x:v>
      </x:c>
      <x:c r="C4098" s="2" t="n">
        <x:v>3.01026984324976</x:v>
      </x:c>
      <x:c r="D4098" s="2" t="n">
        <x:v>2025</x:v>
      </x:c>
      <x:c r="E4098" s="2" t="str">
        <x:v>WB_age_over65</x:v>
      </x:c>
      <x:c r="F4098" s="2" t="str">
        <x:v>Population ages 65 and above (% of total population)</x:v>
      </x:c>
    </x:row>
    <x:row r="4099" ht="44" customHeight="1">
      <x:c r="A4099" s="2" t="str">
        <x:v>NRU</x:v>
      </x:c>
      <x:c r="B4099" s="2" t="str">
        <x:v>dependency_ratio</x:v>
      </x:c>
      <x:c r="C4099" s="2" t="n">
        <x:v>67.1299513551077</x:v>
      </x:c>
      <x:c r="D4099" s="2" t="n">
        <x:v>2025</x:v>
      </x:c>
      <x:c r="E4099" s="2" t="str">
        <x:v>WB_dependency_ratio</x:v>
      </x:c>
      <x:c r="F4099" s="2" t="str">
        <x:v>Age dependency ratio (% of working-age population)</x:v>
      </x:c>
    </x:row>
    <x:row r="4100" ht="44" customHeight="1">
      <x:c r="A4100" s="2" t="str">
        <x:v>NRU</x:v>
      </x:c>
      <x:c r="B4100" s="2" t="str">
        <x:v>net_migration</x:v>
      </x:c>
      <x:c r="C4100" s="2" t="n">
        <x:v>-122</x:v>
      </x:c>
      <x:c r="D4100" s="2" t="n">
        <x:v>2025</x:v>
      </x:c>
      <x:c r="E4100" s="2" t="str">
        <x:v>WB_net_migration</x:v>
      </x:c>
      <x:c r="F4100" s="2" t="str">
        <x:v>Net migration</x:v>
      </x:c>
    </x:row>
    <x:row r="4101" ht="44" customHeight="1">
      <x:c r="A4101" s="2" t="str">
        <x:v>NRU</x:v>
      </x:c>
      <x:c r="B4101" s="2" t="str">
        <x:v>real_gdp</x:v>
      </x:c>
      <x:c r="C4101" s="2" t="n">
        <x:v>100293157.049327</x:v>
      </x:c>
      <x:c r="D4101" s="2" t="n">
        <x:v>2025</x:v>
      </x:c>
      <x:c r="E4101" s="2" t="str">
        <x:v>WB_real_gdp</x:v>
      </x:c>
      <x:c r="F4101" s="2" t="str">
        <x:v>GDP (constant 2015 US$)</x:v>
      </x:c>
    </x:row>
    <x:row r="4102" ht="44" customHeight="1">
      <x:c r="A4102" s="2" t="str">
        <x:v>NRU</x:v>
      </x:c>
      <x:c r="B4102" s="2" t="str">
        <x:v>gdp_growth</x:v>
      </x:c>
      <x:c r="C4102" s="2" t="n">
        <x:v>2.14285714285656</x:v>
      </x:c>
      <x:c r="D4102" s="2" t="n">
        <x:v>2025</x:v>
      </x:c>
      <x:c r="E4102" s="2" t="str">
        <x:v>WB_gdp_growth</x:v>
      </x:c>
      <x:c r="F4102" s="2" t="str">
        <x:v>GDP growth (annual %)</x:v>
      </x:c>
    </x:row>
    <x:row r="4103" ht="44" customHeight="1">
      <x:c r="A4103" s="2" t="str">
        <x:v>NRU</x:v>
      </x:c>
      <x:c r="B4103" s="2" t="str">
        <x:v>real_income</x:v>
      </x:c>
      <x:c r="C4103" s="2" t="n">
        <x:v>8340.38728060931</x:v>
      </x:c>
      <x:c r="D4103" s="2" t="n">
        <x:v>2025</x:v>
      </x:c>
      <x:c r="E4103" s="2" t="str">
        <x:v>WB_real_income</x:v>
      </x:c>
      <x:c r="F4103" s="2" t="str">
        <x:v>GDP per capita (constant 2015 US$)</x:v>
      </x:c>
    </x:row>
    <x:row r="4104" ht="44" customHeight="1">
      <x:c r="A4104" s="2" t="str">
        <x:v>NRU</x:v>
      </x:c>
      <x:c r="B4104" s="2" t="str">
        <x:v>agriculture_gdp</x:v>
      </x:c>
      <x:c r="C4104" s="2"/>
      <x:c r="D4104" s="2"/>
      <x:c r="E4104" s="2" t="str">
        <x:v>Missing</x:v>
      </x:c>
      <x:c r="F4104" s="2" t="str">
        <x:v>Agriculture, forestry, and fishing, value added (% of GDP)</x:v>
      </x:c>
    </x:row>
    <x:row r="4105" ht="44" customHeight="1">
      <x:c r="A4105" s="2" t="str">
        <x:v>NRU</x:v>
      </x:c>
      <x:c r="B4105" s="2" t="str">
        <x:v>poverty</x:v>
      </x:c>
      <x:c r="C4105" s="2" t="n">
        <x:v>9.7</x:v>
      </x:c>
      <x:c r="D4105" s="2" t="n">
        <x:v>2012</x:v>
      </x:c>
      <x:c r="E4105" s="2" t="str">
        <x:v>WB_poverty</x:v>
      </x:c>
      <x:c r="F4105" s="2" t="str">
        <x:v>Poverty headcount ratio at $3.00 a day (2021 PPP) (% of population)</x:v>
      </x:c>
    </x:row>
    <x:row r="4106" ht="44" customHeight="1">
      <x:c r="A4106" s="2" t="str">
        <x:v>NRU</x:v>
      </x:c>
      <x:c r="B4106" s="2" t="str">
        <x:v>gini</x:v>
      </x:c>
      <x:c r="C4106" s="2" t="n">
        <x:v>32.4</x:v>
      </x:c>
      <x:c r="D4106" s="2" t="n">
        <x:v>2012</x:v>
      </x:c>
      <x:c r="E4106" s="2" t="str">
        <x:v>WB_gini</x:v>
      </x:c>
      <x:c r="F4106" s="2" t="str">
        <x:v>Gini index</x:v>
      </x:c>
    </x:row>
    <x:row r="4107" ht="44" customHeight="1">
      <x:c r="A4107" s="2" t="str">
        <x:v>NRU</x:v>
      </x:c>
      <x:c r="B4107" s="2" t="str">
        <x:v>unemployment</x:v>
      </x:c>
      <x:c r="C4107" s="2"/>
      <x:c r="D4107" s="2"/>
      <x:c r="E4107" s="2" t="str">
        <x:v>Missing</x:v>
      </x:c>
      <x:c r="F4107" s="2" t="str">
        <x:v>Unemployment, total (% of total labor force) (modeled ILO estimate)</x:v>
      </x:c>
    </x:row>
    <x:row r="4108" ht="44" customHeight="1">
      <x:c r="A4108" s="2" t="str">
        <x:v>NRU</x:v>
      </x:c>
      <x:c r="B4108" s="2" t="str">
        <x:v>private_credit</x:v>
      </x:c>
      <x:c r="C4108" s="2"/>
      <x:c r="D4108" s="2"/>
      <x:c r="E4108" s="2" t="str">
        <x:v>Missing</x:v>
      </x:c>
      <x:c r="F4108" s="2" t="str">
        <x:v>Domestic credit to private sector (% of GDP)</x:v>
      </x:c>
    </x:row>
    <x:row r="4109" ht="44" customHeight="1">
      <x:c r="A4109" s="2" t="str">
        <x:v>NRU</x:v>
      </x:c>
      <x:c r="B4109" s="2" t="str">
        <x:v>lending_rate</x:v>
      </x:c>
      <x:c r="C4109" s="2"/>
      <x:c r="D4109" s="2"/>
      <x:c r="E4109" s="2" t="str">
        <x:v>Missing</x:v>
      </x:c>
      <x:c r="F4109" s="2" t="str">
        <x:v>Lending interest rate (%)</x:v>
      </x:c>
    </x:row>
    <x:row r="4110" ht="44" customHeight="1">
      <x:c r="A4110" s="2" t="str">
        <x:v>NRU</x:v>
      </x:c>
      <x:c r="B4110" s="2" t="str">
        <x:v>real_interest</x:v>
      </x:c>
      <x:c r="C4110" s="2"/>
      <x:c r="D4110" s="2"/>
      <x:c r="E4110" s="2" t="str">
        <x:v>Missing</x:v>
      </x:c>
      <x:c r="F4110" s="2" t="str">
        <x:v>Real interest rate (%)</x:v>
      </x:c>
    </x:row>
    <x:row r="4111" ht="44" customHeight="1">
      <x:c r="A4111" s="2" t="str">
        <x:v>NRU</x:v>
      </x:c>
      <x:c r="B4111" s="2" t="str">
        <x:v>government_debt</x:v>
      </x:c>
      <x:c r="C4111" s="2"/>
      <x:c r="D4111" s="2"/>
      <x:c r="E4111" s="2" t="str">
        <x:v>Missing</x:v>
      </x:c>
      <x:c r="F4111" s="2" t="str">
        <x:v>Central government debt, total (% of GDP)</x:v>
      </x:c>
    </x:row>
    <x:row r="4112" ht="44" customHeight="1">
      <x:c r="A4112" s="2" t="str">
        <x:v>NRU</x:v>
      </x:c>
      <x:c r="B4112" s="2" t="str">
        <x:v>electricity_access</x:v>
      </x:c>
      <x:c r="C4112" s="2" t="n">
        <x:v>100</x:v>
      </x:c>
      <x:c r="D4112" s="2" t="n">
        <x:v>2024</x:v>
      </x:c>
      <x:c r="E4112" s="2" t="str">
        <x:v>WB_electricity_access</x:v>
      </x:c>
      <x:c r="F4112" s="2" t="str">
        <x:v>Access to electricity (% of population)</x:v>
      </x:c>
    </x:row>
    <x:row r="4113" ht="44" customHeight="1">
      <x:c r="A4113" s="2" t="str">
        <x:v>NRU</x:v>
      </x:c>
      <x:c r="B4113" s="2" t="str">
        <x:v>irrigated_land</x:v>
      </x:c>
      <x:c r="C4113" s="2"/>
      <x:c r="D4113" s="2"/>
      <x:c r="E4113" s="2" t="str">
        <x:v>Missing</x:v>
      </x:c>
      <x:c r="F4113" s="2" t="str">
        <x:v>Agricultural irrigated land (% of total agricultural land)</x:v>
      </x:c>
    </x:row>
    <x:row r="4114" ht="44" customHeight="1">
      <x:c r="A4114" s="2" t="str">
        <x:v>NRU</x:v>
      </x:c>
      <x:c r="B4114" s="2" t="str">
        <x:v>cereal_area</x:v>
      </x:c>
      <x:c r="C4114" s="2" t="n">
        <x:v>0</x:v>
      </x:c>
      <x:c r="D4114" s="2" t="n">
        <x:v>2020</x:v>
      </x:c>
      <x:c r="E4114" s="2" t="str">
        <x:v>WB_cereal_area</x:v>
      </x:c>
      <x:c r="F4114" s="2" t="str">
        <x:v>Land under cereal production (hectares)</x:v>
      </x:c>
    </x:row>
    <x:row r="4115" ht="44" customHeight="1">
      <x:c r="A4115" s="2" t="str">
        <x:v>NRU</x:v>
      </x:c>
      <x:c r="B4115" s="2" t="str">
        <x:v>undernourishment</x:v>
      </x:c>
      <x:c r="C4115" s="2"/>
      <x:c r="D4115" s="2"/>
      <x:c r="E4115" s="2" t="str">
        <x:v>Missing</x:v>
      </x:c>
      <x:c r="F4115" s="2" t="str">
        <x:v>Prevalence of undernourishment (% of population)</x:v>
      </x:c>
    </x:row>
    <x:row r="4116" ht="44" customHeight="1">
      <x:c r="A4116" s="2" t="str">
        <x:v>NRU</x:v>
      </x:c>
      <x:c r="B4116" s="2" t="str">
        <x:v>agriculture_employment</x:v>
      </x:c>
      <x:c r="C4116" s="2"/>
      <x:c r="D4116" s="2"/>
      <x:c r="E4116" s="2" t="str">
        <x:v>Missing</x:v>
      </x:c>
      <x:c r="F4116" s="2" t="str">
        <x:v>Employment in agriculture (% of total employment) (modeled ILO estimate)</x:v>
      </x:c>
    </x:row>
    <x:row r="4117" ht="44" customHeight="1">
      <x:c r="A4117" s="2" t="str">
        <x:v>NRU</x:v>
      </x:c>
      <x:c r="B4117" s="2" t="str">
        <x:v>water_withdrawal</x:v>
      </x:c>
      <x:c r="C4117" s="2"/>
      <x:c r="D4117" s="2"/>
      <x:c r="E4117" s="2" t="str">
        <x:v>Missing</x:v>
      </x:c>
      <x:c r="F4117" s="2" t="str">
        <x:v>Annual freshwater withdrawals, total (% of internal resources)</x:v>
      </x:c>
    </x:row>
    <x:row r="4118" ht="44" customHeight="1">
      <x:c r="A4118" s="2" t="str">
        <x:v>NPL</x:v>
      </x:c>
      <x:c r="B4118" s="2" t="str">
        <x:v>population</x:v>
      </x:c>
      <x:c r="C4118" s="2" t="n">
        <x:v>29618118</x:v>
      </x:c>
      <x:c r="D4118" s="2" t="n">
        <x:v>2025</x:v>
      </x:c>
      <x:c r="E4118" s="2" t="str">
        <x:v>WB_population</x:v>
      </x:c>
      <x:c r="F4118" s="2" t="str">
        <x:v>Population, total</x:v>
      </x:c>
    </x:row>
    <x:row r="4119" ht="44" customHeight="1">
      <x:c r="A4119" s="2" t="str">
        <x:v>NPL</x:v>
      </x:c>
      <x:c r="B4119" s="2" t="str">
        <x:v>income_ppp</x:v>
      </x:c>
      <x:c r="C4119" s="2" t="n">
        <x:v>5276.92387725538</x:v>
      </x:c>
      <x:c r="D4119" s="2" t="n">
        <x:v>2025</x:v>
      </x:c>
      <x:c r="E4119" s="2" t="str">
        <x:v>WB_income_ppp</x:v>
      </x:c>
      <x:c r="F4119" s="2" t="str">
        <x:v>GDP per capita, PPP (constant 2021 international $)</x:v>
      </x:c>
    </x:row>
    <x:row r="4120" ht="44" customHeight="1">
      <x:c r="A4120" s="2" t="str">
        <x:v>NPL</x:v>
      </x:c>
      <x:c r="B4120" s="2" t="str">
        <x:v>urban</x:v>
      </x:c>
      <x:c r="C4120" s="2" t="n">
        <x:v>66.999424884859</x:v>
      </x:c>
      <x:c r="D4120" s="2" t="n">
        <x:v>2025</x:v>
      </x:c>
      <x:c r="E4120" s="2" t="str">
        <x:v>WB_urban</x:v>
      </x:c>
      <x:c r="F4120" s="2" t="str">
        <x:v>Urban population (% of total population)</x:v>
      </x:c>
    </x:row>
    <x:row r="4121" ht="44" customHeight="1">
      <x:c r="A4121" s="2" t="str">
        <x:v>NPL</x:v>
      </x:c>
      <x:c r="B4121" s="2" t="str">
        <x:v>inflation</x:v>
      </x:c>
      <x:c r="C4121" s="2" t="n">
        <x:v>2.65334269811436</x:v>
      </x:c>
      <x:c r="D4121" s="2" t="n">
        <x:v>2025</x:v>
      </x:c>
      <x:c r="E4121" s="2" t="str">
        <x:v>WB_inflation</x:v>
      </x:c>
      <x:c r="F4121" s="2" t="str">
        <x:v>Inflation, consumer prices (annual %)</x:v>
      </x:c>
    </x:row>
    <x:row r="4122" ht="44" customHeight="1">
      <x:c r="A4122" s="2" t="str">
        <x:v>NPL</x:v>
      </x:c>
      <x:c r="B4122" s="2" t="str">
        <x:v>food_index</x:v>
      </x:c>
      <x:c r="C4122" s="2" t="n">
        <x:v>123.18</x:v>
      </x:c>
      <x:c r="D4122" s="2" t="n">
        <x:v>2022</x:v>
      </x:c>
      <x:c r="E4122" s="2" t="str">
        <x:v>WB_food_index</x:v>
      </x:c>
      <x:c r="F4122" s="2" t="str">
        <x:v>Food production index (2014-2016 = 100)</x:v>
      </x:c>
    </x:row>
    <x:row r="4123" ht="44" customHeight="1">
      <x:c r="A4123" s="2" t="str">
        <x:v>NPL</x:v>
      </x:c>
      <x:c r="B4123" s="2" t="str">
        <x:v>food_import_share</x:v>
      </x:c>
      <x:c r="C4123" s="2" t="n">
        <x:v>17.9619548542567</x:v>
      </x:c>
      <x:c r="D4123" s="2" t="n">
        <x:v>2022</x:v>
      </x:c>
      <x:c r="E4123" s="2" t="str">
        <x:v>WB_food_import_share</x:v>
      </x:c>
      <x:c r="F4123" s="2" t="str">
        <x:v>Food imports (% of merchandise imports)</x:v>
      </x:c>
    </x:row>
    <x:row r="4124" ht="44" customHeight="1">
      <x:c r="A4124" s="2" t="str">
        <x:v>NPL</x:v>
      </x:c>
      <x:c r="B4124" s="2" t="str">
        <x:v>food_export_share</x:v>
      </x:c>
      <x:c r="C4124" s="2" t="n">
        <x:v>49.3877614636353</x:v>
      </x:c>
      <x:c r="D4124" s="2" t="n">
        <x:v>2022</x:v>
      </x:c>
      <x:c r="E4124" s="2" t="str">
        <x:v>WB_food_export_share</x:v>
      </x:c>
      <x:c r="F4124" s="2" t="str">
        <x:v>Food exports (% of merchandise exports)</x:v>
      </x:c>
    </x:row>
    <x:row r="4125" ht="44" customHeight="1">
      <x:c r="A4125" s="2" t="str">
        <x:v>NPL</x:v>
      </x:c>
      <x:c r="B4125" s="2" t="str">
        <x:v>imports_usd</x:v>
      </x:c>
      <x:c r="C4125" s="2" t="n">
        <x:v>14397000000</x:v>
      </x:c>
      <x:c r="D4125" s="2" t="n">
        <x:v>2025</x:v>
      </x:c>
      <x:c r="E4125" s="2" t="str">
        <x:v>WB_imports_usd</x:v>
      </x:c>
      <x:c r="F4125" s="2" t="str">
        <x:v>Merchandise imports (current US$)</x:v>
      </x:c>
    </x:row>
    <x:row r="4126" ht="44" customHeight="1">
      <x:c r="A4126" s="2" t="str">
        <x:v>NPL</x:v>
      </x:c>
      <x:c r="B4126" s="2" t="str">
        <x:v>exports_usd</x:v>
      </x:c>
      <x:c r="C4126" s="2" t="n">
        <x:v>2311000000</x:v>
      </x:c>
      <x:c r="D4126" s="2" t="n">
        <x:v>2025</x:v>
      </x:c>
      <x:c r="E4126" s="2" t="str">
        <x:v>WB_exports_usd</x:v>
      </x:c>
      <x:c r="F4126" s="2" t="str">
        <x:v>Merchandise exports (current US$)</x:v>
      </x:c>
    </x:row>
    <x:row r="4127" ht="44" customHeight="1">
      <x:c r="A4127" s="2" t="str">
        <x:v>NPL</x:v>
      </x:c>
      <x:c r="B4127" s="2" t="str">
        <x:v>cereal_yield</x:v>
      </x:c>
      <x:c r="C4127" s="2" t="n">
        <x:v>3344.3</x:v>
      </x:c>
      <x:c r="D4127" s="2" t="n">
        <x:v>2023</x:v>
      </x:c>
      <x:c r="E4127" s="2" t="str">
        <x:v>WB_cereal_yield</x:v>
      </x:c>
      <x:c r="F4127" s="2" t="str">
        <x:v>Cereal yield (kg per hectare)</x:v>
      </x:c>
    </x:row>
    <x:row r="4128" ht="44" customHeight="1">
      <x:c r="A4128" s="2" t="str">
        <x:v>NPL</x:v>
      </x:c>
      <x:c r="B4128" s="2" t="str">
        <x:v>water_stress</x:v>
      </x:c>
      <x:c r="C4128" s="2" t="n">
        <x:v>8.311832662</x:v>
      </x:c>
      <x:c r="D4128" s="2" t="n">
        <x:v>2022</x:v>
      </x:c>
      <x:c r="E4128" s="2" t="str">
        <x:v>WB_water_stress</x:v>
      </x:c>
      <x:c r="F4128" s="2" t="str">
        <x:v>Level of water stress: freshwater withdrawal as a proportion of available freshwater resources</x:v>
      </x:c>
    </x:row>
    <x:row r="4129" ht="44" customHeight="1">
      <x:c r="A4129" s="2" t="str">
        <x:v>NPL</x:v>
      </x:c>
      <x:c r="B4129" s="2" t="str">
        <x:v>fertility</x:v>
      </x:c>
      <x:c r="C4129" s="2" t="n">
        <x:v>1.961</x:v>
      </x:c>
      <x:c r="D4129" s="2" t="n">
        <x:v>2024</x:v>
      </x:c>
      <x:c r="E4129" s="2" t="str">
        <x:v>WB_fertility</x:v>
      </x:c>
      <x:c r="F4129" s="2" t="str">
        <x:v>Fertility rate, total (births per woman)</x:v>
      </x:c>
    </x:row>
    <x:row r="4130" ht="44" customHeight="1">
      <x:c r="A4130" s="2" t="str">
        <x:v>NPL</x:v>
      </x:c>
      <x:c r="B4130" s="2" t="str">
        <x:v>life_expectancy</x:v>
      </x:c>
      <x:c r="C4130" s="2" t="n">
        <x:v>70.636</x:v>
      </x:c>
      <x:c r="D4130" s="2" t="n">
        <x:v>2024</x:v>
      </x:c>
      <x:c r="E4130" s="2" t="str">
        <x:v>WB_life_expectancy</x:v>
      </x:c>
      <x:c r="F4130" s="2" t="str">
        <x:v>Life expectancy at birth, total (years)</x:v>
      </x:c>
    </x:row>
    <x:row r="4131" ht="44" customHeight="1">
      <x:c r="A4131" s="2" t="str">
        <x:v>NPL</x:v>
      </x:c>
      <x:c r="B4131" s="2" t="str">
        <x:v>age_under15</x:v>
      </x:c>
      <x:c r="C4131" s="2" t="n">
        <x:v>28.0519719053718</x:v>
      </x:c>
      <x:c r="D4131" s="2" t="n">
        <x:v>2025</x:v>
      </x:c>
      <x:c r="E4131" s="2" t="str">
        <x:v>WB_age_under15</x:v>
      </x:c>
      <x:c r="F4131" s="2" t="str">
        <x:v>Population ages 0-14 (% of total population)</x:v>
      </x:c>
    </x:row>
    <x:row r="4132" ht="44" customHeight="1">
      <x:c r="A4132" s="2" t="str">
        <x:v>NPL</x:v>
      </x:c>
      <x:c r="B4132" s="2" t="str">
        <x:v>age_over65</x:v>
      </x:c>
      <x:c r="C4132" s="2" t="n">
        <x:v>6.62418872502616</x:v>
      </x:c>
      <x:c r="D4132" s="2" t="n">
        <x:v>2025</x:v>
      </x:c>
      <x:c r="E4132" s="2" t="str">
        <x:v>WB_age_over65</x:v>
      </x:c>
      <x:c r="F4132" s="2" t="str">
        <x:v>Population ages 65 and above (% of total population)</x:v>
      </x:c>
    </x:row>
    <x:row r="4133" ht="44" customHeight="1">
      <x:c r="A4133" s="2" t="str">
        <x:v>NPL</x:v>
      </x:c>
      <x:c r="B4133" s="2" t="str">
        <x:v>dependency_ratio</x:v>
      </x:c>
      <x:c r="C4133" s="2" t="n">
        <x:v>53.0834685604877</x:v>
      </x:c>
      <x:c r="D4133" s="2" t="n">
        <x:v>2025</x:v>
      </x:c>
      <x:c r="E4133" s="2" t="str">
        <x:v>WB_dependency_ratio</x:v>
      </x:c>
      <x:c r="F4133" s="2" t="str">
        <x:v>Age dependency ratio (% of working-age population)</x:v>
      </x:c>
    </x:row>
    <x:row r="4134" ht="44" customHeight="1">
      <x:c r="A4134" s="2" t="str">
        <x:v>NPL</x:v>
      </x:c>
      <x:c r="B4134" s="2" t="str">
        <x:v>net_migration</x:v>
      </x:c>
      <x:c r="C4134" s="2" t="n">
        <x:v>-364699</x:v>
      </x:c>
      <x:c r="D4134" s="2" t="n">
        <x:v>2025</x:v>
      </x:c>
      <x:c r="E4134" s="2" t="str">
        <x:v>WB_net_migration</x:v>
      </x:c>
      <x:c r="F4134" s="2" t="str">
        <x:v>Net migration</x:v>
      </x:c>
    </x:row>
    <x:row r="4135" ht="44" customHeight="1">
      <x:c r="A4135" s="2" t="str">
        <x:v>NPL</x:v>
      </x:c>
      <x:c r="B4135" s="2" t="str">
        <x:v>real_gdp</x:v>
      </x:c>
      <x:c r="C4135" s="2" t="n">
        <x:v>36537085383.278</x:v>
      </x:c>
      <x:c r="D4135" s="2" t="n">
        <x:v>2025</x:v>
      </x:c>
      <x:c r="E4135" s="2" t="str">
        <x:v>WB_real_gdp</x:v>
      </x:c>
      <x:c r="F4135" s="2" t="str">
        <x:v>GDP (constant 2015 US$)</x:v>
      </x:c>
    </x:row>
    <x:row r="4136" ht="44" customHeight="1">
      <x:c r="A4136" s="2" t="str">
        <x:v>NPL</x:v>
      </x:c>
      <x:c r="B4136" s="2" t="str">
        <x:v>gdp_growth</x:v>
      </x:c>
      <x:c r="C4136" s="2" t="n">
        <x:v>4.43073194983359</x:v>
      </x:c>
      <x:c r="D4136" s="2" t="n">
        <x:v>2025</x:v>
      </x:c>
      <x:c r="E4136" s="2" t="str">
        <x:v>WB_gdp_growth</x:v>
      </x:c>
      <x:c r="F4136" s="2" t="str">
        <x:v>GDP growth (annual %)</x:v>
      </x:c>
    </x:row>
    <x:row r="4137" ht="44" customHeight="1">
      <x:c r="A4137" s="2" t="str">
        <x:v>NPL</x:v>
      </x:c>
      <x:c r="B4137" s="2" t="str">
        <x:v>real_income</x:v>
      </x:c>
      <x:c r="C4137" s="2" t="n">
        <x:v>1233.60590916945</x:v>
      </x:c>
      <x:c r="D4137" s="2" t="n">
        <x:v>2025</x:v>
      </x:c>
      <x:c r="E4137" s="2" t="str">
        <x:v>WB_real_income</x:v>
      </x:c>
      <x:c r="F4137" s="2" t="str">
        <x:v>GDP per capita (constant 2015 US$)</x:v>
      </x:c>
    </x:row>
    <x:row r="4138" ht="44" customHeight="1">
      <x:c r="A4138" s="2" t="str">
        <x:v>NPL</x:v>
      </x:c>
      <x:c r="B4138" s="2" t="str">
        <x:v>agriculture_gdp</x:v>
      </x:c>
      <x:c r="C4138" s="2" t="n">
        <x:v>21.5578137957376</x:v>
      </x:c>
      <x:c r="D4138" s="2" t="n">
        <x:v>2025</x:v>
      </x:c>
      <x:c r="E4138" s="2" t="str">
        <x:v>WB_agriculture_gdp</x:v>
      </x:c>
      <x:c r="F4138" s="2" t="str">
        <x:v>Agriculture, forestry, and fishing, value added (% of GDP)</x:v>
      </x:c>
    </x:row>
    <x:row r="4139" ht="44" customHeight="1">
      <x:c r="A4139" s="2" t="str">
        <x:v>NPL</x:v>
      </x:c>
      <x:c r="B4139" s="2" t="str">
        <x:v>poverty</x:v>
      </x:c>
      <x:c r="C4139" s="2" t="n">
        <x:v>2.4</x:v>
      </x:c>
      <x:c r="D4139" s="2" t="n">
        <x:v>2022</x:v>
      </x:c>
      <x:c r="E4139" s="2" t="str">
        <x:v>WB_poverty</x:v>
      </x:c>
      <x:c r="F4139" s="2" t="str">
        <x:v>Poverty headcount ratio at $3.00 a day (2021 PPP) (% of population)</x:v>
      </x:c>
    </x:row>
    <x:row r="4140" ht="44" customHeight="1">
      <x:c r="A4140" s="2" t="str">
        <x:v>NPL</x:v>
      </x:c>
      <x:c r="B4140" s="2" t="str">
        <x:v>gini</x:v>
      </x:c>
      <x:c r="C4140" s="2" t="n">
        <x:v>30</x:v>
      </x:c>
      <x:c r="D4140" s="2" t="n">
        <x:v>2022</x:v>
      </x:c>
      <x:c r="E4140" s="2" t="str">
        <x:v>WB_gini</x:v>
      </x:c>
      <x:c r="F4140" s="2" t="str">
        <x:v>Gini index</x:v>
      </x:c>
    </x:row>
    <x:row r="4141" ht="44" customHeight="1">
      <x:c r="A4141" s="2" t="str">
        <x:v>NPL</x:v>
      </x:c>
      <x:c r="B4141" s="2" t="str">
        <x:v>unemployment</x:v>
      </x:c>
      <x:c r="C4141" s="2" t="n">
        <x:v>10.465</x:v>
      </x:c>
      <x:c r="D4141" s="2" t="n">
        <x:v>2025</x:v>
      </x:c>
      <x:c r="E4141" s="2" t="str">
        <x:v>WB_unemployment</x:v>
      </x:c>
      <x:c r="F4141" s="2" t="str">
        <x:v>Unemployment, total (% of total labor force) (modeled ILO estimate)</x:v>
      </x:c>
    </x:row>
    <x:row r="4142" ht="44" customHeight="1">
      <x:c r="A4142" s="2" t="str">
        <x:v>NPL</x:v>
      </x:c>
      <x:c r="B4142" s="2" t="str">
        <x:v>private_credit</x:v>
      </x:c>
      <x:c r="C4142" s="2" t="n">
        <x:v>90.5447624655163</x:v>
      </x:c>
      <x:c r="D4142" s="2" t="n">
        <x:v>2025</x:v>
      </x:c>
      <x:c r="E4142" s="2" t="str">
        <x:v>WB_private_credit</x:v>
      </x:c>
      <x:c r="F4142" s="2" t="str">
        <x:v>Domestic credit to private sector (% of GDP)</x:v>
      </x:c>
    </x:row>
    <x:row r="4143" ht="44" customHeight="1">
      <x:c r="A4143" s="2" t="str">
        <x:v>NPL</x:v>
      </x:c>
      <x:c r="B4143" s="2" t="str">
        <x:v>lending_rate</x:v>
      </x:c>
      <x:c r="C4143" s="2"/>
      <x:c r="D4143" s="2"/>
      <x:c r="E4143" s="2" t="str">
        <x:v>Missing</x:v>
      </x:c>
      <x:c r="F4143" s="2" t="str">
        <x:v>Lending interest rate (%)</x:v>
      </x:c>
    </x:row>
    <x:row r="4144" ht="44" customHeight="1">
      <x:c r="A4144" s="2" t="str">
        <x:v>NPL</x:v>
      </x:c>
      <x:c r="B4144" s="2" t="str">
        <x:v>real_interest</x:v>
      </x:c>
      <x:c r="C4144" s="2"/>
      <x:c r="D4144" s="2"/>
      <x:c r="E4144" s="2" t="str">
        <x:v>Missing</x:v>
      </x:c>
      <x:c r="F4144" s="2" t="str">
        <x:v>Real interest rate (%)</x:v>
      </x:c>
    </x:row>
    <x:row r="4145" ht="44" customHeight="1">
      <x:c r="A4145" s="2" t="str">
        <x:v>NPL</x:v>
      </x:c>
      <x:c r="B4145" s="2" t="str">
        <x:v>government_debt</x:v>
      </x:c>
      <x:c r="C4145" s="2" t="n">
        <x:v>39.9222686422289</x:v>
      </x:c>
      <x:c r="D4145" s="2" t="n">
        <x:v>2021</x:v>
      </x:c>
      <x:c r="E4145" s="2" t="str">
        <x:v>WB_government_debt</x:v>
      </x:c>
      <x:c r="F4145" s="2" t="str">
        <x:v>Central government debt, total (% of GDP)</x:v>
      </x:c>
    </x:row>
    <x:row r="4146" ht="44" customHeight="1">
      <x:c r="A4146" s="2" t="str">
        <x:v>NPL</x:v>
      </x:c>
      <x:c r="B4146" s="2" t="str">
        <x:v>electricity_access</x:v>
      </x:c>
      <x:c r="C4146" s="2" t="n">
        <x:v>97.9</x:v>
      </x:c>
      <x:c r="D4146" s="2" t="n">
        <x:v>2024</x:v>
      </x:c>
      <x:c r="E4146" s="2" t="str">
        <x:v>WB_electricity_access</x:v>
      </x:c>
      <x:c r="F4146" s="2" t="str">
        <x:v>Access to electricity (% of population)</x:v>
      </x:c>
    </x:row>
    <x:row r="4147" ht="44" customHeight="1">
      <x:c r="A4147" s="2" t="str">
        <x:v>NPL</x:v>
      </x:c>
      <x:c r="B4147" s="2" t="str">
        <x:v>irrigated_land</x:v>
      </x:c>
      <x:c r="C4147" s="2" t="n">
        <x:v>32.2908041986058</x:v>
      </x:c>
      <x:c r="D4147" s="2" t="n">
        <x:v>2023</x:v>
      </x:c>
      <x:c r="E4147" s="2" t="str">
        <x:v>WB_irrigated_land</x:v>
      </x:c>
      <x:c r="F4147" s="2" t="str">
        <x:v>Agricultural irrigated land (% of total agricultural land)</x:v>
      </x:c>
    </x:row>
    <x:row r="4148" ht="44" customHeight="1">
      <x:c r="A4148" s="2" t="str">
        <x:v>NPL</x:v>
      </x:c>
      <x:c r="B4148" s="2" t="str">
        <x:v>cereal_area</x:v>
      </x:c>
      <x:c r="C4148" s="2" t="n">
        <x:v>3334346</x:v>
      </x:c>
      <x:c r="D4148" s="2" t="n">
        <x:v>2023</x:v>
      </x:c>
      <x:c r="E4148" s="2" t="str">
        <x:v>WB_cereal_area</x:v>
      </x:c>
      <x:c r="F4148" s="2" t="str">
        <x:v>Land under cereal production (hectares)</x:v>
      </x:c>
    </x:row>
    <x:row r="4149" ht="44" customHeight="1">
      <x:c r="A4149" s="2" t="str">
        <x:v>NPL</x:v>
      </x:c>
      <x:c r="B4149" s="2" t="str">
        <x:v>undernourishment</x:v>
      </x:c>
      <x:c r="C4149" s="2" t="n">
        <x:v>5.3</x:v>
      </x:c>
      <x:c r="D4149" s="2" t="n">
        <x:v>2023</x:v>
      </x:c>
      <x:c r="E4149" s="2" t="str">
        <x:v>WB_undernourishment</x:v>
      </x:c>
      <x:c r="F4149" s="2" t="str">
        <x:v>Prevalence of undernourishment (% of population)</x:v>
      </x:c>
    </x:row>
    <x:row r="4150" ht="44" customHeight="1">
      <x:c r="A4150" s="2" t="str">
        <x:v>NPL</x:v>
      </x:c>
      <x:c r="B4150" s="2" t="str">
        <x:v>agriculture_employment</x:v>
      </x:c>
      <x:c r="C4150" s="2" t="n">
        <x:v>22.9119744042875</x:v>
      </x:c>
      <x:c r="D4150" s="2" t="n">
        <x:v>2025</x:v>
      </x:c>
      <x:c r="E4150" s="2" t="str">
        <x:v>WB_agriculture_employment</x:v>
      </x:c>
      <x:c r="F4150" s="2" t="str">
        <x:v>Employment in agriculture (% of total employment) (modeled ILO estimate)</x:v>
      </x:c>
    </x:row>
    <x:row r="4151" ht="44" customHeight="1">
      <x:c r="A4151" s="2" t="str">
        <x:v>NPL</x:v>
      </x:c>
      <x:c r="B4151" s="2" t="str">
        <x:v>water_withdrawal</x:v>
      </x:c>
      <x:c r="C4151" s="2" t="n">
        <x:v>4.79167507568113</x:v>
      </x:c>
      <x:c r="D4151" s="2" t="n">
        <x:v>2022</x:v>
      </x:c>
      <x:c r="E4151" s="2" t="str">
        <x:v>WB_water_withdrawal</x:v>
      </x:c>
      <x:c r="F4151" s="2" t="str">
        <x:v>Annual freshwater withdrawals, total (% of internal resources)</x:v>
      </x:c>
    </x:row>
    <x:row r="4152" ht="44" customHeight="1">
      <x:c r="A4152" s="2" t="str">
        <x:v>NLD</x:v>
      </x:c>
      <x:c r="B4152" s="2" t="str">
        <x:v>population</x:v>
      </x:c>
      <x:c r="C4152" s="2" t="n">
        <x:v>18087633</x:v>
      </x:c>
      <x:c r="D4152" s="2" t="n">
        <x:v>2025</x:v>
      </x:c>
      <x:c r="E4152" s="2" t="str">
        <x:v>WB_population</x:v>
      </x:c>
      <x:c r="F4152" s="2" t="str">
        <x:v>Population, total</x:v>
      </x:c>
    </x:row>
    <x:row r="4153" ht="44" customHeight="1">
      <x:c r="A4153" s="2" t="str">
        <x:v>NLD</x:v>
      </x:c>
      <x:c r="B4153" s="2" t="str">
        <x:v>income_ppp</x:v>
      </x:c>
      <x:c r="C4153" s="2" t="n">
        <x:v>71378.4856331012</x:v>
      </x:c>
      <x:c r="D4153" s="2" t="n">
        <x:v>2025</x:v>
      </x:c>
      <x:c r="E4153" s="2" t="str">
        <x:v>WB_income_ppp</x:v>
      </x:c>
      <x:c r="F4153" s="2" t="str">
        <x:v>GDP per capita, PPP (constant 2021 international $)</x:v>
      </x:c>
    </x:row>
    <x:row r="4154" ht="44" customHeight="1">
      <x:c r="A4154" s="2" t="str">
        <x:v>NLD</x:v>
      </x:c>
      <x:c r="B4154" s="2" t="str">
        <x:v>urban</x:v>
      </x:c>
      <x:c r="C4154" s="2" t="n">
        <x:v>95.9385903481191</x:v>
      </x:c>
      <x:c r="D4154" s="2" t="n">
        <x:v>2025</x:v>
      </x:c>
      <x:c r="E4154" s="2" t="str">
        <x:v>WB_urban</x:v>
      </x:c>
      <x:c r="F4154" s="2" t="str">
        <x:v>Urban population (% of total population)</x:v>
      </x:c>
    </x:row>
    <x:row r="4155" ht="44" customHeight="1">
      <x:c r="A4155" s="2" t="str">
        <x:v>NLD</x:v>
      </x:c>
      <x:c r="B4155" s="2" t="str">
        <x:v>inflation</x:v>
      </x:c>
      <x:c r="C4155" s="2" t="n">
        <x:v>3.2595766451366</x:v>
      </x:c>
      <x:c r="D4155" s="2" t="n">
        <x:v>2025</x:v>
      </x:c>
      <x:c r="E4155" s="2" t="str">
        <x:v>WB_inflation</x:v>
      </x:c>
      <x:c r="F4155" s="2" t="str">
        <x:v>Inflation, consumer prices (annual %)</x:v>
      </x:c>
    </x:row>
    <x:row r="4156" ht="44" customHeight="1">
      <x:c r="A4156" s="2" t="str">
        <x:v>NLD</x:v>
      </x:c>
      <x:c r="B4156" s="2" t="str">
        <x:v>food_index</x:v>
      </x:c>
      <x:c r="C4156" s="2" t="n">
        <x:v>101</x:v>
      </x:c>
      <x:c r="D4156" s="2" t="n">
        <x:v>2022</x:v>
      </x:c>
      <x:c r="E4156" s="2" t="str">
        <x:v>WB_food_index</x:v>
      </x:c>
      <x:c r="F4156" s="2" t="str">
        <x:v>Food production index (2014-2016 = 100)</x:v>
      </x:c>
    </x:row>
    <x:row r="4157" ht="44" customHeight="1">
      <x:c r="A4157" s="2" t="str">
        <x:v>NLD</x:v>
      </x:c>
      <x:c r="B4157" s="2" t="str">
        <x:v>food_import_share</x:v>
      </x:c>
      <x:c r="C4157" s="2" t="n">
        <x:v>13.2711521928993</x:v>
      </x:c>
      <x:c r="D4157" s="2" t="n">
        <x:v>2024</x:v>
      </x:c>
      <x:c r="E4157" s="2" t="str">
        <x:v>WB_food_import_share</x:v>
      </x:c>
      <x:c r="F4157" s="2" t="str">
        <x:v>Food imports (% of merchandise imports)</x:v>
      </x:c>
    </x:row>
    <x:row r="4158" ht="44" customHeight="1">
      <x:c r="A4158" s="2" t="str">
        <x:v>NLD</x:v>
      </x:c>
      <x:c r="B4158" s="2" t="str">
        <x:v>food_export_share</x:v>
      </x:c>
      <x:c r="C4158" s="2" t="n">
        <x:v>16.4140963578601</x:v>
      </x:c>
      <x:c r="D4158" s="2" t="n">
        <x:v>2024</x:v>
      </x:c>
      <x:c r="E4158" s="2" t="str">
        <x:v>WB_food_export_share</x:v>
      </x:c>
      <x:c r="F4158" s="2" t="str">
        <x:v>Food exports (% of merchandise exports)</x:v>
      </x:c>
    </x:row>
    <x:row r="4159" ht="44" customHeight="1">
      <x:c r="A4159" s="2" t="str">
        <x:v>NLD</x:v>
      </x:c>
      <x:c r="B4159" s="2" t="str">
        <x:v>imports_usd</x:v>
      </x:c>
      <x:c r="C4159" s="2" t="n">
        <x:v>870442000000</x:v>
      </x:c>
      <x:c r="D4159" s="2" t="n">
        <x:v>2025</x:v>
      </x:c>
      <x:c r="E4159" s="2" t="str">
        <x:v>WB_imports_usd</x:v>
      </x:c>
      <x:c r="F4159" s="2" t="str">
        <x:v>Merchandise imports (current US$)</x:v>
      </x:c>
    </x:row>
    <x:row r="4160" ht="44" customHeight="1">
      <x:c r="A4160" s="2" t="str">
        <x:v>NLD</x:v>
      </x:c>
      <x:c r="B4160" s="2" t="str">
        <x:v>exports_usd</x:v>
      </x:c>
      <x:c r="C4160" s="2" t="n">
        <x:v>989237000000</x:v>
      </x:c>
      <x:c r="D4160" s="2" t="n">
        <x:v>2025</x:v>
      </x:c>
      <x:c r="E4160" s="2" t="str">
        <x:v>WB_exports_usd</x:v>
      </x:c>
      <x:c r="F4160" s="2" t="str">
        <x:v>Merchandise exports (current US$)</x:v>
      </x:c>
    </x:row>
    <x:row r="4161" ht="44" customHeight="1">
      <x:c r="A4161" s="2" t="str">
        <x:v>NLD</x:v>
      </x:c>
      <x:c r="B4161" s="2" t="str">
        <x:v>cereal_yield</x:v>
      </x:c>
      <x:c r="C4161" s="2" t="n">
        <x:v>6805.7</x:v>
      </x:c>
      <x:c r="D4161" s="2" t="n">
        <x:v>2024</x:v>
      </x:c>
      <x:c r="E4161" s="2" t="str">
        <x:v>WB_cereal_yield</x:v>
      </x:c>
      <x:c r="F4161" s="2" t="str">
        <x:v>Cereal yield (kg per hectare)</x:v>
      </x:c>
    </x:row>
    <x:row r="4162" ht="44" customHeight="1">
      <x:c r="A4162" s="2" t="str">
        <x:v>NLD</x:v>
      </x:c>
      <x:c r="B4162" s="2" t="str">
        <x:v>water_stress</x:v>
      </x:c>
      <x:c r="C4162" s="2" t="n">
        <x:v>16.65850698</x:v>
      </x:c>
      <x:c r="D4162" s="2" t="n">
        <x:v>2022</x:v>
      </x:c>
      <x:c r="E4162" s="2" t="str">
        <x:v>WB_water_stress</x:v>
      </x:c>
      <x:c r="F4162" s="2" t="str">
        <x:v>Level of water stress: freshwater withdrawal as a proportion of available freshwater resources</x:v>
      </x:c>
    </x:row>
    <x:row r="4163" ht="44" customHeight="1">
      <x:c r="A4163" s="2" t="str">
        <x:v>NLD</x:v>
      </x:c>
      <x:c r="B4163" s="2" t="str">
        <x:v>fertility</x:v>
      </x:c>
      <x:c r="C4163" s="2" t="n">
        <x:v>1.43</x:v>
      </x:c>
      <x:c r="D4163" s="2" t="n">
        <x:v>2024</x:v>
      </x:c>
      <x:c r="E4163" s="2" t="str">
        <x:v>WB_fertility</x:v>
      </x:c>
      <x:c r="F4163" s="2" t="str">
        <x:v>Fertility rate, total (births per woman)</x:v>
      </x:c>
    </x:row>
    <x:row r="4164" ht="44" customHeight="1">
      <x:c r="A4164" s="2" t="str">
        <x:v>NLD</x:v>
      </x:c>
      <x:c r="B4164" s="2" t="str">
        <x:v>life_expectancy</x:v>
      </x:c>
      <x:c r="C4164" s="2" t="n">
        <x:v>81.9658536585366</x:v>
      </x:c>
      <x:c r="D4164" s="2" t="n">
        <x:v>2024</x:v>
      </x:c>
      <x:c r="E4164" s="2" t="str">
        <x:v>WB_life_expectancy</x:v>
      </x:c>
      <x:c r="F4164" s="2" t="str">
        <x:v>Life expectancy at birth, total (years)</x:v>
      </x:c>
    </x:row>
    <x:row r="4165" ht="44" customHeight="1">
      <x:c r="A4165" s="2" t="str">
        <x:v>NLD</x:v>
      </x:c>
      <x:c r="B4165" s="2" t="str">
        <x:v>age_under15</x:v>
      </x:c>
      <x:c r="C4165" s="2" t="n">
        <x:v>14.9340629566357</x:v>
      </x:c>
      <x:c r="D4165" s="2" t="n">
        <x:v>2025</x:v>
      </x:c>
      <x:c r="E4165" s="2" t="str">
        <x:v>WB_age_under15</x:v>
      </x:c>
      <x:c r="F4165" s="2" t="str">
        <x:v>Population ages 0-14 (% of total population)</x:v>
      </x:c>
    </x:row>
    <x:row r="4166" ht="44" customHeight="1">
      <x:c r="A4166" s="2" t="str">
        <x:v>NLD</x:v>
      </x:c>
      <x:c r="B4166" s="2" t="str">
        <x:v>age_over65</x:v>
      </x:c>
      <x:c r="C4166" s="2" t="n">
        <x:v>20.8687702211484</x:v>
      </x:c>
      <x:c r="D4166" s="2" t="n">
        <x:v>2025</x:v>
      </x:c>
      <x:c r="E4166" s="2" t="str">
        <x:v>WB_age_over65</x:v>
      </x:c>
      <x:c r="F4166" s="2" t="str">
        <x:v>Population ages 65 and above (% of total population)</x:v>
      </x:c>
    </x:row>
    <x:row r="4167" ht="44" customHeight="1">
      <x:c r="A4167" s="2" t="str">
        <x:v>NLD</x:v>
      </x:c>
      <x:c r="B4167" s="2" t="str">
        <x:v>dependency_ratio</x:v>
      </x:c>
      <x:c r="C4167" s="2" t="n">
        <x:v>55.7701131647018</x:v>
      </x:c>
      <x:c r="D4167" s="2" t="n">
        <x:v>2025</x:v>
      </x:c>
      <x:c r="E4167" s="2" t="str">
        <x:v>WB_dependency_ratio</x:v>
      </x:c>
      <x:c r="F4167" s="2" t="str">
        <x:v>Age dependency ratio (% of working-age population)</x:v>
      </x:c>
    </x:row>
    <x:row r="4168" ht="44" customHeight="1">
      <x:c r="A4168" s="2" t="str">
        <x:v>NLD</x:v>
      </x:c>
      <x:c r="B4168" s="2" t="str">
        <x:v>net_migration</x:v>
      </x:c>
      <x:c r="C4168" s="2" t="n">
        <x:v>104681</x:v>
      </x:c>
      <x:c r="D4168" s="2" t="n">
        <x:v>2025</x:v>
      </x:c>
      <x:c r="E4168" s="2" t="str">
        <x:v>WB_net_migration</x:v>
      </x:c>
      <x:c r="F4168" s="2" t="str">
        <x:v>Net migration</x:v>
      </x:c>
    </x:row>
    <x:row r="4169" ht="44" customHeight="1">
      <x:c r="A4169" s="2" t="str">
        <x:v>NLD</x:v>
      </x:c>
      <x:c r="B4169" s="2" t="str">
        <x:v>real_gdp</x:v>
      </x:c>
      <x:c r="C4169" s="2" t="n">
        <x:v>937247947433.363</x:v>
      </x:c>
      <x:c r="D4169" s="2" t="n">
        <x:v>2025</x:v>
      </x:c>
      <x:c r="E4169" s="2" t="str">
        <x:v>WB_real_gdp</x:v>
      </x:c>
      <x:c r="F4169" s="2" t="str">
        <x:v>GDP (constant 2015 US$)</x:v>
      </x:c>
    </x:row>
    <x:row r="4170" ht="44" customHeight="1">
      <x:c r="A4170" s="2" t="str">
        <x:v>NLD</x:v>
      </x:c>
      <x:c r="B4170" s="2" t="str">
        <x:v>gdp_growth</x:v>
      </x:c>
      <x:c r="C4170" s="2" t="n">
        <x:v>1.78463214703797</x:v>
      </x:c>
      <x:c r="D4170" s="2" t="n">
        <x:v>2025</x:v>
      </x:c>
      <x:c r="E4170" s="2" t="str">
        <x:v>WB_gdp_growth</x:v>
      </x:c>
      <x:c r="F4170" s="2" t="str">
        <x:v>GDP growth (annual %)</x:v>
      </x:c>
    </x:row>
    <x:row r="4171" ht="44" customHeight="1">
      <x:c r="A4171" s="2" t="str">
        <x:v>NLD</x:v>
      </x:c>
      <x:c r="B4171" s="2" t="str">
        <x:v>real_income</x:v>
      </x:c>
      <x:c r="C4171" s="2" t="n">
        <x:v>51817.0590609265</x:v>
      </x:c>
      <x:c r="D4171" s="2" t="n">
        <x:v>2025</x:v>
      </x:c>
      <x:c r="E4171" s="2" t="str">
        <x:v>WB_real_income</x:v>
      </x:c>
      <x:c r="F4171" s="2" t="str">
        <x:v>GDP per capita (constant 2015 US$)</x:v>
      </x:c>
    </x:row>
    <x:row r="4172" ht="44" customHeight="1">
      <x:c r="A4172" s="2" t="str">
        <x:v>NLD</x:v>
      </x:c>
      <x:c r="B4172" s="2" t="str">
        <x:v>agriculture_gdp</x:v>
      </x:c>
      <x:c r="C4172" s="2" t="n">
        <x:v>1.68323077210041</x:v>
      </x:c>
      <x:c r="D4172" s="2" t="n">
        <x:v>2025</x:v>
      </x:c>
      <x:c r="E4172" s="2" t="str">
        <x:v>WB_agriculture_gdp</x:v>
      </x:c>
      <x:c r="F4172" s="2" t="str">
        <x:v>Agriculture, forestry, and fishing, value added (% of GDP)</x:v>
      </x:c>
    </x:row>
    <x:row r="4173" ht="44" customHeight="1">
      <x:c r="A4173" s="2" t="str">
        <x:v>NLD</x:v>
      </x:c>
      <x:c r="B4173" s="2" t="str">
        <x:v>poverty</x:v>
      </x:c>
      <x:c r="C4173" s="2" t="n">
        <x:v>0.1</x:v>
      </x:c>
      <x:c r="D4173" s="2" t="n">
        <x:v>2021</x:v>
      </x:c>
      <x:c r="E4173" s="2" t="str">
        <x:v>WB_poverty</x:v>
      </x:c>
      <x:c r="F4173" s="2" t="str">
        <x:v>Poverty headcount ratio at $3.00 a day (2021 PPP) (% of population)</x:v>
      </x:c>
    </x:row>
    <x:row r="4174" ht="44" customHeight="1">
      <x:c r="A4174" s="2" t="str">
        <x:v>NLD</x:v>
      </x:c>
      <x:c r="B4174" s="2" t="str">
        <x:v>gini</x:v>
      </x:c>
      <x:c r="C4174" s="2" t="n">
        <x:v>25.7</x:v>
      </x:c>
      <x:c r="D4174" s="2" t="n">
        <x:v>2021</x:v>
      </x:c>
      <x:c r="E4174" s="2" t="str">
        <x:v>WB_gini</x:v>
      </x:c>
      <x:c r="F4174" s="2" t="str">
        <x:v>Gini index</x:v>
      </x:c>
    </x:row>
    <x:row r="4175" ht="44" customHeight="1">
      <x:c r="A4175" s="2" t="str">
        <x:v>NLD</x:v>
      </x:c>
      <x:c r="B4175" s="2" t="str">
        <x:v>unemployment</x:v>
      </x:c>
      <x:c r="C4175" s="2" t="n">
        <x:v>3.874</x:v>
      </x:c>
      <x:c r="D4175" s="2" t="n">
        <x:v>2025</x:v>
      </x:c>
      <x:c r="E4175" s="2" t="str">
        <x:v>WB_unemployment</x:v>
      </x:c>
      <x:c r="F4175" s="2" t="str">
        <x:v>Unemployment, total (% of total labor force) (modeled ILO estimate)</x:v>
      </x:c>
    </x:row>
    <x:row r="4176" ht="44" customHeight="1">
      <x:c r="A4176" s="2" t="str">
        <x:v>NLD</x:v>
      </x:c>
      <x:c r="B4176" s="2" t="str">
        <x:v>private_credit</x:v>
      </x:c>
      <x:c r="C4176" s="2" t="n">
        <x:v>82.3320940898509</x:v>
      </x:c>
      <x:c r="D4176" s="2" t="n">
        <x:v>2024</x:v>
      </x:c>
      <x:c r="E4176" s="2" t="str">
        <x:v>WB_private_credit</x:v>
      </x:c>
      <x:c r="F4176" s="2" t="str">
        <x:v>Domestic credit to private sector (% of GDP)</x:v>
      </x:c>
    </x:row>
    <x:row r="4177" ht="44" customHeight="1">
      <x:c r="A4177" s="2" t="str">
        <x:v>NLD</x:v>
      </x:c>
      <x:c r="B4177" s="2" t="str">
        <x:v>lending_rate</x:v>
      </x:c>
      <x:c r="C4177" s="2" t="n">
        <x:v>1.5</x:v>
      </x:c>
      <x:c r="D4177" s="2" t="n">
        <x:v>2013</x:v>
      </x:c>
      <x:c r="E4177" s="2" t="str">
        <x:v>WB_lending_rate</x:v>
      </x:c>
      <x:c r="F4177" s="2" t="str">
        <x:v>Lending interest rate (%)</x:v>
      </x:c>
    </x:row>
    <x:row r="4178" ht="44" customHeight="1">
      <x:c r="A4178" s="2" t="str">
        <x:v>NLD</x:v>
      </x:c>
      <x:c r="B4178" s="2" t="str">
        <x:v>real_interest</x:v>
      </x:c>
      <x:c r="C4178" s="2" t="n">
        <x:v>0.351044763138912</x:v>
      </x:c>
      <x:c r="D4178" s="2" t="n">
        <x:v>2013</x:v>
      </x:c>
      <x:c r="E4178" s="2" t="str">
        <x:v>WB_real_interest</x:v>
      </x:c>
      <x:c r="F4178" s="2" t="str">
        <x:v>Real interest rate (%)</x:v>
      </x:c>
    </x:row>
    <x:row r="4179" ht="44" customHeight="1">
      <x:c r="A4179" s="2" t="str">
        <x:v>NLD</x:v>
      </x:c>
      <x:c r="B4179" s="2" t="str">
        <x:v>government_debt</x:v>
      </x:c>
      <x:c r="C4179" s="2"/>
      <x:c r="D4179" s="2"/>
      <x:c r="E4179" s="2" t="str">
        <x:v>Missing</x:v>
      </x:c>
      <x:c r="F4179" s="2" t="str">
        <x:v>Central government debt, total (% of GDP)</x:v>
      </x:c>
    </x:row>
    <x:row r="4180" ht="44" customHeight="1">
      <x:c r="A4180" s="2" t="str">
        <x:v>NLD</x:v>
      </x:c>
      <x:c r="B4180" s="2" t="str">
        <x:v>electricity_access</x:v>
      </x:c>
      <x:c r="C4180" s="2" t="n">
        <x:v>100</x:v>
      </x:c>
      <x:c r="D4180" s="2" t="n">
        <x:v>2024</x:v>
      </x:c>
      <x:c r="E4180" s="2" t="str">
        <x:v>WB_electricity_access</x:v>
      </x:c>
      <x:c r="F4180" s="2" t="str">
        <x:v>Access to electricity (% of population)</x:v>
      </x:c>
    </x:row>
    <x:row r="4181" ht="44" customHeight="1">
      <x:c r="A4181" s="2" t="str">
        <x:v>NLD</x:v>
      </x:c>
      <x:c r="B4181" s="2" t="str">
        <x:v>irrigated_land</x:v>
      </x:c>
      <x:c r="C4181" s="2" t="n">
        <x:v>21.5751525235718</x:v>
      </x:c>
      <x:c r="D4181" s="2" t="n">
        <x:v>2023</x:v>
      </x:c>
      <x:c r="E4181" s="2" t="str">
        <x:v>WB_irrigated_land</x:v>
      </x:c>
      <x:c r="F4181" s="2" t="str">
        <x:v>Agricultural irrigated land (% of total agricultural land)</x:v>
      </x:c>
    </x:row>
    <x:row r="4182" ht="44" customHeight="1">
      <x:c r="A4182" s="2" t="str">
        <x:v>NLD</x:v>
      </x:c>
      <x:c r="B4182" s="2" t="str">
        <x:v>cereal_area</x:v>
      </x:c>
      <x:c r="C4182" s="2" t="n">
        <x:v>153500</x:v>
      </x:c>
      <x:c r="D4182" s="2" t="n">
        <x:v>2024</x:v>
      </x:c>
      <x:c r="E4182" s="2" t="str">
        <x:v>WB_cereal_area</x:v>
      </x:c>
      <x:c r="F4182" s="2" t="str">
        <x:v>Land under cereal production (hectares)</x:v>
      </x:c>
    </x:row>
    <x:row r="4183" ht="44" customHeight="1">
      <x:c r="A4183" s="2" t="str">
        <x:v>NLD</x:v>
      </x:c>
      <x:c r="B4183" s="2" t="str">
        <x:v>undernourishment</x:v>
      </x:c>
      <x:c r="C4183" s="2" t="n">
        <x:v>2.5</x:v>
      </x:c>
      <x:c r="D4183" s="2" t="n">
        <x:v>2023</x:v>
      </x:c>
      <x:c r="E4183" s="2" t="str">
        <x:v>WB_undernourishment</x:v>
      </x:c>
      <x:c r="F4183" s="2" t="str">
        <x:v>Prevalence of undernourishment (% of population)</x:v>
      </x:c>
    </x:row>
    <x:row r="4184" ht="44" customHeight="1">
      <x:c r="A4184" s="2" t="str">
        <x:v>NLD</x:v>
      </x:c>
      <x:c r="B4184" s="2" t="str">
        <x:v>agriculture_employment</x:v>
      </x:c>
      <x:c r="C4184" s="2" t="n">
        <x:v>1.70416434849209</x:v>
      </x:c>
      <x:c r="D4184" s="2" t="n">
        <x:v>2025</x:v>
      </x:c>
      <x:c r="E4184" s="2" t="str">
        <x:v>WB_agriculture_employment</x:v>
      </x:c>
      <x:c r="F4184" s="2" t="str">
        <x:v>Employment in agriculture (% of total employment) (modeled ILO estimate)</x:v>
      </x:c>
    </x:row>
    <x:row r="4185" ht="44" customHeight="1">
      <x:c r="A4185" s="2" t="str">
        <x:v>NLD</x:v>
      </x:c>
      <x:c r="B4185" s="2" t="str">
        <x:v>water_withdrawal</x:v>
      </x:c>
      <x:c r="C4185" s="2" t="n">
        <x:v>74.8572727272727</x:v>
      </x:c>
      <x:c r="D4185" s="2" t="n">
        <x:v>2022</x:v>
      </x:c>
      <x:c r="E4185" s="2" t="str">
        <x:v>WB_water_withdrawal</x:v>
      </x:c>
      <x:c r="F4185" s="2" t="str">
        <x:v>Annual freshwater withdrawals, total (% of internal resources)</x:v>
      </x:c>
    </x:row>
    <x:row r="4186" ht="44" customHeight="1">
      <x:c r="A4186" s="2" t="str">
        <x:v>NZL</x:v>
      </x:c>
      <x:c r="B4186" s="2" t="str">
        <x:v>population</x:v>
      </x:c>
      <x:c r="C4186" s="2" t="n">
        <x:v>5324700</x:v>
      </x:c>
      <x:c r="D4186" s="2" t="n">
        <x:v>2025</x:v>
      </x:c>
      <x:c r="E4186" s="2" t="str">
        <x:v>WB_population</x:v>
      </x:c>
      <x:c r="F4186" s="2" t="str">
        <x:v>Population, total</x:v>
      </x:c>
    </x:row>
    <x:row r="4187" ht="44" customHeight="1">
      <x:c r="A4187" s="2" t="str">
        <x:v>NZL</x:v>
      </x:c>
      <x:c r="B4187" s="2" t="str">
        <x:v>income_ppp</x:v>
      </x:c>
      <x:c r="C4187" s="2" t="n">
        <x:v>48232.6651994696</x:v>
      </x:c>
      <x:c r="D4187" s="2" t="n">
        <x:v>2025</x:v>
      </x:c>
      <x:c r="E4187" s="2" t="str">
        <x:v>WB_income_ppp</x:v>
      </x:c>
      <x:c r="F4187" s="2" t="str">
        <x:v>GDP per capita, PPP (constant 2021 international $)</x:v>
      </x:c>
    </x:row>
    <x:row r="4188" ht="44" customHeight="1">
      <x:c r="A4188" s="2" t="str">
        <x:v>NZL</x:v>
      </x:c>
      <x:c r="B4188" s="2" t="str">
        <x:v>urban</x:v>
      </x:c>
      <x:c r="C4188" s="2" t="n">
        <x:v>83.9978515774731</x:v>
      </x:c>
      <x:c r="D4188" s="2" t="n">
        <x:v>2025</x:v>
      </x:c>
      <x:c r="E4188" s="2" t="str">
        <x:v>WB_urban</x:v>
      </x:c>
      <x:c r="F4188" s="2" t="str">
        <x:v>Urban population (% of total population)</x:v>
      </x:c>
    </x:row>
    <x:row r="4189" ht="44" customHeight="1">
      <x:c r="A4189" s="2" t="str">
        <x:v>NZL</x:v>
      </x:c>
      <x:c r="B4189" s="2" t="str">
        <x:v>inflation</x:v>
      </x:c>
      <x:c r="C4189" s="2" t="n">
        <x:v>2.8397963180572</x:v>
      </x:c>
      <x:c r="D4189" s="2" t="n">
        <x:v>2025</x:v>
      </x:c>
      <x:c r="E4189" s="2" t="str">
        <x:v>WB_inflation</x:v>
      </x:c>
      <x:c r="F4189" s="2" t="str">
        <x:v>Inflation, consumer prices (annual %)</x:v>
      </x:c>
    </x:row>
    <x:row r="4190" ht="44" customHeight="1">
      <x:c r="A4190" s="2" t="str">
        <x:v>NZL</x:v>
      </x:c>
      <x:c r="B4190" s="2" t="str">
        <x:v>food_index</x:v>
      </x:c>
      <x:c r="C4190" s="2" t="n">
        <x:v>100.57</x:v>
      </x:c>
      <x:c r="D4190" s="2" t="n">
        <x:v>2022</x:v>
      </x:c>
      <x:c r="E4190" s="2" t="str">
        <x:v>WB_food_index</x:v>
      </x:c>
      <x:c r="F4190" s="2" t="str">
        <x:v>Food production index (2014-2016 = 100)</x:v>
      </x:c>
    </x:row>
    <x:row r="4191" ht="44" customHeight="1">
      <x:c r="A4191" s="2" t="str">
        <x:v>NZL</x:v>
      </x:c>
      <x:c r="B4191" s="2" t="str">
        <x:v>food_import_share</x:v>
      </x:c>
      <x:c r="C4191" s="2" t="n">
        <x:v>12.8102689688288</x:v>
      </x:c>
      <x:c r="D4191" s="2" t="n">
        <x:v>2025</x:v>
      </x:c>
      <x:c r="E4191" s="2" t="str">
        <x:v>WB_food_import_share</x:v>
      </x:c>
      <x:c r="F4191" s="2" t="str">
        <x:v>Food imports (% of merchandise imports)</x:v>
      </x:c>
    </x:row>
    <x:row r="4192" ht="44" customHeight="1">
      <x:c r="A4192" s="2" t="str">
        <x:v>NZL</x:v>
      </x:c>
      <x:c r="B4192" s="2" t="str">
        <x:v>food_export_share</x:v>
      </x:c>
      <x:c r="C4192" s="2" t="n">
        <x:v>68.9738203752192</x:v>
      </x:c>
      <x:c r="D4192" s="2" t="n">
        <x:v>2025</x:v>
      </x:c>
      <x:c r="E4192" s="2" t="str">
        <x:v>WB_food_export_share</x:v>
      </x:c>
      <x:c r="F4192" s="2" t="str">
        <x:v>Food exports (% of merchandise exports)</x:v>
      </x:c>
    </x:row>
    <x:row r="4193" ht="44" customHeight="1">
      <x:c r="A4193" s="2" t="str">
        <x:v>NZL</x:v>
      </x:c>
      <x:c r="B4193" s="2" t="str">
        <x:v>imports_usd</x:v>
      </x:c>
      <x:c r="C4193" s="2" t="n">
        <x:v>47552000000</x:v>
      </x:c>
      <x:c r="D4193" s="2" t="n">
        <x:v>2025</x:v>
      </x:c>
      <x:c r="E4193" s="2" t="str">
        <x:v>WB_imports_usd</x:v>
      </x:c>
      <x:c r="F4193" s="2" t="str">
        <x:v>Merchandise imports (current US$)</x:v>
      </x:c>
    </x:row>
    <x:row r="4194" ht="44" customHeight="1">
      <x:c r="A4194" s="2" t="str">
        <x:v>NZL</x:v>
      </x:c>
      <x:c r="B4194" s="2" t="str">
        <x:v>exports_usd</x:v>
      </x:c>
      <x:c r="C4194" s="2" t="n">
        <x:v>46699000000</x:v>
      </x:c>
      <x:c r="D4194" s="2" t="n">
        <x:v>2025</x:v>
      </x:c>
      <x:c r="E4194" s="2" t="str">
        <x:v>WB_exports_usd</x:v>
      </x:c>
      <x:c r="F4194" s="2" t="str">
        <x:v>Merchandise exports (current US$)</x:v>
      </x:c>
    </x:row>
    <x:row r="4195" ht="44" customHeight="1">
      <x:c r="A4195" s="2" t="str">
        <x:v>NZL</x:v>
      </x:c>
      <x:c r="B4195" s="2" t="str">
        <x:v>cereal_yield</x:v>
      </x:c>
      <x:c r="C4195" s="2" t="n">
        <x:v>9101.9</x:v>
      </x:c>
      <x:c r="D4195" s="2" t="n">
        <x:v>2024</x:v>
      </x:c>
      <x:c r="E4195" s="2" t="str">
        <x:v>WB_cereal_yield</x:v>
      </x:c>
      <x:c r="F4195" s="2" t="str">
        <x:v>Cereal yield (kg per hectare)</x:v>
      </x:c>
    </x:row>
    <x:row r="4196" ht="44" customHeight="1">
      <x:c r="A4196" s="2" t="str">
        <x:v>NZL</x:v>
      </x:c>
      <x:c r="B4196" s="2" t="str">
        <x:v>water_stress</x:v>
      </x:c>
      <x:c r="C4196" s="2" t="n">
        <x:v>8.04808476</x:v>
      </x:c>
      <x:c r="D4196" s="2" t="n">
        <x:v>2022</x:v>
      </x:c>
      <x:c r="E4196" s="2" t="str">
        <x:v>WB_water_stress</x:v>
      </x:c>
      <x:c r="F4196" s="2" t="str">
        <x:v>Level of water stress: freshwater withdrawal as a proportion of available freshwater resources</x:v>
      </x:c>
    </x:row>
    <x:row r="4197" ht="44" customHeight="1">
      <x:c r="A4197" s="2" t="str">
        <x:v>NZL</x:v>
      </x:c>
      <x:c r="B4197" s="2" t="str">
        <x:v>fertility</x:v>
      </x:c>
      <x:c r="C4197" s="2" t="n">
        <x:v>1.57</x:v>
      </x:c>
      <x:c r="D4197" s="2" t="n">
        <x:v>2024</x:v>
      </x:c>
      <x:c r="E4197" s="2" t="str">
        <x:v>WB_fertility</x:v>
      </x:c>
      <x:c r="F4197" s="2" t="str">
        <x:v>Fertility rate, total (births per woman)</x:v>
      </x:c>
    </x:row>
    <x:row r="4198" ht="44" customHeight="1">
      <x:c r="A4198" s="2" t="str">
        <x:v>NZL</x:v>
      </x:c>
      <x:c r="B4198" s="2" t="str">
        <x:v>life_expectancy</x:v>
      </x:c>
      <x:c r="C4198" s="2" t="n">
        <x:v>82.009756097561</x:v>
      </x:c>
      <x:c r="D4198" s="2" t="n">
        <x:v>2024</x:v>
      </x:c>
      <x:c r="E4198" s="2" t="str">
        <x:v>WB_life_expectancy</x:v>
      </x:c>
      <x:c r="F4198" s="2" t="str">
        <x:v>Life expectancy at birth, total (years)</x:v>
      </x:c>
    </x:row>
    <x:row r="4199" ht="44" customHeight="1">
      <x:c r="A4199" s="2" t="str">
        <x:v>NZL</x:v>
      </x:c>
      <x:c r="B4199" s="2" t="str">
        <x:v>age_under15</x:v>
      </x:c>
      <x:c r="C4199" s="2" t="n">
        <x:v>17.877542961127</x:v>
      </x:c>
      <x:c r="D4199" s="2" t="n">
        <x:v>2025</x:v>
      </x:c>
      <x:c r="E4199" s="2" t="str">
        <x:v>WB_age_under15</x:v>
      </x:c>
      <x:c r="F4199" s="2" t="str">
        <x:v>Population ages 0-14 (% of total population)</x:v>
      </x:c>
    </x:row>
    <x:row r="4200" ht="44" customHeight="1">
      <x:c r="A4200" s="2" t="str">
        <x:v>NZL</x:v>
      </x:c>
      <x:c r="B4200" s="2" t="str">
        <x:v>age_over65</x:v>
      </x:c>
      <x:c r="C4200" s="2" t="n">
        <x:v>17.6093066526984</x:v>
      </x:c>
      <x:c r="D4200" s="2" t="n">
        <x:v>2025</x:v>
      </x:c>
      <x:c r="E4200" s="2" t="str">
        <x:v>WB_age_over65</x:v>
      </x:c>
      <x:c r="F4200" s="2" t="str">
        <x:v>Population ages 65 and above (% of total population)</x:v>
      </x:c>
    </x:row>
    <x:row r="4201" ht="44" customHeight="1">
      <x:c r="A4201" s="2" t="str">
        <x:v>NZL</x:v>
      </x:c>
      <x:c r="B4201" s="2" t="str">
        <x:v>dependency_ratio</x:v>
      </x:c>
      <x:c r="C4201" s="2" t="n">
        <x:v>55.0071729412436</x:v>
      </x:c>
      <x:c r="D4201" s="2" t="n">
        <x:v>2025</x:v>
      </x:c>
      <x:c r="E4201" s="2" t="str">
        <x:v>WB_dependency_ratio</x:v>
      </x:c>
      <x:c r="F4201" s="2" t="str">
        <x:v>Age dependency ratio (% of working-age population)</x:v>
      </x:c>
    </x:row>
    <x:row r="4202" ht="44" customHeight="1">
      <x:c r="A4202" s="2" t="str">
        <x:v>NZL</x:v>
      </x:c>
      <x:c r="B4202" s="2" t="str">
        <x:v>net_migration</x:v>
      </x:c>
      <x:c r="C4202" s="2" t="n">
        <x:v>17403</x:v>
      </x:c>
      <x:c r="D4202" s="2" t="n">
        <x:v>2025</x:v>
      </x:c>
      <x:c r="E4202" s="2" t="str">
        <x:v>WB_net_migration</x:v>
      </x:c>
      <x:c r="F4202" s="2" t="str">
        <x:v>Net migration</x:v>
      </x:c>
    </x:row>
    <x:row r="4203" ht="44" customHeight="1">
      <x:c r="A4203" s="2" t="str">
        <x:v>NZL</x:v>
      </x:c>
      <x:c r="B4203" s="2" t="str">
        <x:v>real_gdp</x:v>
      </x:c>
      <x:c r="C4203" s="2" t="n">
        <x:v>220101916574.919</x:v>
      </x:c>
      <x:c r="D4203" s="2" t="n">
        <x:v>2025</x:v>
      </x:c>
      <x:c r="E4203" s="2" t="str">
        <x:v>WB_real_gdp</x:v>
      </x:c>
      <x:c r="F4203" s="2" t="str">
        <x:v>GDP (constant 2015 US$)</x:v>
      </x:c>
    </x:row>
    <x:row r="4204" ht="44" customHeight="1">
      <x:c r="A4204" s="2" t="str">
        <x:v>NZL</x:v>
      </x:c>
      <x:c r="B4204" s="2" t="str">
        <x:v>gdp_growth</x:v>
      </x:c>
      <x:c r="C4204" s="2" t="n">
        <x:v>0.462871830681081</x:v>
      </x:c>
      <x:c r="D4204" s="2" t="n">
        <x:v>2025</x:v>
      </x:c>
      <x:c r="E4204" s="2" t="str">
        <x:v>WB_gdp_growth</x:v>
      </x:c>
      <x:c r="F4204" s="2" t="str">
        <x:v>GDP growth (annual %)</x:v>
      </x:c>
    </x:row>
    <x:row r="4205" ht="44" customHeight="1">
      <x:c r="A4205" s="2" t="str">
        <x:v>NZL</x:v>
      </x:c>
      <x:c r="B4205" s="2" t="str">
        <x:v>real_income</x:v>
      </x:c>
      <x:c r="C4205" s="2" t="n">
        <x:v>41336.0220434801</x:v>
      </x:c>
      <x:c r="D4205" s="2" t="n">
        <x:v>2025</x:v>
      </x:c>
      <x:c r="E4205" s="2" t="str">
        <x:v>WB_real_income</x:v>
      </x:c>
      <x:c r="F4205" s="2" t="str">
        <x:v>GDP per capita (constant 2015 US$)</x:v>
      </x:c>
    </x:row>
    <x:row r="4206" ht="44" customHeight="1">
      <x:c r="A4206" s="2" t="str">
        <x:v>NZL</x:v>
      </x:c>
      <x:c r="B4206" s="2" t="str">
        <x:v>agriculture_gdp</x:v>
      </x:c>
      <x:c r="C4206" s="2" t="n">
        <x:v>4.00852725247614</x:v>
      </x:c>
      <x:c r="D4206" s="2" t="n">
        <x:v>2023</x:v>
      </x:c>
      <x:c r="E4206" s="2" t="str">
        <x:v>WB_agriculture_gdp</x:v>
      </x:c>
      <x:c r="F4206" s="2" t="str">
        <x:v>Agriculture, forestry, and fishing, value added (% of GDP)</x:v>
      </x:c>
    </x:row>
    <x:row r="4207" ht="44" customHeight="1">
      <x:c r="A4207" s="2" t="str">
        <x:v>NZL</x:v>
      </x:c>
      <x:c r="B4207" s="2" t="str">
        <x:v>poverty</x:v>
      </x:c>
      <x:c r="C4207" s="2"/>
      <x:c r="D4207" s="2"/>
      <x:c r="E4207" s="2" t="str">
        <x:v>Missing</x:v>
      </x:c>
      <x:c r="F4207" s="2" t="str">
        <x:v>Poverty headcount ratio at $3.00 a day (2021 PPP) (% of population)</x:v>
      </x:c>
    </x:row>
    <x:row r="4208" ht="44" customHeight="1">
      <x:c r="A4208" s="2" t="str">
        <x:v>NZL</x:v>
      </x:c>
      <x:c r="B4208" s="2" t="str">
        <x:v>gini</x:v>
      </x:c>
      <x:c r="C4208" s="2"/>
      <x:c r="D4208" s="2"/>
      <x:c r="E4208" s="2" t="str">
        <x:v>Missing</x:v>
      </x:c>
      <x:c r="F4208" s="2" t="str">
        <x:v>Gini index</x:v>
      </x:c>
    </x:row>
    <x:row r="4209" ht="44" customHeight="1">
      <x:c r="A4209" s="2" t="str">
        <x:v>NZL</x:v>
      </x:c>
      <x:c r="B4209" s="2" t="str">
        <x:v>unemployment</x:v>
      </x:c>
      <x:c r="C4209" s="2" t="n">
        <x:v>5.076</x:v>
      </x:c>
      <x:c r="D4209" s="2" t="n">
        <x:v>2025</x:v>
      </x:c>
      <x:c r="E4209" s="2" t="str">
        <x:v>WB_unemployment</x:v>
      </x:c>
      <x:c r="F4209" s="2" t="str">
        <x:v>Unemployment, total (% of total labor force) (modeled ILO estimate)</x:v>
      </x:c>
    </x:row>
    <x:row r="4210" ht="44" customHeight="1">
      <x:c r="A4210" s="2" t="str">
        <x:v>NZL</x:v>
      </x:c>
      <x:c r="B4210" s="2" t="str">
        <x:v>private_credit</x:v>
      </x:c>
      <x:c r="C4210" s="2" t="n">
        <x:v>143.378735977163</x:v>
      </x:c>
      <x:c r="D4210" s="2" t="n">
        <x:v>2025</x:v>
      </x:c>
      <x:c r="E4210" s="2" t="str">
        <x:v>WB_private_credit</x:v>
      </x:c>
      <x:c r="F4210" s="2" t="str">
        <x:v>Domestic credit to private sector (% of GDP)</x:v>
      </x:c>
    </x:row>
    <x:row r="4211" ht="44" customHeight="1">
      <x:c r="A4211" s="2" t="str">
        <x:v>NZL</x:v>
      </x:c>
      <x:c r="B4211" s="2" t="str">
        <x:v>lending_rate</x:v>
      </x:c>
      <x:c r="C4211" s="2" t="n">
        <x:v>4.76</x:v>
      </x:c>
      <x:c r="D4211" s="2" t="n">
        <x:v>2017</x:v>
      </x:c>
      <x:c r="E4211" s="2" t="str">
        <x:v>WB_lending_rate</x:v>
      </x:c>
      <x:c r="F4211" s="2" t="str">
        <x:v>Lending interest rate (%)</x:v>
      </x:c>
    </x:row>
    <x:row r="4212" ht="44" customHeight="1">
      <x:c r="A4212" s="2" t="str">
        <x:v>NZL</x:v>
      </x:c>
      <x:c r="B4212" s="2" t="str">
        <x:v>real_interest</x:v>
      </x:c>
      <x:c r="C4212" s="2" t="n">
        <x:v>1.06974449104437</x:v>
      </x:c>
      <x:c r="D4212" s="2" t="n">
        <x:v>2017</x:v>
      </x:c>
      <x:c r="E4212" s="2" t="str">
        <x:v>WB_real_interest</x:v>
      </x:c>
      <x:c r="F4212" s="2" t="str">
        <x:v>Real interest rate (%)</x:v>
      </x:c>
    </x:row>
    <x:row r="4213" ht="44" customHeight="1">
      <x:c r="A4213" s="2" t="str">
        <x:v>NZL</x:v>
      </x:c>
      <x:c r="B4213" s="2" t="str">
        <x:v>government_debt</x:v>
      </x:c>
      <x:c r="C4213" s="2" t="n">
        <x:v>51.9851333336419</x:v>
      </x:c>
      <x:c r="D4213" s="2" t="n">
        <x:v>2024</x:v>
      </x:c>
      <x:c r="E4213" s="2" t="str">
        <x:v>WB_government_debt</x:v>
      </x:c>
      <x:c r="F4213" s="2" t="str">
        <x:v>Central government debt, total (% of GDP)</x:v>
      </x:c>
    </x:row>
    <x:row r="4214" ht="44" customHeight="1">
      <x:c r="A4214" s="2" t="str">
        <x:v>NZL</x:v>
      </x:c>
      <x:c r="B4214" s="2" t="str">
        <x:v>electricity_access</x:v>
      </x:c>
      <x:c r="C4214" s="2" t="n">
        <x:v>100</x:v>
      </x:c>
      <x:c r="D4214" s="2" t="n">
        <x:v>2024</x:v>
      </x:c>
      <x:c r="E4214" s="2" t="str">
        <x:v>WB_electricity_access</x:v>
      </x:c>
      <x:c r="F4214" s="2" t="str">
        <x:v>Access to electricity (% of population)</x:v>
      </x:c>
    </x:row>
    <x:row r="4215" ht="44" customHeight="1">
      <x:c r="A4215" s="2" t="str">
        <x:v>NZL</x:v>
      </x:c>
      <x:c r="B4215" s="2" t="str">
        <x:v>irrigated_land</x:v>
      </x:c>
      <x:c r="C4215" s="2" t="n">
        <x:v>6.29722921914358</x:v>
      </x:c>
      <x:c r="D4215" s="2" t="n">
        <x:v>2014</x:v>
      </x:c>
      <x:c r="E4215" s="2" t="str">
        <x:v>WB_irrigated_land</x:v>
      </x:c>
      <x:c r="F4215" s="2" t="str">
        <x:v>Agricultural irrigated land (% of total agricultural land)</x:v>
      </x:c>
    </x:row>
    <x:row r="4216" ht="44" customHeight="1">
      <x:c r="A4216" s="2" t="str">
        <x:v>NZL</x:v>
      </x:c>
      <x:c r="B4216" s="2" t="str">
        <x:v>cereal_area</x:v>
      </x:c>
      <x:c r="C4216" s="2" t="n">
        <x:v>121170</x:v>
      </x:c>
      <x:c r="D4216" s="2" t="n">
        <x:v>2024</x:v>
      </x:c>
      <x:c r="E4216" s="2" t="str">
        <x:v>WB_cereal_area</x:v>
      </x:c>
      <x:c r="F4216" s="2" t="str">
        <x:v>Land under cereal production (hectares)</x:v>
      </x:c>
    </x:row>
    <x:row r="4217" ht="44" customHeight="1">
      <x:c r="A4217" s="2" t="str">
        <x:v>NZL</x:v>
      </x:c>
      <x:c r="B4217" s="2" t="str">
        <x:v>undernourishment</x:v>
      </x:c>
      <x:c r="C4217" s="2" t="n">
        <x:v>2.5</x:v>
      </x:c>
      <x:c r="D4217" s="2" t="n">
        <x:v>2023</x:v>
      </x:c>
      <x:c r="E4217" s="2" t="str">
        <x:v>WB_undernourishment</x:v>
      </x:c>
      <x:c r="F4217" s="2" t="str">
        <x:v>Prevalence of undernourishment (% of population)</x:v>
      </x:c>
    </x:row>
    <x:row r="4218" ht="44" customHeight="1">
      <x:c r="A4218" s="2" t="str">
        <x:v>NZL</x:v>
      </x:c>
      <x:c r="B4218" s="2" t="str">
        <x:v>agriculture_employment</x:v>
      </x:c>
      <x:c r="C4218" s="2" t="n">
        <x:v>5.41826375579813</x:v>
      </x:c>
      <x:c r="D4218" s="2" t="n">
        <x:v>2025</x:v>
      </x:c>
      <x:c r="E4218" s="2" t="str">
        <x:v>WB_agriculture_employment</x:v>
      </x:c>
      <x:c r="F4218" s="2" t="str">
        <x:v>Employment in agriculture (% of total employment) (modeled ILO estimate)</x:v>
      </x:c>
    </x:row>
    <x:row r="4219" ht="44" customHeight="1">
      <x:c r="A4219" s="2" t="str">
        <x:v>NZL</x:v>
      </x:c>
      <x:c r="B4219" s="2" t="str">
        <x:v>water_withdrawal</x:v>
      </x:c>
      <x:c r="C4219" s="2" t="n">
        <x:v>3.01987767584098</x:v>
      </x:c>
      <x:c r="D4219" s="2" t="n">
        <x:v>2022</x:v>
      </x:c>
      <x:c r="E4219" s="2" t="str">
        <x:v>WB_water_withdrawal</x:v>
      </x:c>
      <x:c r="F4219" s="2" t="str">
        <x:v>Annual freshwater withdrawals, total (% of internal resources)</x:v>
      </x:c>
    </x:row>
    <x:row r="4220" ht="44" customHeight="1">
      <x:c r="A4220" s="2" t="str">
        <x:v>NIC</x:v>
      </x:c>
      <x:c r="B4220" s="2" t="str">
        <x:v>population</x:v>
      </x:c>
      <x:c r="C4220" s="2" t="n">
        <x:v>7007502</x:v>
      </x:c>
      <x:c r="D4220" s="2" t="n">
        <x:v>2025</x:v>
      </x:c>
      <x:c r="E4220" s="2" t="str">
        <x:v>WB_population</x:v>
      </x:c>
      <x:c r="F4220" s="2" t="str">
        <x:v>Population, total</x:v>
      </x:c>
    </x:row>
    <x:row r="4221" ht="44" customHeight="1">
      <x:c r="A4221" s="2" t="str">
        <x:v>NIC</x:v>
      </x:c>
      <x:c r="B4221" s="2" t="str">
        <x:v>income_ppp</x:v>
      </x:c>
      <x:c r="C4221" s="2" t="n">
        <x:v>7933.48888006412</x:v>
      </x:c>
      <x:c r="D4221" s="2" t="n">
        <x:v>2025</x:v>
      </x:c>
      <x:c r="E4221" s="2" t="str">
        <x:v>WB_income_ppp</x:v>
      </x:c>
      <x:c r="F4221" s="2" t="str">
        <x:v>GDP per capita, PPP (constant 2021 international $)</x:v>
      </x:c>
    </x:row>
    <x:row r="4222" ht="44" customHeight="1">
      <x:c r="A4222" s="2" t="str">
        <x:v>NIC</x:v>
      </x:c>
      <x:c r="B4222" s="2" t="str">
        <x:v>urban</x:v>
      </x:c>
      <x:c r="C4222" s="2" t="n">
        <x:v>59.4435892957332</x:v>
      </x:c>
      <x:c r="D4222" s="2" t="n">
        <x:v>2025</x:v>
      </x:c>
      <x:c r="E4222" s="2" t="str">
        <x:v>WB_urban</x:v>
      </x:c>
      <x:c r="F4222" s="2" t="str">
        <x:v>Urban population (% of total population)</x:v>
      </x:c>
    </x:row>
    <x:row r="4223" ht="44" customHeight="1">
      <x:c r="A4223" s="2" t="str">
        <x:v>NIC</x:v>
      </x:c>
      <x:c r="B4223" s="2" t="str">
        <x:v>inflation</x:v>
      </x:c>
      <x:c r="C4223" s="2" t="n">
        <x:v>2.08132127098376</x:v>
      </x:c>
      <x:c r="D4223" s="2" t="n">
        <x:v>2025</x:v>
      </x:c>
      <x:c r="E4223" s="2" t="str">
        <x:v>WB_inflation</x:v>
      </x:c>
      <x:c r="F4223" s="2" t="str">
        <x:v>Inflation, consumer prices (annual %)</x:v>
      </x:c>
    </x:row>
    <x:row r="4224" ht="44" customHeight="1">
      <x:c r="A4224" s="2" t="str">
        <x:v>NIC</x:v>
      </x:c>
      <x:c r="B4224" s="2" t="str">
        <x:v>food_index</x:v>
      </x:c>
      <x:c r="C4224" s="2" t="n">
        <x:v>127.92</x:v>
      </x:c>
      <x:c r="D4224" s="2" t="n">
        <x:v>2022</x:v>
      </x:c>
      <x:c r="E4224" s="2" t="str">
        <x:v>WB_food_index</x:v>
      </x:c>
      <x:c r="F4224" s="2" t="str">
        <x:v>Food production index (2014-2016 = 100)</x:v>
      </x:c>
    </x:row>
    <x:row r="4225" ht="44" customHeight="1">
      <x:c r="A4225" s="2" t="str">
        <x:v>NIC</x:v>
      </x:c>
      <x:c r="B4225" s="2" t="str">
        <x:v>food_import_share</x:v>
      </x:c>
      <x:c r="C4225" s="2" t="n">
        <x:v>16.5560449745071</x:v>
      </x:c>
      <x:c r="D4225" s="2" t="n">
        <x:v>2024</x:v>
      </x:c>
      <x:c r="E4225" s="2" t="str">
        <x:v>WB_food_import_share</x:v>
      </x:c>
      <x:c r="F4225" s="2" t="str">
        <x:v>Food imports (% of merchandise imports)</x:v>
      </x:c>
    </x:row>
    <x:row r="4226" ht="44" customHeight="1">
      <x:c r="A4226" s="2" t="str">
        <x:v>NIC</x:v>
      </x:c>
      <x:c r="B4226" s="2" t="str">
        <x:v>food_export_share</x:v>
      </x:c>
      <x:c r="C4226" s="2" t="n">
        <x:v>42.5897840391538</x:v>
      </x:c>
      <x:c r="D4226" s="2" t="n">
        <x:v>2024</x:v>
      </x:c>
      <x:c r="E4226" s="2" t="str">
        <x:v>WB_food_export_share</x:v>
      </x:c>
      <x:c r="F4226" s="2" t="str">
        <x:v>Food exports (% of merchandise exports)</x:v>
      </x:c>
    </x:row>
    <x:row r="4227" ht="44" customHeight="1">
      <x:c r="A4227" s="2" t="str">
        <x:v>NIC</x:v>
      </x:c>
      <x:c r="B4227" s="2" t="str">
        <x:v>imports_usd</x:v>
      </x:c>
      <x:c r="C4227" s="2" t="n">
        <x:v>12432000000</x:v>
      </x:c>
      <x:c r="D4227" s="2" t="n">
        <x:v>2025</x:v>
      </x:c>
      <x:c r="E4227" s="2" t="str">
        <x:v>WB_imports_usd</x:v>
      </x:c>
      <x:c r="F4227" s="2" t="str">
        <x:v>Merchandise imports (current US$)</x:v>
      </x:c>
    </x:row>
    <x:row r="4228" ht="44" customHeight="1">
      <x:c r="A4228" s="2" t="str">
        <x:v>NIC</x:v>
      </x:c>
      <x:c r="B4228" s="2" t="str">
        <x:v>exports_usd</x:v>
      </x:c>
      <x:c r="C4228" s="2" t="n">
        <x:v>8893000000</x:v>
      </x:c>
      <x:c r="D4228" s="2" t="n">
        <x:v>2025</x:v>
      </x:c>
      <x:c r="E4228" s="2" t="str">
        <x:v>WB_exports_usd</x:v>
      </x:c>
      <x:c r="F4228" s="2" t="str">
        <x:v>Merchandise exports (current US$)</x:v>
      </x:c>
    </x:row>
    <x:row r="4229" ht="44" customHeight="1">
      <x:c r="A4229" s="2" t="str">
        <x:v>NIC</x:v>
      </x:c>
      <x:c r="B4229" s="2" t="str">
        <x:v>cereal_yield</x:v>
      </x:c>
      <x:c r="C4229" s="2" t="n">
        <x:v>2515.3</x:v>
      </x:c>
      <x:c r="D4229" s="2" t="n">
        <x:v>2023</x:v>
      </x:c>
      <x:c r="E4229" s="2" t="str">
        <x:v>WB_cereal_yield</x:v>
      </x:c>
      <x:c r="F4229" s="2" t="str">
        <x:v>Cereal yield (kg per hectare)</x:v>
      </x:c>
    </x:row>
    <x:row r="4230" ht="44" customHeight="1">
      <x:c r="A4230" s="2" t="str">
        <x:v>NIC</x:v>
      </x:c>
      <x:c r="B4230" s="2" t="str">
        <x:v>water_stress</x:v>
      </x:c>
      <x:c r="C4230" s="2" t="n">
        <x:v>2.220900209</x:v>
      </x:c>
      <x:c r="D4230" s="2" t="n">
        <x:v>2022</x:v>
      </x:c>
      <x:c r="E4230" s="2" t="str">
        <x:v>WB_water_stress</x:v>
      </x:c>
      <x:c r="F4230" s="2" t="str">
        <x:v>Level of water stress: freshwater withdrawal as a proportion of available freshwater resources</x:v>
      </x:c>
    </x:row>
    <x:row r="4231" ht="44" customHeight="1">
      <x:c r="A4231" s="2" t="str">
        <x:v>NIC</x:v>
      </x:c>
      <x:c r="B4231" s="2" t="str">
        <x:v>fertility</x:v>
      </x:c>
      <x:c r="C4231" s="2" t="n">
        <x:v>2.206</x:v>
      </x:c>
      <x:c r="D4231" s="2" t="n">
        <x:v>2024</x:v>
      </x:c>
      <x:c r="E4231" s="2" t="str">
        <x:v>WB_fertility</x:v>
      </x:c>
      <x:c r="F4231" s="2" t="str">
        <x:v>Fertility rate, total (births per woman)</x:v>
      </x:c>
    </x:row>
    <x:row r="4232" ht="44" customHeight="1">
      <x:c r="A4232" s="2" t="str">
        <x:v>NIC</x:v>
      </x:c>
      <x:c r="B4232" s="2" t="str">
        <x:v>life_expectancy</x:v>
      </x:c>
      <x:c r="C4232" s="2" t="n">
        <x:v>75.1</x:v>
      </x:c>
      <x:c r="D4232" s="2" t="n">
        <x:v>2024</x:v>
      </x:c>
      <x:c r="E4232" s="2" t="str">
        <x:v>WB_life_expectancy</x:v>
      </x:c>
      <x:c r="F4232" s="2" t="str">
        <x:v>Life expectancy at birth, total (years)</x:v>
      </x:c>
    </x:row>
    <x:row r="4233" ht="44" customHeight="1">
      <x:c r="A4233" s="2" t="str">
        <x:v>NIC</x:v>
      </x:c>
      <x:c r="B4233" s="2" t="str">
        <x:v>age_under15</x:v>
      </x:c>
      <x:c r="C4233" s="2" t="n">
        <x:v>28.3126497859009</x:v>
      </x:c>
      <x:c r="D4233" s="2" t="n">
        <x:v>2025</x:v>
      </x:c>
      <x:c r="E4233" s="2" t="str">
        <x:v>WB_age_under15</x:v>
      </x:c>
      <x:c r="F4233" s="2" t="str">
        <x:v>Population ages 0-14 (% of total population)</x:v>
      </x:c>
    </x:row>
    <x:row r="4234" ht="44" customHeight="1">
      <x:c r="A4234" s="2" t="str">
        <x:v>NIC</x:v>
      </x:c>
      <x:c r="B4234" s="2" t="str">
        <x:v>age_over65</x:v>
      </x:c>
      <x:c r="C4234" s="2" t="n">
        <x:v>5.69755099606108</x:v>
      </x:c>
      <x:c r="D4234" s="2" t="n">
        <x:v>2025</x:v>
      </x:c>
      <x:c r="E4234" s="2" t="str">
        <x:v>WB_age_over65</x:v>
      </x:c>
      <x:c r="F4234" s="2" t="str">
        <x:v>Population ages 65 and above (% of total population)</x:v>
      </x:c>
    </x:row>
    <x:row r="4235" ht="44" customHeight="1">
      <x:c r="A4235" s="2" t="str">
        <x:v>NIC</x:v>
      </x:c>
      <x:c r="B4235" s="2" t="str">
        <x:v>dependency_ratio</x:v>
      </x:c>
      <x:c r="C4235" s="2" t="n">
        <x:v>51.538589293453</x:v>
      </x:c>
      <x:c r="D4235" s="2" t="n">
        <x:v>2025</x:v>
      </x:c>
      <x:c r="E4235" s="2" t="str">
        <x:v>WB_dependency_ratio</x:v>
      </x:c>
      <x:c r="F4235" s="2" t="str">
        <x:v>Age dependency ratio (% of working-age population)</x:v>
      </x:c>
    </x:row>
    <x:row r="4236" ht="44" customHeight="1">
      <x:c r="A4236" s="2" t="str">
        <x:v>NIC</x:v>
      </x:c>
      <x:c r="B4236" s="2" t="str">
        <x:v>net_migration</x:v>
      </x:c>
      <x:c r="C4236" s="2" t="n">
        <x:v>-8371</x:v>
      </x:c>
      <x:c r="D4236" s="2" t="n">
        <x:v>2025</x:v>
      </x:c>
      <x:c r="E4236" s="2" t="str">
        <x:v>WB_net_migration</x:v>
      </x:c>
      <x:c r="F4236" s="2" t="str">
        <x:v>Net migration</x:v>
      </x:c>
    </x:row>
    <x:row r="4237" ht="44" customHeight="1">
      <x:c r="A4237" s="2" t="str">
        <x:v>NIC</x:v>
      </x:c>
      <x:c r="B4237" s="2" t="str">
        <x:v>real_gdp</x:v>
      </x:c>
      <x:c r="C4237" s="2" t="n">
        <x:v>16620068188.7789</x:v>
      </x:c>
      <x:c r="D4237" s="2" t="n">
        <x:v>2025</x:v>
      </x:c>
      <x:c r="E4237" s="2" t="str">
        <x:v>WB_real_gdp</x:v>
      </x:c>
      <x:c r="F4237" s="2" t="str">
        <x:v>GDP (constant 2015 US$)</x:v>
      </x:c>
    </x:row>
    <x:row r="4238" ht="44" customHeight="1">
      <x:c r="A4238" s="2" t="str">
        <x:v>NIC</x:v>
      </x:c>
      <x:c r="B4238" s="2" t="str">
        <x:v>gdp_growth</x:v>
      </x:c>
      <x:c r="C4238" s="2" t="n">
        <x:v>4.92352556770889</x:v>
      </x:c>
      <x:c r="D4238" s="2" t="n">
        <x:v>2025</x:v>
      </x:c>
      <x:c r="E4238" s="2" t="str">
        <x:v>WB_gdp_growth</x:v>
      </x:c>
      <x:c r="F4238" s="2" t="str">
        <x:v>GDP growth (annual %)</x:v>
      </x:c>
    </x:row>
    <x:row r="4239" ht="44" customHeight="1">
      <x:c r="A4239" s="2" t="str">
        <x:v>NIC</x:v>
      </x:c>
      <x:c r="B4239" s="2" t="str">
        <x:v>real_income</x:v>
      </x:c>
      <x:c r="C4239" s="2" t="n">
        <x:v>2371.75361331026</x:v>
      </x:c>
      <x:c r="D4239" s="2" t="n">
        <x:v>2025</x:v>
      </x:c>
      <x:c r="E4239" s="2" t="str">
        <x:v>WB_real_income</x:v>
      </x:c>
      <x:c r="F4239" s="2" t="str">
        <x:v>GDP per capita (constant 2015 US$)</x:v>
      </x:c>
    </x:row>
    <x:row r="4240" ht="44" customHeight="1">
      <x:c r="A4240" s="2" t="str">
        <x:v>NIC</x:v>
      </x:c>
      <x:c r="B4240" s="2" t="str">
        <x:v>agriculture_gdp</x:v>
      </x:c>
      <x:c r="C4240" s="2" t="n">
        <x:v>14.4770158430143</x:v>
      </x:c>
      <x:c r="D4240" s="2" t="n">
        <x:v>2025</x:v>
      </x:c>
      <x:c r="E4240" s="2" t="str">
        <x:v>WB_agriculture_gdp</x:v>
      </x:c>
      <x:c r="F4240" s="2" t="str">
        <x:v>Agriculture, forestry, and fishing, value added (% of GDP)</x:v>
      </x:c>
    </x:row>
    <x:row r="4241" ht="44" customHeight="1">
      <x:c r="A4241" s="2" t="str">
        <x:v>NIC</x:v>
      </x:c>
      <x:c r="B4241" s="2" t="str">
        <x:v>poverty</x:v>
      </x:c>
      <x:c r="C4241" s="2" t="n">
        <x:v>6.6</x:v>
      </x:c>
      <x:c r="D4241" s="2" t="n">
        <x:v>2014</x:v>
      </x:c>
      <x:c r="E4241" s="2" t="str">
        <x:v>WB_poverty</x:v>
      </x:c>
      <x:c r="F4241" s="2" t="str">
        <x:v>Poverty headcount ratio at $3.00 a day (2021 PPP) (% of population)</x:v>
      </x:c>
    </x:row>
    <x:row r="4242" ht="44" customHeight="1">
      <x:c r="A4242" s="2" t="str">
        <x:v>NIC</x:v>
      </x:c>
      <x:c r="B4242" s="2" t="str">
        <x:v>gini</x:v>
      </x:c>
      <x:c r="C4242" s="2" t="n">
        <x:v>46.2</x:v>
      </x:c>
      <x:c r="D4242" s="2" t="n">
        <x:v>2014</x:v>
      </x:c>
      <x:c r="E4242" s="2" t="str">
        <x:v>WB_gini</x:v>
      </x:c>
      <x:c r="F4242" s="2" t="str">
        <x:v>Gini index</x:v>
      </x:c>
    </x:row>
    <x:row r="4243" ht="44" customHeight="1">
      <x:c r="A4243" s="2" t="str">
        <x:v>NIC</x:v>
      </x:c>
      <x:c r="B4243" s="2" t="str">
        <x:v>unemployment</x:v>
      </x:c>
      <x:c r="C4243" s="2" t="n">
        <x:v>5.04</x:v>
      </x:c>
      <x:c r="D4243" s="2" t="n">
        <x:v>2025</x:v>
      </x:c>
      <x:c r="E4243" s="2" t="str">
        <x:v>WB_unemployment</x:v>
      </x:c>
      <x:c r="F4243" s="2" t="str">
        <x:v>Unemployment, total (% of total labor force) (modeled ILO estimate)</x:v>
      </x:c>
    </x:row>
    <x:row r="4244" ht="44" customHeight="1">
      <x:c r="A4244" s="2" t="str">
        <x:v>NIC</x:v>
      </x:c>
      <x:c r="B4244" s="2" t="str">
        <x:v>private_credit</x:v>
      </x:c>
      <x:c r="C4244" s="2" t="n">
        <x:v>32.3334560247707</x:v>
      </x:c>
      <x:c r="D4244" s="2" t="n">
        <x:v>2024</x:v>
      </x:c>
      <x:c r="E4244" s="2" t="str">
        <x:v>WB_private_credit</x:v>
      </x:c>
      <x:c r="F4244" s="2" t="str">
        <x:v>Domestic credit to private sector (% of GDP)</x:v>
      </x:c>
    </x:row>
    <x:row r="4245" ht="44" customHeight="1">
      <x:c r="A4245" s="2" t="str">
        <x:v>NIC</x:v>
      </x:c>
      <x:c r="B4245" s="2" t="str">
        <x:v>lending_rate</x:v>
      </x:c>
      <x:c r="C4245" s="2" t="n">
        <x:v>9.15609394352162</x:v>
      </x:c>
      <x:c r="D4245" s="2" t="n">
        <x:v>2025</x:v>
      </x:c>
      <x:c r="E4245" s="2" t="str">
        <x:v>WB_lending_rate</x:v>
      </x:c>
      <x:c r="F4245" s="2" t="str">
        <x:v>Lending interest rate (%)</x:v>
      </x:c>
    </x:row>
    <x:row r="4246" ht="44" customHeight="1">
      <x:c r="A4246" s="2" t="str">
        <x:v>NIC</x:v>
      </x:c>
      <x:c r="B4246" s="2" t="str">
        <x:v>real_interest</x:v>
      </x:c>
      <x:c r="C4246" s="2" t="n">
        <x:v>1.44398786492909</x:v>
      </x:c>
      <x:c r="D4246" s="2" t="n">
        <x:v>2025</x:v>
      </x:c>
      <x:c r="E4246" s="2" t="str">
        <x:v>WB_real_interest</x:v>
      </x:c>
      <x:c r="F4246" s="2" t="str">
        <x:v>Real interest rate (%)</x:v>
      </x:c>
    </x:row>
    <x:row r="4247" ht="44" customHeight="1">
      <x:c r="A4247" s="2" t="str">
        <x:v>NIC</x:v>
      </x:c>
      <x:c r="B4247" s="2" t="str">
        <x:v>government_debt</x:v>
      </x:c>
      <x:c r="C4247" s="2"/>
      <x:c r="D4247" s="2"/>
      <x:c r="E4247" s="2" t="str">
        <x:v>Missing</x:v>
      </x:c>
      <x:c r="F4247" s="2" t="str">
        <x:v>Central government debt, total (% of GDP)</x:v>
      </x:c>
    </x:row>
    <x:row r="4248" ht="44" customHeight="1">
      <x:c r="A4248" s="2" t="str">
        <x:v>NIC</x:v>
      </x:c>
      <x:c r="B4248" s="2" t="str">
        <x:v>electricity_access</x:v>
      </x:c>
      <x:c r="C4248" s="2" t="n">
        <x:v>88.7</x:v>
      </x:c>
      <x:c r="D4248" s="2" t="n">
        <x:v>2024</x:v>
      </x:c>
      <x:c r="E4248" s="2" t="str">
        <x:v>WB_electricity_access</x:v>
      </x:c>
      <x:c r="F4248" s="2" t="str">
        <x:v>Access to electricity (% of population)</x:v>
      </x:c>
    </x:row>
    <x:row r="4249" ht="44" customHeight="1">
      <x:c r="A4249" s="2" t="str">
        <x:v>NIC</x:v>
      </x:c>
      <x:c r="B4249" s="2" t="str">
        <x:v>irrigated_land</x:v>
      </x:c>
      <x:c r="C4249" s="2"/>
      <x:c r="D4249" s="2"/>
      <x:c r="E4249" s="2" t="str">
        <x:v>Missing</x:v>
      </x:c>
      <x:c r="F4249" s="2" t="str">
        <x:v>Agricultural irrigated land (% of total agricultural land)</x:v>
      </x:c>
    </x:row>
    <x:row r="4250" ht="44" customHeight="1">
      <x:c r="A4250" s="2" t="str">
        <x:v>NIC</x:v>
      </x:c>
      <x:c r="B4250" s="2" t="str">
        <x:v>cereal_area</x:v>
      </x:c>
      <x:c r="C4250" s="2" t="n">
        <x:v>350425</x:v>
      </x:c>
      <x:c r="D4250" s="2" t="n">
        <x:v>2023</x:v>
      </x:c>
      <x:c r="E4250" s="2" t="str">
        <x:v>WB_cereal_area</x:v>
      </x:c>
      <x:c r="F4250" s="2" t="str">
        <x:v>Land under cereal production (hectares)</x:v>
      </x:c>
    </x:row>
    <x:row r="4251" ht="44" customHeight="1">
      <x:c r="A4251" s="2" t="str">
        <x:v>NIC</x:v>
      </x:c>
      <x:c r="B4251" s="2" t="str">
        <x:v>undernourishment</x:v>
      </x:c>
      <x:c r="C4251" s="2" t="n">
        <x:v>17.3</x:v>
      </x:c>
      <x:c r="D4251" s="2" t="n">
        <x:v>2022</x:v>
      </x:c>
      <x:c r="E4251" s="2" t="str">
        <x:v>WB_undernourishment</x:v>
      </x:c>
      <x:c r="F4251" s="2" t="str">
        <x:v>Prevalence of undernourishment (% of population)</x:v>
      </x:c>
    </x:row>
    <x:row r="4252" ht="44" customHeight="1">
      <x:c r="A4252" s="2" t="str">
        <x:v>NIC</x:v>
      </x:c>
      <x:c r="B4252" s="2" t="str">
        <x:v>agriculture_employment</x:v>
      </x:c>
      <x:c r="C4252" s="2" t="n">
        <x:v>30.4723373460185</x:v>
      </x:c>
      <x:c r="D4252" s="2" t="n">
        <x:v>2025</x:v>
      </x:c>
      <x:c r="E4252" s="2" t="str">
        <x:v>WB_agriculture_employment</x:v>
      </x:c>
      <x:c r="F4252" s="2" t="str">
        <x:v>Employment in agriculture (% of total employment) (modeled ILO estimate)</x:v>
      </x:c>
    </x:row>
    <x:row r="4253" ht="44" customHeight="1">
      <x:c r="A4253" s="2" t="str">
        <x:v>NIC</x:v>
      </x:c>
      <x:c r="B4253" s="2" t="str">
        <x:v>water_withdrawal</x:v>
      </x:c>
      <x:c r="C4253" s="2" t="n">
        <x:v>0.814941425004801</x:v>
      </x:c>
      <x:c r="D4253" s="2" t="n">
        <x:v>2022</x:v>
      </x:c>
      <x:c r="E4253" s="2" t="str">
        <x:v>WB_water_withdrawal</x:v>
      </x:c>
      <x:c r="F4253" s="2" t="str">
        <x:v>Annual freshwater withdrawals, total (% of internal resources)</x:v>
      </x:c>
    </x:row>
    <x:row r="4254" ht="44" customHeight="1">
      <x:c r="A4254" s="2" t="str">
        <x:v>NER</x:v>
      </x:c>
      <x:c r="B4254" s="2" t="str">
        <x:v>population</x:v>
      </x:c>
      <x:c r="C4254" s="2" t="n">
        <x:v>27917831</x:v>
      </x:c>
      <x:c r="D4254" s="2" t="n">
        <x:v>2025</x:v>
      </x:c>
      <x:c r="E4254" s="2" t="str">
        <x:v>WB_population</x:v>
      </x:c>
      <x:c r="F4254" s="2" t="str">
        <x:v>Population, total</x:v>
      </x:c>
    </x:row>
    <x:row r="4255" ht="44" customHeight="1">
      <x:c r="A4255" s="2" t="str">
        <x:v>NER</x:v>
      </x:c>
      <x:c r="B4255" s="2" t="str">
        <x:v>income_ppp</x:v>
      </x:c>
      <x:c r="C4255" s="2" t="n">
        <x:v>1860.54858272608</x:v>
      </x:c>
      <x:c r="D4255" s="2" t="n">
        <x:v>2025</x:v>
      </x:c>
      <x:c r="E4255" s="2" t="str">
        <x:v>WB_income_ppp</x:v>
      </x:c>
      <x:c r="F4255" s="2" t="str">
        <x:v>GDP per capita, PPP (constant 2021 international $)</x:v>
      </x:c>
    </x:row>
    <x:row r="4256" ht="44" customHeight="1">
      <x:c r="A4256" s="2" t="str">
        <x:v>NER</x:v>
      </x:c>
      <x:c r="B4256" s="2" t="str">
        <x:v>urban</x:v>
      </x:c>
      <x:c r="C4256" s="2" t="n">
        <x:v>18.3740697195469</x:v>
      </x:c>
      <x:c r="D4256" s="2" t="n">
        <x:v>2025</x:v>
      </x:c>
      <x:c r="E4256" s="2" t="str">
        <x:v>WB_urban</x:v>
      </x:c>
      <x:c r="F4256" s="2" t="str">
        <x:v>Urban population (% of total population)</x:v>
      </x:c>
    </x:row>
    <x:row r="4257" ht="44" customHeight="1">
      <x:c r="A4257" s="2" t="str">
        <x:v>NER</x:v>
      </x:c>
      <x:c r="B4257" s="2" t="str">
        <x:v>inflation</x:v>
      </x:c>
      <x:c r="C4257" s="2" t="n">
        <x:v>-4.45470804102568</x:v>
      </x:c>
      <x:c r="D4257" s="2" t="n">
        <x:v>2025</x:v>
      </x:c>
      <x:c r="E4257" s="2" t="str">
        <x:v>WB_inflation</x:v>
      </x:c>
      <x:c r="F4257" s="2" t="str">
        <x:v>Inflation, consumer prices (annual %)</x:v>
      </x:c>
    </x:row>
    <x:row r="4258" ht="44" customHeight="1">
      <x:c r="A4258" s="2" t="str">
        <x:v>NER</x:v>
      </x:c>
      <x:c r="B4258" s="2" t="str">
        <x:v>food_index</x:v>
      </x:c>
      <x:c r="C4258" s="2" t="n">
        <x:v>132.61</x:v>
      </x:c>
      <x:c r="D4258" s="2" t="n">
        <x:v>2022</x:v>
      </x:c>
      <x:c r="E4258" s="2" t="str">
        <x:v>WB_food_index</x:v>
      </x:c>
      <x:c r="F4258" s="2" t="str">
        <x:v>Food production index (2014-2016 = 100)</x:v>
      </x:c>
    </x:row>
    <x:row r="4259" ht="44" customHeight="1">
      <x:c r="A4259" s="2" t="str">
        <x:v>NER</x:v>
      </x:c>
      <x:c r="B4259" s="2" t="str">
        <x:v>food_import_share</x:v>
      </x:c>
      <x:c r="C4259" s="2" t="n">
        <x:v>37.8943639006801</x:v>
      </x:c>
      <x:c r="D4259" s="2" t="n">
        <x:v>2024</x:v>
      </x:c>
      <x:c r="E4259" s="2" t="str">
        <x:v>WB_food_import_share</x:v>
      </x:c>
      <x:c r="F4259" s="2" t="str">
        <x:v>Food imports (% of merchandise imports)</x:v>
      </x:c>
    </x:row>
    <x:row r="4260" ht="44" customHeight="1">
      <x:c r="A4260" s="2" t="str">
        <x:v>NER</x:v>
      </x:c>
      <x:c r="B4260" s="2" t="str">
        <x:v>food_export_share</x:v>
      </x:c>
      <x:c r="C4260" s="2" t="n">
        <x:v>4.06596710875088</x:v>
      </x:c>
      <x:c r="D4260" s="2" t="n">
        <x:v>2024</x:v>
      </x:c>
      <x:c r="E4260" s="2" t="str">
        <x:v>WB_food_export_share</x:v>
      </x:c>
      <x:c r="F4260" s="2" t="str">
        <x:v>Food exports (% of merchandise exports)</x:v>
      </x:c>
    </x:row>
    <x:row r="4261" ht="44" customHeight="1">
      <x:c r="A4261" s="2" t="str">
        <x:v>NER</x:v>
      </x:c>
      <x:c r="B4261" s="2" t="str">
        <x:v>imports_usd</x:v>
      </x:c>
      <x:c r="C4261" s="2" t="n">
        <x:v>2700000000</x:v>
      </x:c>
      <x:c r="D4261" s="2" t="n">
        <x:v>2025</x:v>
      </x:c>
      <x:c r="E4261" s="2" t="str">
        <x:v>WB_imports_usd</x:v>
      </x:c>
      <x:c r="F4261" s="2" t="str">
        <x:v>Merchandise imports (current US$)</x:v>
      </x:c>
    </x:row>
    <x:row r="4262" ht="44" customHeight="1">
      <x:c r="A4262" s="2" t="str">
        <x:v>NER</x:v>
      </x:c>
      <x:c r="B4262" s="2" t="str">
        <x:v>exports_usd</x:v>
      </x:c>
      <x:c r="C4262" s="2" t="n">
        <x:v>1900000000</x:v>
      </x:c>
      <x:c r="D4262" s="2" t="n">
        <x:v>2025</x:v>
      </x:c>
      <x:c r="E4262" s="2" t="str">
        <x:v>WB_exports_usd</x:v>
      </x:c>
      <x:c r="F4262" s="2" t="str">
        <x:v>Merchandise exports (current US$)</x:v>
      </x:c>
    </x:row>
    <x:row r="4263" ht="44" customHeight="1">
      <x:c r="A4263" s="2" t="str">
        <x:v>NER</x:v>
      </x:c>
      <x:c r="B4263" s="2" t="str">
        <x:v>cereal_yield</x:v>
      </x:c>
      <x:c r="C4263" s="2" t="n">
        <x:v>577.4</x:v>
      </x:c>
      <x:c r="D4263" s="2" t="n">
        <x:v>2024</x:v>
      </x:c>
      <x:c r="E4263" s="2" t="str">
        <x:v>WB_cereal_yield</x:v>
      </x:c>
      <x:c r="F4263" s="2" t="str">
        <x:v>Cereal yield (kg per hectare)</x:v>
      </x:c>
    </x:row>
    <x:row r="4264" ht="44" customHeight="1">
      <x:c r="A4264" s="2" t="str">
        <x:v>NER</x:v>
      </x:c>
      <x:c r="B4264" s="2" t="str">
        <x:v>water_stress</x:v>
      </x:c>
      <x:c r="C4264" s="2" t="n">
        <x:v>11.02093771</x:v>
      </x:c>
      <x:c r="D4264" s="2" t="n">
        <x:v>2022</x:v>
      </x:c>
      <x:c r="E4264" s="2" t="str">
        <x:v>WB_water_stress</x:v>
      </x:c>
      <x:c r="F4264" s="2" t="str">
        <x:v>Level of water stress: freshwater withdrawal as a proportion of available freshwater resources</x:v>
      </x:c>
    </x:row>
    <x:row r="4265" ht="44" customHeight="1">
      <x:c r="A4265" s="2" t="str">
        <x:v>NER</x:v>
      </x:c>
      <x:c r="B4265" s="2" t="str">
        <x:v>fertility</x:v>
      </x:c>
      <x:c r="C4265" s="2" t="n">
        <x:v>5.935</x:v>
      </x:c>
      <x:c r="D4265" s="2" t="n">
        <x:v>2024</x:v>
      </x:c>
      <x:c r="E4265" s="2" t="str">
        <x:v>WB_fertility</x:v>
      </x:c>
      <x:c r="F4265" s="2" t="str">
        <x:v>Fertility rate, total (births per woman)</x:v>
      </x:c>
    </x:row>
    <x:row r="4266" ht="44" customHeight="1">
      <x:c r="A4266" s="2" t="str">
        <x:v>NER</x:v>
      </x:c>
      <x:c r="B4266" s="2" t="str">
        <x:v>life_expectancy</x:v>
      </x:c>
      <x:c r="C4266" s="2" t="n">
        <x:v>61.433</x:v>
      </x:c>
      <x:c r="D4266" s="2" t="n">
        <x:v>2024</x:v>
      </x:c>
      <x:c r="E4266" s="2" t="str">
        <x:v>WB_life_expectancy</x:v>
      </x:c>
      <x:c r="F4266" s="2" t="str">
        <x:v>Life expectancy at birth, total (years)</x:v>
      </x:c>
    </x:row>
    <x:row r="4267" ht="44" customHeight="1">
      <x:c r="A4267" s="2" t="str">
        <x:v>NER</x:v>
      </x:c>
      <x:c r="B4267" s="2" t="str">
        <x:v>age_under15</x:v>
      </x:c>
      <x:c r="C4267" s="2" t="n">
        <x:v>46.2263651499287</x:v>
      </x:c>
      <x:c r="D4267" s="2" t="n">
        <x:v>2025</x:v>
      </x:c>
      <x:c r="E4267" s="2" t="str">
        <x:v>WB_age_under15</x:v>
      </x:c>
      <x:c r="F4267" s="2" t="str">
        <x:v>Population ages 0-14 (% of total population)</x:v>
      </x:c>
    </x:row>
    <x:row r="4268" ht="44" customHeight="1">
      <x:c r="A4268" s="2" t="str">
        <x:v>NER</x:v>
      </x:c>
      <x:c r="B4268" s="2" t="str">
        <x:v>age_over65</x:v>
      </x:c>
      <x:c r="C4268" s="2" t="n">
        <x:v>2.61799886961133</x:v>
      </x:c>
      <x:c r="D4268" s="2" t="n">
        <x:v>2025</x:v>
      </x:c>
      <x:c r="E4268" s="2" t="str">
        <x:v>WB_age_over65</x:v>
      </x:c>
      <x:c r="F4268" s="2" t="str">
        <x:v>Population ages 65 and above (% of total population)</x:v>
      </x:c>
    </x:row>
    <x:row r="4269" ht="44" customHeight="1">
      <x:c r="A4269" s="2" t="str">
        <x:v>NER</x:v>
      </x:c>
      <x:c r="B4269" s="2" t="str">
        <x:v>dependency_ratio</x:v>
      </x:c>
      <x:c r="C4269" s="2" t="n">
        <x:v>95.4818820710142</x:v>
      </x:c>
      <x:c r="D4269" s="2" t="n">
        <x:v>2025</x:v>
      </x:c>
      <x:c r="E4269" s="2" t="str">
        <x:v>WB_dependency_ratio</x:v>
      </x:c>
      <x:c r="F4269" s="2" t="str">
        <x:v>Age dependency ratio (% of working-age population)</x:v>
      </x:c>
    </x:row>
    <x:row r="4270" ht="44" customHeight="1">
      <x:c r="A4270" s="2" t="str">
        <x:v>NER</x:v>
      </x:c>
      <x:c r="B4270" s="2" t="str">
        <x:v>net_migration</x:v>
      </x:c>
      <x:c r="C4270" s="2" t="n">
        <x:v>-7704</x:v>
      </x:c>
      <x:c r="D4270" s="2" t="n">
        <x:v>2025</x:v>
      </x:c>
      <x:c r="E4270" s="2" t="str">
        <x:v>WB_net_migration</x:v>
      </x:c>
      <x:c r="F4270" s="2" t="str">
        <x:v>Net migration</x:v>
      </x:c>
    </x:row>
    <x:row r="4271" ht="44" customHeight="1">
      <x:c r="A4271" s="2" t="str">
        <x:v>NER</x:v>
      </x:c>
      <x:c r="B4271" s="2" t="str">
        <x:v>real_gdp</x:v>
      </x:c>
      <x:c r="C4271" s="2" t="n">
        <x:v>17040361036.8007</x:v>
      </x:c>
      <x:c r="D4271" s="2" t="n">
        <x:v>2025</x:v>
      </x:c>
      <x:c r="E4271" s="2" t="str">
        <x:v>WB_real_gdp</x:v>
      </x:c>
      <x:c r="F4271" s="2" t="str">
        <x:v>GDP (constant 2015 US$)</x:v>
      </x:c>
    </x:row>
    <x:row r="4272" ht="44" customHeight="1">
      <x:c r="A4272" s="2" t="str">
        <x:v>NER</x:v>
      </x:c>
      <x:c r="B4272" s="2" t="str">
        <x:v>gdp_growth</x:v>
      </x:c>
      <x:c r="C4272" s="2" t="n">
        <x:v>7.00782960149</x:v>
      </x:c>
      <x:c r="D4272" s="2" t="n">
        <x:v>2025</x:v>
      </x:c>
      <x:c r="E4272" s="2" t="str">
        <x:v>WB_gdp_growth</x:v>
      </x:c>
      <x:c r="F4272" s="2" t="str">
        <x:v>GDP growth (annual %)</x:v>
      </x:c>
    </x:row>
    <x:row r="4273" ht="44" customHeight="1">
      <x:c r="A4273" s="2" t="str">
        <x:v>NER</x:v>
      </x:c>
      <x:c r="B4273" s="2" t="str">
        <x:v>real_income</x:v>
      </x:c>
      <x:c r="C4273" s="2" t="n">
        <x:v>610.375535148154</x:v>
      </x:c>
      <x:c r="D4273" s="2" t="n">
        <x:v>2025</x:v>
      </x:c>
      <x:c r="E4273" s="2" t="str">
        <x:v>WB_real_income</x:v>
      </x:c>
      <x:c r="F4273" s="2" t="str">
        <x:v>GDP per capita (constant 2015 US$)</x:v>
      </x:c>
    </x:row>
    <x:row r="4274" ht="44" customHeight="1">
      <x:c r="A4274" s="2" t="str">
        <x:v>NER</x:v>
      </x:c>
      <x:c r="B4274" s="2" t="str">
        <x:v>agriculture_gdp</x:v>
      </x:c>
      <x:c r="C4274" s="2" t="n">
        <x:v>47.5890198987744</x:v>
      </x:c>
      <x:c r="D4274" s="2" t="n">
        <x:v>2025</x:v>
      </x:c>
      <x:c r="E4274" s="2" t="str">
        <x:v>WB_agriculture_gdp</x:v>
      </x:c>
      <x:c r="F4274" s="2" t="str">
        <x:v>Agriculture, forestry, and fishing, value added (% of GDP)</x:v>
      </x:c>
    </x:row>
    <x:row r="4275" ht="44" customHeight="1">
      <x:c r="A4275" s="2" t="str">
        <x:v>NER</x:v>
      </x:c>
      <x:c r="B4275" s="2" t="str">
        <x:v>poverty</x:v>
      </x:c>
      <x:c r="C4275" s="2" t="n">
        <x:v>60.5</x:v>
      </x:c>
      <x:c r="D4275" s="2" t="n">
        <x:v>2021</x:v>
      </x:c>
      <x:c r="E4275" s="2" t="str">
        <x:v>WB_poverty</x:v>
      </x:c>
      <x:c r="F4275" s="2" t="str">
        <x:v>Poverty headcount ratio at $3.00 a day (2021 PPP) (% of population)</x:v>
      </x:c>
    </x:row>
    <x:row r="4276" ht="44" customHeight="1">
      <x:c r="A4276" s="2" t="str">
        <x:v>NER</x:v>
      </x:c>
      <x:c r="B4276" s="2" t="str">
        <x:v>gini</x:v>
      </x:c>
      <x:c r="C4276" s="2" t="n">
        <x:v>32.9</x:v>
      </x:c>
      <x:c r="D4276" s="2" t="n">
        <x:v>2021</x:v>
      </x:c>
      <x:c r="E4276" s="2" t="str">
        <x:v>WB_gini</x:v>
      </x:c>
      <x:c r="F4276" s="2" t="str">
        <x:v>Gini index</x:v>
      </x:c>
    </x:row>
    <x:row r="4277" ht="44" customHeight="1">
      <x:c r="A4277" s="2" t="str">
        <x:v>NER</x:v>
      </x:c>
      <x:c r="B4277" s="2" t="str">
        <x:v>unemployment</x:v>
      </x:c>
      <x:c r="C4277" s="2" t="n">
        <x:v>0.394</x:v>
      </x:c>
      <x:c r="D4277" s="2" t="n">
        <x:v>2025</x:v>
      </x:c>
      <x:c r="E4277" s="2" t="str">
        <x:v>WB_unemployment</x:v>
      </x:c>
      <x:c r="F4277" s="2" t="str">
        <x:v>Unemployment, total (% of total labor force) (modeled ILO estimate)</x:v>
      </x:c>
    </x:row>
    <x:row r="4278" ht="44" customHeight="1">
      <x:c r="A4278" s="2" t="str">
        <x:v>NER</x:v>
      </x:c>
      <x:c r="B4278" s="2" t="str">
        <x:v>private_credit</x:v>
      </x:c>
      <x:c r="C4278" s="2" t="n">
        <x:v>9.56587453130963</x:v>
      </x:c>
      <x:c r="D4278" s="2" t="n">
        <x:v>2025</x:v>
      </x:c>
      <x:c r="E4278" s="2" t="str">
        <x:v>WB_private_credit</x:v>
      </x:c>
      <x:c r="F4278" s="2" t="str">
        <x:v>Domestic credit to private sector (% of GDP)</x:v>
      </x:c>
    </x:row>
    <x:row r="4279" ht="44" customHeight="1">
      <x:c r="A4279" s="2" t="str">
        <x:v>NER</x:v>
      </x:c>
      <x:c r="B4279" s="2" t="str">
        <x:v>lending_rate</x:v>
      </x:c>
      <x:c r="C4279" s="2" t="n">
        <x:v>5.295</x:v>
      </x:c>
      <x:c r="D4279" s="2" t="n">
        <x:v>2016</x:v>
      </x:c>
      <x:c r="E4279" s="2" t="str">
        <x:v>WB_lending_rate</x:v>
      </x:c>
      <x:c r="F4279" s="2" t="str">
        <x:v>Lending interest rate (%)</x:v>
      </x:c>
    </x:row>
    <x:row r="4280" ht="44" customHeight="1">
      <x:c r="A4280" s="2" t="str">
        <x:v>NER</x:v>
      </x:c>
      <x:c r="B4280" s="2" t="str">
        <x:v>real_interest</x:v>
      </x:c>
      <x:c r="C4280" s="2" t="n">
        <x:v>2.58337982044761</x:v>
      </x:c>
      <x:c r="D4280" s="2" t="n">
        <x:v>2016</x:v>
      </x:c>
      <x:c r="E4280" s="2" t="str">
        <x:v>WB_real_interest</x:v>
      </x:c>
      <x:c r="F4280" s="2" t="str">
        <x:v>Real interest rate (%)</x:v>
      </x:c>
    </x:row>
    <x:row r="4281" ht="44" customHeight="1">
      <x:c r="A4281" s="2" t="str">
        <x:v>NER</x:v>
      </x:c>
      <x:c r="B4281" s="2" t="str">
        <x:v>government_debt</x:v>
      </x:c>
      <x:c r="C4281" s="2"/>
      <x:c r="D4281" s="2"/>
      <x:c r="E4281" s="2" t="str">
        <x:v>Missing</x:v>
      </x:c>
      <x:c r="F4281" s="2" t="str">
        <x:v>Central government debt, total (% of GDP)</x:v>
      </x:c>
    </x:row>
    <x:row r="4282" ht="44" customHeight="1">
      <x:c r="A4282" s="2" t="str">
        <x:v>NER</x:v>
      </x:c>
      <x:c r="B4282" s="2" t="str">
        <x:v>electricity_access</x:v>
      </x:c>
      <x:c r="C4282" s="2" t="n">
        <x:v>21.3</x:v>
      </x:c>
      <x:c r="D4282" s="2" t="n">
        <x:v>2024</x:v>
      </x:c>
      <x:c r="E4282" s="2" t="str">
        <x:v>WB_electricity_access</x:v>
      </x:c>
      <x:c r="F4282" s="2" t="str">
        <x:v>Access to electricity (% of population)</x:v>
      </x:c>
    </x:row>
    <x:row r="4283" ht="44" customHeight="1">
      <x:c r="A4283" s="2" t="str">
        <x:v>NER</x:v>
      </x:c>
      <x:c r="B4283" s="2" t="str">
        <x:v>irrigated_land</x:v>
      </x:c>
      <x:c r="C4283" s="2" t="n">
        <x:v>0.618221616575641</x:v>
      </x:c>
      <x:c r="D4283" s="2" t="n">
        <x:v>2023</x:v>
      </x:c>
      <x:c r="E4283" s="2" t="str">
        <x:v>WB_irrigated_land</x:v>
      </x:c>
      <x:c r="F4283" s="2" t="str">
        <x:v>Agricultural irrigated land (% of total agricultural land)</x:v>
      </x:c>
    </x:row>
    <x:row r="4284" ht="44" customHeight="1">
      <x:c r="A4284" s="2" t="str">
        <x:v>NER</x:v>
      </x:c>
      <x:c r="B4284" s="2" t="str">
        <x:v>cereal_area</x:v>
      </x:c>
      <x:c r="C4284" s="2" t="n">
        <x:v>10331974</x:v>
      </x:c>
      <x:c r="D4284" s="2" t="n">
        <x:v>2024</x:v>
      </x:c>
      <x:c r="E4284" s="2" t="str">
        <x:v>WB_cereal_area</x:v>
      </x:c>
      <x:c r="F4284" s="2" t="str">
        <x:v>Land under cereal production (hectares)</x:v>
      </x:c>
    </x:row>
    <x:row r="4285" ht="44" customHeight="1">
      <x:c r="A4285" s="2" t="str">
        <x:v>NER</x:v>
      </x:c>
      <x:c r="B4285" s="2" t="str">
        <x:v>undernourishment</x:v>
      </x:c>
      <x:c r="C4285" s="2" t="n">
        <x:v>12.9</x:v>
      </x:c>
      <x:c r="D4285" s="2" t="n">
        <x:v>2023</x:v>
      </x:c>
      <x:c r="E4285" s="2" t="str">
        <x:v>WB_undernourishment</x:v>
      </x:c>
      <x:c r="F4285" s="2" t="str">
        <x:v>Prevalence of undernourishment (% of population)</x:v>
      </x:c>
    </x:row>
    <x:row r="4286" ht="44" customHeight="1">
      <x:c r="A4286" s="2" t="str">
        <x:v>NER</x:v>
      </x:c>
      <x:c r="B4286" s="2" t="str">
        <x:v>agriculture_employment</x:v>
      </x:c>
      <x:c r="C4286" s="2" t="n">
        <x:v>72.9925082692836</x:v>
      </x:c>
      <x:c r="D4286" s="2" t="n">
        <x:v>2025</x:v>
      </x:c>
      <x:c r="E4286" s="2" t="str">
        <x:v>WB_agriculture_employment</x:v>
      </x:c>
      <x:c r="F4286" s="2" t="str">
        <x:v>Employment in agriculture (% of total employment) (modeled ILO estimate)</x:v>
      </x:c>
    </x:row>
    <x:row r="4287" ht="44" customHeight="1">
      <x:c r="A4287" s="2" t="str">
        <x:v>NER</x:v>
      </x:c>
      <x:c r="B4287" s="2" t="str">
        <x:v>water_withdrawal</x:v>
      </x:c>
      <x:c r="C4287" s="2" t="n">
        <x:v>73.8087942857143</x:v>
      </x:c>
      <x:c r="D4287" s="2" t="n">
        <x:v>2022</x:v>
      </x:c>
      <x:c r="E4287" s="2" t="str">
        <x:v>WB_water_withdrawal</x:v>
      </x:c>
      <x:c r="F4287" s="2" t="str">
        <x:v>Annual freshwater withdrawals, total (% of internal resources)</x:v>
      </x:c>
    </x:row>
    <x:row r="4288" ht="44" customHeight="1">
      <x:c r="A4288" s="2" t="str">
        <x:v>NGA</x:v>
      </x:c>
      <x:c r="B4288" s="2" t="str">
        <x:v>population</x:v>
      </x:c>
      <x:c r="C4288" s="2" t="n">
        <x:v>237527782</x:v>
      </x:c>
      <x:c r="D4288" s="2" t="n">
        <x:v>2025</x:v>
      </x:c>
      <x:c r="E4288" s="2" t="str">
        <x:v>WB_population</x:v>
      </x:c>
      <x:c r="F4288" s="2" t="str">
        <x:v>Population, total</x:v>
      </x:c>
    </x:row>
    <x:row r="4289" ht="44" customHeight="1">
      <x:c r="A4289" s="2" t="str">
        <x:v>NGA</x:v>
      </x:c>
      <x:c r="B4289" s="2" t="str">
        <x:v>income_ppp</x:v>
      </x:c>
      <x:c r="C4289" s="2" t="n">
        <x:v>8145.14808387469</x:v>
      </x:c>
      <x:c r="D4289" s="2" t="n">
        <x:v>2025</x:v>
      </x:c>
      <x:c r="E4289" s="2" t="str">
        <x:v>WB_income_ppp</x:v>
      </x:c>
      <x:c r="F4289" s="2" t="str">
        <x:v>GDP per capita, PPP (constant 2021 international $)</x:v>
      </x:c>
    </x:row>
    <x:row r="4290" ht="44" customHeight="1">
      <x:c r="A4290" s="2" t="str">
        <x:v>NGA</x:v>
      </x:c>
      <x:c r="B4290" s="2" t="str">
        <x:v>urban</x:v>
      </x:c>
      <x:c r="C4290" s="2" t="n">
        <x:v>63.7754180467872</x:v>
      </x:c>
      <x:c r="D4290" s="2" t="n">
        <x:v>2025</x:v>
      </x:c>
      <x:c r="E4290" s="2" t="str">
        <x:v>WB_urban</x:v>
      </x:c>
      <x:c r="F4290" s="2" t="str">
        <x:v>Urban population (% of total population)</x:v>
      </x:c>
    </x:row>
    <x:row r="4291" ht="44" customHeight="1">
      <x:c r="A4291" s="2" t="str">
        <x:v>NGA</x:v>
      </x:c>
      <x:c r="B4291" s="2" t="str">
        <x:v>inflation</x:v>
      </x:c>
      <x:c r="C4291" s="2" t="n">
        <x:v>23.0101235833333</x:v>
      </x:c>
      <x:c r="D4291" s="2" t="n">
        <x:v>2025</x:v>
      </x:c>
      <x:c r="E4291" s="2" t="str">
        <x:v>WB_inflation</x:v>
      </x:c>
      <x:c r="F4291" s="2" t="str">
        <x:v>Inflation, consumer prices (annual %)</x:v>
      </x:c>
    </x:row>
    <x:row r="4292" ht="44" customHeight="1">
      <x:c r="A4292" s="2" t="str">
        <x:v>NGA</x:v>
      </x:c>
      <x:c r="B4292" s="2" t="str">
        <x:v>food_index</x:v>
      </x:c>
      <x:c r="C4292" s="2" t="n">
        <x:v>119.85</x:v>
      </x:c>
      <x:c r="D4292" s="2" t="n">
        <x:v>2022</x:v>
      </x:c>
      <x:c r="E4292" s="2" t="str">
        <x:v>WB_food_index</x:v>
      </x:c>
      <x:c r="F4292" s="2" t="str">
        <x:v>Food production index (2014-2016 = 100)</x:v>
      </x:c>
    </x:row>
    <x:row r="4293" ht="44" customHeight="1">
      <x:c r="A4293" s="2" t="str">
        <x:v>NGA</x:v>
      </x:c>
      <x:c r="B4293" s="2" t="str">
        <x:v>food_import_share</x:v>
      </x:c>
      <x:c r="C4293" s="2" t="n">
        <x:v>11.0163409804076</x:v>
      </x:c>
      <x:c r="D4293" s="2" t="n">
        <x:v>2024</x:v>
      </x:c>
      <x:c r="E4293" s="2" t="str">
        <x:v>WB_food_import_share</x:v>
      </x:c>
      <x:c r="F4293" s="2" t="str">
        <x:v>Food imports (% of merchandise imports)</x:v>
      </x:c>
    </x:row>
    <x:row r="4294" ht="44" customHeight="1">
      <x:c r="A4294" s="2" t="str">
        <x:v>NGA</x:v>
      </x:c>
      <x:c r="B4294" s="2" t="str">
        <x:v>food_export_share</x:v>
      </x:c>
      <x:c r="C4294" s="2" t="n">
        <x:v>5.99717680633405</x:v>
      </x:c>
      <x:c r="D4294" s="2" t="n">
        <x:v>2024</x:v>
      </x:c>
      <x:c r="E4294" s="2" t="str">
        <x:v>WB_food_export_share</x:v>
      </x:c>
      <x:c r="F4294" s="2" t="str">
        <x:v>Food exports (% of merchandise exports)</x:v>
      </x:c>
    </x:row>
    <x:row r="4295" ht="44" customHeight="1">
      <x:c r="A4295" s="2" t="str">
        <x:v>NGA</x:v>
      </x:c>
      <x:c r="B4295" s="2" t="str">
        <x:v>imports_usd</x:v>
      </x:c>
      <x:c r="C4295" s="2" t="n">
        <x:v>41450000000</x:v>
      </x:c>
      <x:c r="D4295" s="2" t="n">
        <x:v>2025</x:v>
      </x:c>
      <x:c r="E4295" s="2" t="str">
        <x:v>WB_imports_usd</x:v>
      </x:c>
      <x:c r="F4295" s="2" t="str">
        <x:v>Merchandise imports (current US$)</x:v>
      </x:c>
    </x:row>
    <x:row r="4296" ht="44" customHeight="1">
      <x:c r="A4296" s="2" t="str">
        <x:v>NGA</x:v>
      </x:c>
      <x:c r="B4296" s="2" t="str">
        <x:v>exports_usd</x:v>
      </x:c>
      <x:c r="C4296" s="2" t="n">
        <x:v>55468000000</x:v>
      </x:c>
      <x:c r="D4296" s="2" t="n">
        <x:v>2025</x:v>
      </x:c>
      <x:c r="E4296" s="2" t="str">
        <x:v>WB_exports_usd</x:v>
      </x:c>
      <x:c r="F4296" s="2" t="str">
        <x:v>Merchandise exports (current US$)</x:v>
      </x:c>
    </x:row>
    <x:row r="4297" ht="44" customHeight="1">
      <x:c r="A4297" s="2" t="str">
        <x:v>NGA</x:v>
      </x:c>
      <x:c r="B4297" s="2" t="str">
        <x:v>cereal_yield</x:v>
      </x:c>
      <x:c r="C4297" s="2" t="n">
        <x:v>1558</x:v>
      </x:c>
      <x:c r="D4297" s="2" t="n">
        <x:v>2024</x:v>
      </x:c>
      <x:c r="E4297" s="2" t="str">
        <x:v>WB_cereal_yield</x:v>
      </x:c>
      <x:c r="F4297" s="2" t="str">
        <x:v>Cereal yield (kg per hectare)</x:v>
      </x:c>
    </x:row>
    <x:row r="4298" ht="44" customHeight="1">
      <x:c r="A4298" s="2" t="str">
        <x:v>NGA</x:v>
      </x:c>
      <x:c r="B4298" s="2" t="str">
        <x:v>water_stress</x:v>
      </x:c>
      <x:c r="C4298" s="2" t="n">
        <x:v>9.668217054</x:v>
      </x:c>
      <x:c r="D4298" s="2" t="n">
        <x:v>2022</x:v>
      </x:c>
      <x:c r="E4298" s="2" t="str">
        <x:v>WB_water_stress</x:v>
      </x:c>
      <x:c r="F4298" s="2" t="str">
        <x:v>Level of water stress: freshwater withdrawal as a proportion of available freshwater resources</x:v>
      </x:c>
    </x:row>
    <x:row r="4299" ht="44" customHeight="1">
      <x:c r="A4299" s="2" t="str">
        <x:v>NGA</x:v>
      </x:c>
      <x:c r="B4299" s="2" t="str">
        <x:v>fertility</x:v>
      </x:c>
      <x:c r="C4299" s="2" t="n">
        <x:v>4.382</x:v>
      </x:c>
      <x:c r="D4299" s="2" t="n">
        <x:v>2024</x:v>
      </x:c>
      <x:c r="E4299" s="2" t="str">
        <x:v>WB_fertility</x:v>
      </x:c>
      <x:c r="F4299" s="2" t="str">
        <x:v>Fertility rate, total (births per woman)</x:v>
      </x:c>
    </x:row>
    <x:row r="4300" ht="44" customHeight="1">
      <x:c r="A4300" s="2" t="str">
        <x:v>NGA</x:v>
      </x:c>
      <x:c r="B4300" s="2" t="str">
        <x:v>life_expectancy</x:v>
      </x:c>
      <x:c r="C4300" s="2" t="n">
        <x:v>54.635</x:v>
      </x:c>
      <x:c r="D4300" s="2" t="n">
        <x:v>2024</x:v>
      </x:c>
      <x:c r="E4300" s="2" t="str">
        <x:v>WB_life_expectancy</x:v>
      </x:c>
      <x:c r="F4300" s="2" t="str">
        <x:v>Life expectancy at birth, total (years)</x:v>
      </x:c>
    </x:row>
    <x:row r="4301" ht="44" customHeight="1">
      <x:c r="A4301" s="2" t="str">
        <x:v>NGA</x:v>
      </x:c>
      <x:c r="B4301" s="2" t="str">
        <x:v>age_under15</x:v>
      </x:c>
      <x:c r="C4301" s="2" t="n">
        <x:v>40.5197233739162</x:v>
      </x:c>
      <x:c r="D4301" s="2" t="n">
        <x:v>2025</x:v>
      </x:c>
      <x:c r="E4301" s="2" t="str">
        <x:v>WB_age_under15</x:v>
      </x:c>
      <x:c r="F4301" s="2" t="str">
        <x:v>Population ages 0-14 (% of total population)</x:v>
      </x:c>
    </x:row>
    <x:row r="4302" ht="44" customHeight="1">
      <x:c r="A4302" s="2" t="str">
        <x:v>NGA</x:v>
      </x:c>
      <x:c r="B4302" s="2" t="str">
        <x:v>age_over65</x:v>
      </x:c>
      <x:c r="C4302" s="2" t="n">
        <x:v>3.06953631021894</x:v>
      </x:c>
      <x:c r="D4302" s="2" t="n">
        <x:v>2025</x:v>
      </x:c>
      <x:c r="E4302" s="2" t="str">
        <x:v>WB_age_over65</x:v>
      </x:c>
      <x:c r="F4302" s="2" t="str">
        <x:v>Population ages 65 and above (% of total population)</x:v>
      </x:c>
    </x:row>
    <x:row r="4303" ht="44" customHeight="1">
      <x:c r="A4303" s="2" t="str">
        <x:v>NGA</x:v>
      </x:c>
      <x:c r="B4303" s="2" t="str">
        <x:v>dependency_ratio</x:v>
      </x:c>
      <x:c r="C4303" s="2" t="n">
        <x:v>77.2712069555623</x:v>
      </x:c>
      <x:c r="D4303" s="2" t="n">
        <x:v>2025</x:v>
      </x:c>
      <x:c r="E4303" s="2" t="str">
        <x:v>WB_dependency_ratio</x:v>
      </x:c>
      <x:c r="F4303" s="2" t="str">
        <x:v>Age dependency ratio (% of working-age population)</x:v>
      </x:c>
    </x:row>
    <x:row r="4304" ht="44" customHeight="1">
      <x:c r="A4304" s="2" t="str">
        <x:v>NGA</x:v>
      </x:c>
      <x:c r="B4304" s="2" t="str">
        <x:v>net_migration</x:v>
      </x:c>
      <x:c r="C4304" s="2" t="n">
        <x:v>-15258</x:v>
      </x:c>
      <x:c r="D4304" s="2" t="n">
        <x:v>2025</x:v>
      </x:c>
      <x:c r="E4304" s="2" t="str">
        <x:v>WB_net_migration</x:v>
      </x:c>
      <x:c r="F4304" s="2" t="str">
        <x:v>Net migration</x:v>
      </x:c>
    </x:row>
    <x:row r="4305" ht="44" customHeight="1">
      <x:c r="A4305" s="2" t="str">
        <x:v>NGA</x:v>
      </x:c>
      <x:c r="B4305" s="2" t="str">
        <x:v>real_gdp</x:v>
      </x:c>
      <x:c r="C4305" s="2" t="n">
        <x:v>562593735122.067</x:v>
      </x:c>
      <x:c r="D4305" s="2" t="n">
        <x:v>2025</x:v>
      </x:c>
      <x:c r="E4305" s="2" t="str">
        <x:v>WB_real_gdp</x:v>
      </x:c>
      <x:c r="F4305" s="2" t="str">
        <x:v>GDP (constant 2015 US$)</x:v>
      </x:c>
    </x:row>
    <x:row r="4306" ht="44" customHeight="1">
      <x:c r="A4306" s="2" t="str">
        <x:v>NGA</x:v>
      </x:c>
      <x:c r="B4306" s="2" t="str">
        <x:v>gdp_growth</x:v>
      </x:c>
      <x:c r="C4306" s="2" t="n">
        <x:v>4.01336180700973</x:v>
      </x:c>
      <x:c r="D4306" s="2" t="n">
        <x:v>2025</x:v>
      </x:c>
      <x:c r="E4306" s="2" t="str">
        <x:v>WB_gdp_growth</x:v>
      </x:c>
      <x:c r="F4306" s="2" t="str">
        <x:v>GDP growth (annual %)</x:v>
      </x:c>
    </x:row>
    <x:row r="4307" ht="44" customHeight="1">
      <x:c r="A4307" s="2" t="str">
        <x:v>NGA</x:v>
      </x:c>
      <x:c r="B4307" s="2" t="str">
        <x:v>real_income</x:v>
      </x:c>
      <x:c r="C4307" s="2" t="n">
        <x:v>2368.53866265659</x:v>
      </x:c>
      <x:c r="D4307" s="2" t="n">
        <x:v>2025</x:v>
      </x:c>
      <x:c r="E4307" s="2" t="str">
        <x:v>WB_real_income</x:v>
      </x:c>
      <x:c r="F4307" s="2" t="str">
        <x:v>GDP per capita (constant 2015 US$)</x:v>
      </x:c>
    </x:row>
    <x:row r="4308" ht="44" customHeight="1">
      <x:c r="A4308" s="2" t="str">
        <x:v>NGA</x:v>
      </x:c>
      <x:c r="B4308" s="2" t="str">
        <x:v>agriculture_gdp</x:v>
      </x:c>
      <x:c r="C4308" s="2" t="n">
        <x:v>22.9790557916205</x:v>
      </x:c>
      <x:c r="D4308" s="2" t="n">
        <x:v>2025</x:v>
      </x:c>
      <x:c r="E4308" s="2" t="str">
        <x:v>WB_agriculture_gdp</x:v>
      </x:c>
      <x:c r="F4308" s="2" t="str">
        <x:v>Agriculture, forestry, and fishing, value added (% of GDP)</x:v>
      </x:c>
    </x:row>
    <x:row r="4309" ht="44" customHeight="1">
      <x:c r="A4309" s="2" t="str">
        <x:v>NGA</x:v>
      </x:c>
      <x:c r="B4309" s="2" t="str">
        <x:v>poverty</x:v>
      </x:c>
      <x:c r="C4309" s="2" t="n">
        <x:v>41.8</x:v>
      </x:c>
      <x:c r="D4309" s="2" t="n">
        <x:v>2022</x:v>
      </x:c>
      <x:c r="E4309" s="2" t="str">
        <x:v>WB_poverty</x:v>
      </x:c>
      <x:c r="F4309" s="2" t="str">
        <x:v>Poverty headcount ratio at $3.00 a day (2021 PPP) (% of population)</x:v>
      </x:c>
    </x:row>
    <x:row r="4310" ht="44" customHeight="1">
      <x:c r="A4310" s="2" t="str">
        <x:v>NGA</x:v>
      </x:c>
      <x:c r="B4310" s="2" t="str">
        <x:v>gini</x:v>
      </x:c>
      <x:c r="C4310" s="2" t="n">
        <x:v>33.9</x:v>
      </x:c>
      <x:c r="D4310" s="2" t="n">
        <x:v>2022</x:v>
      </x:c>
      <x:c r="E4310" s="2" t="str">
        <x:v>WB_gini</x:v>
      </x:c>
      <x:c r="F4310" s="2" t="str">
        <x:v>Gini index</x:v>
      </x:c>
    </x:row>
    <x:row r="4311" ht="44" customHeight="1">
      <x:c r="A4311" s="2" t="str">
        <x:v>NGA</x:v>
      </x:c>
      <x:c r="B4311" s="2" t="str">
        <x:v>unemployment</x:v>
      </x:c>
      <x:c r="C4311" s="2" t="n">
        <x:v>3.064</x:v>
      </x:c>
      <x:c r="D4311" s="2" t="n">
        <x:v>2025</x:v>
      </x:c>
      <x:c r="E4311" s="2" t="str">
        <x:v>WB_unemployment</x:v>
      </x:c>
      <x:c r="F4311" s="2" t="str">
        <x:v>Unemployment, total (% of total labor force) (modeled ILO estimate)</x:v>
      </x:c>
    </x:row>
    <x:row r="4312" ht="44" customHeight="1">
      <x:c r="A4312" s="2" t="str">
        <x:v>NGA</x:v>
      </x:c>
      <x:c r="B4312" s="2" t="str">
        <x:v>private_credit</x:v>
      </x:c>
      <x:c r="C4312" s="2" t="n">
        <x:v>9.5616917667191</x:v>
      </x:c>
      <x:c r="D4312" s="2" t="n">
        <x:v>2022</x:v>
      </x:c>
      <x:c r="E4312" s="2" t="str">
        <x:v>WB_private_credit</x:v>
      </x:c>
      <x:c r="F4312" s="2" t="str">
        <x:v>Domestic credit to private sector (% of GDP)</x:v>
      </x:c>
    </x:row>
    <x:row r="4313" ht="44" customHeight="1">
      <x:c r="A4313" s="2" t="str">
        <x:v>NGA</x:v>
      </x:c>
      <x:c r="B4313" s="2" t="str">
        <x:v>lending_rate</x:v>
      </x:c>
      <x:c r="C4313" s="2" t="n">
        <x:v>14.010553734975</x:v>
      </x:c>
      <x:c r="D4313" s="2" t="n">
        <x:v>2023</x:v>
      </x:c>
      <x:c r="E4313" s="2" t="str">
        <x:v>WB_lending_rate</x:v>
      </x:c>
      <x:c r="F4313" s="2" t="str">
        <x:v>Lending interest rate (%)</x:v>
      </x:c>
    </x:row>
    <x:row r="4314" ht="44" customHeight="1">
      <x:c r="A4314" s="2" t="str">
        <x:v>NGA</x:v>
      </x:c>
      <x:c r="B4314" s="2" t="str">
        <x:v>real_interest</x:v>
      </x:c>
      <x:c r="C4314" s="2" t="n">
        <x:v>2.86575157642325</x:v>
      </x:c>
      <x:c r="D4314" s="2" t="n">
        <x:v>2023</x:v>
      </x:c>
      <x:c r="E4314" s="2" t="str">
        <x:v>WB_real_interest</x:v>
      </x:c>
      <x:c r="F4314" s="2" t="str">
        <x:v>Real interest rate (%)</x:v>
      </x:c>
    </x:row>
    <x:row r="4315" ht="44" customHeight="1">
      <x:c r="A4315" s="2" t="str">
        <x:v>NGA</x:v>
      </x:c>
      <x:c r="B4315" s="2" t="str">
        <x:v>government_debt</x:v>
      </x:c>
      <x:c r="C4315" s="2"/>
      <x:c r="D4315" s="2"/>
      <x:c r="E4315" s="2" t="str">
        <x:v>Missing</x:v>
      </x:c>
      <x:c r="F4315" s="2" t="str">
        <x:v>Central government debt, total (% of GDP)</x:v>
      </x:c>
    </x:row>
    <x:row r="4316" ht="44" customHeight="1">
      <x:c r="A4316" s="2" t="str">
        <x:v>NGA</x:v>
      </x:c>
      <x:c r="B4316" s="2" t="str">
        <x:v>electricity_access</x:v>
      </x:c>
      <x:c r="C4316" s="2" t="n">
        <x:v>62.5</x:v>
      </x:c>
      <x:c r="D4316" s="2" t="n">
        <x:v>2024</x:v>
      </x:c>
      <x:c r="E4316" s="2" t="str">
        <x:v>WB_electricity_access</x:v>
      </x:c>
      <x:c r="F4316" s="2" t="str">
        <x:v>Access to electricity (% of population)</x:v>
      </x:c>
    </x:row>
    <x:row r="4317" ht="44" customHeight="1">
      <x:c r="A4317" s="2" t="str">
        <x:v>NGA</x:v>
      </x:c>
      <x:c r="B4317" s="2" t="str">
        <x:v>irrigated_land</x:v>
      </x:c>
      <x:c r="C4317" s="2" t="n">
        <x:v>0.32317113096099</x:v>
      </x:c>
      <x:c r="D4317" s="2" t="n">
        <x:v>2017</x:v>
      </x:c>
      <x:c r="E4317" s="2" t="str">
        <x:v>WB_irrigated_land</x:v>
      </x:c>
      <x:c r="F4317" s="2" t="str">
        <x:v>Agricultural irrigated land (% of total agricultural land)</x:v>
      </x:c>
    </x:row>
    <x:row r="4318" ht="44" customHeight="1">
      <x:c r="A4318" s="2" t="str">
        <x:v>NGA</x:v>
      </x:c>
      <x:c r="B4318" s="2" t="str">
        <x:v>cereal_area</x:v>
      </x:c>
      <x:c r="C4318" s="2" t="n">
        <x:v>18275835</x:v>
      </x:c>
      <x:c r="D4318" s="2" t="n">
        <x:v>2024</x:v>
      </x:c>
      <x:c r="E4318" s="2" t="str">
        <x:v>WB_cereal_area</x:v>
      </x:c>
      <x:c r="F4318" s="2" t="str">
        <x:v>Land under cereal production (hectares)</x:v>
      </x:c>
    </x:row>
    <x:row r="4319" ht="44" customHeight="1">
      <x:c r="A4319" s="2" t="str">
        <x:v>NGA</x:v>
      </x:c>
      <x:c r="B4319" s="2" t="str">
        <x:v>undernourishment</x:v>
      </x:c>
      <x:c r="C4319" s="2" t="n">
        <x:v>19.9</x:v>
      </x:c>
      <x:c r="D4319" s="2" t="n">
        <x:v>2023</x:v>
      </x:c>
      <x:c r="E4319" s="2" t="str">
        <x:v>WB_undernourishment</x:v>
      </x:c>
      <x:c r="F4319" s="2" t="str">
        <x:v>Prevalence of undernourishment (% of population)</x:v>
      </x:c>
    </x:row>
    <x:row r="4320" ht="44" customHeight="1">
      <x:c r="A4320" s="2" t="str">
        <x:v>NGA</x:v>
      </x:c>
      <x:c r="B4320" s="2" t="str">
        <x:v>agriculture_employment</x:v>
      </x:c>
      <x:c r="C4320" s="2" t="n">
        <x:v>33.5336954038865</x:v>
      </x:c>
      <x:c r="D4320" s="2" t="n">
        <x:v>2025</x:v>
      </x:c>
      <x:c r="E4320" s="2" t="str">
        <x:v>WB_agriculture_employment</x:v>
      </x:c>
      <x:c r="F4320" s="2" t="str">
        <x:v>Employment in agriculture (% of total employment) (modeled ILO estimate)</x:v>
      </x:c>
    </x:row>
    <x:row r="4321" ht="44" customHeight="1">
      <x:c r="A4321" s="2" t="str">
        <x:v>NGA</x:v>
      </x:c>
      <x:c r="B4321" s="2" t="str">
        <x:v>water_withdrawal</x:v>
      </x:c>
      <x:c r="C4321" s="2" t="n">
        <x:v>5.64343891402715</x:v>
      </x:c>
      <x:c r="D4321" s="2" t="n">
        <x:v>2022</x:v>
      </x:c>
      <x:c r="E4321" s="2" t="str">
        <x:v>WB_water_withdrawal</x:v>
      </x:c>
      <x:c r="F4321" s="2" t="str">
        <x:v>Annual freshwater withdrawals, total (% of internal resources)</x:v>
      </x:c>
    </x:row>
    <x:row r="4322" ht="44" customHeight="1">
      <x:c r="A4322" s="2" t="str">
        <x:v>MKD</x:v>
      </x:c>
      <x:c r="B4322" s="2" t="str">
        <x:v>population</x:v>
      </x:c>
      <x:c r="C4322" s="2" t="n">
        <x:v>1820909</x:v>
      </x:c>
      <x:c r="D4322" s="2" t="n">
        <x:v>2025</x:v>
      </x:c>
      <x:c r="E4322" s="2" t="str">
        <x:v>WB_population</x:v>
      </x:c>
      <x:c r="F4322" s="2" t="str">
        <x:v>Population, total</x:v>
      </x:c>
    </x:row>
    <x:row r="4323" ht="44" customHeight="1">
      <x:c r="A4323" s="2" t="str">
        <x:v>MKD</x:v>
      </x:c>
      <x:c r="B4323" s="2" t="str">
        <x:v>income_ppp</x:v>
      </x:c>
      <x:c r="C4323" s="2" t="n">
        <x:v>25094.6225007185</x:v>
      </x:c>
      <x:c r="D4323" s="2" t="n">
        <x:v>2025</x:v>
      </x:c>
      <x:c r="E4323" s="2" t="str">
        <x:v>WB_income_ppp</x:v>
      </x:c>
      <x:c r="F4323" s="2" t="str">
        <x:v>GDP per capita, PPP (constant 2021 international $)</x:v>
      </x:c>
    </x:row>
    <x:row r="4324" ht="44" customHeight="1">
      <x:c r="A4324" s="2" t="str">
        <x:v>MKD</x:v>
      </x:c>
      <x:c r="B4324" s="2" t="str">
        <x:v>urban</x:v>
      </x:c>
      <x:c r="C4324" s="2" t="n">
        <x:v>62.8909857826036</x:v>
      </x:c>
      <x:c r="D4324" s="2" t="n">
        <x:v>2025</x:v>
      </x:c>
      <x:c r="E4324" s="2" t="str">
        <x:v>WB_urban</x:v>
      </x:c>
      <x:c r="F4324" s="2" t="str">
        <x:v>Urban population (% of total population)</x:v>
      </x:c>
    </x:row>
    <x:row r="4325" ht="44" customHeight="1">
      <x:c r="A4325" s="2" t="str">
        <x:v>MKD</x:v>
      </x:c>
      <x:c r="B4325" s="2" t="str">
        <x:v>inflation</x:v>
      </x:c>
      <x:c r="C4325" s="2" t="n">
        <x:v>4.07249176848348</x:v>
      </x:c>
      <x:c r="D4325" s="2" t="n">
        <x:v>2025</x:v>
      </x:c>
      <x:c r="E4325" s="2" t="str">
        <x:v>WB_inflation</x:v>
      </x:c>
      <x:c r="F4325" s="2" t="str">
        <x:v>Inflation, consumer prices (annual %)</x:v>
      </x:c>
    </x:row>
    <x:row r="4326" ht="44" customHeight="1">
      <x:c r="A4326" s="2" t="str">
        <x:v>MKD</x:v>
      </x:c>
      <x:c r="B4326" s="2" t="str">
        <x:v>food_index</x:v>
      </x:c>
      <x:c r="C4326" s="2" t="n">
        <x:v>100.68</x:v>
      </x:c>
      <x:c r="D4326" s="2" t="n">
        <x:v>2022</x:v>
      </x:c>
      <x:c r="E4326" s="2" t="str">
        <x:v>WB_food_index</x:v>
      </x:c>
      <x:c r="F4326" s="2" t="str">
        <x:v>Food production index (2014-2016 = 100)</x:v>
      </x:c>
    </x:row>
    <x:row r="4327" ht="44" customHeight="1">
      <x:c r="A4327" s="2" t="str">
        <x:v>MKD</x:v>
      </x:c>
      <x:c r="B4327" s="2" t="str">
        <x:v>food_import_share</x:v>
      </x:c>
      <x:c r="C4327" s="2" t="n">
        <x:v>11.7263294224592</x:v>
      </x:c>
      <x:c r="D4327" s="2" t="n">
        <x:v>2024</x:v>
      </x:c>
      <x:c r="E4327" s="2" t="str">
        <x:v>WB_food_import_share</x:v>
      </x:c>
      <x:c r="F4327" s="2" t="str">
        <x:v>Food imports (% of merchandise imports)</x:v>
      </x:c>
    </x:row>
    <x:row r="4328" ht="44" customHeight="1">
      <x:c r="A4328" s="2" t="str">
        <x:v>MKD</x:v>
      </x:c>
      <x:c r="B4328" s="2" t="str">
        <x:v>food_export_share</x:v>
      </x:c>
      <x:c r="C4328" s="2" t="n">
        <x:v>10.6437939960023</x:v>
      </x:c>
      <x:c r="D4328" s="2" t="n">
        <x:v>2024</x:v>
      </x:c>
      <x:c r="E4328" s="2" t="str">
        <x:v>WB_food_export_share</x:v>
      </x:c>
      <x:c r="F4328" s="2" t="str">
        <x:v>Food exports (% of merchandise exports)</x:v>
      </x:c>
    </x:row>
    <x:row r="4329" ht="44" customHeight="1">
      <x:c r="A4329" s="2" t="str">
        <x:v>MKD</x:v>
      </x:c>
      <x:c r="B4329" s="2" t="str">
        <x:v>imports_usd</x:v>
      </x:c>
      <x:c r="C4329" s="2" t="n">
        <x:v>13059000000</x:v>
      </x:c>
      <x:c r="D4329" s="2" t="n">
        <x:v>2025</x:v>
      </x:c>
      <x:c r="E4329" s="2" t="str">
        <x:v>WB_imports_usd</x:v>
      </x:c>
      <x:c r="F4329" s="2" t="str">
        <x:v>Merchandise imports (current US$)</x:v>
      </x:c>
    </x:row>
    <x:row r="4330" ht="44" customHeight="1">
      <x:c r="A4330" s="2" t="str">
        <x:v>MKD</x:v>
      </x:c>
      <x:c r="B4330" s="2" t="str">
        <x:v>exports_usd</x:v>
      </x:c>
      <x:c r="C4330" s="2" t="n">
        <x:v>9056000000</x:v>
      </x:c>
      <x:c r="D4330" s="2" t="n">
        <x:v>2025</x:v>
      </x:c>
      <x:c r="E4330" s="2" t="str">
        <x:v>WB_exports_usd</x:v>
      </x:c>
      <x:c r="F4330" s="2" t="str">
        <x:v>Merchandise exports (current US$)</x:v>
      </x:c>
    </x:row>
    <x:row r="4331" ht="44" customHeight="1">
      <x:c r="A4331" s="2" t="str">
        <x:v>MKD</x:v>
      </x:c>
      <x:c r="B4331" s="2" t="str">
        <x:v>cereal_yield</x:v>
      </x:c>
      <x:c r="C4331" s="2" t="n">
        <x:v>3565.4</x:v>
      </x:c>
      <x:c r="D4331" s="2" t="n">
        <x:v>2024</x:v>
      </x:c>
      <x:c r="E4331" s="2" t="str">
        <x:v>WB_cereal_yield</x:v>
      </x:c>
      <x:c r="F4331" s="2" t="str">
        <x:v>Cereal yield (kg per hectare)</x:v>
      </x:c>
    </x:row>
    <x:row r="4332" ht="44" customHeight="1">
      <x:c r="A4332" s="2" t="str">
        <x:v>MKD</x:v>
      </x:c>
      <x:c r="B4332" s="2" t="str">
        <x:v>water_stress</x:v>
      </x:c>
      <x:c r="C4332" s="2" t="n">
        <x:v>52.55324298</x:v>
      </x:c>
      <x:c r="D4332" s="2" t="n">
        <x:v>2022</x:v>
      </x:c>
      <x:c r="E4332" s="2" t="str">
        <x:v>WB_water_stress</x:v>
      </x:c>
      <x:c r="F4332" s="2" t="str">
        <x:v>Level of water stress: freshwater withdrawal as a proportion of available freshwater resources</x:v>
      </x:c>
    </x:row>
    <x:row r="4333" ht="44" customHeight="1">
      <x:c r="A4333" s="2" t="str">
        <x:v>MKD</x:v>
      </x:c>
      <x:c r="B4333" s="2" t="str">
        <x:v>fertility</x:v>
      </x:c>
      <x:c r="C4333" s="2" t="n">
        <x:v>1.4</x:v>
      </x:c>
      <x:c r="D4333" s="2" t="n">
        <x:v>2024</x:v>
      </x:c>
      <x:c r="E4333" s="2" t="str">
        <x:v>WB_fertility</x:v>
      </x:c>
      <x:c r="F4333" s="2" t="str">
        <x:v>Fertility rate, total (births per woman)</x:v>
      </x:c>
    </x:row>
    <x:row r="4334" ht="44" customHeight="1">
      <x:c r="A4334" s="2" t="str">
        <x:v>MKD</x:v>
      </x:c>
      <x:c r="B4334" s="2" t="str">
        <x:v>life_expectancy</x:v>
      </x:c>
      <x:c r="C4334" s="2" t="n">
        <x:v>76.6165853658537</x:v>
      </x:c>
      <x:c r="D4334" s="2" t="n">
        <x:v>2024</x:v>
      </x:c>
      <x:c r="E4334" s="2" t="str">
        <x:v>WB_life_expectancy</x:v>
      </x:c>
      <x:c r="F4334" s="2" t="str">
        <x:v>Life expectancy at birth, total (years)</x:v>
      </x:c>
    </x:row>
    <x:row r="4335" ht="44" customHeight="1">
      <x:c r="A4335" s="2" t="str">
        <x:v>MKD</x:v>
      </x:c>
      <x:c r="B4335" s="2" t="str">
        <x:v>age_under15</x:v>
      </x:c>
      <x:c r="C4335" s="2" t="n">
        <x:v>16.5297710706471</x:v>
      </x:c>
      <x:c r="D4335" s="2" t="n">
        <x:v>2025</x:v>
      </x:c>
      <x:c r="E4335" s="2" t="str">
        <x:v>WB_age_under15</x:v>
      </x:c>
      <x:c r="F4335" s="2" t="str">
        <x:v>Population ages 0-14 (% of total population)</x:v>
      </x:c>
    </x:row>
    <x:row r="4336" ht="44" customHeight="1">
      <x:c r="A4336" s="2" t="str">
        <x:v>MKD</x:v>
      </x:c>
      <x:c r="B4336" s="2" t="str">
        <x:v>age_over65</x:v>
      </x:c>
      <x:c r="C4336" s="2" t="n">
        <x:v>18.5237163487965</x:v>
      </x:c>
      <x:c r="D4336" s="2" t="n">
        <x:v>2025</x:v>
      </x:c>
      <x:c r="E4336" s="2" t="str">
        <x:v>WB_age_over65</x:v>
      </x:c>
      <x:c r="F4336" s="2" t="str">
        <x:v>Population ages 65 and above (% of total population)</x:v>
      </x:c>
    </x:row>
    <x:row r="4337" ht="44" customHeight="1">
      <x:c r="A4337" s="2" t="str">
        <x:v>MKD</x:v>
      </x:c>
      <x:c r="B4337" s="2" t="str">
        <x:v>dependency_ratio</x:v>
      </x:c>
      <x:c r="C4337" s="2" t="n">
        <x:v>53.9728415877668</x:v>
      </x:c>
      <x:c r="D4337" s="2" t="n">
        <x:v>2025</x:v>
      </x:c>
      <x:c r="E4337" s="2" t="str">
        <x:v>WB_dependency_ratio</x:v>
      </x:c>
      <x:c r="F4337" s="2" t="str">
        <x:v>Age dependency ratio (% of working-age population)</x:v>
      </x:c>
    </x:row>
    <x:row r="4338" ht="44" customHeight="1">
      <x:c r="A4338" s="2" t="str">
        <x:v>MKD</x:v>
      </x:c>
      <x:c r="B4338" s="2" t="str">
        <x:v>net_migration</x:v>
      </x:c>
      <x:c r="C4338" s="2" t="n">
        <x:v>-5645</x:v>
      </x:c>
      <x:c r="D4338" s="2" t="n">
        <x:v>2025</x:v>
      </x:c>
      <x:c r="E4338" s="2" t="str">
        <x:v>WB_net_migration</x:v>
      </x:c>
      <x:c r="F4338" s="2" t="str">
        <x:v>Net migration</x:v>
      </x:c>
    </x:row>
    <x:row r="4339" ht="44" customHeight="1">
      <x:c r="A4339" s="2" t="str">
        <x:v>MKD</x:v>
      </x:c>
      <x:c r="B4339" s="2" t="str">
        <x:v>real_gdp</x:v>
      </x:c>
      <x:c r="C4339" s="2" t="n">
        <x:v>12515101178.9676</x:v>
      </x:c>
      <x:c r="D4339" s="2" t="n">
        <x:v>2025</x:v>
      </x:c>
      <x:c r="E4339" s="2" t="str">
        <x:v>WB_real_gdp</x:v>
      </x:c>
      <x:c r="F4339" s="2" t="str">
        <x:v>GDP (constant 2015 US$)</x:v>
      </x:c>
    </x:row>
    <x:row r="4340" ht="44" customHeight="1">
      <x:c r="A4340" s="2" t="str">
        <x:v>MKD</x:v>
      </x:c>
      <x:c r="B4340" s="2" t="str">
        <x:v>gdp_growth</x:v>
      </x:c>
      <x:c r="C4340" s="2" t="n">
        <x:v>3.48706619829503</x:v>
      </x:c>
      <x:c r="D4340" s="2" t="n">
        <x:v>2025</x:v>
      </x:c>
      <x:c r="E4340" s="2" t="str">
        <x:v>WB_gdp_growth</x:v>
      </x:c>
      <x:c r="F4340" s="2" t="str">
        <x:v>GDP growth (annual %)</x:v>
      </x:c>
    </x:row>
    <x:row r="4341" ht="44" customHeight="1">
      <x:c r="A4341" s="2" t="str">
        <x:v>MKD</x:v>
      </x:c>
      <x:c r="B4341" s="2" t="str">
        <x:v>real_income</x:v>
      </x:c>
      <x:c r="C4341" s="2" t="n">
        <x:v>6872.99649733602</x:v>
      </x:c>
      <x:c r="D4341" s="2" t="n">
        <x:v>2025</x:v>
      </x:c>
      <x:c r="E4341" s="2" t="str">
        <x:v>WB_real_income</x:v>
      </x:c>
      <x:c r="F4341" s="2" t="str">
        <x:v>GDP per capita (constant 2015 US$)</x:v>
      </x:c>
    </x:row>
    <x:row r="4342" ht="44" customHeight="1">
      <x:c r="A4342" s="2" t="str">
        <x:v>MKD</x:v>
      </x:c>
      <x:c r="B4342" s="2" t="str">
        <x:v>agriculture_gdp</x:v>
      </x:c>
      <x:c r="C4342" s="2" t="n">
        <x:v>5.97689638001405</x:v>
      </x:c>
      <x:c r="D4342" s="2" t="n">
        <x:v>2025</x:v>
      </x:c>
      <x:c r="E4342" s="2" t="str">
        <x:v>WB_agriculture_gdp</x:v>
      </x:c>
      <x:c r="F4342" s="2" t="str">
        <x:v>Agriculture, forestry, and fishing, value added (% of GDP)</x:v>
      </x:c>
    </x:row>
    <x:row r="4343" ht="44" customHeight="1">
      <x:c r="A4343" s="2" t="str">
        <x:v>MKD</x:v>
      </x:c>
      <x:c r="B4343" s="2" t="str">
        <x:v>poverty</x:v>
      </x:c>
      <x:c r="C4343" s="2" t="n">
        <x:v>3.9</x:v>
      </x:c>
      <x:c r="D4343" s="2" t="n">
        <x:v>2019</x:v>
      </x:c>
      <x:c r="E4343" s="2" t="str">
        <x:v>WB_poverty</x:v>
      </x:c>
      <x:c r="F4343" s="2" t="str">
        <x:v>Poverty headcount ratio at $3.00 a day (2021 PPP) (% of population)</x:v>
      </x:c>
    </x:row>
    <x:row r="4344" ht="44" customHeight="1">
      <x:c r="A4344" s="2" t="str">
        <x:v>MKD</x:v>
      </x:c>
      <x:c r="B4344" s="2" t="str">
        <x:v>gini</x:v>
      </x:c>
      <x:c r="C4344" s="2" t="n">
        <x:v>33.5</x:v>
      </x:c>
      <x:c r="D4344" s="2" t="n">
        <x:v>2019</x:v>
      </x:c>
      <x:c r="E4344" s="2" t="str">
        <x:v>WB_gini</x:v>
      </x:c>
      <x:c r="F4344" s="2" t="str">
        <x:v>Gini index</x:v>
      </x:c>
    </x:row>
    <x:row r="4345" ht="44" customHeight="1">
      <x:c r="A4345" s="2" t="str">
        <x:v>MKD</x:v>
      </x:c>
      <x:c r="B4345" s="2" t="str">
        <x:v>unemployment</x:v>
      </x:c>
      <x:c r="C4345" s="2" t="n">
        <x:v>12.256</x:v>
      </x:c>
      <x:c r="D4345" s="2" t="n">
        <x:v>2025</x:v>
      </x:c>
      <x:c r="E4345" s="2" t="str">
        <x:v>WB_unemployment</x:v>
      </x:c>
      <x:c r="F4345" s="2" t="str">
        <x:v>Unemployment, total (% of total labor force) (modeled ILO estimate)</x:v>
      </x:c>
    </x:row>
    <x:row r="4346" ht="44" customHeight="1">
      <x:c r="A4346" s="2" t="str">
        <x:v>MKD</x:v>
      </x:c>
      <x:c r="B4346" s="2" t="str">
        <x:v>private_credit</x:v>
      </x:c>
      <x:c r="C4346" s="2" t="n">
        <x:v>56.3082893858424</x:v>
      </x:c>
      <x:c r="D4346" s="2" t="n">
        <x:v>2025</x:v>
      </x:c>
      <x:c r="E4346" s="2" t="str">
        <x:v>WB_private_credit</x:v>
      </x:c>
      <x:c r="F4346" s="2" t="str">
        <x:v>Domestic credit to private sector (% of GDP)</x:v>
      </x:c>
    </x:row>
    <x:row r="4347" ht="44" customHeight="1">
      <x:c r="A4347" s="2" t="str">
        <x:v>MKD</x:v>
      </x:c>
      <x:c r="B4347" s="2" t="str">
        <x:v>lending_rate</x:v>
      </x:c>
      <x:c r="C4347" s="2" t="n">
        <x:v>5.41591048775874</x:v>
      </x:c>
      <x:c r="D4347" s="2" t="n">
        <x:v>2025</x:v>
      </x:c>
      <x:c r="E4347" s="2" t="str">
        <x:v>WB_lending_rate</x:v>
      </x:c>
      <x:c r="F4347" s="2" t="str">
        <x:v>Lending interest rate (%)</x:v>
      </x:c>
    </x:row>
    <x:row r="4348" ht="44" customHeight="1">
      <x:c r="A4348" s="2" t="str">
        <x:v>MKD</x:v>
      </x:c>
      <x:c r="B4348" s="2" t="str">
        <x:v>real_interest</x:v>
      </x:c>
      <x:c r="C4348" s="2" t="n">
        <x:v>0.752891052861901</x:v>
      </x:c>
      <x:c r="D4348" s="2" t="n">
        <x:v>2025</x:v>
      </x:c>
      <x:c r="E4348" s="2" t="str">
        <x:v>WB_real_interest</x:v>
      </x:c>
      <x:c r="F4348" s="2" t="str">
        <x:v>Real interest rate (%)</x:v>
      </x:c>
    </x:row>
    <x:row r="4349" ht="44" customHeight="1">
      <x:c r="A4349" s="2" t="str">
        <x:v>MKD</x:v>
      </x:c>
      <x:c r="B4349" s="2" t="str">
        <x:v>government_debt</x:v>
      </x:c>
      <x:c r="C4349" s="2"/>
      <x:c r="D4349" s="2"/>
      <x:c r="E4349" s="2" t="str">
        <x:v>Missing</x:v>
      </x:c>
      <x:c r="F4349" s="2" t="str">
        <x:v>Central government debt, total (% of GDP)</x:v>
      </x:c>
    </x:row>
    <x:row r="4350" ht="44" customHeight="1">
      <x:c r="A4350" s="2" t="str">
        <x:v>MKD</x:v>
      </x:c>
      <x:c r="B4350" s="2" t="str">
        <x:v>electricity_access</x:v>
      </x:c>
      <x:c r="C4350" s="2" t="n">
        <x:v>100</x:v>
      </x:c>
      <x:c r="D4350" s="2" t="n">
        <x:v>2024</x:v>
      </x:c>
      <x:c r="E4350" s="2" t="str">
        <x:v>WB_electricity_access</x:v>
      </x:c>
      <x:c r="F4350" s="2" t="str">
        <x:v>Access to electricity (% of population)</x:v>
      </x:c>
    </x:row>
    <x:row r="4351" ht="44" customHeight="1">
      <x:c r="A4351" s="2" t="str">
        <x:v>MKD</x:v>
      </x:c>
      <x:c r="B4351" s="2" t="str">
        <x:v>irrigated_land</x:v>
      </x:c>
      <x:c r="C4351" s="2" t="n">
        <x:v>6.67462450592885</x:v>
      </x:c>
      <x:c r="D4351" s="2" t="n">
        <x:v>2016</x:v>
      </x:c>
      <x:c r="E4351" s="2" t="str">
        <x:v>WB_irrigated_land</x:v>
      </x:c>
      <x:c r="F4351" s="2" t="str">
        <x:v>Agricultural irrigated land (% of total agricultural land)</x:v>
      </x:c>
    </x:row>
    <x:row r="4352" ht="44" customHeight="1">
      <x:c r="A4352" s="2" t="str">
        <x:v>MKD</x:v>
      </x:c>
      <x:c r="B4352" s="2" t="str">
        <x:v>cereal_area</x:v>
      </x:c>
      <x:c r="C4352" s="2" t="n">
        <x:v>149249</x:v>
      </x:c>
      <x:c r="D4352" s="2" t="n">
        <x:v>2024</x:v>
      </x:c>
      <x:c r="E4352" s="2" t="str">
        <x:v>WB_cereal_area</x:v>
      </x:c>
      <x:c r="F4352" s="2" t="str">
        <x:v>Land under cereal production (hectares)</x:v>
      </x:c>
    </x:row>
    <x:row r="4353" ht="44" customHeight="1">
      <x:c r="A4353" s="2" t="str">
        <x:v>MKD</x:v>
      </x:c>
      <x:c r="B4353" s="2" t="str">
        <x:v>undernourishment</x:v>
      </x:c>
      <x:c r="C4353" s="2" t="n">
        <x:v>2.5</x:v>
      </x:c>
      <x:c r="D4353" s="2" t="n">
        <x:v>2023</x:v>
      </x:c>
      <x:c r="E4353" s="2" t="str">
        <x:v>WB_undernourishment</x:v>
      </x:c>
      <x:c r="F4353" s="2" t="str">
        <x:v>Prevalence of undernourishment (% of population)</x:v>
      </x:c>
    </x:row>
    <x:row r="4354" ht="44" customHeight="1">
      <x:c r="A4354" s="2" t="str">
        <x:v>MKD</x:v>
      </x:c>
      <x:c r="B4354" s="2" t="str">
        <x:v>agriculture_employment</x:v>
      </x:c>
      <x:c r="C4354" s="2" t="n">
        <x:v>8.50272495361781</x:v>
      </x:c>
      <x:c r="D4354" s="2" t="n">
        <x:v>2025</x:v>
      </x:c>
      <x:c r="E4354" s="2" t="str">
        <x:v>WB_agriculture_employment</x:v>
      </x:c>
      <x:c r="F4354" s="2" t="str">
        <x:v>Employment in agriculture (% of total employment) (modeled ILO estimate)</x:v>
      </x:c>
    </x:row>
    <x:row r="4355" ht="44" customHeight="1">
      <x:c r="A4355" s="2" t="str">
        <x:v>MKD</x:v>
      </x:c>
      <x:c r="B4355" s="2" t="str">
        <x:v>water_withdrawal</x:v>
      </x:c>
      <x:c r="C4355" s="2" t="n">
        <x:v>40.212962962963</x:v>
      </x:c>
      <x:c r="D4355" s="2" t="n">
        <x:v>2022</x:v>
      </x:c>
      <x:c r="E4355" s="2" t="str">
        <x:v>WB_water_withdrawal</x:v>
      </x:c>
      <x:c r="F4355" s="2" t="str">
        <x:v>Annual freshwater withdrawals, total (% of internal resources)</x:v>
      </x:c>
    </x:row>
    <x:row r="4356" ht="44" customHeight="1">
      <x:c r="A4356" s="2" t="str">
        <x:v>NOR</x:v>
      </x:c>
      <x:c r="B4356" s="2" t="str">
        <x:v>population</x:v>
      </x:c>
      <x:c r="C4356" s="2" t="n">
        <x:v>5610870</x:v>
      </x:c>
      <x:c r="D4356" s="2" t="n">
        <x:v>2025</x:v>
      </x:c>
      <x:c r="E4356" s="2" t="str">
        <x:v>WB_population</x:v>
      </x:c>
      <x:c r="F4356" s="2" t="str">
        <x:v>Population, total</x:v>
      </x:c>
    </x:row>
    <x:row r="4357" ht="44" customHeight="1">
      <x:c r="A4357" s="2" t="str">
        <x:v>NOR</x:v>
      </x:c>
      <x:c r="B4357" s="2" t="str">
        <x:v>income_ppp</x:v>
      </x:c>
      <x:c r="C4357" s="2" t="n">
        <x:v>95173.4308224367</x:v>
      </x:c>
      <x:c r="D4357" s="2" t="n">
        <x:v>2025</x:v>
      </x:c>
      <x:c r="E4357" s="2" t="str">
        <x:v>WB_income_ppp</x:v>
      </x:c>
      <x:c r="F4357" s="2" t="str">
        <x:v>GDP per capita, PPP (constant 2021 international $)</x:v>
      </x:c>
    </x:row>
    <x:row r="4358" ht="44" customHeight="1">
      <x:c r="A4358" s="2" t="str">
        <x:v>NOR</x:v>
      </x:c>
      <x:c r="B4358" s="2" t="str">
        <x:v>urban</x:v>
      </x:c>
      <x:c r="C4358" s="2" t="n">
        <x:v>83.5705787708326</x:v>
      </x:c>
      <x:c r="D4358" s="2" t="n">
        <x:v>2025</x:v>
      </x:c>
      <x:c r="E4358" s="2" t="str">
        <x:v>WB_urban</x:v>
      </x:c>
      <x:c r="F4358" s="2" t="str">
        <x:v>Urban population (% of total population)</x:v>
      </x:c>
    </x:row>
    <x:row r="4359" ht="44" customHeight="1">
      <x:c r="A4359" s="2" t="str">
        <x:v>NOR</x:v>
      </x:c>
      <x:c r="B4359" s="2" t="str">
        <x:v>inflation</x:v>
      </x:c>
      <x:c r="C4359" s="2" t="n">
        <x:v>3.05562484410077</x:v>
      </x:c>
      <x:c r="D4359" s="2" t="n">
        <x:v>2025</x:v>
      </x:c>
      <x:c r="E4359" s="2" t="str">
        <x:v>WB_inflation</x:v>
      </x:c>
      <x:c r="F4359" s="2" t="str">
        <x:v>Inflation, consumer prices (annual %)</x:v>
      </x:c>
    </x:row>
    <x:row r="4360" ht="44" customHeight="1">
      <x:c r="A4360" s="2" t="str">
        <x:v>NOR</x:v>
      </x:c>
      <x:c r="B4360" s="2" t="str">
        <x:v>food_index</x:v>
      </x:c>
      <x:c r="C4360" s="2" t="n">
        <x:v>102.72</x:v>
      </x:c>
      <x:c r="D4360" s="2" t="n">
        <x:v>2022</x:v>
      </x:c>
      <x:c r="E4360" s="2" t="str">
        <x:v>WB_food_index</x:v>
      </x:c>
      <x:c r="F4360" s="2" t="str">
        <x:v>Food production index (2014-2016 = 100)</x:v>
      </x:c>
    </x:row>
    <x:row r="4361" ht="44" customHeight="1">
      <x:c r="A4361" s="2" t="str">
        <x:v>NOR</x:v>
      </x:c>
      <x:c r="B4361" s="2" t="str">
        <x:v>food_import_share</x:v>
      </x:c>
      <x:c r="C4361" s="2" t="n">
        <x:v>11.1014721301785</x:v>
      </x:c>
      <x:c r="D4361" s="2" t="n">
        <x:v>2025</x:v>
      </x:c>
      <x:c r="E4361" s="2" t="str">
        <x:v>WB_food_import_share</x:v>
      </x:c>
      <x:c r="F4361" s="2" t="str">
        <x:v>Food imports (% of merchandise imports)</x:v>
      </x:c>
    </x:row>
    <x:row r="4362" ht="44" customHeight="1">
      <x:c r="A4362" s="2" t="str">
        <x:v>NOR</x:v>
      </x:c>
      <x:c r="B4362" s="2" t="str">
        <x:v>food_export_share</x:v>
      </x:c>
      <x:c r="C4362" s="2" t="n">
        <x:v>10.7709320349896</x:v>
      </x:c>
      <x:c r="D4362" s="2" t="n">
        <x:v>2025</x:v>
      </x:c>
      <x:c r="E4362" s="2" t="str">
        <x:v>WB_food_export_share</x:v>
      </x:c>
      <x:c r="F4362" s="2" t="str">
        <x:v>Food exports (% of merchandise exports)</x:v>
      </x:c>
    </x:row>
    <x:row r="4363" ht="44" customHeight="1">
      <x:c r="A4363" s="2" t="str">
        <x:v>NOR</x:v>
      </x:c>
      <x:c r="B4363" s="2" t="str">
        <x:v>imports_usd</x:v>
      </x:c>
      <x:c r="C4363" s="2" t="n">
        <x:v>107319000000</x:v>
      </x:c>
      <x:c r="D4363" s="2" t="n">
        <x:v>2025</x:v>
      </x:c>
      <x:c r="E4363" s="2" t="str">
        <x:v>WB_imports_usd</x:v>
      </x:c>
      <x:c r="F4363" s="2" t="str">
        <x:v>Merchandise imports (current US$)</x:v>
      </x:c>
    </x:row>
    <x:row r="4364" ht="44" customHeight="1">
      <x:c r="A4364" s="2" t="str">
        <x:v>NOR</x:v>
      </x:c>
      <x:c r="B4364" s="2" t="str">
        <x:v>exports_usd</x:v>
      </x:c>
      <x:c r="C4364" s="2" t="n">
        <x:v>170567000000</x:v>
      </x:c>
      <x:c r="D4364" s="2" t="n">
        <x:v>2025</x:v>
      </x:c>
      <x:c r="E4364" s="2" t="str">
        <x:v>WB_exports_usd</x:v>
      </x:c>
      <x:c r="F4364" s="2" t="str">
        <x:v>Merchandise exports (current US$)</x:v>
      </x:c>
    </x:row>
    <x:row r="4365" ht="44" customHeight="1">
      <x:c r="A4365" s="2" t="str">
        <x:v>NOR</x:v>
      </x:c>
      <x:c r="B4365" s="2" t="str">
        <x:v>cereal_yield</x:v>
      </x:c>
      <x:c r="C4365" s="2" t="n">
        <x:v>4219.6</x:v>
      </x:c>
      <x:c r="D4365" s="2" t="n">
        <x:v>2024</x:v>
      </x:c>
      <x:c r="E4365" s="2" t="str">
        <x:v>WB_cereal_yield</x:v>
      </x:c>
      <x:c r="F4365" s="2" t="str">
        <x:v>Cereal yield (kg per hectare)</x:v>
      </x:c>
    </x:row>
    <x:row r="4366" ht="44" customHeight="1">
      <x:c r="A4366" s="2" t="str">
        <x:v>NOR</x:v>
      </x:c>
      <x:c r="B4366" s="2" t="str">
        <x:v>water_stress</x:v>
      </x:c>
      <x:c r="C4366" s="2" t="n">
        <x:v>2.044007605</x:v>
      </x:c>
      <x:c r="D4366" s="2" t="n">
        <x:v>2022</x:v>
      </x:c>
      <x:c r="E4366" s="2" t="str">
        <x:v>WB_water_stress</x:v>
      </x:c>
      <x:c r="F4366" s="2" t="str">
        <x:v>Level of water stress: freshwater withdrawal as a proportion of available freshwater resources</x:v>
      </x:c>
    </x:row>
    <x:row r="4367" ht="44" customHeight="1">
      <x:c r="A4367" s="2" t="str">
        <x:v>NOR</x:v>
      </x:c>
      <x:c r="B4367" s="2" t="str">
        <x:v>fertility</x:v>
      </x:c>
      <x:c r="C4367" s="2" t="n">
        <x:v>1.45</x:v>
      </x:c>
      <x:c r="D4367" s="2" t="n">
        <x:v>2024</x:v>
      </x:c>
      <x:c r="E4367" s="2" t="str">
        <x:v>WB_fertility</x:v>
      </x:c>
      <x:c r="F4367" s="2" t="str">
        <x:v>Fertility rate, total (births per woman)</x:v>
      </x:c>
    </x:row>
    <x:row r="4368" ht="44" customHeight="1">
      <x:c r="A4368" s="2" t="str">
        <x:v>NOR</x:v>
      </x:c>
      <x:c r="B4368" s="2" t="str">
        <x:v>life_expectancy</x:v>
      </x:c>
      <x:c r="C4368" s="2" t="n">
        <x:v>83.1609756097561</x:v>
      </x:c>
      <x:c r="D4368" s="2" t="n">
        <x:v>2024</x:v>
      </x:c>
      <x:c r="E4368" s="2" t="str">
        <x:v>WB_life_expectancy</x:v>
      </x:c>
      <x:c r="F4368" s="2" t="str">
        <x:v>Life expectancy at birth, total (years)</x:v>
      </x:c>
    </x:row>
    <x:row r="4369" ht="44" customHeight="1">
      <x:c r="A4369" s="2" t="str">
        <x:v>NOR</x:v>
      </x:c>
      <x:c r="B4369" s="2" t="str">
        <x:v>age_under15</x:v>
      </x:c>
      <x:c r="C4369" s="2" t="n">
        <x:v>15.9239141743008</x:v>
      </x:c>
      <x:c r="D4369" s="2" t="n">
        <x:v>2025</x:v>
      </x:c>
      <x:c r="E4369" s="2" t="str">
        <x:v>WB_age_under15</x:v>
      </x:c>
      <x:c r="F4369" s="2" t="str">
        <x:v>Population ages 0-14 (% of total population)</x:v>
      </x:c>
    </x:row>
    <x:row r="4370" ht="44" customHeight="1">
      <x:c r="A4370" s="2" t="str">
        <x:v>NOR</x:v>
      </x:c>
      <x:c r="B4370" s="2" t="str">
        <x:v>age_over65</x:v>
      </x:c>
      <x:c r="C4370" s="2" t="n">
        <x:v>19.080223244558</x:v>
      </x:c>
      <x:c r="D4370" s="2" t="n">
        <x:v>2025</x:v>
      </x:c>
      <x:c r="E4370" s="2" t="str">
        <x:v>WB_age_over65</x:v>
      </x:c>
      <x:c r="F4370" s="2" t="str">
        <x:v>Population ages 65 and above (% of total population)</x:v>
      </x:c>
    </x:row>
    <x:row r="4371" ht="44" customHeight="1">
      <x:c r="A4371" s="2" t="str">
        <x:v>NOR</x:v>
      </x:c>
      <x:c r="B4371" s="2" t="str">
        <x:v>dependency_ratio</x:v>
      </x:c>
      <x:c r="C4371" s="2" t="n">
        <x:v>53.8559621457851</x:v>
      </x:c>
      <x:c r="D4371" s="2" t="n">
        <x:v>2025</x:v>
      </x:c>
      <x:c r="E4371" s="2" t="str">
        <x:v>WB_dependency_ratio</x:v>
      </x:c>
      <x:c r="F4371" s="2" t="str">
        <x:v>Age dependency ratio (% of working-age population)</x:v>
      </x:c>
    </x:row>
    <x:row r="4372" ht="44" customHeight="1">
      <x:c r="A4372" s="2" t="str">
        <x:v>NOR</x:v>
      </x:c>
      <x:c r="B4372" s="2" t="str">
        <x:v>net_migration</x:v>
      </x:c>
      <x:c r="C4372" s="2" t="n">
        <x:v>29798</x:v>
      </x:c>
      <x:c r="D4372" s="2" t="n">
        <x:v>2025</x:v>
      </x:c>
      <x:c r="E4372" s="2" t="str">
        <x:v>WB_net_migration</x:v>
      </x:c>
      <x:c r="F4372" s="2" t="str">
        <x:v>Net migration</x:v>
      </x:c>
    </x:row>
    <x:row r="4373" ht="44" customHeight="1">
      <x:c r="A4373" s="2" t="str">
        <x:v>NOR</x:v>
      </x:c>
      <x:c r="B4373" s="2" t="str">
        <x:v>real_gdp</x:v>
      </x:c>
      <x:c r="C4373" s="2" t="n">
        <x:v>470262478012.781</x:v>
      </x:c>
      <x:c r="D4373" s="2" t="n">
        <x:v>2025</x:v>
      </x:c>
      <x:c r="E4373" s="2" t="str">
        <x:v>WB_real_gdp</x:v>
      </x:c>
      <x:c r="F4373" s="2" t="str">
        <x:v>GDP (constant 2015 US$)</x:v>
      </x:c>
    </x:row>
    <x:row r="4374" ht="44" customHeight="1">
      <x:c r="A4374" s="2" t="str">
        <x:v>NOR</x:v>
      </x:c>
      <x:c r="B4374" s="2" t="str">
        <x:v>gdp_growth</x:v>
      </x:c>
      <x:c r="C4374" s="2" t="n">
        <x:v>1.08528185031417</x:v>
      </x:c>
      <x:c r="D4374" s="2" t="n">
        <x:v>2025</x:v>
      </x:c>
      <x:c r="E4374" s="2" t="str">
        <x:v>WB_gdp_growth</x:v>
      </x:c>
      <x:c r="F4374" s="2" t="str">
        <x:v>GDP growth (annual %)</x:v>
      </x:c>
    </x:row>
    <x:row r="4375" ht="44" customHeight="1">
      <x:c r="A4375" s="2" t="str">
        <x:v>NOR</x:v>
      </x:c>
      <x:c r="B4375" s="2" t="str">
        <x:v>real_income</x:v>
      </x:c>
      <x:c r="C4375" s="2" t="n">
        <x:v>83812.7559563457</x:v>
      </x:c>
      <x:c r="D4375" s="2" t="n">
        <x:v>2025</x:v>
      </x:c>
      <x:c r="E4375" s="2" t="str">
        <x:v>WB_real_income</x:v>
      </x:c>
      <x:c r="F4375" s="2" t="str">
        <x:v>GDP per capita (constant 2015 US$)</x:v>
      </x:c>
    </x:row>
    <x:row r="4376" ht="44" customHeight="1">
      <x:c r="A4376" s="2" t="str">
        <x:v>NOR</x:v>
      </x:c>
      <x:c r="B4376" s="2" t="str">
        <x:v>agriculture_gdp</x:v>
      </x:c>
      <x:c r="C4376" s="2" t="n">
        <x:v>1.64200398430636</x:v>
      </x:c>
      <x:c r="D4376" s="2" t="n">
        <x:v>2025</x:v>
      </x:c>
      <x:c r="E4376" s="2" t="str">
        <x:v>WB_agriculture_gdp</x:v>
      </x:c>
      <x:c r="F4376" s="2" t="str">
        <x:v>Agriculture, forestry, and fishing, value added (% of GDP)</x:v>
      </x:c>
    </x:row>
    <x:row r="4377" ht="44" customHeight="1">
      <x:c r="A4377" s="2" t="str">
        <x:v>NOR</x:v>
      </x:c>
      <x:c r="B4377" s="2" t="str">
        <x:v>poverty</x:v>
      </x:c>
      <x:c r="C4377" s="2" t="n">
        <x:v>0.2</x:v>
      </x:c>
      <x:c r="D4377" s="2" t="n">
        <x:v>2023</x:v>
      </x:c>
      <x:c r="E4377" s="2" t="str">
        <x:v>WB_poverty</x:v>
      </x:c>
      <x:c r="F4377" s="2" t="str">
        <x:v>Poverty headcount ratio at $3.00 a day (2021 PPP) (% of population)</x:v>
      </x:c>
    </x:row>
    <x:row r="4378" ht="44" customHeight="1">
      <x:c r="A4378" s="2" t="str">
        <x:v>NOR</x:v>
      </x:c>
      <x:c r="B4378" s="2" t="str">
        <x:v>gini</x:v>
      </x:c>
      <x:c r="C4378" s="2" t="n">
        <x:v>26.5</x:v>
      </x:c>
      <x:c r="D4378" s="2" t="n">
        <x:v>2023</x:v>
      </x:c>
      <x:c r="E4378" s="2" t="str">
        <x:v>WB_gini</x:v>
      </x:c>
      <x:c r="F4378" s="2" t="str">
        <x:v>Gini index</x:v>
      </x:c>
    </x:row>
    <x:row r="4379" ht="44" customHeight="1">
      <x:c r="A4379" s="2" t="str">
        <x:v>NOR</x:v>
      </x:c>
      <x:c r="B4379" s="2" t="str">
        <x:v>unemployment</x:v>
      </x:c>
      <x:c r="C4379" s="2" t="n">
        <x:v>4.637</x:v>
      </x:c>
      <x:c r="D4379" s="2" t="n">
        <x:v>2025</x:v>
      </x:c>
      <x:c r="E4379" s="2" t="str">
        <x:v>WB_unemployment</x:v>
      </x:c>
      <x:c r="F4379" s="2" t="str">
        <x:v>Unemployment, total (% of total labor force) (modeled ILO estimate)</x:v>
      </x:c>
    </x:row>
    <x:row r="4380" ht="44" customHeight="1">
      <x:c r="A4380" s="2" t="str">
        <x:v>NOR</x:v>
      </x:c>
      <x:c r="B4380" s="2" t="str">
        <x:v>private_credit</x:v>
      </x:c>
      <x:c r="C4380" s="2" t="n">
        <x:v>124.389621734823</x:v>
      </x:c>
      <x:c r="D4380" s="2" t="n">
        <x:v>2024</x:v>
      </x:c>
      <x:c r="E4380" s="2" t="str">
        <x:v>WB_private_credit</x:v>
      </x:c>
      <x:c r="F4380" s="2" t="str">
        <x:v>Domestic credit to private sector (% of GDP)</x:v>
      </x:c>
    </x:row>
    <x:row r="4381" ht="44" customHeight="1">
      <x:c r="A4381" s="2" t="str">
        <x:v>NOR</x:v>
      </x:c>
      <x:c r="B4381" s="2" t="str">
        <x:v>lending_rate</x:v>
      </x:c>
      <x:c r="C4381" s="2" t="n">
        <x:v>5.8775</x:v>
      </x:c>
      <x:c r="D4381" s="2" t="n">
        <x:v>2025</x:v>
      </x:c>
      <x:c r="E4381" s="2" t="str">
        <x:v>WB_lending_rate</x:v>
      </x:c>
      <x:c r="F4381" s="2" t="str">
        <x:v>Lending interest rate (%)</x:v>
      </x:c>
    </x:row>
    <x:row r="4382" ht="44" customHeight="1">
      <x:c r="A4382" s="2" t="str">
        <x:v>NOR</x:v>
      </x:c>
      <x:c r="B4382" s="2" t="str">
        <x:v>real_interest</x:v>
      </x:c>
      <x:c r="C4382" s="2" t="n">
        <x:v>4.40394070835556</x:v>
      </x:c>
      <x:c r="D4382" s="2" t="n">
        <x:v>2025</x:v>
      </x:c>
      <x:c r="E4382" s="2" t="str">
        <x:v>WB_real_interest</x:v>
      </x:c>
      <x:c r="F4382" s="2" t="str">
        <x:v>Real interest rate (%)</x:v>
      </x:c>
    </x:row>
    <x:row r="4383" ht="44" customHeight="1">
      <x:c r="A4383" s="2" t="str">
        <x:v>NOR</x:v>
      </x:c>
      <x:c r="B4383" s="2" t="str">
        <x:v>government_debt</x:v>
      </x:c>
      <x:c r="C4383" s="2"/>
      <x:c r="D4383" s="2"/>
      <x:c r="E4383" s="2" t="str">
        <x:v>Missing</x:v>
      </x:c>
      <x:c r="F4383" s="2" t="str">
        <x:v>Central government debt, total (% of GDP)</x:v>
      </x:c>
    </x:row>
    <x:row r="4384" ht="44" customHeight="1">
      <x:c r="A4384" s="2" t="str">
        <x:v>NOR</x:v>
      </x:c>
      <x:c r="B4384" s="2" t="str">
        <x:v>electricity_access</x:v>
      </x:c>
      <x:c r="C4384" s="2" t="n">
        <x:v>100</x:v>
      </x:c>
      <x:c r="D4384" s="2" t="n">
        <x:v>2024</x:v>
      </x:c>
      <x:c r="E4384" s="2" t="str">
        <x:v>WB_electricity_access</x:v>
      </x:c>
      <x:c r="F4384" s="2" t="str">
        <x:v>Access to electricity (% of population)</x:v>
      </x:c>
    </x:row>
    <x:row r="4385" ht="44" customHeight="1">
      <x:c r="A4385" s="2" t="str">
        <x:v>NOR</x:v>
      </x:c>
      <x:c r="B4385" s="2" t="str">
        <x:v>irrigated_land</x:v>
      </x:c>
      <x:c r="C4385" s="2" t="n">
        <x:v>3.42597703883757</x:v>
      </x:c>
      <x:c r="D4385" s="2" t="n">
        <x:v>2016</x:v>
      </x:c>
      <x:c r="E4385" s="2" t="str">
        <x:v>WB_irrigated_land</x:v>
      </x:c>
      <x:c r="F4385" s="2" t="str">
        <x:v>Agricultural irrigated land (% of total agricultural land)</x:v>
      </x:c>
    </x:row>
    <x:row r="4386" ht="44" customHeight="1">
      <x:c r="A4386" s="2" t="str">
        <x:v>NOR</x:v>
      </x:c>
      <x:c r="B4386" s="2" t="str">
        <x:v>cereal_area</x:v>
      </x:c>
      <x:c r="C4386" s="2" t="n">
        <x:v>279979</x:v>
      </x:c>
      <x:c r="D4386" s="2" t="n">
        <x:v>2024</x:v>
      </x:c>
      <x:c r="E4386" s="2" t="str">
        <x:v>WB_cereal_area</x:v>
      </x:c>
      <x:c r="F4386" s="2" t="str">
        <x:v>Land under cereal production (hectares)</x:v>
      </x:c>
    </x:row>
    <x:row r="4387" ht="44" customHeight="1">
      <x:c r="A4387" s="2" t="str">
        <x:v>NOR</x:v>
      </x:c>
      <x:c r="B4387" s="2" t="str">
        <x:v>undernourishment</x:v>
      </x:c>
      <x:c r="C4387" s="2" t="n">
        <x:v>2.5</x:v>
      </x:c>
      <x:c r="D4387" s="2" t="n">
        <x:v>2023</x:v>
      </x:c>
      <x:c r="E4387" s="2" t="str">
        <x:v>WB_undernourishment</x:v>
      </x:c>
      <x:c r="F4387" s="2" t="str">
        <x:v>Prevalence of undernourishment (% of population)</x:v>
      </x:c>
    </x:row>
    <x:row r="4388" ht="44" customHeight="1">
      <x:c r="A4388" s="2" t="str">
        <x:v>NOR</x:v>
      </x:c>
      <x:c r="B4388" s="2" t="str">
        <x:v>agriculture_employment</x:v>
      </x:c>
      <x:c r="C4388" s="2" t="n">
        <x:v>2.50061616929661</x:v>
      </x:c>
      <x:c r="D4388" s="2" t="n">
        <x:v>2025</x:v>
      </x:c>
      <x:c r="E4388" s="2" t="str">
        <x:v>WB_agriculture_employment</x:v>
      </x:c>
      <x:c r="F4388" s="2" t="str">
        <x:v>Employment in agriculture (% of total employment) (modeled ILO estimate)</x:v>
      </x:c>
    </x:row>
    <x:row r="4389" ht="44" customHeight="1">
      <x:c r="A4389" s="2" t="str">
        <x:v>NOR</x:v>
      </x:c>
      <x:c r="B4389" s="2" t="str">
        <x:v>water_withdrawal</x:v>
      </x:c>
      <x:c r="C4389" s="2" t="n">
        <x:v>0.703630890052356</x:v>
      </x:c>
      <x:c r="D4389" s="2" t="n">
        <x:v>2022</x:v>
      </x:c>
      <x:c r="E4389" s="2" t="str">
        <x:v>WB_water_withdrawal</x:v>
      </x:c>
      <x:c r="F4389" s="2" t="str">
        <x:v>Annual freshwater withdrawals, total (% of internal resources)</x:v>
      </x:c>
    </x:row>
    <x:row r="4390" ht="44" customHeight="1">
      <x:c r="A4390" s="2" t="str">
        <x:v>OMN</x:v>
      </x:c>
      <x:c r="B4390" s="2" t="str">
        <x:v>population</x:v>
      </x:c>
      <x:c r="C4390" s="2" t="n">
        <x:v>5494691</x:v>
      </x:c>
      <x:c r="D4390" s="2" t="n">
        <x:v>2025</x:v>
      </x:c>
      <x:c r="E4390" s="2" t="str">
        <x:v>WB_population</x:v>
      </x:c>
      <x:c r="F4390" s="2" t="str">
        <x:v>Population, total</x:v>
      </x:c>
    </x:row>
    <x:row r="4391" ht="44" customHeight="1">
      <x:c r="A4391" s="2" t="str">
        <x:v>OMN</x:v>
      </x:c>
      <x:c r="B4391" s="2" t="str">
        <x:v>income_ppp</x:v>
      </x:c>
      <x:c r="C4391" s="2" t="n">
        <x:v>36142.9439797194</x:v>
      </x:c>
      <x:c r="D4391" s="2" t="n">
        <x:v>2025</x:v>
      </x:c>
      <x:c r="E4391" s="2" t="str">
        <x:v>WB_income_ppp</x:v>
      </x:c>
      <x:c r="F4391" s="2" t="str">
        <x:v>GDP per capita, PPP (constant 2021 international $)</x:v>
      </x:c>
    </x:row>
    <x:row r="4392" ht="44" customHeight="1">
      <x:c r="A4392" s="2" t="str">
        <x:v>OMN</x:v>
      </x:c>
      <x:c r="B4392" s="2" t="str">
        <x:v>urban</x:v>
      </x:c>
      <x:c r="C4392" s="2" t="n">
        <x:v>79.4781383307689</x:v>
      </x:c>
      <x:c r="D4392" s="2" t="n">
        <x:v>2025</x:v>
      </x:c>
      <x:c r="E4392" s="2" t="str">
        <x:v>WB_urban</x:v>
      </x:c>
      <x:c r="F4392" s="2" t="str">
        <x:v>Urban population (% of total population)</x:v>
      </x:c>
    </x:row>
    <x:row r="4393" ht="44" customHeight="1">
      <x:c r="A4393" s="2" t="str">
        <x:v>OMN</x:v>
      </x:c>
      <x:c r="B4393" s="2" t="str">
        <x:v>inflation</x:v>
      </x:c>
      <x:c r="C4393" s="2" t="n">
        <x:v>0.967741935483928</x:v>
      </x:c>
      <x:c r="D4393" s="2" t="n">
        <x:v>2025</x:v>
      </x:c>
      <x:c r="E4393" s="2" t="str">
        <x:v>WB_inflation</x:v>
      </x:c>
      <x:c r="F4393" s="2" t="str">
        <x:v>Inflation, consumer prices (annual %)</x:v>
      </x:c>
    </x:row>
    <x:row r="4394" ht="44" customHeight="1">
      <x:c r="A4394" s="2" t="str">
        <x:v>OMN</x:v>
      </x:c>
      <x:c r="B4394" s="2" t="str">
        <x:v>food_index</x:v>
      </x:c>
      <x:c r="C4394" s="2" t="n">
        <x:v>170.06</x:v>
      </x:c>
      <x:c r="D4394" s="2" t="n">
        <x:v>2022</x:v>
      </x:c>
      <x:c r="E4394" s="2" t="str">
        <x:v>WB_food_index</x:v>
      </x:c>
      <x:c r="F4394" s="2" t="str">
        <x:v>Food production index (2014-2016 = 100)</x:v>
      </x:c>
    </x:row>
    <x:row r="4395" ht="44" customHeight="1">
      <x:c r="A4395" s="2" t="str">
        <x:v>OMN</x:v>
      </x:c>
      <x:c r="B4395" s="2" t="str">
        <x:v>food_import_share</x:v>
      </x:c>
      <x:c r="C4395" s="2" t="n">
        <x:v>13.888546748286</x:v>
      </x:c>
      <x:c r="D4395" s="2" t="n">
        <x:v>2024</x:v>
      </x:c>
      <x:c r="E4395" s="2" t="str">
        <x:v>WB_food_import_share</x:v>
      </x:c>
      <x:c r="F4395" s="2" t="str">
        <x:v>Food imports (% of merchandise imports)</x:v>
      </x:c>
    </x:row>
    <x:row r="4396" ht="44" customHeight="1">
      <x:c r="A4396" s="2" t="str">
        <x:v>OMN</x:v>
      </x:c>
      <x:c r="B4396" s="2" t="str">
        <x:v>food_export_share</x:v>
      </x:c>
      <x:c r="C4396" s="2" t="n">
        <x:v>3.31430116076618</x:v>
      </x:c>
      <x:c r="D4396" s="2" t="n">
        <x:v>2024</x:v>
      </x:c>
      <x:c r="E4396" s="2" t="str">
        <x:v>WB_food_export_share</x:v>
      </x:c>
      <x:c r="F4396" s="2" t="str">
        <x:v>Food exports (% of merchandise exports)</x:v>
      </x:c>
    </x:row>
    <x:row r="4397" ht="44" customHeight="1">
      <x:c r="A4397" s="2" t="str">
        <x:v>OMN</x:v>
      </x:c>
      <x:c r="B4397" s="2" t="str">
        <x:v>imports_usd</x:v>
      </x:c>
      <x:c r="C4397" s="2" t="n">
        <x:v>44501000000</x:v>
      </x:c>
      <x:c r="D4397" s="2" t="n">
        <x:v>2025</x:v>
      </x:c>
      <x:c r="E4397" s="2" t="str">
        <x:v>WB_imports_usd</x:v>
      </x:c>
      <x:c r="F4397" s="2" t="str">
        <x:v>Merchandise imports (current US$)</x:v>
      </x:c>
    </x:row>
    <x:row r="4398" ht="44" customHeight="1">
      <x:c r="A4398" s="2" t="str">
        <x:v>OMN</x:v>
      </x:c>
      <x:c r="B4398" s="2" t="str">
        <x:v>exports_usd</x:v>
      </x:c>
      <x:c r="C4398" s="2" t="n">
        <x:v>55276000000</x:v>
      </x:c>
      <x:c r="D4398" s="2" t="n">
        <x:v>2025</x:v>
      </x:c>
      <x:c r="E4398" s="2" t="str">
        <x:v>WB_exports_usd</x:v>
      </x:c>
      <x:c r="F4398" s="2" t="str">
        <x:v>Merchandise exports (current US$)</x:v>
      </x:c>
    </x:row>
    <x:row r="4399" ht="44" customHeight="1">
      <x:c r="A4399" s="2" t="str">
        <x:v>OMN</x:v>
      </x:c>
      <x:c r="B4399" s="2" t="str">
        <x:v>cereal_yield</x:v>
      </x:c>
      <x:c r="C4399" s="2" t="n">
        <x:v>29147</x:v>
      </x:c>
      <x:c r="D4399" s="2" t="n">
        <x:v>2023</x:v>
      </x:c>
      <x:c r="E4399" s="2" t="str">
        <x:v>WB_cereal_yield</x:v>
      </x:c>
      <x:c r="F4399" s="2" t="str">
        <x:v>Cereal yield (kg per hectare)</x:v>
      </x:c>
    </x:row>
    <x:row r="4400" ht="44" customHeight="1">
      <x:c r="A4400" s="2" t="str">
        <x:v>OMN</x:v>
      </x:c>
      <x:c r="B4400" s="2" t="str">
        <x:v>water_stress</x:v>
      </x:c>
      <x:c r="C4400" s="2" t="n">
        <x:v>116.7142857</x:v>
      </x:c>
      <x:c r="D4400" s="2" t="n">
        <x:v>2022</x:v>
      </x:c>
      <x:c r="E4400" s="2" t="str">
        <x:v>WB_water_stress</x:v>
      </x:c>
      <x:c r="F4400" s="2" t="str">
        <x:v>Level of water stress: freshwater withdrawal as a proportion of available freshwater resources</x:v>
      </x:c>
    </x:row>
    <x:row r="4401" ht="44" customHeight="1">
      <x:c r="A4401" s="2" t="str">
        <x:v>OMN</x:v>
      </x:c>
      <x:c r="B4401" s="2" t="str">
        <x:v>fertility</x:v>
      </x:c>
      <x:c r="C4401" s="2" t="n">
        <x:v>2.508</x:v>
      </x:c>
      <x:c r="D4401" s="2" t="n">
        <x:v>2024</x:v>
      </x:c>
      <x:c r="E4401" s="2" t="str">
        <x:v>WB_fertility</x:v>
      </x:c>
      <x:c r="F4401" s="2" t="str">
        <x:v>Fertility rate, total (births per woman)</x:v>
      </x:c>
    </x:row>
    <x:row r="4402" ht="44" customHeight="1">
      <x:c r="A4402" s="2" t="str">
        <x:v>OMN</x:v>
      </x:c>
      <x:c r="B4402" s="2" t="str">
        <x:v>life_expectancy</x:v>
      </x:c>
      <x:c r="C4402" s="2" t="n">
        <x:v>80.246</x:v>
      </x:c>
      <x:c r="D4402" s="2" t="n">
        <x:v>2024</x:v>
      </x:c>
      <x:c r="E4402" s="2" t="str">
        <x:v>WB_life_expectancy</x:v>
      </x:c>
      <x:c r="F4402" s="2" t="str">
        <x:v>Life expectancy at birth, total (years)</x:v>
      </x:c>
    </x:row>
    <x:row r="4403" ht="44" customHeight="1">
      <x:c r="A4403" s="2" t="str">
        <x:v>OMN</x:v>
      </x:c>
      <x:c r="B4403" s="2" t="str">
        <x:v>age_under15</x:v>
      </x:c>
      <x:c r="C4403" s="2" t="n">
        <x:v>24.3203302970085</x:v>
      </x:c>
      <x:c r="D4403" s="2" t="n">
        <x:v>2025</x:v>
      </x:c>
      <x:c r="E4403" s="2" t="str">
        <x:v>WB_age_under15</x:v>
      </x:c>
      <x:c r="F4403" s="2" t="str">
        <x:v>Population ages 0-14 (% of total population)</x:v>
      </x:c>
    </x:row>
    <x:row r="4404" ht="44" customHeight="1">
      <x:c r="A4404" s="2" t="str">
        <x:v>OMN</x:v>
      </x:c>
      <x:c r="B4404" s="2" t="str">
        <x:v>age_over65</x:v>
      </x:c>
      <x:c r="C4404" s="2" t="n">
        <x:v>2.6870391801832</x:v>
      </x:c>
      <x:c r="D4404" s="2" t="n">
        <x:v>2025</x:v>
      </x:c>
      <x:c r="E4404" s="2" t="str">
        <x:v>WB_age_over65</x:v>
      </x:c>
      <x:c r="F4404" s="2" t="str">
        <x:v>Population ages 65 and above (% of total population)</x:v>
      </x:c>
    </x:row>
    <x:row r="4405" ht="44" customHeight="1">
      <x:c r="A4405" s="2" t="str">
        <x:v>OMN</x:v>
      </x:c>
      <x:c r="B4405" s="2" t="str">
        <x:v>dependency_ratio</x:v>
      </x:c>
      <x:c r="C4405" s="2" t="n">
        <x:v>37.0001396258028</x:v>
      </x:c>
      <x:c r="D4405" s="2" t="n">
        <x:v>2025</x:v>
      </x:c>
      <x:c r="E4405" s="2" t="str">
        <x:v>WB_dependency_ratio</x:v>
      </x:c>
      <x:c r="F4405" s="2" t="str">
        <x:v>Age dependency ratio (% of working-age population)</x:v>
      </x:c>
    </x:row>
    <x:row r="4406" ht="44" customHeight="1">
      <x:c r="A4406" s="2" t="str">
        <x:v>OMN</x:v>
      </x:c>
      <x:c r="B4406" s="2" t="str">
        <x:v>net_migration</x:v>
      </x:c>
      <x:c r="C4406" s="2" t="n">
        <x:v>113734</x:v>
      </x:c>
      <x:c r="D4406" s="2" t="n">
        <x:v>2025</x:v>
      </x:c>
      <x:c r="E4406" s="2" t="str">
        <x:v>WB_net_migration</x:v>
      </x:c>
      <x:c r="F4406" s="2" t="str">
        <x:v>Net migration</x:v>
      </x:c>
    </x:row>
    <x:row r="4407" ht="44" customHeight="1">
      <x:c r="A4407" s="2" t="str">
        <x:v>OMN</x:v>
      </x:c>
      <x:c r="B4407" s="2" t="str">
        <x:v>real_gdp</x:v>
      </x:c>
      <x:c r="C4407" s="2" t="n">
        <x:v>93817318343.1259</x:v>
      </x:c>
      <x:c r="D4407" s="2" t="n">
        <x:v>2025</x:v>
      </x:c>
      <x:c r="E4407" s="2" t="str">
        <x:v>WB_real_gdp</x:v>
      </x:c>
      <x:c r="F4407" s="2" t="str">
        <x:v>GDP (constant 2015 US$)</x:v>
      </x:c>
    </x:row>
    <x:row r="4408" ht="44" customHeight="1">
      <x:c r="A4408" s="2" t="str">
        <x:v>OMN</x:v>
      </x:c>
      <x:c r="B4408" s="2" t="str">
        <x:v>gdp_growth</x:v>
      </x:c>
      <x:c r="C4408" s="2" t="n">
        <x:v>2.39787382295398</x:v>
      </x:c>
      <x:c r="D4408" s="2" t="n">
        <x:v>2025</x:v>
      </x:c>
      <x:c r="E4408" s="2" t="str">
        <x:v>WB_gdp_growth</x:v>
      </x:c>
      <x:c r="F4408" s="2" t="str">
        <x:v>GDP growth (annual %)</x:v>
      </x:c>
    </x:row>
    <x:row r="4409" ht="44" customHeight="1">
      <x:c r="A4409" s="2" t="str">
        <x:v>OMN</x:v>
      </x:c>
      <x:c r="B4409" s="2" t="str">
        <x:v>real_income</x:v>
      </x:c>
      <x:c r="C4409" s="2" t="n">
        <x:v>17074.1754801364</x:v>
      </x:c>
      <x:c r="D4409" s="2" t="n">
        <x:v>2025</x:v>
      </x:c>
      <x:c r="E4409" s="2" t="str">
        <x:v>WB_real_income</x:v>
      </x:c>
      <x:c r="F4409" s="2" t="str">
        <x:v>GDP per capita (constant 2015 US$)</x:v>
      </x:c>
    </x:row>
    <x:row r="4410" ht="44" customHeight="1">
      <x:c r="A4410" s="2" t="str">
        <x:v>OMN</x:v>
      </x:c>
      <x:c r="B4410" s="2" t="str">
        <x:v>agriculture_gdp</x:v>
      </x:c>
      <x:c r="C4410" s="2" t="n">
        <x:v>2.808326710845</x:v>
      </x:c>
      <x:c r="D4410" s="2" t="n">
        <x:v>2025</x:v>
      </x:c>
      <x:c r="E4410" s="2" t="str">
        <x:v>WB_agriculture_gdp</x:v>
      </x:c>
      <x:c r="F4410" s="2" t="str">
        <x:v>Agriculture, forestry, and fishing, value added (% of GDP)</x:v>
      </x:c>
    </x:row>
    <x:row r="4411" ht="44" customHeight="1">
      <x:c r="A4411" s="2" t="str">
        <x:v>OMN</x:v>
      </x:c>
      <x:c r="B4411" s="2" t="str">
        <x:v>poverty</x:v>
      </x:c>
      <x:c r="C4411" s="2"/>
      <x:c r="D4411" s="2"/>
      <x:c r="E4411" s="2" t="str">
        <x:v>Missing</x:v>
      </x:c>
      <x:c r="F4411" s="2" t="str">
        <x:v>Poverty headcount ratio at $3.00 a day (2021 PPP) (% of population)</x:v>
      </x:c>
    </x:row>
    <x:row r="4412" ht="44" customHeight="1">
      <x:c r="A4412" s="2" t="str">
        <x:v>OMN</x:v>
      </x:c>
      <x:c r="B4412" s="2" t="str">
        <x:v>gini</x:v>
      </x:c>
      <x:c r="C4412" s="2"/>
      <x:c r="D4412" s="2"/>
      <x:c r="E4412" s="2" t="str">
        <x:v>Missing</x:v>
      </x:c>
      <x:c r="F4412" s="2" t="str">
        <x:v>Gini index</x:v>
      </x:c>
    </x:row>
    <x:row r="4413" ht="44" customHeight="1">
      <x:c r="A4413" s="2" t="str">
        <x:v>OMN</x:v>
      </x:c>
      <x:c r="B4413" s="2" t="str">
        <x:v>unemployment</x:v>
      </x:c>
      <x:c r="C4413" s="2" t="n">
        <x:v>3.251</x:v>
      </x:c>
      <x:c r="D4413" s="2" t="n">
        <x:v>2025</x:v>
      </x:c>
      <x:c r="E4413" s="2" t="str">
        <x:v>WB_unemployment</x:v>
      </x:c>
      <x:c r="F4413" s="2" t="str">
        <x:v>Unemployment, total (% of total labor force) (modeled ILO estimate)</x:v>
      </x:c>
    </x:row>
    <x:row r="4414" ht="44" customHeight="1">
      <x:c r="A4414" s="2" t="str">
        <x:v>OMN</x:v>
      </x:c>
      <x:c r="B4414" s="2" t="str">
        <x:v>private_credit</x:v>
      </x:c>
      <x:c r="C4414" s="2" t="n">
        <x:v>63.2077225919943</x:v>
      </x:c>
      <x:c r="D4414" s="2" t="n">
        <x:v>2024</x:v>
      </x:c>
      <x:c r="E4414" s="2" t="str">
        <x:v>WB_private_credit</x:v>
      </x:c>
      <x:c r="F4414" s="2" t="str">
        <x:v>Domestic credit to private sector (% of GDP)</x:v>
      </x:c>
    </x:row>
    <x:row r="4415" ht="44" customHeight="1">
      <x:c r="A4415" s="2" t="str">
        <x:v>OMN</x:v>
      </x:c>
      <x:c r="B4415" s="2" t="str">
        <x:v>lending_rate</x:v>
      </x:c>
      <x:c r="C4415" s="2" t="n">
        <x:v>5.49783609712142</x:v>
      </x:c>
      <x:c r="D4415" s="2" t="n">
        <x:v>2021</x:v>
      </x:c>
      <x:c r="E4415" s="2" t="str">
        <x:v>WB_lending_rate</x:v>
      </x:c>
      <x:c r="F4415" s="2" t="str">
        <x:v>Lending interest rate (%)</x:v>
      </x:c>
    </x:row>
    <x:row r="4416" ht="44" customHeight="1">
      <x:c r="A4416" s="2" t="str">
        <x:v>OMN</x:v>
      </x:c>
      <x:c r="B4416" s="2" t="str">
        <x:v>real_interest</x:v>
      </x:c>
      <x:c r="C4416" s="2" t="n">
        <x:v>-5.92398070330169</x:v>
      </x:c>
      <x:c r="D4416" s="2" t="n">
        <x:v>2021</x:v>
      </x:c>
      <x:c r="E4416" s="2" t="str">
        <x:v>WB_real_interest</x:v>
      </x:c>
      <x:c r="F4416" s="2" t="str">
        <x:v>Real interest rate (%)</x:v>
      </x:c>
    </x:row>
    <x:row r="4417" ht="44" customHeight="1">
      <x:c r="A4417" s="2" t="str">
        <x:v>OMN</x:v>
      </x:c>
      <x:c r="B4417" s="2" t="str">
        <x:v>government_debt</x:v>
      </x:c>
      <x:c r="C4417" s="2"/>
      <x:c r="D4417" s="2"/>
      <x:c r="E4417" s="2" t="str">
        <x:v>Missing</x:v>
      </x:c>
      <x:c r="F4417" s="2" t="str">
        <x:v>Central government debt, total (% of GDP)</x:v>
      </x:c>
    </x:row>
    <x:row r="4418" ht="44" customHeight="1">
      <x:c r="A4418" s="2" t="str">
        <x:v>OMN</x:v>
      </x:c>
      <x:c r="B4418" s="2" t="str">
        <x:v>electricity_access</x:v>
      </x:c>
      <x:c r="C4418" s="2" t="n">
        <x:v>100</x:v>
      </x:c>
      <x:c r="D4418" s="2" t="n">
        <x:v>2024</x:v>
      </x:c>
      <x:c r="E4418" s="2" t="str">
        <x:v>WB_electricity_access</x:v>
      </x:c>
      <x:c r="F4418" s="2" t="str">
        <x:v>Access to electricity (% of population)</x:v>
      </x:c>
    </x:row>
    <x:row r="4419" ht="44" customHeight="1">
      <x:c r="A4419" s="2" t="str">
        <x:v>OMN</x:v>
      </x:c>
      <x:c r="B4419" s="2" t="str">
        <x:v>irrigated_land</x:v>
      </x:c>
      <x:c r="C4419" s="2" t="n">
        <x:v>7.27715002072391</x:v>
      </x:c>
      <x:c r="D4419" s="2" t="n">
        <x:v>2023</x:v>
      </x:c>
      <x:c r="E4419" s="2" t="str">
        <x:v>WB_irrigated_land</x:v>
      </x:c>
      <x:c r="F4419" s="2" t="str">
        <x:v>Agricultural irrigated land (% of total agricultural land)</x:v>
      </x:c>
    </x:row>
    <x:row r="4420" ht="44" customHeight="1">
      <x:c r="A4420" s="2" t="str">
        <x:v>OMN</x:v>
      </x:c>
      <x:c r="B4420" s="2" t="str">
        <x:v>cereal_area</x:v>
      </x:c>
      <x:c r="C4420" s="2" t="n">
        <x:v>7724</x:v>
      </x:c>
      <x:c r="D4420" s="2" t="n">
        <x:v>2023</x:v>
      </x:c>
      <x:c r="E4420" s="2" t="str">
        <x:v>WB_cereal_area</x:v>
      </x:c>
      <x:c r="F4420" s="2" t="str">
        <x:v>Land under cereal production (hectares)</x:v>
      </x:c>
    </x:row>
    <x:row r="4421" ht="44" customHeight="1">
      <x:c r="A4421" s="2" t="str">
        <x:v>OMN</x:v>
      </x:c>
      <x:c r="B4421" s="2" t="str">
        <x:v>undernourishment</x:v>
      </x:c>
      <x:c r="C4421" s="2" t="n">
        <x:v>5.9</x:v>
      </x:c>
      <x:c r="D4421" s="2" t="n">
        <x:v>2023</x:v>
      </x:c>
      <x:c r="E4421" s="2" t="str">
        <x:v>WB_undernourishment</x:v>
      </x:c>
      <x:c r="F4421" s="2" t="str">
        <x:v>Prevalence of undernourishment (% of population)</x:v>
      </x:c>
    </x:row>
    <x:row r="4422" ht="44" customHeight="1">
      <x:c r="A4422" s="2" t="str">
        <x:v>OMN</x:v>
      </x:c>
      <x:c r="B4422" s="2" t="str">
        <x:v>agriculture_employment</x:v>
      </x:c>
      <x:c r="C4422" s="2" t="n">
        <x:v>5.94780282197014</x:v>
      </x:c>
      <x:c r="D4422" s="2" t="n">
        <x:v>2025</x:v>
      </x:c>
      <x:c r="E4422" s="2" t="str">
        <x:v>WB_agriculture_employment</x:v>
      </x:c>
      <x:c r="F4422" s="2" t="str">
        <x:v>Employment in agriculture (% of total employment) (modeled ILO estimate)</x:v>
      </x:c>
    </x:row>
    <x:row r="4423" ht="44" customHeight="1">
      <x:c r="A4423" s="2" t="str">
        <x:v>OMN</x:v>
      </x:c>
      <x:c r="B4423" s="2" t="str">
        <x:v>water_withdrawal</x:v>
      </x:c>
      <x:c r="C4423" s="2" t="n">
        <x:v>116.714285714286</x:v>
      </x:c>
      <x:c r="D4423" s="2" t="n">
        <x:v>2022</x:v>
      </x:c>
      <x:c r="E4423" s="2" t="str">
        <x:v>WB_water_withdrawal</x:v>
      </x:c>
      <x:c r="F4423" s="2" t="str">
        <x:v>Annual freshwater withdrawals, total (% of internal resources)</x:v>
      </x:c>
    </x:row>
    <x:row r="4424" ht="44" customHeight="1">
      <x:c r="A4424" s="2" t="str">
        <x:v>PAK</x:v>
      </x:c>
      <x:c r="B4424" s="2" t="str">
        <x:v>population</x:v>
      </x:c>
      <x:c r="C4424" s="2" t="n">
        <x:v>255219554</x:v>
      </x:c>
      <x:c r="D4424" s="2" t="n">
        <x:v>2025</x:v>
      </x:c>
      <x:c r="E4424" s="2" t="str">
        <x:v>WB_population</x:v>
      </x:c>
      <x:c r="F4424" s="2" t="str">
        <x:v>Population, total</x:v>
      </x:c>
    </x:row>
    <x:row r="4425" ht="44" customHeight="1">
      <x:c r="A4425" s="2" t="str">
        <x:v>PAK</x:v>
      </x:c>
      <x:c r="B4425" s="2" t="str">
        <x:v>income_ppp</x:v>
      </x:c>
      <x:c r="C4425" s="2" t="n">
        <x:v>5617.25078028458</x:v>
      </x:c>
      <x:c r="D4425" s="2" t="n">
        <x:v>2025</x:v>
      </x:c>
      <x:c r="E4425" s="2" t="str">
        <x:v>WB_income_ppp</x:v>
      </x:c>
      <x:c r="F4425" s="2" t="str">
        <x:v>GDP per capita, PPP (constant 2021 international $)</x:v>
      </x:c>
    </x:row>
    <x:row r="4426" ht="44" customHeight="1">
      <x:c r="A4426" s="2" t="str">
        <x:v>PAK</x:v>
      </x:c>
      <x:c r="B4426" s="2" t="str">
        <x:v>urban</x:v>
      </x:c>
      <x:c r="C4426" s="2" t="n">
        <x:v>39.5256010979606</x:v>
      </x:c>
      <x:c r="D4426" s="2" t="n">
        <x:v>2025</x:v>
      </x:c>
      <x:c r="E4426" s="2" t="str">
        <x:v>WB_urban</x:v>
      </x:c>
      <x:c r="F4426" s="2" t="str">
        <x:v>Urban population (% of total population)</x:v>
      </x:c>
    </x:row>
    <x:row r="4427" ht="44" customHeight="1">
      <x:c r="A4427" s="2" t="str">
        <x:v>PAK</x:v>
      </x:c>
      <x:c r="B4427" s="2" t="str">
        <x:v>inflation</x:v>
      </x:c>
      <x:c r="C4427" s="2" t="n">
        <x:v>3.54555214890893</x:v>
      </x:c>
      <x:c r="D4427" s="2" t="n">
        <x:v>2025</x:v>
      </x:c>
      <x:c r="E4427" s="2" t="str">
        <x:v>WB_inflation</x:v>
      </x:c>
      <x:c r="F4427" s="2" t="str">
        <x:v>Inflation, consumer prices (annual %)</x:v>
      </x:c>
    </x:row>
    <x:row r="4428" ht="44" customHeight="1">
      <x:c r="A4428" s="2" t="str">
        <x:v>PAK</x:v>
      </x:c>
      <x:c r="B4428" s="2" t="str">
        <x:v>food_index</x:v>
      </x:c>
      <x:c r="C4428" s="2" t="n">
        <x:v>122.43</x:v>
      </x:c>
      <x:c r="D4428" s="2" t="n">
        <x:v>2022</x:v>
      </x:c>
      <x:c r="E4428" s="2" t="str">
        <x:v>WB_food_index</x:v>
      </x:c>
      <x:c r="F4428" s="2" t="str">
        <x:v>Food production index (2014-2016 = 100)</x:v>
      </x:c>
    </x:row>
    <x:row r="4429" ht="44" customHeight="1">
      <x:c r="A4429" s="2" t="str">
        <x:v>PAK</x:v>
      </x:c>
      <x:c r="B4429" s="2" t="str">
        <x:v>food_import_share</x:v>
      </x:c>
      <x:c r="C4429" s="2" t="n">
        <x:v>14.1011260133402</x:v>
      </x:c>
      <x:c r="D4429" s="2" t="n">
        <x:v>2024</x:v>
      </x:c>
      <x:c r="E4429" s="2" t="str">
        <x:v>WB_food_import_share</x:v>
      </x:c>
      <x:c r="F4429" s="2" t="str">
        <x:v>Food imports (% of merchandise imports)</x:v>
      </x:c>
    </x:row>
    <x:row r="4430" ht="44" customHeight="1">
      <x:c r="A4430" s="2" t="str">
        <x:v>PAK</x:v>
      </x:c>
      <x:c r="B4430" s="2" t="str">
        <x:v>food_export_share</x:v>
      </x:c>
      <x:c r="C4430" s="2" t="n">
        <x:v>24.3942752136613</x:v>
      </x:c>
      <x:c r="D4430" s="2" t="n">
        <x:v>2024</x:v>
      </x:c>
      <x:c r="E4430" s="2" t="str">
        <x:v>WB_food_export_share</x:v>
      </x:c>
      <x:c r="F4430" s="2" t="str">
        <x:v>Food exports (% of merchandise exports)</x:v>
      </x:c>
    </x:row>
    <x:row r="4431" ht="44" customHeight="1">
      <x:c r="A4431" s="2" t="str">
        <x:v>PAK</x:v>
      </x:c>
      <x:c r="B4431" s="2" t="str">
        <x:v>imports_usd</x:v>
      </x:c>
      <x:c r="C4431" s="2" t="n">
        <x:v>65849000000</x:v>
      </x:c>
      <x:c r="D4431" s="2" t="n">
        <x:v>2025</x:v>
      </x:c>
      <x:c r="E4431" s="2" t="str">
        <x:v>WB_imports_usd</x:v>
      </x:c>
      <x:c r="F4431" s="2" t="str">
        <x:v>Merchandise imports (current US$)</x:v>
      </x:c>
    </x:row>
    <x:row r="4432" ht="44" customHeight="1">
      <x:c r="A4432" s="2" t="str">
        <x:v>PAK</x:v>
      </x:c>
      <x:c r="B4432" s="2" t="str">
        <x:v>exports_usd</x:v>
      </x:c>
      <x:c r="C4432" s="2" t="n">
        <x:v>30545000000</x:v>
      </x:c>
      <x:c r="D4432" s="2" t="n">
        <x:v>2025</x:v>
      </x:c>
      <x:c r="E4432" s="2" t="str">
        <x:v>WB_exports_usd</x:v>
      </x:c>
      <x:c r="F4432" s="2" t="str">
        <x:v>Merchandise exports (current US$)</x:v>
      </x:c>
    </x:row>
    <x:row r="4433" ht="44" customHeight="1">
      <x:c r="A4433" s="2" t="str">
        <x:v>PAK</x:v>
      </x:c>
      <x:c r="B4433" s="2" t="str">
        <x:v>cereal_yield</x:v>
      </x:c>
      <x:c r="C4433" s="2" t="n">
        <x:v>3634</x:v>
      </x:c>
      <x:c r="D4433" s="2" t="n">
        <x:v>2023</x:v>
      </x:c>
      <x:c r="E4433" s="2" t="str">
        <x:v>WB_cereal_yield</x:v>
      </x:c>
      <x:c r="F4433" s="2" t="str">
        <x:v>Cereal yield (kg per hectare)</x:v>
      </x:c>
    </x:row>
    <x:row r="4434" ht="44" customHeight="1">
      <x:c r="A4434" s="2" t="str">
        <x:v>PAK</x:v>
      </x:c>
      <x:c r="B4434" s="2" t="str">
        <x:v>water_stress</x:v>
      </x:c>
      <x:c r="C4434" s="2" t="n">
        <x:v>109.9932519</x:v>
      </x:c>
      <x:c r="D4434" s="2" t="n">
        <x:v>2022</x:v>
      </x:c>
      <x:c r="E4434" s="2" t="str">
        <x:v>WB_water_stress</x:v>
      </x:c>
      <x:c r="F4434" s="2" t="str">
        <x:v>Level of water stress: freshwater withdrawal as a proportion of available freshwater resources</x:v>
      </x:c>
    </x:row>
    <x:row r="4435" ht="44" customHeight="1">
      <x:c r="A4435" s="2" t="str">
        <x:v>PAK</x:v>
      </x:c>
      <x:c r="B4435" s="2" t="str">
        <x:v>fertility</x:v>
      </x:c>
      <x:c r="C4435" s="2" t="n">
        <x:v>3.547</x:v>
      </x:c>
      <x:c r="D4435" s="2" t="n">
        <x:v>2024</x:v>
      </x:c>
      <x:c r="E4435" s="2" t="str">
        <x:v>WB_fertility</x:v>
      </x:c>
      <x:c r="F4435" s="2" t="str">
        <x:v>Fertility rate, total (births per woman)</x:v>
      </x:c>
    </x:row>
    <x:row r="4436" ht="44" customHeight="1">
      <x:c r="A4436" s="2" t="str">
        <x:v>PAK</x:v>
      </x:c>
      <x:c r="B4436" s="2" t="str">
        <x:v>life_expectancy</x:v>
      </x:c>
      <x:c r="C4436" s="2" t="n">
        <x:v>67.799</x:v>
      </x:c>
      <x:c r="D4436" s="2" t="n">
        <x:v>2024</x:v>
      </x:c>
      <x:c r="E4436" s="2" t="str">
        <x:v>WB_life_expectancy</x:v>
      </x:c>
      <x:c r="F4436" s="2" t="str">
        <x:v>Life expectancy at birth, total (years)</x:v>
      </x:c>
    </x:row>
    <x:row r="4437" ht="44" customHeight="1">
      <x:c r="A4437" s="2" t="str">
        <x:v>PAK</x:v>
      </x:c>
      <x:c r="B4437" s="2" t="str">
        <x:v>age_under15</x:v>
      </x:c>
      <x:c r="C4437" s="2" t="n">
        <x:v>36.244101546694</x:v>
      </x:c>
      <x:c r="D4437" s="2" t="n">
        <x:v>2025</x:v>
      </x:c>
      <x:c r="E4437" s="2" t="str">
        <x:v>WB_age_under15</x:v>
      </x:c>
      <x:c r="F4437" s="2" t="str">
        <x:v>Population ages 0-14 (% of total population)</x:v>
      </x:c>
    </x:row>
    <x:row r="4438" ht="44" customHeight="1">
      <x:c r="A4438" s="2" t="str">
        <x:v>PAK</x:v>
      </x:c>
      <x:c r="B4438" s="2" t="str">
        <x:v>age_over65</x:v>
      </x:c>
      <x:c r="C4438" s="2" t="n">
        <x:v>4.36186248416949</x:v>
      </x:c>
      <x:c r="D4438" s="2" t="n">
        <x:v>2025</x:v>
      </x:c>
      <x:c r="E4438" s="2" t="str">
        <x:v>WB_age_over65</x:v>
      </x:c>
      <x:c r="F4438" s="2" t="str">
        <x:v>Population ages 65 and above (% of total population)</x:v>
      </x:c>
    </x:row>
    <x:row r="4439" ht="44" customHeight="1">
      <x:c r="A4439" s="2" t="str">
        <x:v>PAK</x:v>
      </x:c>
      <x:c r="B4439" s="2" t="str">
        <x:v>dependency_ratio</x:v>
      </x:c>
      <x:c r="C4439" s="2" t="n">
        <x:v>68.3670728422197</x:v>
      </x:c>
      <x:c r="D4439" s="2" t="n">
        <x:v>2025</x:v>
      </x:c>
      <x:c r="E4439" s="2" t="str">
        <x:v>WB_dependency_ratio</x:v>
      </x:c>
      <x:c r="F4439" s="2" t="str">
        <x:v>Age dependency ratio (% of working-age population)</x:v>
      </x:c>
    </x:row>
    <x:row r="4440" ht="44" customHeight="1">
      <x:c r="A4440" s="2" t="str">
        <x:v>PAK</x:v>
      </x:c>
      <x:c r="B4440" s="2" t="str">
        <x:v>net_migration</x:v>
      </x:c>
      <x:c r="C4440" s="2" t="n">
        <x:v>-1235336</x:v>
      </x:c>
      <x:c r="D4440" s="2" t="n">
        <x:v>2025</x:v>
      </x:c>
      <x:c r="E4440" s="2" t="str">
        <x:v>WB_net_migration</x:v>
      </x:c>
      <x:c r="F4440" s="2" t="str">
        <x:v>Net migration</x:v>
      </x:c>
    </x:row>
    <x:row r="4441" ht="44" customHeight="1">
      <x:c r="A4441" s="2" t="str">
        <x:v>PAK</x:v>
      </x:c>
      <x:c r="B4441" s="2" t="str">
        <x:v>real_gdp</x:v>
      </x:c>
      <x:c r="C4441" s="2" t="n">
        <x:v>426041897772.178</x:v>
      </x:c>
      <x:c r="D4441" s="2" t="n">
        <x:v>2025</x:v>
      </x:c>
      <x:c r="E4441" s="2" t="str">
        <x:v>WB_real_gdp</x:v>
      </x:c>
      <x:c r="F4441" s="2" t="str">
        <x:v>GDP (constant 2015 US$)</x:v>
      </x:c>
    </x:row>
    <x:row r="4442" ht="44" customHeight="1">
      <x:c r="A4442" s="2" t="str">
        <x:v>PAK</x:v>
      </x:c>
      <x:c r="B4442" s="2" t="str">
        <x:v>gdp_growth</x:v>
      </x:c>
      <x:c r="C4442" s="2" t="n">
        <x:v>3.69842668749033</x:v>
      </x:c>
      <x:c r="D4442" s="2" t="n">
        <x:v>2025</x:v>
      </x:c>
      <x:c r="E4442" s="2" t="str">
        <x:v>WB_gdp_growth</x:v>
      </x:c>
      <x:c r="F4442" s="2" t="str">
        <x:v>GDP growth (annual %)</x:v>
      </x:c>
    </x:row>
    <x:row r="4443" ht="44" customHeight="1">
      <x:c r="A4443" s="2" t="str">
        <x:v>PAK</x:v>
      </x:c>
      <x:c r="B4443" s="2" t="str">
        <x:v>real_income</x:v>
      </x:c>
      <x:c r="C4443" s="2" t="n">
        <x:v>1669.31526638503</x:v>
      </x:c>
      <x:c r="D4443" s="2" t="n">
        <x:v>2025</x:v>
      </x:c>
      <x:c r="E4443" s="2" t="str">
        <x:v>WB_real_income</x:v>
      </x:c>
      <x:c r="F4443" s="2" t="str">
        <x:v>GDP per capita (constant 2015 US$)</x:v>
      </x:c>
    </x:row>
    <x:row r="4444" ht="44" customHeight="1">
      <x:c r="A4444" s="2" t="str">
        <x:v>PAK</x:v>
      </x:c>
      <x:c r="B4444" s="2" t="str">
        <x:v>agriculture_gdp</x:v>
      </x:c>
      <x:c r="C4444" s="2" t="n">
        <x:v>23.0212949096389</x:v>
      </x:c>
      <x:c r="D4444" s="2" t="n">
        <x:v>2025</x:v>
      </x:c>
      <x:c r="E4444" s="2" t="str">
        <x:v>WB_agriculture_gdp</x:v>
      </x:c>
      <x:c r="F4444" s="2" t="str">
        <x:v>Agriculture, forestry, and fishing, value added (% of GDP)</x:v>
      </x:c>
    </x:row>
    <x:row r="4445" ht="44" customHeight="1">
      <x:c r="A4445" s="2" t="str">
        <x:v>PAK</x:v>
      </x:c>
      <x:c r="B4445" s="2" t="str">
        <x:v>poverty</x:v>
      </x:c>
      <x:c r="C4445" s="2" t="n">
        <x:v>23</x:v>
      </x:c>
      <x:c r="D4445" s="2" t="n">
        <x:v>2024</x:v>
      </x:c>
      <x:c r="E4445" s="2" t="str">
        <x:v>WB_poverty</x:v>
      </x:c>
      <x:c r="F4445" s="2" t="str">
        <x:v>Poverty headcount ratio at $3.00 a day (2021 PPP) (% of population)</x:v>
      </x:c>
    </x:row>
    <x:row r="4446" ht="44" customHeight="1">
      <x:c r="A4446" s="2" t="str">
        <x:v>PAK</x:v>
      </x:c>
      <x:c r="B4446" s="2" t="str">
        <x:v>gini</x:v>
      </x:c>
      <x:c r="C4446" s="2" t="n">
        <x:v>33.5</x:v>
      </x:c>
      <x:c r="D4446" s="2" t="n">
        <x:v>2024</x:v>
      </x:c>
      <x:c r="E4446" s="2" t="str">
        <x:v>WB_gini</x:v>
      </x:c>
      <x:c r="F4446" s="2" t="str">
        <x:v>Gini index</x:v>
      </x:c>
    </x:row>
    <x:row r="4447" ht="44" customHeight="1">
      <x:c r="A4447" s="2" t="str">
        <x:v>PAK</x:v>
      </x:c>
      <x:c r="B4447" s="2" t="str">
        <x:v>unemployment</x:v>
      </x:c>
      <x:c r="C4447" s="2" t="n">
        <x:v>5.42</x:v>
      </x:c>
      <x:c r="D4447" s="2" t="n">
        <x:v>2025</x:v>
      </x:c>
      <x:c r="E4447" s="2" t="str">
        <x:v>WB_unemployment</x:v>
      </x:c>
      <x:c r="F4447" s="2" t="str">
        <x:v>Unemployment, total (% of total labor force) (modeled ILO estimate)</x:v>
      </x:c>
    </x:row>
    <x:row r="4448" ht="44" customHeight="1">
      <x:c r="A4448" s="2" t="str">
        <x:v>PAK</x:v>
      </x:c>
      <x:c r="B4448" s="2" t="str">
        <x:v>private_credit</x:v>
      </x:c>
      <x:c r="C4448" s="2" t="n">
        <x:v>10.7268246496695</x:v>
      </x:c>
      <x:c r="D4448" s="2" t="n">
        <x:v>2025</x:v>
      </x:c>
      <x:c r="E4448" s="2" t="str">
        <x:v>WB_private_credit</x:v>
      </x:c>
      <x:c r="F4448" s="2" t="str">
        <x:v>Domestic credit to private sector (% of GDP)</x:v>
      </x:c>
    </x:row>
    <x:row r="4449" ht="44" customHeight="1">
      <x:c r="A4449" s="2" t="str">
        <x:v>PAK</x:v>
      </x:c>
      <x:c r="B4449" s="2" t="str">
        <x:v>lending_rate</x:v>
      </x:c>
      <x:c r="C4449" s="2" t="n">
        <x:v>8.66597421472524</x:v>
      </x:c>
      <x:c r="D4449" s="2" t="n">
        <x:v>2021</x:v>
      </x:c>
      <x:c r="E4449" s="2" t="str">
        <x:v>WB_lending_rate</x:v>
      </x:c>
      <x:c r="F4449" s="2" t="str">
        <x:v>Lending interest rate (%)</x:v>
      </x:c>
    </x:row>
    <x:row r="4450" ht="44" customHeight="1">
      <x:c r="A4450" s="2" t="str">
        <x:v>PAK</x:v>
      </x:c>
      <x:c r="B4450" s="2" t="str">
        <x:v>real_interest</x:v>
      </x:c>
      <x:c r="C4450" s="2" t="n">
        <x:v>-1.45225942307802</x:v>
      </x:c>
      <x:c r="D4450" s="2" t="n">
        <x:v>2021</x:v>
      </x:c>
      <x:c r="E4450" s="2" t="str">
        <x:v>WB_real_interest</x:v>
      </x:c>
      <x:c r="F4450" s="2" t="str">
        <x:v>Real interest rate (%)</x:v>
      </x:c>
    </x:row>
    <x:row r="4451" ht="44" customHeight="1">
      <x:c r="A4451" s="2" t="str">
        <x:v>PAK</x:v>
      </x:c>
      <x:c r="B4451" s="2" t="str">
        <x:v>government_debt</x:v>
      </x:c>
      <x:c r="C4451" s="2" t="n">
        <x:v>55.0324216144747</x:v>
      </x:c>
      <x:c r="D4451" s="2" t="n">
        <x:v>2000</x:v>
      </x:c>
      <x:c r="E4451" s="2" t="str">
        <x:v>WB_government_debt</x:v>
      </x:c>
      <x:c r="F4451" s="2" t="str">
        <x:v>Central government debt, total (% of GDP)</x:v>
      </x:c>
    </x:row>
    <x:row r="4452" ht="44" customHeight="1">
      <x:c r="A4452" s="2" t="str">
        <x:v>PAK</x:v>
      </x:c>
      <x:c r="B4452" s="2" t="str">
        <x:v>electricity_access</x:v>
      </x:c>
      <x:c r="C4452" s="2" t="n">
        <x:v>95.7</x:v>
      </x:c>
      <x:c r="D4452" s="2" t="n">
        <x:v>2024</x:v>
      </x:c>
      <x:c r="E4452" s="2" t="str">
        <x:v>WB_electricity_access</x:v>
      </x:c>
      <x:c r="F4452" s="2" t="str">
        <x:v>Access to electricity (% of population)</x:v>
      </x:c>
    </x:row>
    <x:row r="4453" ht="44" customHeight="1">
      <x:c r="A4453" s="2" t="str">
        <x:v>PAK</x:v>
      </x:c>
      <x:c r="B4453" s="2" t="str">
        <x:v>irrigated_land</x:v>
      </x:c>
      <x:c r="C4453" s="2" t="n">
        <x:v>54.1741908598416</x:v>
      </x:c>
      <x:c r="D4453" s="2" t="n">
        <x:v>2023</x:v>
      </x:c>
      <x:c r="E4453" s="2" t="str">
        <x:v>WB_irrigated_land</x:v>
      </x:c>
      <x:c r="F4453" s="2" t="str">
        <x:v>Agricultural irrigated land (% of total agricultural land)</x:v>
      </x:c>
    </x:row>
    <x:row r="4454" ht="44" customHeight="1">
      <x:c r="A4454" s="2" t="str">
        <x:v>PAK</x:v>
      </x:c>
      <x:c r="B4454" s="2" t="str">
        <x:v>cereal_area</x:v>
      </x:c>
      <x:c r="C4454" s="2" t="n">
        <x:v>14636120</x:v>
      </x:c>
      <x:c r="D4454" s="2" t="n">
        <x:v>2023</x:v>
      </x:c>
      <x:c r="E4454" s="2" t="str">
        <x:v>WB_cereal_area</x:v>
      </x:c>
      <x:c r="F4454" s="2" t="str">
        <x:v>Land under cereal production (hectares)</x:v>
      </x:c>
    </x:row>
    <x:row r="4455" ht="44" customHeight="1">
      <x:c r="A4455" s="2" t="str">
        <x:v>PAK</x:v>
      </x:c>
      <x:c r="B4455" s="2" t="str">
        <x:v>undernourishment</x:v>
      </x:c>
      <x:c r="C4455" s="2" t="n">
        <x:v>16.5</x:v>
      </x:c>
      <x:c r="D4455" s="2" t="n">
        <x:v>2023</x:v>
      </x:c>
      <x:c r="E4455" s="2" t="str">
        <x:v>WB_undernourishment</x:v>
      </x:c>
      <x:c r="F4455" s="2" t="str">
        <x:v>Prevalence of undernourishment (% of population)</x:v>
      </x:c>
    </x:row>
    <x:row r="4456" ht="44" customHeight="1">
      <x:c r="A4456" s="2" t="str">
        <x:v>PAK</x:v>
      </x:c>
      <x:c r="B4456" s="2" t="str">
        <x:v>agriculture_employment</x:v>
      </x:c>
      <x:c r="C4456" s="2" t="n">
        <x:v>36.2295491854662</x:v>
      </x:c>
      <x:c r="D4456" s="2" t="n">
        <x:v>2025</x:v>
      </x:c>
      <x:c r="E4456" s="2" t="str">
        <x:v>WB_agriculture_employment</x:v>
      </x:c>
      <x:c r="F4456" s="2" t="str">
        <x:v>Employment in agriculture (% of total employment) (modeled ILO estimate)</x:v>
      </x:c>
    </x:row>
    <x:row r="4457" ht="44" customHeight="1">
      <x:c r="A4457" s="2" t="str">
        <x:v>PAK</x:v>
      </x:c>
      <x:c r="B4457" s="2" t="str">
        <x:v>water_withdrawal</x:v>
      </x:c>
      <x:c r="C4457" s="2" t="n">
        <x:v>326</x:v>
      </x:c>
      <x:c r="D4457" s="2" t="n">
        <x:v>2022</x:v>
      </x:c>
      <x:c r="E4457" s="2" t="str">
        <x:v>WB_water_withdrawal</x:v>
      </x:c>
      <x:c r="F4457" s="2" t="str">
        <x:v>Annual freshwater withdrawals, total (% of internal resources)</x:v>
      </x:c>
    </x:row>
    <x:row r="4458" ht="44" customHeight="1">
      <x:c r="A4458" s="2" t="str">
        <x:v>PLW</x:v>
      </x:c>
      <x:c r="B4458" s="2" t="str">
        <x:v>population</x:v>
      </x:c>
      <x:c r="C4458" s="2" t="n">
        <x:v>17663</x:v>
      </x:c>
      <x:c r="D4458" s="2" t="n">
        <x:v>2025</x:v>
      </x:c>
      <x:c r="E4458" s="2" t="str">
        <x:v>WB_population</x:v>
      </x:c>
      <x:c r="F4458" s="2" t="str">
        <x:v>Population, total</x:v>
      </x:c>
    </x:row>
    <x:row r="4459" ht="44" customHeight="1">
      <x:c r="A4459" s="2" t="str">
        <x:v>PLW</x:v>
      </x:c>
      <x:c r="B4459" s="2" t="str">
        <x:v>income_ppp</x:v>
      </x:c>
      <x:c r="C4459" s="2" t="n">
        <x:v>19698.5947032213</x:v>
      </x:c>
      <x:c r="D4459" s="2" t="n">
        <x:v>2025</x:v>
      </x:c>
      <x:c r="E4459" s="2" t="str">
        <x:v>WB_income_ppp</x:v>
      </x:c>
      <x:c r="F4459" s="2" t="str">
        <x:v>GDP per capita, PPP (constant 2021 international $)</x:v>
      </x:c>
    </x:row>
    <x:row r="4460" ht="44" customHeight="1">
      <x:c r="A4460" s="2" t="str">
        <x:v>PLW</x:v>
      </x:c>
      <x:c r="B4460" s="2" t="str">
        <x:v>urban</x:v>
      </x:c>
      <x:c r="C4460" s="2" t="n">
        <x:v>79.2835934246556</x:v>
      </x:c>
      <x:c r="D4460" s="2" t="n">
        <x:v>2025</x:v>
      </x:c>
      <x:c r="E4460" s="2" t="str">
        <x:v>WB_urban</x:v>
      </x:c>
      <x:c r="F4460" s="2" t="str">
        <x:v>Urban population (% of total population)</x:v>
      </x:c>
    </x:row>
    <x:row r="4461" ht="44" customHeight="1">
      <x:c r="A4461" s="2" t="str">
        <x:v>PLW</x:v>
      </x:c>
      <x:c r="B4461" s="2" t="str">
        <x:v>inflation</x:v>
      </x:c>
      <x:c r="C4461" s="2" t="n">
        <x:v>-0.418410041841039</x:v>
      </x:c>
      <x:c r="D4461" s="2" t="n">
        <x:v>2025</x:v>
      </x:c>
      <x:c r="E4461" s="2" t="str">
        <x:v>WB_inflation</x:v>
      </x:c>
      <x:c r="F4461" s="2" t="str">
        <x:v>Inflation, consumer prices (annual %)</x:v>
      </x:c>
    </x:row>
    <x:row r="4462" ht="44" customHeight="1">
      <x:c r="A4462" s="2" t="str">
        <x:v>PLW</x:v>
      </x:c>
      <x:c r="B4462" s="2" t="str">
        <x:v>food_index</x:v>
      </x:c>
      <x:c r="C4462" s="2"/>
      <x:c r="D4462" s="2"/>
      <x:c r="E4462" s="2" t="str">
        <x:v>Missing</x:v>
      </x:c>
      <x:c r="F4462" s="2" t="str">
        <x:v>Food production index (2014-2016 = 100)</x:v>
      </x:c>
    </x:row>
    <x:row r="4463" ht="44" customHeight="1">
      <x:c r="A4463" s="2" t="str">
        <x:v>PLW</x:v>
      </x:c>
      <x:c r="B4463" s="2" t="str">
        <x:v>food_import_share</x:v>
      </x:c>
      <x:c r="C4463" s="2" t="n">
        <x:v>22.9564406589098</x:v>
      </x:c>
      <x:c r="D4463" s="2" t="n">
        <x:v>2018</x:v>
      </x:c>
      <x:c r="E4463" s="2" t="str">
        <x:v>WB_food_import_share</x:v>
      </x:c>
      <x:c r="F4463" s="2" t="str">
        <x:v>Food imports (% of merchandise imports)</x:v>
      </x:c>
    </x:row>
    <x:row r="4464" ht="44" customHeight="1">
      <x:c r="A4464" s="2" t="str">
        <x:v>PLW</x:v>
      </x:c>
      <x:c r="B4464" s="2" t="str">
        <x:v>food_export_share</x:v>
      </x:c>
      <x:c r="C4464" s="2" t="n">
        <x:v>88.7250391722078</x:v>
      </x:c>
      <x:c r="D4464" s="2" t="n">
        <x:v>2018</x:v>
      </x:c>
      <x:c r="E4464" s="2" t="str">
        <x:v>WB_food_export_share</x:v>
      </x:c>
      <x:c r="F4464" s="2" t="str">
        <x:v>Food exports (% of merchandise exports)</x:v>
      </x:c>
    </x:row>
    <x:row r="4465" ht="44" customHeight="1">
      <x:c r="A4465" s="2" t="str">
        <x:v>PLW</x:v>
      </x:c>
      <x:c r="B4465" s="2" t="str">
        <x:v>imports_usd</x:v>
      </x:c>
      <x:c r="C4465" s="2" t="n">
        <x:v>162000000</x:v>
      </x:c>
      <x:c r="D4465" s="2" t="n">
        <x:v>2025</x:v>
      </x:c>
      <x:c r="E4465" s="2" t="str">
        <x:v>WB_imports_usd</x:v>
      </x:c>
      <x:c r="F4465" s="2" t="str">
        <x:v>Merchandise imports (current US$)</x:v>
      </x:c>
    </x:row>
    <x:row r="4466" ht="44" customHeight="1">
      <x:c r="A4466" s="2" t="str">
        <x:v>PLW</x:v>
      </x:c>
      <x:c r="B4466" s="2" t="str">
        <x:v>exports_usd</x:v>
      </x:c>
      <x:c r="C4466" s="2" t="n">
        <x:v>3000000</x:v>
      </x:c>
      <x:c r="D4466" s="2" t="n">
        <x:v>2025</x:v>
      </x:c>
      <x:c r="E4466" s="2" t="str">
        <x:v>WB_exports_usd</x:v>
      </x:c>
      <x:c r="F4466" s="2" t="str">
        <x:v>Merchandise exports (current US$)</x:v>
      </x:c>
    </x:row>
    <x:row r="4467" ht="44" customHeight="1">
      <x:c r="A4467" s="2" t="str">
        <x:v>PLW</x:v>
      </x:c>
      <x:c r="B4467" s="2" t="str">
        <x:v>cereal_yield</x:v>
      </x:c>
      <x:c r="C4467" s="2"/>
      <x:c r="D4467" s="2"/>
      <x:c r="E4467" s="2" t="str">
        <x:v>Missing</x:v>
      </x:c>
      <x:c r="F4467" s="2" t="str">
        <x:v>Cereal yield (kg per hectare)</x:v>
      </x:c>
    </x:row>
    <x:row r="4468" ht="44" customHeight="1">
      <x:c r="A4468" s="2" t="str">
        <x:v>PLW</x:v>
      </x:c>
      <x:c r="B4468" s="2" t="str">
        <x:v>water_stress</x:v>
      </x:c>
      <x:c r="C4468" s="2"/>
      <x:c r="D4468" s="2"/>
      <x:c r="E4468" s="2" t="str">
        <x:v>Missing</x:v>
      </x:c>
      <x:c r="F4468" s="2" t="str">
        <x:v>Level of water stress: freshwater withdrawal as a proportion of available freshwater resources</x:v>
      </x:c>
    </x:row>
    <x:row r="4469" ht="44" customHeight="1">
      <x:c r="A4469" s="2" t="str">
        <x:v>PLW</x:v>
      </x:c>
      <x:c r="B4469" s="2" t="str">
        <x:v>fertility</x:v>
      </x:c>
      <x:c r="C4469" s="2" t="n">
        <x:v>1.883</x:v>
      </x:c>
      <x:c r="D4469" s="2" t="n">
        <x:v>2024</x:v>
      </x:c>
      <x:c r="E4469" s="2" t="str">
        <x:v>WB_fertility</x:v>
      </x:c>
      <x:c r="F4469" s="2" t="str">
        <x:v>Fertility rate, total (births per woman)</x:v>
      </x:c>
    </x:row>
    <x:row r="4470" ht="44" customHeight="1">
      <x:c r="A4470" s="2" t="str">
        <x:v>PLW</x:v>
      </x:c>
      <x:c r="B4470" s="2" t="str">
        <x:v>life_expectancy</x:v>
      </x:c>
      <x:c r="C4470" s="2" t="n">
        <x:v>69.383</x:v>
      </x:c>
      <x:c r="D4470" s="2" t="n">
        <x:v>2024</x:v>
      </x:c>
      <x:c r="E4470" s="2" t="str">
        <x:v>WB_life_expectancy</x:v>
      </x:c>
      <x:c r="F4470" s="2" t="str">
        <x:v>Life expectancy at birth, total (years)</x:v>
      </x:c>
    </x:row>
    <x:row r="4471" ht="44" customHeight="1">
      <x:c r="A4471" s="2" t="str">
        <x:v>PLW</x:v>
      </x:c>
      <x:c r="B4471" s="2" t="str">
        <x:v>age_under15</x:v>
      </x:c>
      <x:c r="C4471" s="2" t="n">
        <x:v>17.9363057324841</x:v>
      </x:c>
      <x:c r="D4471" s="2" t="n">
        <x:v>2025</x:v>
      </x:c>
      <x:c r="E4471" s="2" t="str">
        <x:v>WB_age_under15</x:v>
      </x:c>
      <x:c r="F4471" s="2" t="str">
        <x:v>Population ages 0-14 (% of total population)</x:v>
      </x:c>
    </x:row>
    <x:row r="4472" ht="44" customHeight="1">
      <x:c r="A4472" s="2" t="str">
        <x:v>PLW</x:v>
      </x:c>
      <x:c r="B4472" s="2" t="str">
        <x:v>age_over65</x:v>
      </x:c>
      <x:c r="C4472" s="2" t="n">
        <x:v>11.8329794762916</x:v>
      </x:c>
      <x:c r="D4472" s="2" t="n">
        <x:v>2025</x:v>
      </x:c>
      <x:c r="E4472" s="2" t="str">
        <x:v>WB_age_over65</x:v>
      </x:c>
      <x:c r="F4472" s="2" t="str">
        <x:v>Population ages 65 and above (% of total population)</x:v>
      </x:c>
    </x:row>
    <x:row r="4473" ht="44" customHeight="1">
      <x:c r="A4473" s="2" t="str">
        <x:v>PLW</x:v>
      </x:c>
      <x:c r="B4473" s="2" t="str">
        <x:v>dependency_ratio</x:v>
      </x:c>
      <x:c r="C4473" s="2" t="n">
        <x:v>42.3861346231358</x:v>
      </x:c>
      <x:c r="D4473" s="2" t="n">
        <x:v>2025</x:v>
      </x:c>
      <x:c r="E4473" s="2" t="str">
        <x:v>WB_dependency_ratio</x:v>
      </x:c>
      <x:c r="F4473" s="2" t="str">
        <x:v>Age dependency ratio (% of working-age population)</x:v>
      </x:c>
    </x:row>
    <x:row r="4474" ht="44" customHeight="1">
      <x:c r="A4474" s="2" t="str">
        <x:v>PLW</x:v>
      </x:c>
      <x:c r="B4474" s="2" t="str">
        <x:v>net_migration</x:v>
      </x:c>
      <x:c r="C4474" s="2" t="n">
        <x:v>-16</x:v>
      </x:c>
      <x:c r="D4474" s="2" t="n">
        <x:v>2025</x:v>
      </x:c>
      <x:c r="E4474" s="2" t="str">
        <x:v>WB_net_migration</x:v>
      </x:c>
      <x:c r="F4474" s="2" t="str">
        <x:v>Net migration</x:v>
      </x:c>
    </x:row>
    <x:row r="4475" ht="44" customHeight="1">
      <x:c r="A4475" s="2" t="str">
        <x:v>PLW</x:v>
      </x:c>
      <x:c r="B4475" s="2" t="str">
        <x:v>real_gdp</x:v>
      </x:c>
      <x:c r="C4475" s="2" t="n">
        <x:v>275839216.548176</x:v>
      </x:c>
      <x:c r="D4475" s="2" t="n">
        <x:v>2025</x:v>
      </x:c>
      <x:c r="E4475" s="2" t="str">
        <x:v>WB_real_gdp</x:v>
      </x:c>
      <x:c r="F4475" s="2" t="str">
        <x:v>GDP (constant 2015 US$)</x:v>
      </x:c>
    </x:row>
    <x:row r="4476" ht="44" customHeight="1">
      <x:c r="A4476" s="2" t="str">
        <x:v>PLW</x:v>
      </x:c>
      <x:c r="B4476" s="2" t="str">
        <x:v>gdp_growth</x:v>
      </x:c>
      <x:c r="C4476" s="2" t="n">
        <x:v>6.28637654202731</x:v>
      </x:c>
      <x:c r="D4476" s="2" t="n">
        <x:v>2025</x:v>
      </x:c>
      <x:c r="E4476" s="2" t="str">
        <x:v>WB_gdp_growth</x:v>
      </x:c>
      <x:c r="F4476" s="2" t="str">
        <x:v>GDP growth (annual %)</x:v>
      </x:c>
    </x:row>
    <x:row r="4477" ht="44" customHeight="1">
      <x:c r="A4477" s="2" t="str">
        <x:v>PLW</x:v>
      </x:c>
      <x:c r="B4477" s="2" t="str">
        <x:v>real_income</x:v>
      </x:c>
      <x:c r="C4477" s="2" t="n">
        <x:v>15616.7817781904</x:v>
      </x:c>
      <x:c r="D4477" s="2" t="n">
        <x:v>2025</x:v>
      </x:c>
      <x:c r="E4477" s="2" t="str">
        <x:v>WB_real_income</x:v>
      </x:c>
      <x:c r="F4477" s="2" t="str">
        <x:v>GDP per capita (constant 2015 US$)</x:v>
      </x:c>
    </x:row>
    <x:row r="4478" ht="44" customHeight="1">
      <x:c r="A4478" s="2" t="str">
        <x:v>PLW</x:v>
      </x:c>
      <x:c r="B4478" s="2" t="str">
        <x:v>agriculture_gdp</x:v>
      </x:c>
      <x:c r="C4478" s="2" t="n">
        <x:v>2.73096438608725</x:v>
      </x:c>
      <x:c r="D4478" s="2" t="n">
        <x:v>2024</x:v>
      </x:c>
      <x:c r="E4478" s="2" t="str">
        <x:v>WB_agriculture_gdp</x:v>
      </x:c>
      <x:c r="F4478" s="2" t="str">
        <x:v>Agriculture, forestry, and fishing, value added (% of GDP)</x:v>
      </x:c>
    </x:row>
    <x:row r="4479" ht="44" customHeight="1">
      <x:c r="A4479" s="2" t="str">
        <x:v>PLW</x:v>
      </x:c>
      <x:c r="B4479" s="2" t="str">
        <x:v>poverty</x:v>
      </x:c>
      <x:c r="C4479" s="2"/>
      <x:c r="D4479" s="2"/>
      <x:c r="E4479" s="2" t="str">
        <x:v>Missing</x:v>
      </x:c>
      <x:c r="F4479" s="2" t="str">
        <x:v>Poverty headcount ratio at $3.00 a day (2021 PPP) (% of population)</x:v>
      </x:c>
    </x:row>
    <x:row r="4480" ht="44" customHeight="1">
      <x:c r="A4480" s="2" t="str">
        <x:v>PLW</x:v>
      </x:c>
      <x:c r="B4480" s="2" t="str">
        <x:v>gini</x:v>
      </x:c>
      <x:c r="C4480" s="2"/>
      <x:c r="D4480" s="2"/>
      <x:c r="E4480" s="2" t="str">
        <x:v>Missing</x:v>
      </x:c>
      <x:c r="F4480" s="2" t="str">
        <x:v>Gini index</x:v>
      </x:c>
    </x:row>
    <x:row r="4481" ht="44" customHeight="1">
      <x:c r="A4481" s="2" t="str">
        <x:v>PLW</x:v>
      </x:c>
      <x:c r="B4481" s="2" t="str">
        <x:v>unemployment</x:v>
      </x:c>
      <x:c r="C4481" s="2"/>
      <x:c r="D4481" s="2"/>
      <x:c r="E4481" s="2" t="str">
        <x:v>Missing</x:v>
      </x:c>
      <x:c r="F4481" s="2" t="str">
        <x:v>Unemployment, total (% of total labor force) (modeled ILO estimate)</x:v>
      </x:c>
    </x:row>
    <x:row r="4482" ht="44" customHeight="1">
      <x:c r="A4482" s="2" t="str">
        <x:v>PLW</x:v>
      </x:c>
      <x:c r="B4482" s="2" t="str">
        <x:v>private_credit</x:v>
      </x:c>
      <x:c r="C4482" s="2"/>
      <x:c r="D4482" s="2"/>
      <x:c r="E4482" s="2" t="str">
        <x:v>Missing</x:v>
      </x:c>
      <x:c r="F4482" s="2" t="str">
        <x:v>Domestic credit to private sector (% of GDP)</x:v>
      </x:c>
    </x:row>
    <x:row r="4483" ht="44" customHeight="1">
      <x:c r="A4483" s="2" t="str">
        <x:v>PLW</x:v>
      </x:c>
      <x:c r="B4483" s="2" t="str">
        <x:v>lending_rate</x:v>
      </x:c>
      <x:c r="C4483" s="2"/>
      <x:c r="D4483" s="2"/>
      <x:c r="E4483" s="2" t="str">
        <x:v>Missing</x:v>
      </x:c>
      <x:c r="F4483" s="2" t="str">
        <x:v>Lending interest rate (%)</x:v>
      </x:c>
    </x:row>
    <x:row r="4484" ht="44" customHeight="1">
      <x:c r="A4484" s="2" t="str">
        <x:v>PLW</x:v>
      </x:c>
      <x:c r="B4484" s="2" t="str">
        <x:v>real_interest</x:v>
      </x:c>
      <x:c r="C4484" s="2"/>
      <x:c r="D4484" s="2"/>
      <x:c r="E4484" s="2" t="str">
        <x:v>Missing</x:v>
      </x:c>
      <x:c r="F4484" s="2" t="str">
        <x:v>Real interest rate (%)</x:v>
      </x:c>
    </x:row>
    <x:row r="4485" ht="44" customHeight="1">
      <x:c r="A4485" s="2" t="str">
        <x:v>PLW</x:v>
      </x:c>
      <x:c r="B4485" s="2" t="str">
        <x:v>government_debt</x:v>
      </x:c>
      <x:c r="C4485" s="2" t="n">
        <x:v>85.1988175376125</x:v>
      </x:c>
      <x:c r="D4485" s="2" t="n">
        <x:v>2019</x:v>
      </x:c>
      <x:c r="E4485" s="2" t="str">
        <x:v>WB_government_debt</x:v>
      </x:c>
      <x:c r="F4485" s="2" t="str">
        <x:v>Central government debt, total (% of GDP)</x:v>
      </x:c>
    </x:row>
    <x:row r="4486" ht="44" customHeight="1">
      <x:c r="A4486" s="2" t="str">
        <x:v>PLW</x:v>
      </x:c>
      <x:c r="B4486" s="2" t="str">
        <x:v>electricity_access</x:v>
      </x:c>
      <x:c r="C4486" s="2" t="n">
        <x:v>100</x:v>
      </x:c>
      <x:c r="D4486" s="2" t="n">
        <x:v>2024</x:v>
      </x:c>
      <x:c r="E4486" s="2" t="str">
        <x:v>WB_electricity_access</x:v>
      </x:c>
      <x:c r="F4486" s="2" t="str">
        <x:v>Access to electricity (% of population)</x:v>
      </x:c>
    </x:row>
    <x:row r="4487" ht="44" customHeight="1">
      <x:c r="A4487" s="2" t="str">
        <x:v>PLW</x:v>
      </x:c>
      <x:c r="B4487" s="2" t="str">
        <x:v>irrigated_land</x:v>
      </x:c>
      <x:c r="C4487" s="2"/>
      <x:c r="D4487" s="2"/>
      <x:c r="E4487" s="2" t="str">
        <x:v>Missing</x:v>
      </x:c>
      <x:c r="F4487" s="2" t="str">
        <x:v>Agricultural irrigated land (% of total agricultural land)</x:v>
      </x:c>
    </x:row>
    <x:row r="4488" ht="44" customHeight="1">
      <x:c r="A4488" s="2" t="str">
        <x:v>PLW</x:v>
      </x:c>
      <x:c r="B4488" s="2" t="str">
        <x:v>cereal_area</x:v>
      </x:c>
      <x:c r="C4488" s="2"/>
      <x:c r="D4488" s="2"/>
      <x:c r="E4488" s="2" t="str">
        <x:v>Missing</x:v>
      </x:c>
      <x:c r="F4488" s="2" t="str">
        <x:v>Land under cereal production (hectares)</x:v>
      </x:c>
    </x:row>
    <x:row r="4489" ht="44" customHeight="1">
      <x:c r="A4489" s="2" t="str">
        <x:v>PLW</x:v>
      </x:c>
      <x:c r="B4489" s="2" t="str">
        <x:v>undernourishment</x:v>
      </x:c>
      <x:c r="C4489" s="2"/>
      <x:c r="D4489" s="2"/>
      <x:c r="E4489" s="2" t="str">
        <x:v>Missing</x:v>
      </x:c>
      <x:c r="F4489" s="2" t="str">
        <x:v>Prevalence of undernourishment (% of population)</x:v>
      </x:c>
    </x:row>
    <x:row r="4490" ht="44" customHeight="1">
      <x:c r="A4490" s="2" t="str">
        <x:v>PLW</x:v>
      </x:c>
      <x:c r="B4490" s="2" t="str">
        <x:v>agriculture_employment</x:v>
      </x:c>
      <x:c r="C4490" s="2"/>
      <x:c r="D4490" s="2"/>
      <x:c r="E4490" s="2" t="str">
        <x:v>Missing</x:v>
      </x:c>
      <x:c r="F4490" s="2" t="str">
        <x:v>Employment in agriculture (% of total employment) (modeled ILO estimate)</x:v>
      </x:c>
    </x:row>
    <x:row r="4491" ht="44" customHeight="1">
      <x:c r="A4491" s="2" t="str">
        <x:v>PLW</x:v>
      </x:c>
      <x:c r="B4491" s="2" t="str">
        <x:v>water_withdrawal</x:v>
      </x:c>
      <x:c r="C4491" s="2"/>
      <x:c r="D4491" s="2"/>
      <x:c r="E4491" s="2" t="str">
        <x:v>Missing</x:v>
      </x:c>
      <x:c r="F4491" s="2" t="str">
        <x:v>Annual freshwater withdrawals, total (% of internal resources)</x:v>
      </x:c>
    </x:row>
    <x:row r="4492" ht="44" customHeight="1">
      <x:c r="A4492" s="2" t="str">
        <x:v>PAN</x:v>
      </x:c>
      <x:c r="B4492" s="2" t="str">
        <x:v>population</x:v>
      </x:c>
      <x:c r="C4492" s="2" t="n">
        <x:v>4571189</x:v>
      </x:c>
      <x:c r="D4492" s="2" t="n">
        <x:v>2025</x:v>
      </x:c>
      <x:c r="E4492" s="2" t="str">
        <x:v>WB_population</x:v>
      </x:c>
      <x:c r="F4492" s="2" t="str">
        <x:v>Population, total</x:v>
      </x:c>
    </x:row>
    <x:row r="4493" ht="44" customHeight="1">
      <x:c r="A4493" s="2" t="str">
        <x:v>PAN</x:v>
      </x:c>
      <x:c r="B4493" s="2" t="str">
        <x:v>income_ppp</x:v>
      </x:c>
      <x:c r="C4493" s="2" t="n">
        <x:v>37516.1796428548</x:v>
      </x:c>
      <x:c r="D4493" s="2" t="n">
        <x:v>2025</x:v>
      </x:c>
      <x:c r="E4493" s="2" t="str">
        <x:v>WB_income_ppp</x:v>
      </x:c>
      <x:c r="F4493" s="2" t="str">
        <x:v>GDP per capita, PPP (constant 2021 international $)</x:v>
      </x:c>
    </x:row>
    <x:row r="4494" ht="44" customHeight="1">
      <x:c r="A4494" s="2" t="str">
        <x:v>PAN</x:v>
      </x:c>
      <x:c r="B4494" s="2" t="str">
        <x:v>urban</x:v>
      </x:c>
      <x:c r="C4494" s="2" t="n">
        <x:v>66.1500999418126</x:v>
      </x:c>
      <x:c r="D4494" s="2" t="n">
        <x:v>2025</x:v>
      </x:c>
      <x:c r="E4494" s="2" t="str">
        <x:v>WB_urban</x:v>
      </x:c>
      <x:c r="F4494" s="2" t="str">
        <x:v>Urban population (% of total population)</x:v>
      </x:c>
    </x:row>
    <x:row r="4495" ht="44" customHeight="1">
      <x:c r="A4495" s="2" t="str">
        <x:v>PAN</x:v>
      </x:c>
      <x:c r="B4495" s="2" t="str">
        <x:v>inflation</x:v>
      </x:c>
      <x:c r="C4495" s="2" t="n">
        <x:v>-0.189587880235675</x:v>
      </x:c>
      <x:c r="D4495" s="2" t="n">
        <x:v>2025</x:v>
      </x:c>
      <x:c r="E4495" s="2" t="str">
        <x:v>WB_inflation</x:v>
      </x:c>
      <x:c r="F4495" s="2" t="str">
        <x:v>Inflation, consumer prices (annual %)</x:v>
      </x:c>
    </x:row>
    <x:row r="4496" ht="44" customHeight="1">
      <x:c r="A4496" s="2" t="str">
        <x:v>PAN</x:v>
      </x:c>
      <x:c r="B4496" s="2" t="str">
        <x:v>food_index</x:v>
      </x:c>
      <x:c r="C4496" s="2" t="n">
        <x:v>115.45</x:v>
      </x:c>
      <x:c r="D4496" s="2" t="n">
        <x:v>2022</x:v>
      </x:c>
      <x:c r="E4496" s="2" t="str">
        <x:v>WB_food_index</x:v>
      </x:c>
      <x:c r="F4496" s="2" t="str">
        <x:v>Food production index (2014-2016 = 100)</x:v>
      </x:c>
    </x:row>
    <x:row r="4497" ht="44" customHeight="1">
      <x:c r="A4497" s="2" t="str">
        <x:v>PAN</x:v>
      </x:c>
      <x:c r="B4497" s="2" t="str">
        <x:v>food_import_share</x:v>
      </x:c>
      <x:c r="C4497" s="2" t="n">
        <x:v>18.7290607879686</x:v>
      </x:c>
      <x:c r="D4497" s="2" t="n">
        <x:v>2024</x:v>
      </x:c>
      <x:c r="E4497" s="2" t="str">
        <x:v>WB_food_import_share</x:v>
      </x:c>
      <x:c r="F4497" s="2" t="str">
        <x:v>Food imports (% of merchandise imports)</x:v>
      </x:c>
    </x:row>
    <x:row r="4498" ht="44" customHeight="1">
      <x:c r="A4498" s="2" t="str">
        <x:v>PAN</x:v>
      </x:c>
      <x:c r="B4498" s="2" t="str">
        <x:v>food_export_share</x:v>
      </x:c>
      <x:c r="C4498" s="2" t="n">
        <x:v>73.5560083911676</x:v>
      </x:c>
      <x:c r="D4498" s="2" t="n">
        <x:v>2024</x:v>
      </x:c>
      <x:c r="E4498" s="2" t="str">
        <x:v>WB_food_export_share</x:v>
      </x:c>
      <x:c r="F4498" s="2" t="str">
        <x:v>Food exports (% of merchandise exports)</x:v>
      </x:c>
    </x:row>
    <x:row r="4499" ht="44" customHeight="1">
      <x:c r="A4499" s="2" t="str">
        <x:v>PAN</x:v>
      </x:c>
      <x:c r="B4499" s="2" t="str">
        <x:v>imports_usd</x:v>
      </x:c>
      <x:c r="C4499" s="2" t="n">
        <x:v>25764000000</x:v>
      </x:c>
      <x:c r="D4499" s="2" t="n">
        <x:v>2025</x:v>
      </x:c>
      <x:c r="E4499" s="2" t="str">
        <x:v>WB_imports_usd</x:v>
      </x:c>
      <x:c r="F4499" s="2" t="str">
        <x:v>Merchandise imports (current US$)</x:v>
      </x:c>
    </x:row>
    <x:row r="4500" ht="44" customHeight="1">
      <x:c r="A4500" s="2" t="str">
        <x:v>PAN</x:v>
      </x:c>
      <x:c r="B4500" s="2" t="str">
        <x:v>exports_usd</x:v>
      </x:c>
      <x:c r="C4500" s="2" t="n">
        <x:v>11903000000</x:v>
      </x:c>
      <x:c r="D4500" s="2" t="n">
        <x:v>2025</x:v>
      </x:c>
      <x:c r="E4500" s="2" t="str">
        <x:v>WB_exports_usd</x:v>
      </x:c>
      <x:c r="F4500" s="2" t="str">
        <x:v>Merchandise exports (current US$)</x:v>
      </x:c>
    </x:row>
    <x:row r="4501" ht="44" customHeight="1">
      <x:c r="A4501" s="2" t="str">
        <x:v>PAN</x:v>
      </x:c>
      <x:c r="B4501" s="2" t="str">
        <x:v>cereal_yield</x:v>
      </x:c>
      <x:c r="C4501" s="2" t="n">
        <x:v>4226.4</x:v>
      </x:c>
      <x:c r="D4501" s="2" t="n">
        <x:v>2024</x:v>
      </x:c>
      <x:c r="E4501" s="2" t="str">
        <x:v>WB_cereal_yield</x:v>
      </x:c>
      <x:c r="F4501" s="2" t="str">
        <x:v>Cereal yield (kg per hectare)</x:v>
      </x:c>
    </x:row>
    <x:row r="4502" ht="44" customHeight="1">
      <x:c r="A4502" s="2" t="str">
        <x:v>PAN</x:v>
      </x:c>
      <x:c r="B4502" s="2" t="str">
        <x:v>water_stress</x:v>
      </x:c>
      <x:c r="C4502" s="2" t="n">
        <x:v>0.90107111</x:v>
      </x:c>
      <x:c r="D4502" s="2" t="n">
        <x:v>2022</x:v>
      </x:c>
      <x:c r="E4502" s="2" t="str">
        <x:v>WB_water_stress</x:v>
      </x:c>
      <x:c r="F4502" s="2" t="str">
        <x:v>Level of water stress: freshwater withdrawal as a proportion of available freshwater resources</x:v>
      </x:c>
    </x:row>
    <x:row r="4503" ht="44" customHeight="1">
      <x:c r="A4503" s="2" t="str">
        <x:v>PAN</x:v>
      </x:c>
      <x:c r="B4503" s="2" t="str">
        <x:v>fertility</x:v>
      </x:c>
      <x:c r="C4503" s="2" t="n">
        <x:v>2.106</x:v>
      </x:c>
      <x:c r="D4503" s="2" t="n">
        <x:v>2024</x:v>
      </x:c>
      <x:c r="E4503" s="2" t="str">
        <x:v>WB_fertility</x:v>
      </x:c>
      <x:c r="F4503" s="2" t="str">
        <x:v>Fertility rate, total (births per woman)</x:v>
      </x:c>
    </x:row>
    <x:row r="4504" ht="44" customHeight="1">
      <x:c r="A4504" s="2" t="str">
        <x:v>PAN</x:v>
      </x:c>
      <x:c r="B4504" s="2" t="str">
        <x:v>life_expectancy</x:v>
      </x:c>
      <x:c r="C4504" s="2" t="n">
        <x:v>79.775</x:v>
      </x:c>
      <x:c r="D4504" s="2" t="n">
        <x:v>2024</x:v>
      </x:c>
      <x:c r="E4504" s="2" t="str">
        <x:v>WB_life_expectancy</x:v>
      </x:c>
      <x:c r="F4504" s="2" t="str">
        <x:v>Life expectancy at birth, total (years)</x:v>
      </x:c>
    </x:row>
    <x:row r="4505" ht="44" customHeight="1">
      <x:c r="A4505" s="2" t="str">
        <x:v>PAN</x:v>
      </x:c>
      <x:c r="B4505" s="2" t="str">
        <x:v>age_under15</x:v>
      </x:c>
      <x:c r="C4505" s="2" t="n">
        <x:v>24.5261681369989</x:v>
      </x:c>
      <x:c r="D4505" s="2" t="n">
        <x:v>2025</x:v>
      </x:c>
      <x:c r="E4505" s="2" t="str">
        <x:v>WB_age_under15</x:v>
      </x:c>
      <x:c r="F4505" s="2" t="str">
        <x:v>Population ages 0-14 (% of total population)</x:v>
      </x:c>
    </x:row>
    <x:row r="4506" ht="44" customHeight="1">
      <x:c r="A4506" s="2" t="str">
        <x:v>PAN</x:v>
      </x:c>
      <x:c r="B4506" s="2" t="str">
        <x:v>age_over65</x:v>
      </x:c>
      <x:c r="C4506" s="2" t="n">
        <x:v>9.65704983976816</x:v>
      </x:c>
      <x:c r="D4506" s="2" t="n">
        <x:v>2025</x:v>
      </x:c>
      <x:c r="E4506" s="2" t="str">
        <x:v>WB_age_over65</x:v>
      </x:c>
      <x:c r="F4506" s="2" t="str">
        <x:v>Population ages 65 and above (% of total population)</x:v>
      </x:c>
    </x:row>
    <x:row r="4507" ht="44" customHeight="1">
      <x:c r="A4507" s="2" t="str">
        <x:v>PAN</x:v>
      </x:c>
      <x:c r="B4507" s="2" t="str">
        <x:v>dependency_ratio</x:v>
      </x:c>
      <x:c r="C4507" s="2" t="n">
        <x:v>51.9369077414487</x:v>
      </x:c>
      <x:c r="D4507" s="2" t="n">
        <x:v>2025</x:v>
      </x:c>
      <x:c r="E4507" s="2" t="str">
        <x:v>WB_dependency_ratio</x:v>
      </x:c>
      <x:c r="F4507" s="2" t="str">
        <x:v>Age dependency ratio (% of working-age population)</x:v>
      </x:c>
    </x:row>
    <x:row r="4508" ht="44" customHeight="1">
      <x:c r="A4508" s="2" t="str">
        <x:v>PAN</x:v>
      </x:c>
      <x:c r="B4508" s="2" t="str">
        <x:v>net_migration</x:v>
      </x:c>
      <x:c r="C4508" s="2" t="n">
        <x:v>6151</x:v>
      </x:c>
      <x:c r="D4508" s="2" t="n">
        <x:v>2025</x:v>
      </x:c>
      <x:c r="E4508" s="2" t="str">
        <x:v>WB_net_migration</x:v>
      </x:c>
      <x:c r="F4508" s="2" t="str">
        <x:v>Net migration</x:v>
      </x:c>
    </x:row>
    <x:row r="4509" ht="44" customHeight="1">
      <x:c r="A4509" s="2" t="str">
        <x:v>PAN</x:v>
      </x:c>
      <x:c r="B4509" s="2" t="str">
        <x:v>real_gdp</x:v>
      </x:c>
      <x:c r="C4509" s="2" t="n">
        <x:v>80682556210.6412</x:v>
      </x:c>
      <x:c r="D4509" s="2" t="n">
        <x:v>2025</x:v>
      </x:c>
      <x:c r="E4509" s="2" t="str">
        <x:v>WB_real_gdp</x:v>
      </x:c>
      <x:c r="F4509" s="2" t="str">
        <x:v>GDP (constant 2015 US$)</x:v>
      </x:c>
    </x:row>
    <x:row r="4510" ht="44" customHeight="1">
      <x:c r="A4510" s="2" t="str">
        <x:v>PAN</x:v>
      </x:c>
      <x:c r="B4510" s="2" t="str">
        <x:v>gdp_growth</x:v>
      </x:c>
      <x:c r="C4510" s="2" t="n">
        <x:v>4.35030460627731</x:v>
      </x:c>
      <x:c r="D4510" s="2" t="n">
        <x:v>2025</x:v>
      </x:c>
      <x:c r="E4510" s="2" t="str">
        <x:v>WB_gdp_growth</x:v>
      </x:c>
      <x:c r="F4510" s="2" t="str">
        <x:v>GDP growth (annual %)</x:v>
      </x:c>
    </x:row>
    <x:row r="4511" ht="44" customHeight="1">
      <x:c r="A4511" s="2" t="str">
        <x:v>PAN</x:v>
      </x:c>
      <x:c r="B4511" s="2" t="str">
        <x:v>real_income</x:v>
      </x:c>
      <x:c r="C4511" s="2" t="n">
        <x:v>17650.2341536614</x:v>
      </x:c>
      <x:c r="D4511" s="2" t="n">
        <x:v>2025</x:v>
      </x:c>
      <x:c r="E4511" s="2" t="str">
        <x:v>WB_real_income</x:v>
      </x:c>
      <x:c r="F4511" s="2" t="str">
        <x:v>GDP per capita (constant 2015 US$)</x:v>
      </x:c>
    </x:row>
    <x:row r="4512" ht="44" customHeight="1">
      <x:c r="A4512" s="2" t="str">
        <x:v>PAN</x:v>
      </x:c>
      <x:c r="B4512" s="2" t="str">
        <x:v>agriculture_gdp</x:v>
      </x:c>
      <x:c r="C4512" s="2" t="n">
        <x:v>2.6182090720364</x:v>
      </x:c>
      <x:c r="D4512" s="2" t="n">
        <x:v>2025</x:v>
      </x:c>
      <x:c r="E4512" s="2" t="str">
        <x:v>WB_agriculture_gdp</x:v>
      </x:c>
      <x:c r="F4512" s="2" t="str">
        <x:v>Agriculture, forestry, and fishing, value added (% of GDP)</x:v>
      </x:c>
    </x:row>
    <x:row r="4513" ht="44" customHeight="1">
      <x:c r="A4513" s="2" t="str">
        <x:v>PAN</x:v>
      </x:c>
      <x:c r="B4513" s="2" t="str">
        <x:v>poverty</x:v>
      </x:c>
      <x:c r="C4513" s="2" t="n">
        <x:v>3.1</x:v>
      </x:c>
      <x:c r="D4513" s="2" t="n">
        <x:v>2024</x:v>
      </x:c>
      <x:c r="E4513" s="2" t="str">
        <x:v>WB_poverty</x:v>
      </x:c>
      <x:c r="F4513" s="2" t="str">
        <x:v>Poverty headcount ratio at $3.00 a day (2021 PPP) (% of population)</x:v>
      </x:c>
    </x:row>
    <x:row r="4514" ht="44" customHeight="1">
      <x:c r="A4514" s="2" t="str">
        <x:v>PAN</x:v>
      </x:c>
      <x:c r="B4514" s="2" t="str">
        <x:v>gini</x:v>
      </x:c>
      <x:c r="C4514" s="2" t="n">
        <x:v>49.7</x:v>
      </x:c>
      <x:c r="D4514" s="2" t="n">
        <x:v>2024</x:v>
      </x:c>
      <x:c r="E4514" s="2" t="str">
        <x:v>WB_gini</x:v>
      </x:c>
      <x:c r="F4514" s="2" t="str">
        <x:v>Gini index</x:v>
      </x:c>
    </x:row>
    <x:row r="4515" ht="44" customHeight="1">
      <x:c r="A4515" s="2" t="str">
        <x:v>PAN</x:v>
      </x:c>
      <x:c r="B4515" s="2" t="str">
        <x:v>unemployment</x:v>
      </x:c>
      <x:c r="C4515" s="2" t="n">
        <x:v>8.36</x:v>
      </x:c>
      <x:c r="D4515" s="2" t="n">
        <x:v>2025</x:v>
      </x:c>
      <x:c r="E4515" s="2" t="str">
        <x:v>WB_unemployment</x:v>
      </x:c>
      <x:c r="F4515" s="2" t="str">
        <x:v>Unemployment, total (% of total labor force) (modeled ILO estimate)</x:v>
      </x:c>
    </x:row>
    <x:row r="4516" ht="44" customHeight="1">
      <x:c r="A4516" s="2" t="str">
        <x:v>PAN</x:v>
      </x:c>
      <x:c r="B4516" s="2" t="str">
        <x:v>private_credit</x:v>
      </x:c>
      <x:c r="C4516" s="2" t="n">
        <x:v>100.153891550374</x:v>
      </x:c>
      <x:c r="D4516" s="2" t="n">
        <x:v>2020</x:v>
      </x:c>
      <x:c r="E4516" s="2" t="str">
        <x:v>WB_private_credit</x:v>
      </x:c>
      <x:c r="F4516" s="2" t="str">
        <x:v>Domestic credit to private sector (% of GDP)</x:v>
      </x:c>
    </x:row>
    <x:row r="4517" ht="44" customHeight="1">
      <x:c r="A4517" s="2" t="str">
        <x:v>PAN</x:v>
      </x:c>
      <x:c r="B4517" s="2" t="str">
        <x:v>lending_rate</x:v>
      </x:c>
      <x:c r="C4517" s="2" t="n">
        <x:v>6.9075</x:v>
      </x:c>
      <x:c r="D4517" s="2" t="n">
        <x:v>2022</x:v>
      </x:c>
      <x:c r="E4517" s="2" t="str">
        <x:v>WB_lending_rate</x:v>
      </x:c>
      <x:c r="F4517" s="2" t="str">
        <x:v>Lending interest rate (%)</x:v>
      </x:c>
    </x:row>
    <x:row r="4518" ht="44" customHeight="1">
      <x:c r="A4518" s="2" t="str">
        <x:v>PAN</x:v>
      </x:c>
      <x:c r="B4518" s="2" t="str">
        <x:v>real_interest</x:v>
      </x:c>
      <x:c r="C4518" s="2" t="n">
        <x:v>4.61040446702455</x:v>
      </x:c>
      <x:c r="D4518" s="2" t="n">
        <x:v>2022</x:v>
      </x:c>
      <x:c r="E4518" s="2" t="str">
        <x:v>WB_real_interest</x:v>
      </x:c>
      <x:c r="F4518" s="2" t="str">
        <x:v>Real interest rate (%)</x:v>
      </x:c>
    </x:row>
    <x:row r="4519" ht="44" customHeight="1">
      <x:c r="A4519" s="2" t="str">
        <x:v>PAN</x:v>
      </x:c>
      <x:c r="B4519" s="2" t="str">
        <x:v>government_debt</x:v>
      </x:c>
      <x:c r="C4519" s="2"/>
      <x:c r="D4519" s="2"/>
      <x:c r="E4519" s="2" t="str">
        <x:v>Missing</x:v>
      </x:c>
      <x:c r="F4519" s="2" t="str">
        <x:v>Central government debt, total (% of GDP)</x:v>
      </x:c>
    </x:row>
    <x:row r="4520" ht="44" customHeight="1">
      <x:c r="A4520" s="2" t="str">
        <x:v>PAN</x:v>
      </x:c>
      <x:c r="B4520" s="2" t="str">
        <x:v>electricity_access</x:v>
      </x:c>
      <x:c r="C4520" s="2" t="n">
        <x:v>96</x:v>
      </x:c>
      <x:c r="D4520" s="2" t="n">
        <x:v>2024</x:v>
      </x:c>
      <x:c r="E4520" s="2" t="str">
        <x:v>WB_electricity_access</x:v>
      </x:c>
      <x:c r="F4520" s="2" t="str">
        <x:v>Access to electricity (% of population)</x:v>
      </x:c>
    </x:row>
    <x:row r="4521" ht="44" customHeight="1">
      <x:c r="A4521" s="2" t="str">
        <x:v>PAN</x:v>
      </x:c>
      <x:c r="B4521" s="2" t="str">
        <x:v>irrigated_land</x:v>
      </x:c>
      <x:c r="C4521" s="2" t="n">
        <x:v>1.80130633979648</x:v>
      </x:c>
      <x:c r="D4521" s="2" t="n">
        <x:v>2023</x:v>
      </x:c>
      <x:c r="E4521" s="2" t="str">
        <x:v>WB_irrigated_land</x:v>
      </x:c>
      <x:c r="F4521" s="2" t="str">
        <x:v>Agricultural irrigated land (% of total agricultural land)</x:v>
      </x:c>
    </x:row>
    <x:row r="4522" ht="44" customHeight="1">
      <x:c r="A4522" s="2" t="str">
        <x:v>PAN</x:v>
      </x:c>
      <x:c r="B4522" s="2" t="str">
        <x:v>cereal_area</x:v>
      </x:c>
      <x:c r="C4522" s="2" t="n">
        <x:v>109277</x:v>
      </x:c>
      <x:c r="D4522" s="2" t="n">
        <x:v>2024</x:v>
      </x:c>
      <x:c r="E4522" s="2" t="str">
        <x:v>WB_cereal_area</x:v>
      </x:c>
      <x:c r="F4522" s="2" t="str">
        <x:v>Land under cereal production (hectares)</x:v>
      </x:c>
    </x:row>
    <x:row r="4523" ht="44" customHeight="1">
      <x:c r="A4523" s="2" t="str">
        <x:v>PAN</x:v>
      </x:c>
      <x:c r="B4523" s="2" t="str">
        <x:v>undernourishment</x:v>
      </x:c>
      <x:c r="C4523" s="2" t="n">
        <x:v>5.7</x:v>
      </x:c>
      <x:c r="D4523" s="2" t="n">
        <x:v>2023</x:v>
      </x:c>
      <x:c r="E4523" s="2" t="str">
        <x:v>WB_undernourishment</x:v>
      </x:c>
      <x:c r="F4523" s="2" t="str">
        <x:v>Prevalence of undernourishment (% of population)</x:v>
      </x:c>
    </x:row>
    <x:row r="4524" ht="44" customHeight="1">
      <x:c r="A4524" s="2" t="str">
        <x:v>PAN</x:v>
      </x:c>
      <x:c r="B4524" s="2" t="str">
        <x:v>agriculture_employment</x:v>
      </x:c>
      <x:c r="C4524" s="2" t="n">
        <x:v>16.0402330789945</x:v>
      </x:c>
      <x:c r="D4524" s="2" t="n">
        <x:v>2025</x:v>
      </x:c>
      <x:c r="E4524" s="2" t="str">
        <x:v>WB_agriculture_employment</x:v>
      </x:c>
      <x:c r="F4524" s="2" t="str">
        <x:v>Employment in agriculture (% of total employment) (modeled ILO estimate)</x:v>
      </x:c>
    </x:row>
    <x:row r="4525" ht="44" customHeight="1">
      <x:c r="A4525" s="2" t="str">
        <x:v>PAN</x:v>
      </x:c>
      <x:c r="B4525" s="2" t="str">
        <x:v>water_withdrawal</x:v>
      </x:c>
      <x:c r="C4525" s="2" t="n">
        <x:v>0.886822840409956</x:v>
      </x:c>
      <x:c r="D4525" s="2" t="n">
        <x:v>2022</x:v>
      </x:c>
      <x:c r="E4525" s="2" t="str">
        <x:v>WB_water_withdrawal</x:v>
      </x:c>
      <x:c r="F4525" s="2" t="str">
        <x:v>Annual freshwater withdrawals, total (% of internal resources)</x:v>
      </x:c>
    </x:row>
    <x:row r="4526" ht="44" customHeight="1">
      <x:c r="A4526" s="2" t="str">
        <x:v>PNG</x:v>
      </x:c>
      <x:c r="B4526" s="2" t="str">
        <x:v>population</x:v>
      </x:c>
      <x:c r="C4526" s="2" t="n">
        <x:v>10762817</x:v>
      </x:c>
      <x:c r="D4526" s="2" t="n">
        <x:v>2025</x:v>
      </x:c>
      <x:c r="E4526" s="2" t="str">
        <x:v>WB_population</x:v>
      </x:c>
      <x:c r="F4526" s="2" t="str">
        <x:v>Population, total</x:v>
      </x:c>
    </x:row>
    <x:row r="4527" ht="44" customHeight="1">
      <x:c r="A4527" s="2" t="str">
        <x:v>PNG</x:v>
      </x:c>
      <x:c r="B4527" s="2" t="str">
        <x:v>income_ppp</x:v>
      </x:c>
      <x:c r="C4527" s="2" t="n">
        <x:v>4456.23105962118</x:v>
      </x:c>
      <x:c r="D4527" s="2" t="n">
        <x:v>2025</x:v>
      </x:c>
      <x:c r="E4527" s="2" t="str">
        <x:v>WB_income_ppp</x:v>
      </x:c>
      <x:c r="F4527" s="2" t="str">
        <x:v>GDP per capita, PPP (constant 2021 international $)</x:v>
      </x:c>
    </x:row>
    <x:row r="4528" ht="44" customHeight="1">
      <x:c r="A4528" s="2" t="str">
        <x:v>PNG</x:v>
      </x:c>
      <x:c r="B4528" s="2" t="str">
        <x:v>urban</x:v>
      </x:c>
      <x:c r="C4528" s="2" t="n">
        <x:v>15.7797448680276</x:v>
      </x:c>
      <x:c r="D4528" s="2" t="n">
        <x:v>2025</x:v>
      </x:c>
      <x:c r="E4528" s="2" t="str">
        <x:v>WB_urban</x:v>
      </x:c>
      <x:c r="F4528" s="2" t="str">
        <x:v>Urban population (% of total population)</x:v>
      </x:c>
    </x:row>
    <x:row r="4529" ht="44" customHeight="1">
      <x:c r="A4529" s="2" t="str">
        <x:v>PNG</x:v>
      </x:c>
      <x:c r="B4529" s="2" t="str">
        <x:v>inflation</x:v>
      </x:c>
      <x:c r="C4529" s="2" t="n">
        <x:v>4.42141364166485</x:v>
      </x:c>
      <x:c r="D4529" s="2" t="n">
        <x:v>2025</x:v>
      </x:c>
      <x:c r="E4529" s="2" t="str">
        <x:v>WB_inflation</x:v>
      </x:c>
      <x:c r="F4529" s="2" t="str">
        <x:v>Inflation, consumer prices (annual %)</x:v>
      </x:c>
    </x:row>
    <x:row r="4530" ht="44" customHeight="1">
      <x:c r="A4530" s="2" t="str">
        <x:v>PNG</x:v>
      </x:c>
      <x:c r="B4530" s="2" t="str">
        <x:v>food_index</x:v>
      </x:c>
      <x:c r="C4530" s="2" t="n">
        <x:v>100.55</x:v>
      </x:c>
      <x:c r="D4530" s="2" t="n">
        <x:v>2022</x:v>
      </x:c>
      <x:c r="E4530" s="2" t="str">
        <x:v>WB_food_index</x:v>
      </x:c>
      <x:c r="F4530" s="2" t="str">
        <x:v>Food production index (2014-2016 = 100)</x:v>
      </x:c>
    </x:row>
    <x:row r="4531" ht="44" customHeight="1">
      <x:c r="A4531" s="2" t="str">
        <x:v>PNG</x:v>
      </x:c>
      <x:c r="B4531" s="2" t="str">
        <x:v>food_import_share</x:v>
      </x:c>
      <x:c r="C4531" s="2" t="n">
        <x:v>16.4888046620318</x:v>
      </x:c>
      <x:c r="D4531" s="2" t="n">
        <x:v>2023</x:v>
      </x:c>
      <x:c r="E4531" s="2" t="str">
        <x:v>WB_food_import_share</x:v>
      </x:c>
      <x:c r="F4531" s="2" t="str">
        <x:v>Food imports (% of merchandise imports)</x:v>
      </x:c>
    </x:row>
    <x:row r="4532" ht="44" customHeight="1">
      <x:c r="A4532" s="2" t="str">
        <x:v>PNG</x:v>
      </x:c>
      <x:c r="B4532" s="2" t="str">
        <x:v>food_export_share</x:v>
      </x:c>
      <x:c r="C4532" s="2" t="n">
        <x:v>19.7229396571942</x:v>
      </x:c>
      <x:c r="D4532" s="2" t="n">
        <x:v>2023</x:v>
      </x:c>
      <x:c r="E4532" s="2" t="str">
        <x:v>WB_food_export_share</x:v>
      </x:c>
      <x:c r="F4532" s="2" t="str">
        <x:v>Food exports (% of merchandise exports)</x:v>
      </x:c>
    </x:row>
    <x:row r="4533" ht="44" customHeight="1">
      <x:c r="A4533" s="2" t="str">
        <x:v>PNG</x:v>
      </x:c>
      <x:c r="B4533" s="2" t="str">
        <x:v>imports_usd</x:v>
      </x:c>
      <x:c r="C4533" s="2" t="n">
        <x:v>4620000000</x:v>
      </x:c>
      <x:c r="D4533" s="2" t="n">
        <x:v>2025</x:v>
      </x:c>
      <x:c r="E4533" s="2" t="str">
        <x:v>WB_imports_usd</x:v>
      </x:c>
      <x:c r="F4533" s="2" t="str">
        <x:v>Merchandise imports (current US$)</x:v>
      </x:c>
    </x:row>
    <x:row r="4534" ht="44" customHeight="1">
      <x:c r="A4534" s="2" t="str">
        <x:v>PNG</x:v>
      </x:c>
      <x:c r="B4534" s="2" t="str">
        <x:v>exports_usd</x:v>
      </x:c>
      <x:c r="C4534" s="2" t="n">
        <x:v>15541000000</x:v>
      </x:c>
      <x:c r="D4534" s="2" t="n">
        <x:v>2025</x:v>
      </x:c>
      <x:c r="E4534" s="2" t="str">
        <x:v>WB_exports_usd</x:v>
      </x:c>
      <x:c r="F4534" s="2" t="str">
        <x:v>Merchandise exports (current US$)</x:v>
      </x:c>
    </x:row>
    <x:row r="4535" ht="44" customHeight="1">
      <x:c r="A4535" s="2" t="str">
        <x:v>PNG</x:v>
      </x:c>
      <x:c r="B4535" s="2" t="str">
        <x:v>cereal_yield</x:v>
      </x:c>
      <x:c r="C4535" s="2" t="n">
        <x:v>4787.4</x:v>
      </x:c>
      <x:c r="D4535" s="2" t="n">
        <x:v>2023</x:v>
      </x:c>
      <x:c r="E4535" s="2" t="str">
        <x:v>WB_cereal_yield</x:v>
      </x:c>
      <x:c r="F4535" s="2" t="str">
        <x:v>Cereal yield (kg per hectare)</x:v>
      </x:c>
    </x:row>
    <x:row r="4536" ht="44" customHeight="1">
      <x:c r="A4536" s="2" t="str">
        <x:v>PNG</x:v>
      </x:c>
      <x:c r="B4536" s="2" t="str">
        <x:v>water_stress</x:v>
      </x:c>
      <x:c r="C4536" s="2" t="n">
        <x:v>0.132242833</x:v>
      </x:c>
      <x:c r="D4536" s="2" t="n">
        <x:v>2022</x:v>
      </x:c>
      <x:c r="E4536" s="2" t="str">
        <x:v>WB_water_stress</x:v>
      </x:c>
      <x:c r="F4536" s="2" t="str">
        <x:v>Level of water stress: freshwater withdrawal as a proportion of available freshwater resources</x:v>
      </x:c>
    </x:row>
    <x:row r="4537" ht="44" customHeight="1">
      <x:c r="A4537" s="2" t="str">
        <x:v>PNG</x:v>
      </x:c>
      <x:c r="B4537" s="2" t="str">
        <x:v>fertility</x:v>
      </x:c>
      <x:c r="C4537" s="2" t="n">
        <x:v>3.072</x:v>
      </x:c>
      <x:c r="D4537" s="2" t="n">
        <x:v>2024</x:v>
      </x:c>
      <x:c r="E4537" s="2" t="str">
        <x:v>WB_fertility</x:v>
      </x:c>
      <x:c r="F4537" s="2" t="str">
        <x:v>Fertility rate, total (births per woman)</x:v>
      </x:c>
    </x:row>
    <x:row r="4538" ht="44" customHeight="1">
      <x:c r="A4538" s="2" t="str">
        <x:v>PNG</x:v>
      </x:c>
      <x:c r="B4538" s="2" t="str">
        <x:v>life_expectancy</x:v>
      </x:c>
      <x:c r="C4538" s="2" t="n">
        <x:v>66.256</x:v>
      </x:c>
      <x:c r="D4538" s="2" t="n">
        <x:v>2024</x:v>
      </x:c>
      <x:c r="E4538" s="2" t="str">
        <x:v>WB_life_expectancy</x:v>
      </x:c>
      <x:c r="F4538" s="2" t="str">
        <x:v>Life expectancy at birth, total (years)</x:v>
      </x:c>
    </x:row>
    <x:row r="4539" ht="44" customHeight="1">
      <x:c r="A4539" s="2" t="str">
        <x:v>PNG</x:v>
      </x:c>
      <x:c r="B4539" s="2" t="str">
        <x:v>age_under15</x:v>
      </x:c>
      <x:c r="C4539" s="2" t="n">
        <x:v>33.145602122567</x:v>
      </x:c>
      <x:c r="D4539" s="2" t="n">
        <x:v>2025</x:v>
      </x:c>
      <x:c r="E4539" s="2" t="str">
        <x:v>WB_age_under15</x:v>
      </x:c>
      <x:c r="F4539" s="2" t="str">
        <x:v>Population ages 0-14 (% of total population)</x:v>
      </x:c>
    </x:row>
    <x:row r="4540" ht="44" customHeight="1">
      <x:c r="A4540" s="2" t="str">
        <x:v>PNG</x:v>
      </x:c>
      <x:c r="B4540" s="2" t="str">
        <x:v>age_over65</x:v>
      </x:c>
      <x:c r="C4540" s="2" t="n">
        <x:v>3.58807085542753</x:v>
      </x:c>
      <x:c r="D4540" s="2" t="n">
        <x:v>2025</x:v>
      </x:c>
      <x:c r="E4540" s="2" t="str">
        <x:v>WB_age_over65</x:v>
      </x:c>
      <x:c r="F4540" s="2" t="str">
        <x:v>Population ages 65 and above (% of total population)</x:v>
      </x:c>
    </x:row>
    <x:row r="4541" ht="44" customHeight="1">
      <x:c r="A4541" s="2" t="str">
        <x:v>PNG</x:v>
      </x:c>
      <x:c r="B4541" s="2" t="str">
        <x:v>dependency_ratio</x:v>
      </x:c>
      <x:c r="C4541" s="2" t="n">
        <x:v>58.0619655147954</x:v>
      </x:c>
      <x:c r="D4541" s="2" t="n">
        <x:v>2025</x:v>
      </x:c>
      <x:c r="E4541" s="2" t="str">
        <x:v>WB_dependency_ratio</x:v>
      </x:c>
      <x:c r="F4541" s="2" t="str">
        <x:v>Age dependency ratio (% of working-age population)</x:v>
      </x:c>
    </x:row>
    <x:row r="4542" ht="44" customHeight="1">
      <x:c r="A4542" s="2" t="str">
        <x:v>PNG</x:v>
      </x:c>
      <x:c r="B4542" s="2" t="str">
        <x:v>net_migration</x:v>
      </x:c>
      <x:c r="C4542" s="2" t="n">
        <x:v>-284</x:v>
      </x:c>
      <x:c r="D4542" s="2" t="n">
        <x:v>2025</x:v>
      </x:c>
      <x:c r="E4542" s="2" t="str">
        <x:v>WB_net_migration</x:v>
      </x:c>
      <x:c r="F4542" s="2" t="str">
        <x:v>Net migration</x:v>
      </x:c>
    </x:row>
    <x:row r="4543" ht="44" customHeight="1">
      <x:c r="A4543" s="2" t="str">
        <x:v>PNG</x:v>
      </x:c>
      <x:c r="B4543" s="2" t="str">
        <x:v>real_gdp</x:v>
      </x:c>
      <x:c r="C4543" s="2" t="n">
        <x:v>28679571266.808</x:v>
      </x:c>
      <x:c r="D4543" s="2" t="n">
        <x:v>2025</x:v>
      </x:c>
      <x:c r="E4543" s="2" t="str">
        <x:v>WB_real_gdp</x:v>
      </x:c>
      <x:c r="F4543" s="2" t="str">
        <x:v>GDP (constant 2015 US$)</x:v>
      </x:c>
    </x:row>
    <x:row r="4544" ht="44" customHeight="1">
      <x:c r="A4544" s="2" t="str">
        <x:v>PNG</x:v>
      </x:c>
      <x:c r="B4544" s="2" t="str">
        <x:v>gdp_growth</x:v>
      </x:c>
      <x:c r="C4544" s="2" t="n">
        <x:v>5.63792052319458</x:v>
      </x:c>
      <x:c r="D4544" s="2" t="n">
        <x:v>2025</x:v>
      </x:c>
      <x:c r="E4544" s="2" t="str">
        <x:v>WB_gdp_growth</x:v>
      </x:c>
      <x:c r="F4544" s="2" t="str">
        <x:v>GDP growth (annual %)</x:v>
      </x:c>
    </x:row>
    <x:row r="4545" ht="44" customHeight="1">
      <x:c r="A4545" s="2" t="str">
        <x:v>PNG</x:v>
      </x:c>
      <x:c r="B4545" s="2" t="str">
        <x:v>real_income</x:v>
      </x:c>
      <x:c r="C4545" s="2" t="n">
        <x:v>2664.69004042418</x:v>
      </x:c>
      <x:c r="D4545" s="2" t="n">
        <x:v>2025</x:v>
      </x:c>
      <x:c r="E4545" s="2" t="str">
        <x:v>WB_real_income</x:v>
      </x:c>
      <x:c r="F4545" s="2" t="str">
        <x:v>GDP per capita (constant 2015 US$)</x:v>
      </x:c>
    </x:row>
    <x:row r="4546" ht="44" customHeight="1">
      <x:c r="A4546" s="2" t="str">
        <x:v>PNG</x:v>
      </x:c>
      <x:c r="B4546" s="2" t="str">
        <x:v>agriculture_gdp</x:v>
      </x:c>
      <x:c r="C4546" s="2" t="n">
        <x:v>17.0217937024537</x:v>
      </x:c>
      <x:c r="D4546" s="2" t="n">
        <x:v>2024</x:v>
      </x:c>
      <x:c r="E4546" s="2" t="str">
        <x:v>WB_agriculture_gdp</x:v>
      </x:c>
      <x:c r="F4546" s="2" t="str">
        <x:v>Agriculture, forestry, and fishing, value added (% of GDP)</x:v>
      </x:c>
    </x:row>
    <x:row r="4547" ht="44" customHeight="1">
      <x:c r="A4547" s="2" t="str">
        <x:v>PNG</x:v>
      </x:c>
      <x:c r="B4547" s="2" t="str">
        <x:v>poverty</x:v>
      </x:c>
      <x:c r="C4547" s="2" t="n">
        <x:v>52.2</x:v>
      </x:c>
      <x:c r="D4547" s="2" t="n">
        <x:v>2009</x:v>
      </x:c>
      <x:c r="E4547" s="2" t="str">
        <x:v>WB_poverty</x:v>
      </x:c>
      <x:c r="F4547" s="2" t="str">
        <x:v>Poverty headcount ratio at $3.00 a day (2021 PPP) (% of population)</x:v>
      </x:c>
    </x:row>
    <x:row r="4548" ht="44" customHeight="1">
      <x:c r="A4548" s="2" t="str">
        <x:v>PNG</x:v>
      </x:c>
      <x:c r="B4548" s="2" t="str">
        <x:v>gini</x:v>
      </x:c>
      <x:c r="C4548" s="2" t="n">
        <x:v>41.9</x:v>
      </x:c>
      <x:c r="D4548" s="2" t="n">
        <x:v>2009</x:v>
      </x:c>
      <x:c r="E4548" s="2" t="str">
        <x:v>WB_gini</x:v>
      </x:c>
      <x:c r="F4548" s="2" t="str">
        <x:v>Gini index</x:v>
      </x:c>
    </x:row>
    <x:row r="4549" ht="44" customHeight="1">
      <x:c r="A4549" s="2" t="str">
        <x:v>PNG</x:v>
      </x:c>
      <x:c r="B4549" s="2" t="str">
        <x:v>unemployment</x:v>
      </x:c>
      <x:c r="C4549" s="2" t="n">
        <x:v>2.571</x:v>
      </x:c>
      <x:c r="D4549" s="2" t="n">
        <x:v>2025</x:v>
      </x:c>
      <x:c r="E4549" s="2" t="str">
        <x:v>WB_unemployment</x:v>
      </x:c>
      <x:c r="F4549" s="2" t="str">
        <x:v>Unemployment, total (% of total labor force) (modeled ILO estimate)</x:v>
      </x:c>
    </x:row>
    <x:row r="4550" ht="44" customHeight="1">
      <x:c r="A4550" s="2" t="str">
        <x:v>PNG</x:v>
      </x:c>
      <x:c r="B4550" s="2" t="str">
        <x:v>private_credit</x:v>
      </x:c>
      <x:c r="C4550" s="2" t="n">
        <x:v>16.2934964633047</x:v>
      </x:c>
      <x:c r="D4550" s="2" t="n">
        <x:v>2024</x:v>
      </x:c>
      <x:c r="E4550" s="2" t="str">
        <x:v>WB_private_credit</x:v>
      </x:c>
      <x:c r="F4550" s="2" t="str">
        <x:v>Domestic credit to private sector (% of GDP)</x:v>
      </x:c>
    </x:row>
    <x:row r="4551" ht="44" customHeight="1">
      <x:c r="A4551" s="2" t="str">
        <x:v>PNG</x:v>
      </x:c>
      <x:c r="B4551" s="2" t="str">
        <x:v>lending_rate</x:v>
      </x:c>
      <x:c r="C4551" s="2" t="n">
        <x:v>8.29</x:v>
      </x:c>
      <x:c r="D4551" s="2" t="n">
        <x:v>2024</x:v>
      </x:c>
      <x:c r="E4551" s="2" t="str">
        <x:v>WB_lending_rate</x:v>
      </x:c>
      <x:c r="F4551" s="2" t="str">
        <x:v>Lending interest rate (%)</x:v>
      </x:c>
    </x:row>
    <x:row r="4552" ht="44" customHeight="1">
      <x:c r="A4552" s="2" t="str">
        <x:v>PNG</x:v>
      </x:c>
      <x:c r="B4552" s="2" t="str">
        <x:v>real_interest</x:v>
      </x:c>
      <x:c r="C4552" s="2" t="n">
        <x:v>4.85900544793087</x:v>
      </x:c>
      <x:c r="D4552" s="2" t="n">
        <x:v>2024</x:v>
      </x:c>
      <x:c r="E4552" s="2" t="str">
        <x:v>WB_real_interest</x:v>
      </x:c>
      <x:c r="F4552" s="2" t="str">
        <x:v>Real interest rate (%)</x:v>
      </x:c>
    </x:row>
    <x:row r="4553" ht="44" customHeight="1">
      <x:c r="A4553" s="2" t="str">
        <x:v>PNG</x:v>
      </x:c>
      <x:c r="B4553" s="2" t="str">
        <x:v>government_debt</x:v>
      </x:c>
      <x:c r="C4553" s="2" t="n">
        <x:v>52.0067408156387</x:v>
      </x:c>
      <x:c r="D4553" s="2" t="n">
        <x:v>2024</x:v>
      </x:c>
      <x:c r="E4553" s="2" t="str">
        <x:v>WB_government_debt</x:v>
      </x:c>
      <x:c r="F4553" s="2" t="str">
        <x:v>Central government debt, total (% of GDP)</x:v>
      </x:c>
    </x:row>
    <x:row r="4554" ht="44" customHeight="1">
      <x:c r="A4554" s="2" t="str">
        <x:v>PNG</x:v>
      </x:c>
      <x:c r="B4554" s="2" t="str">
        <x:v>electricity_access</x:v>
      </x:c>
      <x:c r="C4554" s="2" t="n">
        <x:v>43.3</x:v>
      </x:c>
      <x:c r="D4554" s="2" t="n">
        <x:v>2024</x:v>
      </x:c>
      <x:c r="E4554" s="2" t="str">
        <x:v>WB_electricity_access</x:v>
      </x:c>
      <x:c r="F4554" s="2" t="str">
        <x:v>Access to electricity (% of population)</x:v>
      </x:c>
    </x:row>
    <x:row r="4555" ht="44" customHeight="1">
      <x:c r="A4555" s="2" t="str">
        <x:v>PNG</x:v>
      </x:c>
      <x:c r="B4555" s="2" t="str">
        <x:v>irrigated_land</x:v>
      </x:c>
      <x:c r="C4555" s="2"/>
      <x:c r="D4555" s="2"/>
      <x:c r="E4555" s="2" t="str">
        <x:v>Missing</x:v>
      </x:c>
      <x:c r="F4555" s="2" t="str">
        <x:v>Agricultural irrigated land (% of total agricultural land)</x:v>
      </x:c>
    </x:row>
    <x:row r="4556" ht="44" customHeight="1">
      <x:c r="A4556" s="2" t="str">
        <x:v>PNG</x:v>
      </x:c>
      <x:c r="B4556" s="2" t="str">
        <x:v>cereal_area</x:v>
      </x:c>
      <x:c r="C4556" s="2" t="n">
        <x:v>3910</x:v>
      </x:c>
      <x:c r="D4556" s="2" t="n">
        <x:v>2023</x:v>
      </x:c>
      <x:c r="E4556" s="2" t="str">
        <x:v>WB_cereal_area</x:v>
      </x:c>
      <x:c r="F4556" s="2" t="str">
        <x:v>Land under cereal production (hectares)</x:v>
      </x:c>
    </x:row>
    <x:row r="4557" ht="44" customHeight="1">
      <x:c r="A4557" s="2" t="str">
        <x:v>PNG</x:v>
      </x:c>
      <x:c r="B4557" s="2" t="str">
        <x:v>undernourishment</x:v>
      </x:c>
      <x:c r="C4557" s="2" t="n">
        <x:v>28.7</x:v>
      </x:c>
      <x:c r="D4557" s="2" t="n">
        <x:v>2023</x:v>
      </x:c>
      <x:c r="E4557" s="2" t="str">
        <x:v>WB_undernourishment</x:v>
      </x:c>
      <x:c r="F4557" s="2" t="str">
        <x:v>Prevalence of undernourishment (% of population)</x:v>
      </x:c>
    </x:row>
    <x:row r="4558" ht="44" customHeight="1">
      <x:c r="A4558" s="2" t="str">
        <x:v>PNG</x:v>
      </x:c>
      <x:c r="B4558" s="2" t="str">
        <x:v>agriculture_employment</x:v>
      </x:c>
      <x:c r="C4558" s="2" t="n">
        <x:v>36.86247684461</x:v>
      </x:c>
      <x:c r="D4558" s="2" t="n">
        <x:v>2025</x:v>
      </x:c>
      <x:c r="E4558" s="2" t="str">
        <x:v>WB_agriculture_employment</x:v>
      </x:c>
      <x:c r="F4558" s="2" t="str">
        <x:v>Employment in agriculture (% of total employment) (modeled ILO estimate)</x:v>
      </x:c>
    </x:row>
    <x:row r="4559" ht="44" customHeight="1">
      <x:c r="A4559" s="2" t="str">
        <x:v>PNG</x:v>
      </x:c>
      <x:c r="B4559" s="2" t="str">
        <x:v>water_withdrawal</x:v>
      </x:c>
      <x:c r="C4559" s="2" t="n">
        <x:v>0.0489513108614232</x:v>
      </x:c>
      <x:c r="D4559" s="2" t="n">
        <x:v>2022</x:v>
      </x:c>
      <x:c r="E4559" s="2" t="str">
        <x:v>WB_water_withdrawal</x:v>
      </x:c>
      <x:c r="F4559" s="2" t="str">
        <x:v>Annual freshwater withdrawals, total (% of internal resources)</x:v>
      </x:c>
    </x:row>
    <x:row r="4560" ht="44" customHeight="1">
      <x:c r="A4560" s="2" t="str">
        <x:v>PRY</x:v>
      </x:c>
      <x:c r="B4560" s="2" t="str">
        <x:v>population</x:v>
      </x:c>
      <x:c r="C4560" s="2" t="n">
        <x:v>7013078</x:v>
      </x:c>
      <x:c r="D4560" s="2" t="n">
        <x:v>2025</x:v>
      </x:c>
      <x:c r="E4560" s="2" t="str">
        <x:v>WB_population</x:v>
      </x:c>
      <x:c r="F4560" s="2" t="str">
        <x:v>Population, total</x:v>
      </x:c>
    </x:row>
    <x:row r="4561" ht="44" customHeight="1">
      <x:c r="A4561" s="2" t="str">
        <x:v>PRY</x:v>
      </x:c>
      <x:c r="B4561" s="2" t="str">
        <x:v>income_ppp</x:v>
      </x:c>
      <x:c r="C4561" s="2" t="n">
        <x:v>17245.8458423118</x:v>
      </x:c>
      <x:c r="D4561" s="2" t="n">
        <x:v>2025</x:v>
      </x:c>
      <x:c r="E4561" s="2" t="str">
        <x:v>WB_income_ppp</x:v>
      </x:c>
      <x:c r="F4561" s="2" t="str">
        <x:v>GDP per capita, PPP (constant 2021 international $)</x:v>
      </x:c>
    </x:row>
    <x:row r="4562" ht="44" customHeight="1">
      <x:c r="A4562" s="2" t="str">
        <x:v>PRY</x:v>
      </x:c>
      <x:c r="B4562" s="2" t="str">
        <x:v>urban</x:v>
      </x:c>
      <x:c r="C4562" s="2" t="n">
        <x:v>70.3897639855864</x:v>
      </x:c>
      <x:c r="D4562" s="2" t="n">
        <x:v>2025</x:v>
      </x:c>
      <x:c r="E4562" s="2" t="str">
        <x:v>WB_urban</x:v>
      </x:c>
      <x:c r="F4562" s="2" t="str">
        <x:v>Urban population (% of total population)</x:v>
      </x:c>
    </x:row>
    <x:row r="4563" ht="44" customHeight="1">
      <x:c r="A4563" s="2" t="str">
        <x:v>PRY</x:v>
      </x:c>
      <x:c r="B4563" s="2" t="str">
        <x:v>inflation</x:v>
      </x:c>
      <x:c r="C4563" s="2" t="n">
        <x:v>4.0380642333938</x:v>
      </x:c>
      <x:c r="D4563" s="2" t="n">
        <x:v>2025</x:v>
      </x:c>
      <x:c r="E4563" s="2" t="str">
        <x:v>WB_inflation</x:v>
      </x:c>
      <x:c r="F4563" s="2" t="str">
        <x:v>Inflation, consumer prices (annual %)</x:v>
      </x:c>
    </x:row>
    <x:row r="4564" ht="44" customHeight="1">
      <x:c r="A4564" s="2" t="str">
        <x:v>PRY</x:v>
      </x:c>
      <x:c r="B4564" s="2" t="str">
        <x:v>food_index</x:v>
      </x:c>
      <x:c r="C4564" s="2" t="n">
        <x:v>85.44</x:v>
      </x:c>
      <x:c r="D4564" s="2" t="n">
        <x:v>2022</x:v>
      </x:c>
      <x:c r="E4564" s="2" t="str">
        <x:v>WB_food_index</x:v>
      </x:c>
      <x:c r="F4564" s="2" t="str">
        <x:v>Food production index (2014-2016 = 100)</x:v>
      </x:c>
    </x:row>
    <x:row r="4565" ht="44" customHeight="1">
      <x:c r="A4565" s="2" t="str">
        <x:v>PRY</x:v>
      </x:c>
      <x:c r="B4565" s="2" t="str">
        <x:v>food_import_share</x:v>
      </x:c>
      <x:c r="C4565" s="2" t="n">
        <x:v>7.80289098359036</x:v>
      </x:c>
      <x:c r="D4565" s="2" t="n">
        <x:v>2025</x:v>
      </x:c>
      <x:c r="E4565" s="2" t="str">
        <x:v>WB_food_import_share</x:v>
      </x:c>
      <x:c r="F4565" s="2" t="str">
        <x:v>Food imports (% of merchandise imports)</x:v>
      </x:c>
    </x:row>
    <x:row r="4566" ht="44" customHeight="1">
      <x:c r="A4566" s="2" t="str">
        <x:v>PRY</x:v>
      </x:c>
      <x:c r="B4566" s="2" t="str">
        <x:v>food_export_share</x:v>
      </x:c>
      <x:c r="C4566" s="2" t="n">
        <x:v>69.1049436829106</x:v>
      </x:c>
      <x:c r="D4566" s="2" t="n">
        <x:v>2025</x:v>
      </x:c>
      <x:c r="E4566" s="2" t="str">
        <x:v>WB_food_export_share</x:v>
      </x:c>
      <x:c r="F4566" s="2" t="str">
        <x:v>Food exports (% of merchandise exports)</x:v>
      </x:c>
    </x:row>
    <x:row r="4567" ht="44" customHeight="1">
      <x:c r="A4567" s="2" t="str">
        <x:v>PRY</x:v>
      </x:c>
      <x:c r="B4567" s="2" t="str">
        <x:v>imports_usd</x:v>
      </x:c>
      <x:c r="C4567" s="2" t="n">
        <x:v>19131000000</x:v>
      </x:c>
      <x:c r="D4567" s="2" t="n">
        <x:v>2025</x:v>
      </x:c>
      <x:c r="E4567" s="2" t="str">
        <x:v>WB_imports_usd</x:v>
      </x:c>
      <x:c r="F4567" s="2" t="str">
        <x:v>Merchandise imports (current US$)</x:v>
      </x:c>
    </x:row>
    <x:row r="4568" ht="44" customHeight="1">
      <x:c r="A4568" s="2" t="str">
        <x:v>PRY</x:v>
      </x:c>
      <x:c r="B4568" s="2" t="str">
        <x:v>exports_usd</x:v>
      </x:c>
      <x:c r="C4568" s="2" t="n">
        <x:v>11082000000</x:v>
      </x:c>
      <x:c r="D4568" s="2" t="n">
        <x:v>2025</x:v>
      </x:c>
      <x:c r="E4568" s="2" t="str">
        <x:v>WB_exports_usd</x:v>
      </x:c>
      <x:c r="F4568" s="2" t="str">
        <x:v>Merchandise exports (current US$)</x:v>
      </x:c>
    </x:row>
    <x:row r="4569" ht="44" customHeight="1">
      <x:c r="A4569" s="2" t="str">
        <x:v>PRY</x:v>
      </x:c>
      <x:c r="B4569" s="2" t="str">
        <x:v>cereal_yield</x:v>
      </x:c>
      <x:c r="C4569" s="2" t="n">
        <x:v>4482.5</x:v>
      </x:c>
      <x:c r="D4569" s="2" t="n">
        <x:v>2023</x:v>
      </x:c>
      <x:c r="E4569" s="2" t="str">
        <x:v>WB_cereal_yield</x:v>
      </x:c>
      <x:c r="F4569" s="2" t="str">
        <x:v>Cereal yield (kg per hectare)</x:v>
      </x:c>
    </x:row>
    <x:row r="4570" ht="44" customHeight="1">
      <x:c r="A4570" s="2" t="str">
        <x:v>PRY</x:v>
      </x:c>
      <x:c r="B4570" s="2" t="str">
        <x:v>water_stress</x:v>
      </x:c>
      <x:c r="C4570" s="2" t="n">
        <x:v>1.835399711</x:v>
      </x:c>
      <x:c r="D4570" s="2" t="n">
        <x:v>2022</x:v>
      </x:c>
      <x:c r="E4570" s="2" t="str">
        <x:v>WB_water_stress</x:v>
      </x:c>
      <x:c r="F4570" s="2" t="str">
        <x:v>Level of water stress: freshwater withdrawal as a proportion of available freshwater resources</x:v>
      </x:c>
    </x:row>
    <x:row r="4571" ht="44" customHeight="1">
      <x:c r="A4571" s="2" t="str">
        <x:v>PRY</x:v>
      </x:c>
      <x:c r="B4571" s="2" t="str">
        <x:v>fertility</x:v>
      </x:c>
      <x:c r="C4571" s="2" t="n">
        <x:v>2.416</x:v>
      </x:c>
      <x:c r="D4571" s="2" t="n">
        <x:v>2024</x:v>
      </x:c>
      <x:c r="E4571" s="2" t="str">
        <x:v>WB_fertility</x:v>
      </x:c>
      <x:c r="F4571" s="2" t="str">
        <x:v>Fertility rate, total (births per woman)</x:v>
      </x:c>
    </x:row>
    <x:row r="4572" ht="44" customHeight="1">
      <x:c r="A4572" s="2" t="str">
        <x:v>PRY</x:v>
      </x:c>
      <x:c r="B4572" s="2" t="str">
        <x:v>life_expectancy</x:v>
      </x:c>
      <x:c r="C4572" s="2" t="n">
        <x:v>73.982</x:v>
      </x:c>
      <x:c r="D4572" s="2" t="n">
        <x:v>2024</x:v>
      </x:c>
      <x:c r="E4572" s="2" t="str">
        <x:v>WB_life_expectancy</x:v>
      </x:c>
      <x:c r="F4572" s="2" t="str">
        <x:v>Life expectancy at birth, total (years)</x:v>
      </x:c>
    </x:row>
    <x:row r="4573" ht="44" customHeight="1">
      <x:c r="A4573" s="2" t="str">
        <x:v>PRY</x:v>
      </x:c>
      <x:c r="B4573" s="2" t="str">
        <x:v>age_under15</x:v>
      </x:c>
      <x:c r="C4573" s="2" t="n">
        <x:v>28.3712036548862</x:v>
      </x:c>
      <x:c r="D4573" s="2" t="n">
        <x:v>2025</x:v>
      </x:c>
      <x:c r="E4573" s="2" t="str">
        <x:v>WB_age_under15</x:v>
      </x:c>
      <x:c r="F4573" s="2" t="str">
        <x:v>Population ages 0-14 (% of total population)</x:v>
      </x:c>
    </x:row>
    <x:row r="4574" ht="44" customHeight="1">
      <x:c r="A4574" s="2" t="str">
        <x:v>PRY</x:v>
      </x:c>
      <x:c r="B4574" s="2" t="str">
        <x:v>age_over65</x:v>
      </x:c>
      <x:c r="C4574" s="2" t="n">
        <x:v>6.71858395975233</x:v>
      </x:c>
      <x:c r="D4574" s="2" t="n">
        <x:v>2025</x:v>
      </x:c>
      <x:c r="E4574" s="2" t="str">
        <x:v>WB_age_over65</x:v>
      </x:c>
      <x:c r="F4574" s="2" t="str">
        <x:v>Population ages 65 and above (% of total population)</x:v>
      </x:c>
    </x:row>
    <x:row r="4575" ht="44" customHeight="1">
      <x:c r="A4575" s="2" t="str">
        <x:v>PRY</x:v>
      </x:c>
      <x:c r="B4575" s="2" t="str">
        <x:v>dependency_ratio</x:v>
      </x:c>
      <x:c r="C4575" s="2" t="n">
        <x:v>54.0589789034059</x:v>
      </x:c>
      <x:c r="D4575" s="2" t="n">
        <x:v>2025</x:v>
      </x:c>
      <x:c r="E4575" s="2" t="str">
        <x:v>WB_dependency_ratio</x:v>
      </x:c>
      <x:c r="F4575" s="2" t="str">
        <x:v>Age dependency ratio (% of working-age population)</x:v>
      </x:c>
    </x:row>
    <x:row r="4576" ht="44" customHeight="1">
      <x:c r="A4576" s="2" t="str">
        <x:v>PRY</x:v>
      </x:c>
      <x:c r="B4576" s="2" t="str">
        <x:v>net_migration</x:v>
      </x:c>
      <x:c r="C4576" s="2" t="n">
        <x:v>-12423</x:v>
      </x:c>
      <x:c r="D4576" s="2" t="n">
        <x:v>2025</x:v>
      </x:c>
      <x:c r="E4576" s="2" t="str">
        <x:v>WB_net_migration</x:v>
      </x:c>
      <x:c r="F4576" s="2" t="str">
        <x:v>Net migration</x:v>
      </x:c>
    </x:row>
    <x:row r="4577" ht="44" customHeight="1">
      <x:c r="A4577" s="2" t="str">
        <x:v>PRY</x:v>
      </x:c>
      <x:c r="B4577" s="2" t="str">
        <x:v>real_gdp</x:v>
      </x:c>
      <x:c r="C4577" s="2" t="n">
        <x:v>49292671875.7034</x:v>
      </x:c>
      <x:c r="D4577" s="2" t="n">
        <x:v>2025</x:v>
      </x:c>
      <x:c r="E4577" s="2" t="str">
        <x:v>WB_real_gdp</x:v>
      </x:c>
      <x:c r="F4577" s="2" t="str">
        <x:v>GDP (constant 2015 US$)</x:v>
      </x:c>
    </x:row>
    <x:row r="4578" ht="44" customHeight="1">
      <x:c r="A4578" s="2" t="str">
        <x:v>PRY</x:v>
      </x:c>
      <x:c r="B4578" s="2" t="str">
        <x:v>gdp_growth</x:v>
      </x:c>
      <x:c r="C4578" s="2" t="n">
        <x:v>6.64262511156879</x:v>
      </x:c>
      <x:c r="D4578" s="2" t="n">
        <x:v>2025</x:v>
      </x:c>
      <x:c r="E4578" s="2" t="str">
        <x:v>WB_gdp_growth</x:v>
      </x:c>
      <x:c r="F4578" s="2" t="str">
        <x:v>GDP growth (annual %)</x:v>
      </x:c>
    </x:row>
    <x:row r="4579" ht="44" customHeight="1">
      <x:c r="A4579" s="2" t="str">
        <x:v>PRY</x:v>
      </x:c>
      <x:c r="B4579" s="2" t="str">
        <x:v>real_income</x:v>
      </x:c>
      <x:c r="C4579" s="2" t="n">
        <x:v>7028.67868797458</x:v>
      </x:c>
      <x:c r="D4579" s="2" t="n">
        <x:v>2025</x:v>
      </x:c>
      <x:c r="E4579" s="2" t="str">
        <x:v>WB_real_income</x:v>
      </x:c>
      <x:c r="F4579" s="2" t="str">
        <x:v>GDP per capita (constant 2015 US$)</x:v>
      </x:c>
    </x:row>
    <x:row r="4580" ht="44" customHeight="1">
      <x:c r="A4580" s="2" t="str">
        <x:v>PRY</x:v>
      </x:c>
      <x:c r="B4580" s="2" t="str">
        <x:v>agriculture_gdp</x:v>
      </x:c>
      <x:c r="C4580" s="2" t="n">
        <x:v>11.641125207277</x:v>
      </x:c>
      <x:c r="D4580" s="2" t="n">
        <x:v>2025</x:v>
      </x:c>
      <x:c r="E4580" s="2" t="str">
        <x:v>WB_agriculture_gdp</x:v>
      </x:c>
      <x:c r="F4580" s="2" t="str">
        <x:v>Agriculture, forestry, and fishing, value added (% of GDP)</x:v>
      </x:c>
    </x:row>
    <x:row r="4581" ht="44" customHeight="1">
      <x:c r="A4581" s="2" t="str">
        <x:v>PRY</x:v>
      </x:c>
      <x:c r="B4581" s="2" t="str">
        <x:v>poverty</x:v>
      </x:c>
      <x:c r="C4581" s="2" t="n">
        <x:v>2.1</x:v>
      </x:c>
      <x:c r="D4581" s="2" t="n">
        <x:v>2024</x:v>
      </x:c>
      <x:c r="E4581" s="2" t="str">
        <x:v>WB_poverty</x:v>
      </x:c>
      <x:c r="F4581" s="2" t="str">
        <x:v>Poverty headcount ratio at $3.00 a day (2021 PPP) (% of population)</x:v>
      </x:c>
    </x:row>
    <x:row r="4582" ht="44" customHeight="1">
      <x:c r="A4582" s="2" t="str">
        <x:v>PRY</x:v>
      </x:c>
      <x:c r="B4582" s="2" t="str">
        <x:v>gini</x:v>
      </x:c>
      <x:c r="C4582" s="2" t="n">
        <x:v>44.2</x:v>
      </x:c>
      <x:c r="D4582" s="2" t="n">
        <x:v>2024</x:v>
      </x:c>
      <x:c r="E4582" s="2" t="str">
        <x:v>WB_gini</x:v>
      </x:c>
      <x:c r="F4582" s="2" t="str">
        <x:v>Gini index</x:v>
      </x:c>
    </x:row>
    <x:row r="4583" ht="44" customHeight="1">
      <x:c r="A4583" s="2" t="str">
        <x:v>PRY</x:v>
      </x:c>
      <x:c r="B4583" s="2" t="str">
        <x:v>unemployment</x:v>
      </x:c>
      <x:c r="C4583" s="2" t="n">
        <x:v>4.803</x:v>
      </x:c>
      <x:c r="D4583" s="2" t="n">
        <x:v>2025</x:v>
      </x:c>
      <x:c r="E4583" s="2" t="str">
        <x:v>WB_unemployment</x:v>
      </x:c>
      <x:c r="F4583" s="2" t="str">
        <x:v>Unemployment, total (% of total labor force) (modeled ILO estimate)</x:v>
      </x:c>
    </x:row>
    <x:row r="4584" ht="44" customHeight="1">
      <x:c r="A4584" s="2" t="str">
        <x:v>PRY</x:v>
      </x:c>
      <x:c r="B4584" s="2" t="str">
        <x:v>private_credit</x:v>
      </x:c>
      <x:c r="C4584" s="2" t="n">
        <x:v>55.7026066319307</x:v>
      </x:c>
      <x:c r="D4584" s="2" t="n">
        <x:v>2025</x:v>
      </x:c>
      <x:c r="E4584" s="2" t="str">
        <x:v>WB_private_credit</x:v>
      </x:c>
      <x:c r="F4584" s="2" t="str">
        <x:v>Domestic credit to private sector (% of GDP)</x:v>
      </x:c>
    </x:row>
    <x:row r="4585" ht="44" customHeight="1">
      <x:c r="A4585" s="2" t="str">
        <x:v>PRY</x:v>
      </x:c>
      <x:c r="B4585" s="2" t="str">
        <x:v>lending_rate</x:v>
      </x:c>
      <x:c r="C4585" s="2" t="n">
        <x:v>12.5097388657844</x:v>
      </x:c>
      <x:c r="D4585" s="2" t="n">
        <x:v>2021</x:v>
      </x:c>
      <x:c r="E4585" s="2" t="str">
        <x:v>WB_lending_rate</x:v>
      </x:c>
      <x:c r="F4585" s="2" t="str">
        <x:v>Lending interest rate (%)</x:v>
      </x:c>
    </x:row>
    <x:row r="4586" ht="44" customHeight="1">
      <x:c r="A4586" s="2" t="str">
        <x:v>PRY</x:v>
      </x:c>
      <x:c r="B4586" s="2" t="str">
        <x:v>real_interest</x:v>
      </x:c>
      <x:c r="C4586" s="2" t="n">
        <x:v>3.75832042397546</x:v>
      </x:c>
      <x:c r="D4586" s="2" t="n">
        <x:v>2021</x:v>
      </x:c>
      <x:c r="E4586" s="2" t="str">
        <x:v>WB_real_interest</x:v>
      </x:c>
      <x:c r="F4586" s="2" t="str">
        <x:v>Real interest rate (%)</x:v>
      </x:c>
    </x:row>
    <x:row r="4587" ht="44" customHeight="1">
      <x:c r="A4587" s="2" t="str">
        <x:v>PRY</x:v>
      </x:c>
      <x:c r="B4587" s="2" t="str">
        <x:v>government_debt</x:v>
      </x:c>
      <x:c r="C4587" s="2"/>
      <x:c r="D4587" s="2"/>
      <x:c r="E4587" s="2" t="str">
        <x:v>Missing</x:v>
      </x:c>
      <x:c r="F4587" s="2" t="str">
        <x:v>Central government debt, total (% of GDP)</x:v>
      </x:c>
    </x:row>
    <x:row r="4588" ht="44" customHeight="1">
      <x:c r="A4588" s="2" t="str">
        <x:v>PRY</x:v>
      </x:c>
      <x:c r="B4588" s="2" t="str">
        <x:v>electricity_access</x:v>
      </x:c>
      <x:c r="C4588" s="2" t="n">
        <x:v>99.8</x:v>
      </x:c>
      <x:c r="D4588" s="2" t="n">
        <x:v>2024</x:v>
      </x:c>
      <x:c r="E4588" s="2" t="str">
        <x:v>WB_electricity_access</x:v>
      </x:c>
      <x:c r="F4588" s="2" t="str">
        <x:v>Access to electricity (% of population)</x:v>
      </x:c>
    </x:row>
    <x:row r="4589" ht="44" customHeight="1">
      <x:c r="A4589" s="2" t="str">
        <x:v>PRY</x:v>
      </x:c>
      <x:c r="B4589" s="2" t="str">
        <x:v>irrigated_land</x:v>
      </x:c>
      <x:c r="C4589" s="2" t="n">
        <x:v>0.483184766882905</x:v>
      </x:c>
      <x:c r="D4589" s="2" t="n">
        <x:v>2023</x:v>
      </x:c>
      <x:c r="E4589" s="2" t="str">
        <x:v>WB_irrigated_land</x:v>
      </x:c>
      <x:c r="F4589" s="2" t="str">
        <x:v>Agricultural irrigated land (% of total agricultural land)</x:v>
      </x:c>
    </x:row>
    <x:row r="4590" ht="44" customHeight="1">
      <x:c r="A4590" s="2" t="str">
        <x:v>PRY</x:v>
      </x:c>
      <x:c r="B4590" s="2" t="str">
        <x:v>cereal_area</x:v>
      </x:c>
      <x:c r="C4590" s="2" t="n">
        <x:v>1533143</x:v>
      </x:c>
      <x:c r="D4590" s="2" t="n">
        <x:v>2023</x:v>
      </x:c>
      <x:c r="E4590" s="2" t="str">
        <x:v>WB_cereal_area</x:v>
      </x:c>
      <x:c r="F4590" s="2" t="str">
        <x:v>Land under cereal production (hectares)</x:v>
      </x:c>
    </x:row>
    <x:row r="4591" ht="44" customHeight="1">
      <x:c r="A4591" s="2" t="str">
        <x:v>PRY</x:v>
      </x:c>
      <x:c r="B4591" s="2" t="str">
        <x:v>undernourishment</x:v>
      </x:c>
      <x:c r="C4591" s="2" t="n">
        <x:v>5.2</x:v>
      </x:c>
      <x:c r="D4591" s="2" t="n">
        <x:v>2023</x:v>
      </x:c>
      <x:c r="E4591" s="2" t="str">
        <x:v>WB_undernourishment</x:v>
      </x:c>
      <x:c r="F4591" s="2" t="str">
        <x:v>Prevalence of undernourishment (% of population)</x:v>
      </x:c>
    </x:row>
    <x:row r="4592" ht="44" customHeight="1">
      <x:c r="A4592" s="2" t="str">
        <x:v>PRY</x:v>
      </x:c>
      <x:c r="B4592" s="2" t="str">
        <x:v>agriculture_employment</x:v>
      </x:c>
      <x:c r="C4592" s="2" t="n">
        <x:v>15.9653736870385</x:v>
      </x:c>
      <x:c r="D4592" s="2" t="n">
        <x:v>2025</x:v>
      </x:c>
      <x:c r="E4592" s="2" t="str">
        <x:v>WB_agriculture_employment</x:v>
      </x:c>
      <x:c r="F4592" s="2" t="str">
        <x:v>Employment in agriculture (% of total employment) (modeled ILO estimate)</x:v>
      </x:c>
    </x:row>
    <x:row r="4593" ht="44" customHeight="1">
      <x:c r="A4593" s="2" t="str">
        <x:v>PRY</x:v>
      </x:c>
      <x:c r="B4593" s="2" t="str">
        <x:v>water_withdrawal</x:v>
      </x:c>
      <x:c r="C4593" s="2" t="n">
        <x:v>2.06239316239316</x:v>
      </x:c>
      <x:c r="D4593" s="2" t="n">
        <x:v>2022</x:v>
      </x:c>
      <x:c r="E4593" s="2" t="str">
        <x:v>WB_water_withdrawal</x:v>
      </x:c>
      <x:c r="F4593" s="2" t="str">
        <x:v>Annual freshwater withdrawals, total (% of internal resources)</x:v>
      </x:c>
    </x:row>
    <x:row r="4594" ht="44" customHeight="1">
      <x:c r="A4594" s="2" t="str">
        <x:v>PER</x:v>
      </x:c>
      <x:c r="B4594" s="2" t="str">
        <x:v>population</x:v>
      </x:c>
      <x:c r="C4594" s="2" t="n">
        <x:v>34576665</x:v>
      </x:c>
      <x:c r="D4594" s="2" t="n">
        <x:v>2025</x:v>
      </x:c>
      <x:c r="E4594" s="2" t="str">
        <x:v>WB_population</x:v>
      </x:c>
      <x:c r="F4594" s="2" t="str">
        <x:v>Population, total</x:v>
      </x:c>
    </x:row>
    <x:row r="4595" ht="44" customHeight="1">
      <x:c r="A4595" s="2" t="str">
        <x:v>PER</x:v>
      </x:c>
      <x:c r="B4595" s="2" t="str">
        <x:v>income_ppp</x:v>
      </x:c>
      <x:c r="C4595" s="2" t="n">
        <x:v>16079.1247394843</x:v>
      </x:c>
      <x:c r="D4595" s="2" t="n">
        <x:v>2025</x:v>
      </x:c>
      <x:c r="E4595" s="2" t="str">
        <x:v>WB_income_ppp</x:v>
      </x:c>
      <x:c r="F4595" s="2" t="str">
        <x:v>GDP per capita, PPP (constant 2021 international $)</x:v>
      </x:c>
    </x:row>
    <x:row r="4596" ht="44" customHeight="1">
      <x:c r="A4596" s="2" t="str">
        <x:v>PER</x:v>
      </x:c>
      <x:c r="B4596" s="2" t="str">
        <x:v>urban</x:v>
      </x:c>
      <x:c r="C4596" s="2" t="n">
        <x:v>85.5963484845463</x:v>
      </x:c>
      <x:c r="D4596" s="2" t="n">
        <x:v>2025</x:v>
      </x:c>
      <x:c r="E4596" s="2" t="str">
        <x:v>WB_urban</x:v>
      </x:c>
      <x:c r="F4596" s="2" t="str">
        <x:v>Urban population (% of total population)</x:v>
      </x:c>
    </x:row>
    <x:row r="4597" ht="44" customHeight="1">
      <x:c r="A4597" s="2" t="str">
        <x:v>PER</x:v>
      </x:c>
      <x:c r="B4597" s="2" t="str">
        <x:v>inflation</x:v>
      </x:c>
      <x:c r="C4597" s="2" t="n">
        <x:v>1.53125450314273</x:v>
      </x:c>
      <x:c r="D4597" s="2" t="n">
        <x:v>2025</x:v>
      </x:c>
      <x:c r="E4597" s="2" t="str">
        <x:v>WB_inflation</x:v>
      </x:c>
      <x:c r="F4597" s="2" t="str">
        <x:v>Inflation, consumer prices (annual %)</x:v>
      </x:c>
    </x:row>
    <x:row r="4598" ht="44" customHeight="1">
      <x:c r="A4598" s="2" t="str">
        <x:v>PER</x:v>
      </x:c>
      <x:c r="B4598" s="2" t="str">
        <x:v>food_index</x:v>
      </x:c>
      <x:c r="C4598" s="2" t="n">
        <x:v>128.07</x:v>
      </x:c>
      <x:c r="D4598" s="2" t="n">
        <x:v>2022</x:v>
      </x:c>
      <x:c r="E4598" s="2" t="str">
        <x:v>WB_food_index</x:v>
      </x:c>
      <x:c r="F4598" s="2" t="str">
        <x:v>Food production index (2014-2016 = 100)</x:v>
      </x:c>
    </x:row>
    <x:row r="4599" ht="44" customHeight="1">
      <x:c r="A4599" s="2" t="str">
        <x:v>PER</x:v>
      </x:c>
      <x:c r="B4599" s="2" t="str">
        <x:v>food_import_share</x:v>
      </x:c>
      <x:c r="C4599" s="2" t="n">
        <x:v>11.925870637209</x:v>
      </x:c>
      <x:c r="D4599" s="2" t="n">
        <x:v>2024</x:v>
      </x:c>
      <x:c r="E4599" s="2" t="str">
        <x:v>WB_food_import_share</x:v>
      </x:c>
      <x:c r="F4599" s="2" t="str">
        <x:v>Food imports (% of merchandise imports)</x:v>
      </x:c>
    </x:row>
    <x:row r="4600" ht="44" customHeight="1">
      <x:c r="A4600" s="2" t="str">
        <x:v>PER</x:v>
      </x:c>
      <x:c r="B4600" s="2" t="str">
        <x:v>food_export_share</x:v>
      </x:c>
      <x:c r="C4600" s="2" t="n">
        <x:v>21.2372405497592</x:v>
      </x:c>
      <x:c r="D4600" s="2" t="n">
        <x:v>2024</x:v>
      </x:c>
      <x:c r="E4600" s="2" t="str">
        <x:v>WB_food_export_share</x:v>
      </x:c>
      <x:c r="F4600" s="2" t="str">
        <x:v>Food exports (% of merchandise exports)</x:v>
      </x:c>
    </x:row>
    <x:row r="4601" ht="44" customHeight="1">
      <x:c r="A4601" s="2" t="str">
        <x:v>PER</x:v>
      </x:c>
      <x:c r="B4601" s="2" t="str">
        <x:v>imports_usd</x:v>
      </x:c>
      <x:c r="C4601" s="2" t="n">
        <x:v>60631000000</x:v>
      </x:c>
      <x:c r="D4601" s="2" t="n">
        <x:v>2025</x:v>
      </x:c>
      <x:c r="E4601" s="2" t="str">
        <x:v>WB_imports_usd</x:v>
      </x:c>
      <x:c r="F4601" s="2" t="str">
        <x:v>Merchandise imports (current US$)</x:v>
      </x:c>
    </x:row>
    <x:row r="4602" ht="44" customHeight="1">
      <x:c r="A4602" s="2" t="str">
        <x:v>PER</x:v>
      </x:c>
      <x:c r="B4602" s="2" t="str">
        <x:v>exports_usd</x:v>
      </x:c>
      <x:c r="C4602" s="2" t="n">
        <x:v>82692000000</x:v>
      </x:c>
      <x:c r="D4602" s="2" t="n">
        <x:v>2025</x:v>
      </x:c>
      <x:c r="E4602" s="2" t="str">
        <x:v>WB_exports_usd</x:v>
      </x:c>
      <x:c r="F4602" s="2" t="str">
        <x:v>Merchandise exports (current US$)</x:v>
      </x:c>
    </x:row>
    <x:row r="4603" ht="44" customHeight="1">
      <x:c r="A4603" s="2" t="str">
        <x:v>PER</x:v>
      </x:c>
      <x:c r="B4603" s="2" t="str">
        <x:v>cereal_yield</x:v>
      </x:c>
      <x:c r="C4603" s="2" t="n">
        <x:v>4850.9</x:v>
      </x:c>
      <x:c r="D4603" s="2" t="n">
        <x:v>2024</x:v>
      </x:c>
      <x:c r="E4603" s="2" t="str">
        <x:v>WB_cereal_yield</x:v>
      </x:c>
      <x:c r="F4603" s="2" t="str">
        <x:v>Cereal yield (kg per hectare)</x:v>
      </x:c>
    </x:row>
    <x:row r="4604" ht="44" customHeight="1">
      <x:c r="A4604" s="2" t="str">
        <x:v>PER</x:v>
      </x:c>
      <x:c r="B4604" s="2" t="str">
        <x:v>water_stress</x:v>
      </x:c>
      <x:c r="C4604" s="2" t="n">
        <x:v>4.82842772</x:v>
      </x:c>
      <x:c r="D4604" s="2" t="n">
        <x:v>2022</x:v>
      </x:c>
      <x:c r="E4604" s="2" t="str">
        <x:v>WB_water_stress</x:v>
      </x:c>
      <x:c r="F4604" s="2" t="str">
        <x:v>Level of water stress: freshwater withdrawal as a proportion of available freshwater resources</x:v>
      </x:c>
    </x:row>
    <x:row r="4605" ht="44" customHeight="1">
      <x:c r="A4605" s="2" t="str">
        <x:v>PER</x:v>
      </x:c>
      <x:c r="B4605" s="2" t="str">
        <x:v>fertility</x:v>
      </x:c>
      <x:c r="C4605" s="2" t="n">
        <x:v>1.965</x:v>
      </x:c>
      <x:c r="D4605" s="2" t="n">
        <x:v>2024</x:v>
      </x:c>
      <x:c r="E4605" s="2" t="str">
        <x:v>WB_fertility</x:v>
      </x:c>
      <x:c r="F4605" s="2" t="str">
        <x:v>Fertility rate, total (births per woman)</x:v>
      </x:c>
    </x:row>
    <x:row r="4606" ht="44" customHeight="1">
      <x:c r="A4606" s="2" t="str">
        <x:v>PER</x:v>
      </x:c>
      <x:c r="B4606" s="2" t="str">
        <x:v>life_expectancy</x:v>
      </x:c>
      <x:c r="C4606" s="2" t="n">
        <x:v>77.941</x:v>
      </x:c>
      <x:c r="D4606" s="2" t="n">
        <x:v>2024</x:v>
      </x:c>
      <x:c r="E4606" s="2" t="str">
        <x:v>WB_life_expectancy</x:v>
      </x:c>
      <x:c r="F4606" s="2" t="str">
        <x:v>Life expectancy at birth, total (years)</x:v>
      </x:c>
    </x:row>
    <x:row r="4607" ht="44" customHeight="1">
      <x:c r="A4607" s="2" t="str">
        <x:v>PER</x:v>
      </x:c>
      <x:c r="B4607" s="2" t="str">
        <x:v>age_under15</x:v>
      </x:c>
      <x:c r="C4607" s="2" t="n">
        <x:v>23.6140674642855</x:v>
      </x:c>
      <x:c r="D4607" s="2" t="n">
        <x:v>2025</x:v>
      </x:c>
      <x:c r="E4607" s="2" t="str">
        <x:v>WB_age_under15</x:v>
      </x:c>
      <x:c r="F4607" s="2" t="str">
        <x:v>Population ages 0-14 (% of total population)</x:v>
      </x:c>
    </x:row>
    <x:row r="4608" ht="44" customHeight="1">
      <x:c r="A4608" s="2" t="str">
        <x:v>PER</x:v>
      </x:c>
      <x:c r="B4608" s="2" t="str">
        <x:v>age_over65</x:v>
      </x:c>
      <x:c r="C4608" s="2" t="n">
        <x:v>9.46656075708863</x:v>
      </x:c>
      <x:c r="D4608" s="2" t="n">
        <x:v>2025</x:v>
      </x:c>
      <x:c r="E4608" s="2" t="str">
        <x:v>WB_age_over65</x:v>
      </x:c>
      <x:c r="F4608" s="2" t="str">
        <x:v>Population ages 65 and above (% of total population)</x:v>
      </x:c>
    </x:row>
    <x:row r="4609" ht="44" customHeight="1">
      <x:c r="A4609" s="2" t="str">
        <x:v>PER</x:v>
      </x:c>
      <x:c r="B4609" s="2" t="str">
        <x:v>dependency_ratio</x:v>
      </x:c>
      <x:c r="C4609" s="2" t="n">
        <x:v>49.4335606299582</x:v>
      </x:c>
      <x:c r="D4609" s="2" t="n">
        <x:v>2025</x:v>
      </x:c>
      <x:c r="E4609" s="2" t="str">
        <x:v>WB_dependency_ratio</x:v>
      </x:c>
      <x:c r="F4609" s="2" t="str">
        <x:v>Age dependency ratio (% of working-age population)</x:v>
      </x:c>
    </x:row>
    <x:row r="4610" ht="44" customHeight="1">
      <x:c r="A4610" s="2" t="str">
        <x:v>PER</x:v>
      </x:c>
      <x:c r="B4610" s="2" t="str">
        <x:v>net_migration</x:v>
      </x:c>
      <x:c r="C4610" s="2" t="n">
        <x:v>11931</x:v>
      </x:c>
      <x:c r="D4610" s="2" t="n">
        <x:v>2025</x:v>
      </x:c>
      <x:c r="E4610" s="2" t="str">
        <x:v>WB_net_migration</x:v>
      </x:c>
      <x:c r="F4610" s="2" t="str">
        <x:v>Net migration</x:v>
      </x:c>
    </x:row>
    <x:row r="4611" ht="44" customHeight="1">
      <x:c r="A4611" s="2" t="str">
        <x:v>PER</x:v>
      </x:c>
      <x:c r="B4611" s="2" t="str">
        <x:v>real_gdp</x:v>
      </x:c>
      <x:c r="C4611" s="2" t="n">
        <x:v>238266842609.231</x:v>
      </x:c>
      <x:c r="D4611" s="2" t="n">
        <x:v>2025</x:v>
      </x:c>
      <x:c r="E4611" s="2" t="str">
        <x:v>WB_real_gdp</x:v>
      </x:c>
      <x:c r="F4611" s="2" t="str">
        <x:v>GDP (constant 2015 US$)</x:v>
      </x:c>
    </x:row>
    <x:row r="4612" ht="44" customHeight="1">
      <x:c r="A4612" s="2" t="str">
        <x:v>PER</x:v>
      </x:c>
      <x:c r="B4612" s="2" t="str">
        <x:v>gdp_growth</x:v>
      </x:c>
      <x:c r="C4612" s="2" t="n">
        <x:v>3.43056395124466</x:v>
      </x:c>
      <x:c r="D4612" s="2" t="n">
        <x:v>2025</x:v>
      </x:c>
      <x:c r="E4612" s="2" t="str">
        <x:v>WB_gdp_growth</x:v>
      </x:c>
      <x:c r="F4612" s="2" t="str">
        <x:v>GDP growth (annual %)</x:v>
      </x:c>
    </x:row>
    <x:row r="4613" ht="44" customHeight="1">
      <x:c r="A4613" s="2" t="str">
        <x:v>PER</x:v>
      </x:c>
      <x:c r="B4613" s="2" t="str">
        <x:v>real_income</x:v>
      </x:c>
      <x:c r="C4613" s="2" t="n">
        <x:v>6890.97235402058</x:v>
      </x:c>
      <x:c r="D4613" s="2" t="n">
        <x:v>2025</x:v>
      </x:c>
      <x:c r="E4613" s="2" t="str">
        <x:v>WB_real_income</x:v>
      </x:c>
      <x:c r="F4613" s="2" t="str">
        <x:v>GDP per capita (constant 2015 US$)</x:v>
      </x:c>
    </x:row>
    <x:row r="4614" ht="44" customHeight="1">
      <x:c r="A4614" s="2" t="str">
        <x:v>PER</x:v>
      </x:c>
      <x:c r="B4614" s="2" t="str">
        <x:v>agriculture_gdp</x:v>
      </x:c>
      <x:c r="C4614" s="2" t="n">
        <x:v>7.47121084291146</x:v>
      </x:c>
      <x:c r="D4614" s="2" t="n">
        <x:v>2024</x:v>
      </x:c>
      <x:c r="E4614" s="2" t="str">
        <x:v>WB_agriculture_gdp</x:v>
      </x:c>
      <x:c r="F4614" s="2" t="str">
        <x:v>Agriculture, forestry, and fishing, value added (% of GDP)</x:v>
      </x:c>
    </x:row>
    <x:row r="4615" ht="44" customHeight="1">
      <x:c r="A4615" s="2" t="str">
        <x:v>PER</x:v>
      </x:c>
      <x:c r="B4615" s="2" t="str">
        <x:v>poverty</x:v>
      </x:c>
      <x:c r="C4615" s="2" t="n">
        <x:v>5.1</x:v>
      </x:c>
      <x:c r="D4615" s="2" t="n">
        <x:v>2024</x:v>
      </x:c>
      <x:c r="E4615" s="2" t="str">
        <x:v>WB_poverty</x:v>
      </x:c>
      <x:c r="F4615" s="2" t="str">
        <x:v>Poverty headcount ratio at $3.00 a day (2021 PPP) (% of population)</x:v>
      </x:c>
    </x:row>
    <x:row r="4616" ht="44" customHeight="1">
      <x:c r="A4616" s="2" t="str">
        <x:v>PER</x:v>
      </x:c>
      <x:c r="B4616" s="2" t="str">
        <x:v>gini</x:v>
      </x:c>
      <x:c r="C4616" s="2" t="n">
        <x:v>40.1</x:v>
      </x:c>
      <x:c r="D4616" s="2" t="n">
        <x:v>2024</x:v>
      </x:c>
      <x:c r="E4616" s="2" t="str">
        <x:v>WB_gini</x:v>
      </x:c>
      <x:c r="F4616" s="2" t="str">
        <x:v>Gini index</x:v>
      </x:c>
    </x:row>
    <x:row r="4617" ht="44" customHeight="1">
      <x:c r="A4617" s="2" t="str">
        <x:v>PER</x:v>
      </x:c>
      <x:c r="B4617" s="2" t="str">
        <x:v>unemployment</x:v>
      </x:c>
      <x:c r="C4617" s="2" t="n">
        <x:v>5.117</x:v>
      </x:c>
      <x:c r="D4617" s="2" t="n">
        <x:v>2025</x:v>
      </x:c>
      <x:c r="E4617" s="2" t="str">
        <x:v>WB_unemployment</x:v>
      </x:c>
      <x:c r="F4617" s="2" t="str">
        <x:v>Unemployment, total (% of total labor force) (modeled ILO estimate)</x:v>
      </x:c>
    </x:row>
    <x:row r="4618" ht="44" customHeight="1">
      <x:c r="A4618" s="2" t="str">
        <x:v>PER</x:v>
      </x:c>
      <x:c r="B4618" s="2" t="str">
        <x:v>private_credit</x:v>
      </x:c>
      <x:c r="C4618" s="2" t="n">
        <x:v>39.6187196270943</x:v>
      </x:c>
      <x:c r="D4618" s="2" t="n">
        <x:v>2024</x:v>
      </x:c>
      <x:c r="E4618" s="2" t="str">
        <x:v>WB_private_credit</x:v>
      </x:c>
      <x:c r="F4618" s="2" t="str">
        <x:v>Domestic credit to private sector (% of GDP)</x:v>
      </x:c>
    </x:row>
    <x:row r="4619" ht="44" customHeight="1">
      <x:c r="A4619" s="2" t="str">
        <x:v>PER</x:v>
      </x:c>
      <x:c r="B4619" s="2" t="str">
        <x:v>lending_rate</x:v>
      </x:c>
      <x:c r="C4619" s="2" t="n">
        <x:v>12.5972583333333</x:v>
      </x:c>
      <x:c r="D4619" s="2" t="n">
        <x:v>2022</x:v>
      </x:c>
      <x:c r="E4619" s="2" t="str">
        <x:v>WB_lending_rate</x:v>
      </x:c>
      <x:c r="F4619" s="2" t="str">
        <x:v>Lending interest rate (%)</x:v>
      </x:c>
    </x:row>
    <x:row r="4620" ht="44" customHeight="1">
      <x:c r="A4620" s="2" t="str">
        <x:v>PER</x:v>
      </x:c>
      <x:c r="B4620" s="2" t="str">
        <x:v>real_interest</x:v>
      </x:c>
      <x:c r="C4620" s="2" t="n">
        <x:v>7.73550726222228</x:v>
      </x:c>
      <x:c r="D4620" s="2" t="n">
        <x:v>2022</x:v>
      </x:c>
      <x:c r="E4620" s="2" t="str">
        <x:v>WB_real_interest</x:v>
      </x:c>
      <x:c r="F4620" s="2" t="str">
        <x:v>Real interest rate (%)</x:v>
      </x:c>
    </x:row>
    <x:row r="4621" ht="44" customHeight="1">
      <x:c r="A4621" s="2" t="str">
        <x:v>PER</x:v>
      </x:c>
      <x:c r="B4621" s="2" t="str">
        <x:v>government_debt</x:v>
      </x:c>
      <x:c r="C4621" s="2" t="n">
        <x:v>35.237190374692</x:v>
      </x:c>
      <x:c r="D4621" s="2" t="n">
        <x:v>2021</x:v>
      </x:c>
      <x:c r="E4621" s="2" t="str">
        <x:v>WB_government_debt</x:v>
      </x:c>
      <x:c r="F4621" s="2" t="str">
        <x:v>Central government debt, total (% of GDP)</x:v>
      </x:c>
    </x:row>
    <x:row r="4622" ht="44" customHeight="1">
      <x:c r="A4622" s="2" t="str">
        <x:v>PER</x:v>
      </x:c>
      <x:c r="B4622" s="2" t="str">
        <x:v>electricity_access</x:v>
      </x:c>
      <x:c r="C4622" s="2" t="n">
        <x:v>96.5</x:v>
      </x:c>
      <x:c r="D4622" s="2" t="n">
        <x:v>2024</x:v>
      </x:c>
      <x:c r="E4622" s="2" t="str">
        <x:v>WB_electricity_access</x:v>
      </x:c>
      <x:c r="F4622" s="2" t="str">
        <x:v>Access to electricity (% of population)</x:v>
      </x:c>
    </x:row>
    <x:row r="4623" ht="44" customHeight="1">
      <x:c r="A4623" s="2" t="str">
        <x:v>PER</x:v>
      </x:c>
      <x:c r="B4623" s="2" t="str">
        <x:v>irrigated_land</x:v>
      </x:c>
      <x:c r="C4623" s="2"/>
      <x:c r="D4623" s="2"/>
      <x:c r="E4623" s="2" t="str">
        <x:v>Missing</x:v>
      </x:c>
      <x:c r="F4623" s="2" t="str">
        <x:v>Agricultural irrigated land (% of total agricultural land)</x:v>
      </x:c>
    </x:row>
    <x:row r="4624" ht="44" customHeight="1">
      <x:c r="A4624" s="2" t="str">
        <x:v>PER</x:v>
      </x:c>
      <x:c r="B4624" s="2" t="str">
        <x:v>cereal_area</x:v>
      </x:c>
      <x:c r="C4624" s="2" t="n">
        <x:v>1221107</x:v>
      </x:c>
      <x:c r="D4624" s="2" t="n">
        <x:v>2024</x:v>
      </x:c>
      <x:c r="E4624" s="2" t="str">
        <x:v>WB_cereal_area</x:v>
      </x:c>
      <x:c r="F4624" s="2" t="str">
        <x:v>Land under cereal production (hectares)</x:v>
      </x:c>
    </x:row>
    <x:row r="4625" ht="44" customHeight="1">
      <x:c r="A4625" s="2" t="str">
        <x:v>PER</x:v>
      </x:c>
      <x:c r="B4625" s="2" t="str">
        <x:v>undernourishment</x:v>
      </x:c>
      <x:c r="C4625" s="2" t="n">
        <x:v>6.9</x:v>
      </x:c>
      <x:c r="D4625" s="2" t="n">
        <x:v>2023</x:v>
      </x:c>
      <x:c r="E4625" s="2" t="str">
        <x:v>WB_undernourishment</x:v>
      </x:c>
      <x:c r="F4625" s="2" t="str">
        <x:v>Prevalence of undernourishment (% of population)</x:v>
      </x:c>
    </x:row>
    <x:row r="4626" ht="44" customHeight="1">
      <x:c r="A4626" s="2" t="str">
        <x:v>PER</x:v>
      </x:c>
      <x:c r="B4626" s="2" t="str">
        <x:v>agriculture_employment</x:v>
      </x:c>
      <x:c r="C4626" s="2" t="n">
        <x:v>23.1345727852088</x:v>
      </x:c>
      <x:c r="D4626" s="2" t="n">
        <x:v>2025</x:v>
      </x:c>
      <x:c r="E4626" s="2" t="str">
        <x:v>WB_agriculture_employment</x:v>
      </x:c>
      <x:c r="F4626" s="2" t="str">
        <x:v>Employment in agriculture (% of total employment) (modeled ILO estimate)</x:v>
      </x:c>
    </x:row>
    <x:row r="4627" ht="44" customHeight="1">
      <x:c r="A4627" s="2" t="str">
        <x:v>PER</x:v>
      </x:c>
      <x:c r="B4627" s="2" t="str">
        <x:v>water_withdrawal</x:v>
      </x:c>
      <x:c r="C4627" s="2" t="n">
        <x:v>1.57946374162096</x:v>
      </x:c>
      <x:c r="D4627" s="2" t="n">
        <x:v>2022</x:v>
      </x:c>
      <x:c r="E4627" s="2" t="str">
        <x:v>WB_water_withdrawal</x:v>
      </x:c>
      <x:c r="F4627" s="2" t="str">
        <x:v>Annual freshwater withdrawals, total (% of internal resources)</x:v>
      </x:c>
    </x:row>
    <x:row r="4628" ht="44" customHeight="1">
      <x:c r="A4628" s="2" t="str">
        <x:v>PHL</x:v>
      </x:c>
      <x:c r="B4628" s="2" t="str">
        <x:v>population</x:v>
      </x:c>
      <x:c r="C4628" s="2" t="n">
        <x:v>116786962</x:v>
      </x:c>
      <x:c r="D4628" s="2" t="n">
        <x:v>2025</x:v>
      </x:c>
      <x:c r="E4628" s="2" t="str">
        <x:v>WB_population</x:v>
      </x:c>
      <x:c r="F4628" s="2" t="str">
        <x:v>Population, total</x:v>
      </x:c>
    </x:row>
    <x:row r="4629" ht="44" customHeight="1">
      <x:c r="A4629" s="2" t="str">
        <x:v>PHL</x:v>
      </x:c>
      <x:c r="B4629" s="2" t="str">
        <x:v>income_ppp</x:v>
      </x:c>
      <x:c r="C4629" s="2" t="n">
        <x:v>10747.5454408601</x:v>
      </x:c>
      <x:c r="D4629" s="2" t="n">
        <x:v>2025</x:v>
      </x:c>
      <x:c r="E4629" s="2" t="str">
        <x:v>WB_income_ppp</x:v>
      </x:c>
      <x:c r="F4629" s="2" t="str">
        <x:v>GDP per capita, PPP (constant 2021 international $)</x:v>
      </x:c>
    </x:row>
    <x:row r="4630" ht="44" customHeight="1">
      <x:c r="A4630" s="2" t="str">
        <x:v>PHL</x:v>
      </x:c>
      <x:c r="B4630" s="2" t="str">
        <x:v>urban</x:v>
      </x:c>
      <x:c r="C4630" s="2" t="n">
        <x:v>55.7732907605332</x:v>
      </x:c>
      <x:c r="D4630" s="2" t="n">
        <x:v>2025</x:v>
      </x:c>
      <x:c r="E4630" s="2" t="str">
        <x:v>WB_urban</x:v>
      </x:c>
      <x:c r="F4630" s="2" t="str">
        <x:v>Urban population (% of total population)</x:v>
      </x:c>
    </x:row>
    <x:row r="4631" ht="44" customHeight="1">
      <x:c r="A4631" s="2" t="str">
        <x:v>PHL</x:v>
      </x:c>
      <x:c r="B4631" s="2" t="str">
        <x:v>inflation</x:v>
      </x:c>
      <x:c r="C4631" s="2" t="n">
        <x:v>1.6587364525509</x:v>
      </x:c>
      <x:c r="D4631" s="2" t="n">
        <x:v>2025</x:v>
      </x:c>
      <x:c r="E4631" s="2" t="str">
        <x:v>WB_inflation</x:v>
      </x:c>
      <x:c r="F4631" s="2" t="str">
        <x:v>Inflation, consumer prices (annual %)</x:v>
      </x:c>
    </x:row>
    <x:row r="4632" ht="44" customHeight="1">
      <x:c r="A4632" s="2" t="str">
        <x:v>PHL</x:v>
      </x:c>
      <x:c r="B4632" s="2" t="str">
        <x:v>food_index</x:v>
      </x:c>
      <x:c r="C4632" s="2" t="n">
        <x:v>100.51</x:v>
      </x:c>
      <x:c r="D4632" s="2" t="n">
        <x:v>2022</x:v>
      </x:c>
      <x:c r="E4632" s="2" t="str">
        <x:v>WB_food_index</x:v>
      </x:c>
      <x:c r="F4632" s="2" t="str">
        <x:v>Food production index (2014-2016 = 100)</x:v>
      </x:c>
    </x:row>
    <x:row r="4633" ht="44" customHeight="1">
      <x:c r="A4633" s="2" t="str">
        <x:v>PHL</x:v>
      </x:c>
      <x:c r="B4633" s="2" t="str">
        <x:v>food_import_share</x:v>
      </x:c>
      <x:c r="C4633" s="2" t="n">
        <x:v>15.0094964266521</x:v>
      </x:c>
      <x:c r="D4633" s="2" t="n">
        <x:v>2024</x:v>
      </x:c>
      <x:c r="E4633" s="2" t="str">
        <x:v>WB_food_import_share</x:v>
      </x:c>
      <x:c r="F4633" s="2" t="str">
        <x:v>Food imports (% of merchandise imports)</x:v>
      </x:c>
    </x:row>
    <x:row r="4634" ht="44" customHeight="1">
      <x:c r="A4634" s="2" t="str">
        <x:v>PHL</x:v>
      </x:c>
      <x:c r="B4634" s="2" t="str">
        <x:v>food_export_share</x:v>
      </x:c>
      <x:c r="C4634" s="2" t="n">
        <x:v>10.4099228645121</x:v>
      </x:c>
      <x:c r="D4634" s="2" t="n">
        <x:v>2024</x:v>
      </x:c>
      <x:c r="E4634" s="2" t="str">
        <x:v>WB_food_export_share</x:v>
      </x:c>
      <x:c r="F4634" s="2" t="str">
        <x:v>Food exports (% of merchandise exports)</x:v>
      </x:c>
    </x:row>
    <x:row r="4635" ht="44" customHeight="1">
      <x:c r="A4635" s="2" t="str">
        <x:v>PHL</x:v>
      </x:c>
      <x:c r="B4635" s="2" t="str">
        <x:v>imports_usd</x:v>
      </x:c>
      <x:c r="C4635" s="2" t="n">
        <x:v>141196000000</x:v>
      </x:c>
      <x:c r="D4635" s="2" t="n">
        <x:v>2025</x:v>
      </x:c>
      <x:c r="E4635" s="2" t="str">
        <x:v>WB_imports_usd</x:v>
      </x:c>
      <x:c r="F4635" s="2" t="str">
        <x:v>Merchandise imports (current US$)</x:v>
      </x:c>
    </x:row>
    <x:row r="4636" ht="44" customHeight="1">
      <x:c r="A4636" s="2" t="str">
        <x:v>PHL</x:v>
      </x:c>
      <x:c r="B4636" s="2" t="str">
        <x:v>exports_usd</x:v>
      </x:c>
      <x:c r="C4636" s="2" t="n">
        <x:v>83723000000</x:v>
      </x:c>
      <x:c r="D4636" s="2" t="n">
        <x:v>2025</x:v>
      </x:c>
      <x:c r="E4636" s="2" t="str">
        <x:v>WB_exports_usd</x:v>
      </x:c>
      <x:c r="F4636" s="2" t="str">
        <x:v>Merchandise exports (current US$)</x:v>
      </x:c>
    </x:row>
    <x:row r="4637" ht="44" customHeight="1">
      <x:c r="A4637" s="2" t="str">
        <x:v>PHL</x:v>
      </x:c>
      <x:c r="B4637" s="2" t="str">
        <x:v>cereal_yield</x:v>
      </x:c>
      <x:c r="C4637" s="2" t="n">
        <x:v>3869.2</x:v>
      </x:c>
      <x:c r="D4637" s="2" t="n">
        <x:v>2023</x:v>
      </x:c>
      <x:c r="E4637" s="2" t="str">
        <x:v>WB_cereal_yield</x:v>
      </x:c>
      <x:c r="F4637" s="2" t="str">
        <x:v>Cereal yield (kg per hectare)</x:v>
      </x:c>
    </x:row>
    <x:row r="4638" ht="44" customHeight="1">
      <x:c r="A4638" s="2" t="str">
        <x:v>PHL</x:v>
      </x:c>
      <x:c r="B4638" s="2" t="str">
        <x:v>water_stress</x:v>
      </x:c>
      <x:c r="C4638" s="2" t="n">
        <x:v>27.83151711</x:v>
      </x:c>
      <x:c r="D4638" s="2" t="n">
        <x:v>2022</x:v>
      </x:c>
      <x:c r="E4638" s="2" t="str">
        <x:v>WB_water_stress</x:v>
      </x:c>
      <x:c r="F4638" s="2" t="str">
        <x:v>Level of water stress: freshwater withdrawal as a proportion of available freshwater resources</x:v>
      </x:c>
    </x:row>
    <x:row r="4639" ht="44" customHeight="1">
      <x:c r="A4639" s="2" t="str">
        <x:v>PHL</x:v>
      </x:c>
      <x:c r="B4639" s="2" t="str">
        <x:v>fertility</x:v>
      </x:c>
      <x:c r="C4639" s="2" t="n">
        <x:v>1.894</x:v>
      </x:c>
      <x:c r="D4639" s="2" t="n">
        <x:v>2024</x:v>
      </x:c>
      <x:c r="E4639" s="2" t="str">
        <x:v>WB_fertility</x:v>
      </x:c>
      <x:c r="F4639" s="2" t="str">
        <x:v>Fertility rate, total (births per woman)</x:v>
      </x:c>
    </x:row>
    <x:row r="4640" ht="44" customHeight="1">
      <x:c r="A4640" s="2" t="str">
        <x:v>PHL</x:v>
      </x:c>
      <x:c r="B4640" s="2" t="str">
        <x:v>life_expectancy</x:v>
      </x:c>
      <x:c r="C4640" s="2" t="n">
        <x:v>69.946</x:v>
      </x:c>
      <x:c r="D4640" s="2" t="n">
        <x:v>2024</x:v>
      </x:c>
      <x:c r="E4640" s="2" t="str">
        <x:v>WB_life_expectancy</x:v>
      </x:c>
      <x:c r="F4640" s="2" t="str">
        <x:v>Life expectancy at birth, total (years)</x:v>
      </x:c>
    </x:row>
    <x:row r="4641" ht="44" customHeight="1">
      <x:c r="A4641" s="2" t="str">
        <x:v>PHL</x:v>
      </x:c>
      <x:c r="B4641" s="2" t="str">
        <x:v>age_under15</x:v>
      </x:c>
      <x:c r="C4641" s="2" t="n">
        <x:v>27.1388610693595</x:v>
      </x:c>
      <x:c r="D4641" s="2" t="n">
        <x:v>2025</x:v>
      </x:c>
      <x:c r="E4641" s="2" t="str">
        <x:v>WB_age_under15</x:v>
      </x:c>
      <x:c r="F4641" s="2" t="str">
        <x:v>Population ages 0-14 (% of total population)</x:v>
      </x:c>
    </x:row>
    <x:row r="4642" ht="44" customHeight="1">
      <x:c r="A4642" s="2" t="str">
        <x:v>PHL</x:v>
      </x:c>
      <x:c r="B4642" s="2" t="str">
        <x:v>age_over65</x:v>
      </x:c>
      <x:c r="C4642" s="2" t="n">
        <x:v>5.72400622201301</x:v>
      </x:c>
      <x:c r="D4642" s="2" t="n">
        <x:v>2025</x:v>
      </x:c>
      <x:c r="E4642" s="2" t="str">
        <x:v>WB_age_over65</x:v>
      </x:c>
      <x:c r="F4642" s="2" t="str">
        <x:v>Population ages 65 and above (% of total population)</x:v>
      </x:c>
    </x:row>
    <x:row r="4643" ht="44" customHeight="1">
      <x:c r="A4643" s="2" t="str">
        <x:v>PHL</x:v>
      </x:c>
      <x:c r="B4643" s="2" t="str">
        <x:v>dependency_ratio</x:v>
      </x:c>
      <x:c r="C4643" s="2" t="n">
        <x:v>48.9488685879186</x:v>
      </x:c>
      <x:c r="D4643" s="2" t="n">
        <x:v>2025</x:v>
      </x:c>
      <x:c r="E4643" s="2" t="str">
        <x:v>WB_dependency_ratio</x:v>
      </x:c>
      <x:c r="F4643" s="2" t="str">
        <x:v>Age dependency ratio (% of working-age population)</x:v>
      </x:c>
    </x:row>
    <x:row r="4644" ht="44" customHeight="1">
      <x:c r="A4644" s="2" t="str">
        <x:v>PHL</x:v>
      </x:c>
      <x:c r="B4644" s="2" t="str">
        <x:v>net_migration</x:v>
      </x:c>
      <x:c r="C4644" s="2" t="n">
        <x:v>-149315</x:v>
      </x:c>
      <x:c r="D4644" s="2" t="n">
        <x:v>2025</x:v>
      </x:c>
      <x:c r="E4644" s="2" t="str">
        <x:v>WB_net_migration</x:v>
      </x:c>
      <x:c r="F4644" s="2" t="str">
        <x:v>Net migration</x:v>
      </x:c>
    </x:row>
    <x:row r="4645" ht="44" customHeight="1">
      <x:c r="A4645" s="2" t="str">
        <x:v>PHL</x:v>
      </x:c>
      <x:c r="B4645" s="2" t="str">
        <x:v>real_gdp</x:v>
      </x:c>
      <x:c r="C4645" s="2" t="n">
        <x:v>474842491496.932</x:v>
      </x:c>
      <x:c r="D4645" s="2" t="n">
        <x:v>2025</x:v>
      </x:c>
      <x:c r="E4645" s="2" t="str">
        <x:v>WB_real_gdp</x:v>
      </x:c>
      <x:c r="F4645" s="2" t="str">
        <x:v>GDP (constant 2015 US$)</x:v>
      </x:c>
    </x:row>
    <x:row r="4646" ht="44" customHeight="1">
      <x:c r="A4646" s="2" t="str">
        <x:v>PHL</x:v>
      </x:c>
      <x:c r="B4646" s="2" t="str">
        <x:v>gdp_growth</x:v>
      </x:c>
      <x:c r="C4646" s="2" t="n">
        <x:v>4.40240158710621</x:v>
      </x:c>
      <x:c r="D4646" s="2" t="n">
        <x:v>2025</x:v>
      </x:c>
      <x:c r="E4646" s="2" t="str">
        <x:v>WB_gdp_growth</x:v>
      </x:c>
      <x:c r="F4646" s="2" t="str">
        <x:v>GDP growth (annual %)</x:v>
      </x:c>
    </x:row>
    <x:row r="4647" ht="44" customHeight="1">
      <x:c r="A4647" s="2" t="str">
        <x:v>PHL</x:v>
      </x:c>
      <x:c r="B4647" s="2" t="str">
        <x:v>real_income</x:v>
      </x:c>
      <x:c r="C4647" s="2" t="n">
        <x:v>4065.88615171728</x:v>
      </x:c>
      <x:c r="D4647" s="2" t="n">
        <x:v>2025</x:v>
      </x:c>
      <x:c r="E4647" s="2" t="str">
        <x:v>WB_real_income</x:v>
      </x:c>
      <x:c r="F4647" s="2" t="str">
        <x:v>GDP per capita (constant 2015 US$)</x:v>
      </x:c>
    </x:row>
    <x:row r="4648" ht="44" customHeight="1">
      <x:c r="A4648" s="2" t="str">
        <x:v>PHL</x:v>
      </x:c>
      <x:c r="B4648" s="2" t="str">
        <x:v>agriculture_gdp</x:v>
      </x:c>
      <x:c r="C4648" s="2" t="n">
        <x:v>8.5917098442669</x:v>
      </x:c>
      <x:c r="D4648" s="2" t="n">
        <x:v>2025</x:v>
      </x:c>
      <x:c r="E4648" s="2" t="str">
        <x:v>WB_agriculture_gdp</x:v>
      </x:c>
      <x:c r="F4648" s="2" t="str">
        <x:v>Agriculture, forestry, and fishing, value added (% of GDP)</x:v>
      </x:c>
    </x:row>
    <x:row r="4649" ht="44" customHeight="1">
      <x:c r="A4649" s="2" t="str">
        <x:v>PHL</x:v>
      </x:c>
      <x:c r="B4649" s="2" t="str">
        <x:v>poverty</x:v>
      </x:c>
      <x:c r="C4649" s="2" t="n">
        <x:v>5.3</x:v>
      </x:c>
      <x:c r="D4649" s="2" t="n">
        <x:v>2023</x:v>
      </x:c>
      <x:c r="E4649" s="2" t="str">
        <x:v>WB_poverty</x:v>
      </x:c>
      <x:c r="F4649" s="2" t="str">
        <x:v>Poverty headcount ratio at $3.00 a day (2021 PPP) (% of population)</x:v>
      </x:c>
    </x:row>
    <x:row r="4650" ht="44" customHeight="1">
      <x:c r="A4650" s="2" t="str">
        <x:v>PHL</x:v>
      </x:c>
      <x:c r="B4650" s="2" t="str">
        <x:v>gini</x:v>
      </x:c>
      <x:c r="C4650" s="2" t="n">
        <x:v>39.3</x:v>
      </x:c>
      <x:c r="D4650" s="2" t="n">
        <x:v>2023</x:v>
      </x:c>
      <x:c r="E4650" s="2" t="str">
        <x:v>WB_gini</x:v>
      </x:c>
      <x:c r="F4650" s="2" t="str">
        <x:v>Gini index</x:v>
      </x:c>
    </x:row>
    <x:row r="4651" ht="44" customHeight="1">
      <x:c r="A4651" s="2" t="str">
        <x:v>PHL</x:v>
      </x:c>
      <x:c r="B4651" s="2" t="str">
        <x:v>unemployment</x:v>
      </x:c>
      <x:c r="C4651" s="2" t="n">
        <x:v>2.235</x:v>
      </x:c>
      <x:c r="D4651" s="2" t="n">
        <x:v>2025</x:v>
      </x:c>
      <x:c r="E4651" s="2" t="str">
        <x:v>WB_unemployment</x:v>
      </x:c>
      <x:c r="F4651" s="2" t="str">
        <x:v>Unemployment, total (% of total labor force) (modeled ILO estimate)</x:v>
      </x:c>
    </x:row>
    <x:row r="4652" ht="44" customHeight="1">
      <x:c r="A4652" s="2" t="str">
        <x:v>PHL</x:v>
      </x:c>
      <x:c r="B4652" s="2" t="str">
        <x:v>private_credit</x:v>
      </x:c>
      <x:c r="C4652" s="2" t="n">
        <x:v>52.1093952249199</x:v>
      </x:c>
      <x:c r="D4652" s="2" t="n">
        <x:v>2025</x:v>
      </x:c>
      <x:c r="E4652" s="2" t="str">
        <x:v>WB_private_credit</x:v>
      </x:c>
      <x:c r="F4652" s="2" t="str">
        <x:v>Domestic credit to private sector (% of GDP)</x:v>
      </x:c>
    </x:row>
    <x:row r="4653" ht="44" customHeight="1">
      <x:c r="A4653" s="2" t="str">
        <x:v>PHL</x:v>
      </x:c>
      <x:c r="B4653" s="2" t="str">
        <x:v>lending_rate</x:v>
      </x:c>
      <x:c r="C4653" s="2" t="n">
        <x:v>7.09583333333333</x:v>
      </x:c>
      <x:c r="D4653" s="2" t="n">
        <x:v>2019</x:v>
      </x:c>
      <x:c r="E4653" s="2" t="str">
        <x:v>WB_lending_rate</x:v>
      </x:c>
      <x:c r="F4653" s="2" t="str">
        <x:v>Lending interest rate (%)</x:v>
      </x:c>
    </x:row>
    <x:row r="4654" ht="44" customHeight="1">
      <x:c r="A4654" s="2" t="str">
        <x:v>PHL</x:v>
      </x:c>
      <x:c r="B4654" s="2" t="str">
        <x:v>real_interest</x:v>
      </x:c>
      <x:c r="C4654" s="2" t="n">
        <x:v>6.35446159033897</x:v>
      </x:c>
      <x:c r="D4654" s="2" t="n">
        <x:v>2019</x:v>
      </x:c>
      <x:c r="E4654" s="2" t="str">
        <x:v>WB_real_interest</x:v>
      </x:c>
      <x:c r="F4654" s="2" t="str">
        <x:v>Real interest rate (%)</x:v>
      </x:c>
    </x:row>
    <x:row r="4655" ht="44" customHeight="1">
      <x:c r="A4655" s="2" t="str">
        <x:v>PHL</x:v>
      </x:c>
      <x:c r="B4655" s="2" t="str">
        <x:v>government_debt</x:v>
      </x:c>
      <x:c r="C4655" s="2" t="n">
        <x:v>43.426338941462</x:v>
      </x:c>
      <x:c r="D4655" s="2" t="n">
        <x:v>2014</x:v>
      </x:c>
      <x:c r="E4655" s="2" t="str">
        <x:v>WB_government_debt</x:v>
      </x:c>
      <x:c r="F4655" s="2" t="str">
        <x:v>Central government debt, total (% of GDP)</x:v>
      </x:c>
    </x:row>
    <x:row r="4656" ht="44" customHeight="1">
      <x:c r="A4656" s="2" t="str">
        <x:v>PHL</x:v>
      </x:c>
      <x:c r="B4656" s="2" t="str">
        <x:v>electricity_access</x:v>
      </x:c>
      <x:c r="C4656" s="2" t="n">
        <x:v>94.8</x:v>
      </x:c>
      <x:c r="D4656" s="2" t="n">
        <x:v>2024</x:v>
      </x:c>
      <x:c r="E4656" s="2" t="str">
        <x:v>WB_electricity_access</x:v>
      </x:c>
      <x:c r="F4656" s="2" t="str">
        <x:v>Access to electricity (% of population)</x:v>
      </x:c>
    </x:row>
    <x:row r="4657" ht="44" customHeight="1">
      <x:c r="A4657" s="2" t="str">
        <x:v>PHL</x:v>
      </x:c>
      <x:c r="B4657" s="2" t="str">
        <x:v>irrigated_land</x:v>
      </x:c>
      <x:c r="C4657" s="2" t="n">
        <x:v>9.26590538336052</x:v>
      </x:c>
      <x:c r="D4657" s="2" t="n">
        <x:v>2011</x:v>
      </x:c>
      <x:c r="E4657" s="2" t="str">
        <x:v>WB_irrigated_land</x:v>
      </x:c>
      <x:c r="F4657" s="2" t="str">
        <x:v>Agricultural irrigated land (% of total agricultural land)</x:v>
      </x:c>
    </x:row>
    <x:row r="4658" ht="44" customHeight="1">
      <x:c r="A4658" s="2" t="str">
        <x:v>PHL</x:v>
      </x:c>
      <x:c r="B4658" s="2" t="str">
        <x:v>cereal_area</x:v>
      </x:c>
      <x:c r="C4658" s="2" t="n">
        <x:v>7356944</x:v>
      </x:c>
      <x:c r="D4658" s="2" t="n">
        <x:v>2023</x:v>
      </x:c>
      <x:c r="E4658" s="2" t="str">
        <x:v>WB_cereal_area</x:v>
      </x:c>
      <x:c r="F4658" s="2" t="str">
        <x:v>Land under cereal production (hectares)</x:v>
      </x:c>
    </x:row>
    <x:row r="4659" ht="44" customHeight="1">
      <x:c r="A4659" s="2" t="str">
        <x:v>PHL</x:v>
      </x:c>
      <x:c r="B4659" s="2" t="str">
        <x:v>undernourishment</x:v>
      </x:c>
      <x:c r="C4659" s="2" t="n">
        <x:v>3</x:v>
      </x:c>
      <x:c r="D4659" s="2" t="n">
        <x:v>2023</x:v>
      </x:c>
      <x:c r="E4659" s="2" t="str">
        <x:v>WB_undernourishment</x:v>
      </x:c>
      <x:c r="F4659" s="2" t="str">
        <x:v>Prevalence of undernourishment (% of population)</x:v>
      </x:c>
    </x:row>
    <x:row r="4660" ht="44" customHeight="1">
      <x:c r="A4660" s="2" t="str">
        <x:v>PHL</x:v>
      </x:c>
      <x:c r="B4660" s="2" t="str">
        <x:v>agriculture_employment</x:v>
      </x:c>
      <x:c r="C4660" s="2" t="n">
        <x:v>20.4878884895503</x:v>
      </x:c>
      <x:c r="D4660" s="2" t="n">
        <x:v>2025</x:v>
      </x:c>
      <x:c r="E4660" s="2" t="str">
        <x:v>WB_agriculture_employment</x:v>
      </x:c>
      <x:c r="F4660" s="2" t="str">
        <x:v>Employment in agriculture (% of total employment) (modeled ILO estimate)</x:v>
      </x:c>
    </x:row>
    <x:row r="4661" ht="44" customHeight="1">
      <x:c r="A4661" s="2" t="str">
        <x:v>PHL</x:v>
      </x:c>
      <x:c r="B4661" s="2" t="str">
        <x:v>water_withdrawal</x:v>
      </x:c>
      <x:c r="C4661" s="2" t="n">
        <x:v>19.0056142943633</x:v>
      </x:c>
      <x:c r="D4661" s="2" t="n">
        <x:v>2022</x:v>
      </x:c>
      <x:c r="E4661" s="2" t="str">
        <x:v>WB_water_withdrawal</x:v>
      </x:c>
      <x:c r="F4661" s="2" t="str">
        <x:v>Annual freshwater withdrawals, total (% of internal resources)</x:v>
      </x:c>
    </x:row>
    <x:row r="4662" ht="44" customHeight="1">
      <x:c r="A4662" s="2" t="str">
        <x:v>POL</x:v>
      </x:c>
      <x:c r="B4662" s="2" t="str">
        <x:v>population</x:v>
      </x:c>
      <x:c r="C4662" s="2" t="n">
        <x:v>36435861</x:v>
      </x:c>
      <x:c r="D4662" s="2" t="n">
        <x:v>2025</x:v>
      </x:c>
      <x:c r="E4662" s="2" t="str">
        <x:v>WB_population</x:v>
      </x:c>
      <x:c r="F4662" s="2" t="str">
        <x:v>Population, total</x:v>
      </x:c>
    </x:row>
    <x:row r="4663" ht="44" customHeight="1">
      <x:c r="A4663" s="2" t="str">
        <x:v>POL</x:v>
      </x:c>
      <x:c r="B4663" s="2" t="str">
        <x:v>income_ppp</x:v>
      </x:c>
      <x:c r="C4663" s="2" t="n">
        <x:v>46924.5887897477</x:v>
      </x:c>
      <x:c r="D4663" s="2" t="n">
        <x:v>2025</x:v>
      </x:c>
      <x:c r="E4663" s="2" t="str">
        <x:v>WB_income_ppp</x:v>
      </x:c>
      <x:c r="F4663" s="2" t="str">
        <x:v>GDP per capita, PPP (constant 2021 international $)</x:v>
      </x:c>
    </x:row>
    <x:row r="4664" ht="44" customHeight="1">
      <x:c r="A4664" s="2" t="str">
        <x:v>POL</x:v>
      </x:c>
      <x:c r="B4664" s="2" t="str">
        <x:v>urban</x:v>
      </x:c>
      <x:c r="C4664" s="2" t="n">
        <x:v>60.0853330309371</x:v>
      </x:c>
      <x:c r="D4664" s="2" t="n">
        <x:v>2025</x:v>
      </x:c>
      <x:c r="E4664" s="2" t="str">
        <x:v>WB_urban</x:v>
      </x:c>
      <x:c r="F4664" s="2" t="str">
        <x:v>Urban population (% of total population)</x:v>
      </x:c>
    </x:row>
    <x:row r="4665" ht="44" customHeight="1">
      <x:c r="A4665" s="2" t="str">
        <x:v>POL</x:v>
      </x:c>
      <x:c r="B4665" s="2" t="str">
        <x:v>inflation</x:v>
      </x:c>
      <x:c r="C4665" s="2" t="n">
        <x:v>3.81419531520146</x:v>
      </x:c>
      <x:c r="D4665" s="2" t="n">
        <x:v>2025</x:v>
      </x:c>
      <x:c r="E4665" s="2" t="str">
        <x:v>WB_inflation</x:v>
      </x:c>
      <x:c r="F4665" s="2" t="str">
        <x:v>Inflation, consumer prices (annual %)</x:v>
      </x:c>
    </x:row>
    <x:row r="4666" ht="44" customHeight="1">
      <x:c r="A4666" s="2" t="str">
        <x:v>POL</x:v>
      </x:c>
      <x:c r="B4666" s="2" t="str">
        <x:v>food_index</x:v>
      </x:c>
      <x:c r="C4666" s="2" t="n">
        <x:v>111.71</x:v>
      </x:c>
      <x:c r="D4666" s="2" t="n">
        <x:v>2022</x:v>
      </x:c>
      <x:c r="E4666" s="2" t="str">
        <x:v>WB_food_index</x:v>
      </x:c>
      <x:c r="F4666" s="2" t="str">
        <x:v>Food production index (2014-2016 = 100)</x:v>
      </x:c>
    </x:row>
    <x:row r="4667" ht="44" customHeight="1">
      <x:c r="A4667" s="2" t="str">
        <x:v>POL</x:v>
      </x:c>
      <x:c r="B4667" s="2" t="str">
        <x:v>food_import_share</x:v>
      </x:c>
      <x:c r="C4667" s="2" t="n">
        <x:v>9.72212853327802</x:v>
      </x:c>
      <x:c r="D4667" s="2" t="n">
        <x:v>2024</x:v>
      </x:c>
      <x:c r="E4667" s="2" t="str">
        <x:v>WB_food_import_share</x:v>
      </x:c>
      <x:c r="F4667" s="2" t="str">
        <x:v>Food imports (% of merchandise imports)</x:v>
      </x:c>
    </x:row>
    <x:row r="4668" ht="44" customHeight="1">
      <x:c r="A4668" s="2" t="str">
        <x:v>POL</x:v>
      </x:c>
      <x:c r="B4668" s="2" t="str">
        <x:v>food_export_share</x:v>
      </x:c>
      <x:c r="C4668" s="2" t="n">
        <x:v>14.9160299629559</x:v>
      </x:c>
      <x:c r="D4668" s="2" t="n">
        <x:v>2024</x:v>
      </x:c>
      <x:c r="E4668" s="2" t="str">
        <x:v>WB_food_export_share</x:v>
      </x:c>
      <x:c r="F4668" s="2" t="str">
        <x:v>Food exports (% of merchandise exports)</x:v>
      </x:c>
    </x:row>
    <x:row r="4669" ht="44" customHeight="1">
      <x:c r="A4669" s="2" t="str">
        <x:v>POL</x:v>
      </x:c>
      <x:c r="B4669" s="2" t="str">
        <x:v>imports_usd</x:v>
      </x:c>
      <x:c r="C4669" s="2" t="n">
        <x:v>420914000000</x:v>
      </x:c>
      <x:c r="D4669" s="2" t="n">
        <x:v>2025</x:v>
      </x:c>
      <x:c r="E4669" s="2" t="str">
        <x:v>WB_imports_usd</x:v>
      </x:c>
      <x:c r="F4669" s="2" t="str">
        <x:v>Merchandise imports (current US$)</x:v>
      </x:c>
    </x:row>
    <x:row r="4670" ht="44" customHeight="1">
      <x:c r="A4670" s="2" t="str">
        <x:v>POL</x:v>
      </x:c>
      <x:c r="B4670" s="2" t="str">
        <x:v>exports_usd</x:v>
      </x:c>
      <x:c r="C4670" s="2" t="n">
        <x:v>413895000000</x:v>
      </x:c>
      <x:c r="D4670" s="2" t="n">
        <x:v>2025</x:v>
      </x:c>
      <x:c r="E4670" s="2" t="str">
        <x:v>WB_exports_usd</x:v>
      </x:c>
      <x:c r="F4670" s="2" t="str">
        <x:v>Merchandise exports (current US$)</x:v>
      </x:c>
    </x:row>
    <x:row r="4671" ht="44" customHeight="1">
      <x:c r="A4671" s="2" t="str">
        <x:v>POL</x:v>
      </x:c>
      <x:c r="B4671" s="2" t="str">
        <x:v>cereal_yield</x:v>
      </x:c>
      <x:c r="C4671" s="2" t="n">
        <x:v>4894.7</x:v>
      </x:c>
      <x:c r="D4671" s="2" t="n">
        <x:v>2023</x:v>
      </x:c>
      <x:c r="E4671" s="2" t="str">
        <x:v>WB_cereal_yield</x:v>
      </x:c>
      <x:c r="F4671" s="2" t="str">
        <x:v>Cereal yield (kg per hectare)</x:v>
      </x:c>
    </x:row>
    <x:row r="4672" ht="44" customHeight="1">
      <x:c r="A4672" s="2" t="str">
        <x:v>POL</x:v>
      </x:c>
      <x:c r="B4672" s="2" t="str">
        <x:v>water_stress</x:v>
      </x:c>
      <x:c r="C4672" s="2" t="n">
        <x:v>32.48528903</x:v>
      </x:c>
      <x:c r="D4672" s="2" t="n">
        <x:v>2022</x:v>
      </x:c>
      <x:c r="E4672" s="2" t="str">
        <x:v>WB_water_stress</x:v>
      </x:c>
      <x:c r="F4672" s="2" t="str">
        <x:v>Level of water stress: freshwater withdrawal as a proportion of available freshwater resources</x:v>
      </x:c>
    </x:row>
    <x:row r="4673" ht="44" customHeight="1">
      <x:c r="A4673" s="2" t="str">
        <x:v>POL</x:v>
      </x:c>
      <x:c r="B4673" s="2" t="str">
        <x:v>fertility</x:v>
      </x:c>
      <x:c r="C4673" s="2" t="n">
        <x:v>1.14</x:v>
      </x:c>
      <x:c r="D4673" s="2" t="n">
        <x:v>2024</x:v>
      </x:c>
      <x:c r="E4673" s="2" t="str">
        <x:v>WB_fertility</x:v>
      </x:c>
      <x:c r="F4673" s="2" t="str">
        <x:v>Fertility rate, total (births per woman)</x:v>
      </x:c>
    </x:row>
    <x:row r="4674" ht="44" customHeight="1">
      <x:c r="A4674" s="2" t="str">
        <x:v>POL</x:v>
      </x:c>
      <x:c r="B4674" s="2" t="str">
        <x:v>life_expectancy</x:v>
      </x:c>
      <x:c r="C4674" s="2" t="n">
        <x:v>78.409756097561</x:v>
      </x:c>
      <x:c r="D4674" s="2" t="n">
        <x:v>2024</x:v>
      </x:c>
      <x:c r="E4674" s="2" t="str">
        <x:v>WB_life_expectancy</x:v>
      </x:c>
      <x:c r="F4674" s="2" t="str">
        <x:v>Life expectancy at birth, total (years)</x:v>
      </x:c>
    </x:row>
    <x:row r="4675" ht="44" customHeight="1">
      <x:c r="A4675" s="2" t="str">
        <x:v>POL</x:v>
      </x:c>
      <x:c r="B4675" s="2" t="str">
        <x:v>age_under15</x:v>
      </x:c>
      <x:c r="C4675" s="2" t="n">
        <x:v>14.4603840660905</x:v>
      </x:c>
      <x:c r="D4675" s="2" t="n">
        <x:v>2025</x:v>
      </x:c>
      <x:c r="E4675" s="2" t="str">
        <x:v>WB_age_under15</x:v>
      </x:c>
      <x:c r="F4675" s="2" t="str">
        <x:v>Population ages 0-14 (% of total population)</x:v>
      </x:c>
    </x:row>
    <x:row r="4676" ht="44" customHeight="1">
      <x:c r="A4676" s="2" t="str">
        <x:v>POL</x:v>
      </x:c>
      <x:c r="B4676" s="2" t="str">
        <x:v>age_over65</x:v>
      </x:c>
      <x:c r="C4676" s="2" t="n">
        <x:v>20.75382733073</x:v>
      </x:c>
      <x:c r="D4676" s="2" t="n">
        <x:v>2025</x:v>
      </x:c>
      <x:c r="E4676" s="2" t="str">
        <x:v>WB_age_over65</x:v>
      </x:c>
      <x:c r="F4676" s="2" t="str">
        <x:v>Population ages 65 and above (% of total population)</x:v>
      </x:c>
    </x:row>
    <x:row r="4677" ht="44" customHeight="1">
      <x:c r="A4677" s="2" t="str">
        <x:v>POL</x:v>
      </x:c>
      <x:c r="B4677" s="2" t="str">
        <x:v>dependency_ratio</x:v>
      </x:c>
      <x:c r="C4677" s="2" t="n">
        <x:v>54.3548387096774</x:v>
      </x:c>
      <x:c r="D4677" s="2" t="n">
        <x:v>2025</x:v>
      </x:c>
      <x:c r="E4677" s="2" t="str">
        <x:v>WB_dependency_ratio</x:v>
      </x:c>
      <x:c r="F4677" s="2" t="str">
        <x:v>Age dependency ratio (% of working-age population)</x:v>
      </x:c>
    </x:row>
    <x:row r="4678" ht="44" customHeight="1">
      <x:c r="A4678" s="2" t="str">
        <x:v>POL</x:v>
      </x:c>
      <x:c r="B4678" s="2" t="str">
        <x:v>net_migration</x:v>
      </x:c>
      <x:c r="C4678" s="2" t="n">
        <x:v>-330820</x:v>
      </x:c>
      <x:c r="D4678" s="2" t="n">
        <x:v>2025</x:v>
      </x:c>
      <x:c r="E4678" s="2" t="str">
        <x:v>WB_net_migration</x:v>
      </x:c>
      <x:c r="F4678" s="2" t="str">
        <x:v>Net migration</x:v>
      </x:c>
    </x:row>
    <x:row r="4679" ht="44" customHeight="1">
      <x:c r="A4679" s="2" t="str">
        <x:v>POL</x:v>
      </x:c>
      <x:c r="B4679" s="2" t="str">
        <x:v>real_gdp</x:v>
      </x:c>
      <x:c r="C4679" s="2" t="n">
        <x:v>681596153335.986</x:v>
      </x:c>
      <x:c r="D4679" s="2" t="n">
        <x:v>2025</x:v>
      </x:c>
      <x:c r="E4679" s="2" t="str">
        <x:v>WB_real_gdp</x:v>
      </x:c>
      <x:c r="F4679" s="2" t="str">
        <x:v>GDP (constant 2015 US$)</x:v>
      </x:c>
    </x:row>
    <x:row r="4680" ht="44" customHeight="1">
      <x:c r="A4680" s="2" t="str">
        <x:v>POL</x:v>
      </x:c>
      <x:c r="B4680" s="2" t="str">
        <x:v>gdp_growth</x:v>
      </x:c>
      <x:c r="C4680" s="2" t="n">
        <x:v>3.5727250346774</x:v>
      </x:c>
      <x:c r="D4680" s="2" t="n">
        <x:v>2025</x:v>
      </x:c>
      <x:c r="E4680" s="2" t="str">
        <x:v>WB_gdp_growth</x:v>
      </x:c>
      <x:c r="F4680" s="2" t="str">
        <x:v>GDP growth (annual %)</x:v>
      </x:c>
    </x:row>
    <x:row r="4681" ht="44" customHeight="1">
      <x:c r="A4681" s="2" t="str">
        <x:v>POL</x:v>
      </x:c>
      <x:c r="B4681" s="2" t="str">
        <x:v>real_income</x:v>
      </x:c>
      <x:c r="C4681" s="2" t="n">
        <x:v>18706.7393120197</x:v>
      </x:c>
      <x:c r="D4681" s="2" t="n">
        <x:v>2025</x:v>
      </x:c>
      <x:c r="E4681" s="2" t="str">
        <x:v>WB_real_income</x:v>
      </x:c>
      <x:c r="F4681" s="2" t="str">
        <x:v>GDP per capita (constant 2015 US$)</x:v>
      </x:c>
    </x:row>
    <x:row r="4682" ht="44" customHeight="1">
      <x:c r="A4682" s="2" t="str">
        <x:v>POL</x:v>
      </x:c>
      <x:c r="B4682" s="2" t="str">
        <x:v>agriculture_gdp</x:v>
      </x:c>
      <x:c r="C4682" s="2" t="n">
        <x:v>2.45366601523879</x:v>
      </x:c>
      <x:c r="D4682" s="2" t="n">
        <x:v>2025</x:v>
      </x:c>
      <x:c r="E4682" s="2" t="str">
        <x:v>WB_agriculture_gdp</x:v>
      </x:c>
      <x:c r="F4682" s="2" t="str">
        <x:v>Agriculture, forestry, and fishing, value added (% of GDP)</x:v>
      </x:c>
    </x:row>
    <x:row r="4683" ht="44" customHeight="1">
      <x:c r="A4683" s="2" t="str">
        <x:v>POL</x:v>
      </x:c>
      <x:c r="B4683" s="2" t="str">
        <x:v>poverty</x:v>
      </x:c>
      <x:c r="C4683" s="2" t="n">
        <x:v>0.2</x:v>
      </x:c>
      <x:c r="D4683" s="2" t="n">
        <x:v>2023</x:v>
      </x:c>
      <x:c r="E4683" s="2" t="str">
        <x:v>WB_poverty</x:v>
      </x:c>
      <x:c r="F4683" s="2" t="str">
        <x:v>Poverty headcount ratio at $3.00 a day (2021 PPP) (% of population)</x:v>
      </x:c>
    </x:row>
    <x:row r="4684" ht="44" customHeight="1">
      <x:c r="A4684" s="2" t="str">
        <x:v>POL</x:v>
      </x:c>
      <x:c r="B4684" s="2" t="str">
        <x:v>gini</x:v>
      </x:c>
      <x:c r="C4684" s="2" t="n">
        <x:v>28.5</x:v>
      </x:c>
      <x:c r="D4684" s="2" t="n">
        <x:v>2023</x:v>
      </x:c>
      <x:c r="E4684" s="2" t="str">
        <x:v>WB_gini</x:v>
      </x:c>
      <x:c r="F4684" s="2" t="str">
        <x:v>Gini index</x:v>
      </x:c>
    </x:row>
    <x:row r="4685" ht="44" customHeight="1">
      <x:c r="A4685" s="2" t="str">
        <x:v>POL</x:v>
      </x:c>
      <x:c r="B4685" s="2" t="str">
        <x:v>unemployment</x:v>
      </x:c>
      <x:c r="C4685" s="2" t="n">
        <x:v>2.976</x:v>
      </x:c>
      <x:c r="D4685" s="2" t="n">
        <x:v>2025</x:v>
      </x:c>
      <x:c r="E4685" s="2" t="str">
        <x:v>WB_unemployment</x:v>
      </x:c>
      <x:c r="F4685" s="2" t="str">
        <x:v>Unemployment, total (% of total labor force) (modeled ILO estimate)</x:v>
      </x:c>
    </x:row>
    <x:row r="4686" ht="44" customHeight="1">
      <x:c r="A4686" s="2" t="str">
        <x:v>POL</x:v>
      </x:c>
      <x:c r="B4686" s="2" t="str">
        <x:v>private_credit</x:v>
      </x:c>
      <x:c r="C4686" s="2" t="n">
        <x:v>33.5857900188097</x:v>
      </x:c>
      <x:c r="D4686" s="2" t="n">
        <x:v>2024</x:v>
      </x:c>
      <x:c r="E4686" s="2" t="str">
        <x:v>WB_private_credit</x:v>
      </x:c>
      <x:c r="F4686" s="2" t="str">
        <x:v>Domestic credit to private sector (% of GDP)</x:v>
      </x:c>
    </x:row>
    <x:row r="4687" ht="44" customHeight="1">
      <x:c r="A4687" s="2" t="str">
        <x:v>POL</x:v>
      </x:c>
      <x:c r="B4687" s="2" t="str">
        <x:v>lending_rate</x:v>
      </x:c>
      <x:c r="C4687" s="2"/>
      <x:c r="D4687" s="2"/>
      <x:c r="E4687" s="2" t="str">
        <x:v>Missing</x:v>
      </x:c>
      <x:c r="F4687" s="2" t="str">
        <x:v>Lending interest rate (%)</x:v>
      </x:c>
    </x:row>
    <x:row r="4688" ht="44" customHeight="1">
      <x:c r="A4688" s="2" t="str">
        <x:v>POL</x:v>
      </x:c>
      <x:c r="B4688" s="2" t="str">
        <x:v>real_interest</x:v>
      </x:c>
      <x:c r="C4688" s="2"/>
      <x:c r="D4688" s="2"/>
      <x:c r="E4688" s="2" t="str">
        <x:v>Missing</x:v>
      </x:c>
      <x:c r="F4688" s="2" t="str">
        <x:v>Real interest rate (%)</x:v>
      </x:c>
    </x:row>
    <x:row r="4689" ht="44" customHeight="1">
      <x:c r="A4689" s="2" t="str">
        <x:v>POL</x:v>
      </x:c>
      <x:c r="B4689" s="2" t="str">
        <x:v>government_debt</x:v>
      </x:c>
      <x:c r="C4689" s="2"/>
      <x:c r="D4689" s="2"/>
      <x:c r="E4689" s="2" t="str">
        <x:v>Missing</x:v>
      </x:c>
      <x:c r="F4689" s="2" t="str">
        <x:v>Central government debt, total (% of GDP)</x:v>
      </x:c>
    </x:row>
    <x:row r="4690" ht="44" customHeight="1">
      <x:c r="A4690" s="2" t="str">
        <x:v>POL</x:v>
      </x:c>
      <x:c r="B4690" s="2" t="str">
        <x:v>electricity_access</x:v>
      </x:c>
      <x:c r="C4690" s="2" t="n">
        <x:v>100</x:v>
      </x:c>
      <x:c r="D4690" s="2" t="n">
        <x:v>2024</x:v>
      </x:c>
      <x:c r="E4690" s="2" t="str">
        <x:v>WB_electricity_access</x:v>
      </x:c>
      <x:c r="F4690" s="2" t="str">
        <x:v>Access to electricity (% of population)</x:v>
      </x:c>
    </x:row>
    <x:row r="4691" ht="44" customHeight="1">
      <x:c r="A4691" s="2" t="str">
        <x:v>POL</x:v>
      </x:c>
      <x:c r="B4691" s="2" t="str">
        <x:v>irrigated_land</x:v>
      </x:c>
      <x:c r="C4691" s="2" t="n">
        <x:v>0.871056241426612</x:v>
      </x:c>
      <x:c r="D4691" s="2" t="n">
        <x:v>2023</x:v>
      </x:c>
      <x:c r="E4691" s="2" t="str">
        <x:v>WB_irrigated_land</x:v>
      </x:c>
      <x:c r="F4691" s="2" t="str">
        <x:v>Agricultural irrigated land (% of total agricultural land)</x:v>
      </x:c>
    </x:row>
    <x:row r="4692" ht="44" customHeight="1">
      <x:c r="A4692" s="2" t="str">
        <x:v>POL</x:v>
      </x:c>
      <x:c r="B4692" s="2" t="str">
        <x:v>cereal_area</x:v>
      </x:c>
      <x:c r="C4692" s="2" t="n">
        <x:v>7188220</x:v>
      </x:c>
      <x:c r="D4692" s="2" t="n">
        <x:v>2023</x:v>
      </x:c>
      <x:c r="E4692" s="2" t="str">
        <x:v>WB_cereal_area</x:v>
      </x:c>
      <x:c r="F4692" s="2" t="str">
        <x:v>Land under cereal production (hectares)</x:v>
      </x:c>
    </x:row>
    <x:row r="4693" ht="44" customHeight="1">
      <x:c r="A4693" s="2" t="str">
        <x:v>POL</x:v>
      </x:c>
      <x:c r="B4693" s="2" t="str">
        <x:v>undernourishment</x:v>
      </x:c>
      <x:c r="C4693" s="2" t="n">
        <x:v>2.5</x:v>
      </x:c>
      <x:c r="D4693" s="2" t="n">
        <x:v>2023</x:v>
      </x:c>
      <x:c r="E4693" s="2" t="str">
        <x:v>WB_undernourishment</x:v>
      </x:c>
      <x:c r="F4693" s="2" t="str">
        <x:v>Prevalence of undernourishment (% of population)</x:v>
      </x:c>
    </x:row>
    <x:row r="4694" ht="44" customHeight="1">
      <x:c r="A4694" s="2" t="str">
        <x:v>POL</x:v>
      </x:c>
      <x:c r="B4694" s="2" t="str">
        <x:v>agriculture_employment</x:v>
      </x:c>
      <x:c r="C4694" s="2" t="n">
        <x:v>6.22256646634498</x:v>
      </x:c>
      <x:c r="D4694" s="2" t="n">
        <x:v>2025</x:v>
      </x:c>
      <x:c r="E4694" s="2" t="str">
        <x:v>WB_agriculture_employment</x:v>
      </x:c>
      <x:c r="F4694" s="2" t="str">
        <x:v>Employment in agriculture (% of total employment) (modeled ILO estimate)</x:v>
      </x:c>
    </x:row>
    <x:row r="4695" ht="44" customHeight="1">
      <x:c r="A4695" s="2" t="str">
        <x:v>POL</x:v>
      </x:c>
      <x:c r="B4695" s="2" t="str">
        <x:v>water_withdrawal</x:v>
      </x:c>
      <x:c r="C4695" s="2" t="n">
        <x:v>17.509328358209</x:v>
      </x:c>
      <x:c r="D4695" s="2" t="n">
        <x:v>2022</x:v>
      </x:c>
      <x:c r="E4695" s="2" t="str">
        <x:v>WB_water_withdrawal</x:v>
      </x:c>
      <x:c r="F4695" s="2" t="str">
        <x:v>Annual freshwater withdrawals, total (% of internal resources)</x:v>
      </x:c>
    </x:row>
    <x:row r="4696" ht="44" customHeight="1">
      <x:c r="A4696" s="2" t="str">
        <x:v>PRT</x:v>
      </x:c>
      <x:c r="B4696" s="2" t="str">
        <x:v>population</x:v>
      </x:c>
      <x:c r="C4696" s="2" t="n">
        <x:v>10804871</x:v>
      </x:c>
      <x:c r="D4696" s="2" t="n">
        <x:v>2025</x:v>
      </x:c>
      <x:c r="E4696" s="2" t="str">
        <x:v>WB_population</x:v>
      </x:c>
      <x:c r="F4696" s="2" t="str">
        <x:v>Population, total</x:v>
      </x:c>
    </x:row>
    <x:row r="4697" ht="44" customHeight="1">
      <x:c r="A4697" s="2" t="str">
        <x:v>PRT</x:v>
      </x:c>
      <x:c r="B4697" s="2" t="str">
        <x:v>income_ppp</x:v>
      </x:c>
      <x:c r="C4697" s="2" t="n">
        <x:v>42576.8139673545</x:v>
      </x:c>
      <x:c r="D4697" s="2" t="n">
        <x:v>2025</x:v>
      </x:c>
      <x:c r="E4697" s="2" t="str">
        <x:v>WB_income_ppp</x:v>
      </x:c>
      <x:c r="F4697" s="2" t="str">
        <x:v>GDP per capita, PPP (constant 2021 international $)</x:v>
      </x:c>
    </x:row>
    <x:row r="4698" ht="44" customHeight="1">
      <x:c r="A4698" s="2" t="str">
        <x:v>PRT</x:v>
      </x:c>
      <x:c r="B4698" s="2" t="str">
        <x:v>urban</x:v>
      </x:c>
      <x:c r="C4698" s="2" t="n">
        <x:v>61.4953199318985</x:v>
      </x:c>
      <x:c r="D4698" s="2" t="n">
        <x:v>2025</x:v>
      </x:c>
      <x:c r="E4698" s="2" t="str">
        <x:v>WB_urban</x:v>
      </x:c>
      <x:c r="F4698" s="2" t="str">
        <x:v>Urban population (% of total population)</x:v>
      </x:c>
    </x:row>
    <x:row r="4699" ht="44" customHeight="1">
      <x:c r="A4699" s="2" t="str">
        <x:v>PRT</x:v>
      </x:c>
      <x:c r="B4699" s="2" t="str">
        <x:v>inflation</x:v>
      </x:c>
      <x:c r="C4699" s="2" t="n">
        <x:v>2.33601620316701</x:v>
      </x:c>
      <x:c r="D4699" s="2" t="n">
        <x:v>2025</x:v>
      </x:c>
      <x:c r="E4699" s="2" t="str">
        <x:v>WB_inflation</x:v>
      </x:c>
      <x:c r="F4699" s="2" t="str">
        <x:v>Inflation, consumer prices (annual %)</x:v>
      </x:c>
    </x:row>
    <x:row r="4700" ht="44" customHeight="1">
      <x:c r="A4700" s="2" t="str">
        <x:v>PRT</x:v>
      </x:c>
      <x:c r="B4700" s="2" t="str">
        <x:v>food_index</x:v>
      </x:c>
      <x:c r="C4700" s="2" t="n">
        <x:v>110.34</x:v>
      </x:c>
      <x:c r="D4700" s="2" t="n">
        <x:v>2022</x:v>
      </x:c>
      <x:c r="E4700" s="2" t="str">
        <x:v>WB_food_index</x:v>
      </x:c>
      <x:c r="F4700" s="2" t="str">
        <x:v>Food production index (2014-2016 = 100)</x:v>
      </x:c>
    </x:row>
    <x:row r="4701" ht="44" customHeight="1">
      <x:c r="A4701" s="2" t="str">
        <x:v>PRT</x:v>
      </x:c>
      <x:c r="B4701" s="2" t="str">
        <x:v>food_import_share</x:v>
      </x:c>
      <x:c r="C4701" s="2" t="n">
        <x:v>15.8975995662773</x:v>
      </x:c>
      <x:c r="D4701" s="2" t="n">
        <x:v>2025</x:v>
      </x:c>
      <x:c r="E4701" s="2" t="str">
        <x:v>WB_food_import_share</x:v>
      </x:c>
      <x:c r="F4701" s="2" t="str">
        <x:v>Food imports (% of merchandise imports)</x:v>
      </x:c>
    </x:row>
    <x:row r="4702" ht="44" customHeight="1">
      <x:c r="A4702" s="2" t="str">
        <x:v>PRT</x:v>
      </x:c>
      <x:c r="B4702" s="2" t="str">
        <x:v>food_export_share</x:v>
      </x:c>
      <x:c r="C4702" s="2" t="n">
        <x:v>14.3622977600088</x:v>
      </x:c>
      <x:c r="D4702" s="2" t="n">
        <x:v>2025</x:v>
      </x:c>
      <x:c r="E4702" s="2" t="str">
        <x:v>WB_food_export_share</x:v>
      </x:c>
      <x:c r="F4702" s="2" t="str">
        <x:v>Food exports (% of merchandise exports)</x:v>
      </x:c>
    </x:row>
    <x:row r="4703" ht="44" customHeight="1">
      <x:c r="A4703" s="2" t="str">
        <x:v>PRT</x:v>
      </x:c>
      <x:c r="B4703" s="2" t="str">
        <x:v>imports_usd</x:v>
      </x:c>
      <x:c r="C4703" s="2" t="n">
        <x:v>125854000000</x:v>
      </x:c>
      <x:c r="D4703" s="2" t="n">
        <x:v>2025</x:v>
      </x:c>
      <x:c r="E4703" s="2" t="str">
        <x:v>WB_imports_usd</x:v>
      </x:c>
      <x:c r="F4703" s="2" t="str">
        <x:v>Merchandise imports (current US$)</x:v>
      </x:c>
    </x:row>
    <x:row r="4704" ht="44" customHeight="1">
      <x:c r="A4704" s="2" t="str">
        <x:v>PRT</x:v>
      </x:c>
      <x:c r="B4704" s="2" t="str">
        <x:v>exports_usd</x:v>
      </x:c>
      <x:c r="C4704" s="2" t="n">
        <x:v>89417000000</x:v>
      </x:c>
      <x:c r="D4704" s="2" t="n">
        <x:v>2025</x:v>
      </x:c>
      <x:c r="E4704" s="2" t="str">
        <x:v>WB_exports_usd</x:v>
      </x:c>
      <x:c r="F4704" s="2" t="str">
        <x:v>Merchandise exports (current US$)</x:v>
      </x:c>
    </x:row>
    <x:row r="4705" ht="44" customHeight="1">
      <x:c r="A4705" s="2" t="str">
        <x:v>PRT</x:v>
      </x:c>
      <x:c r="B4705" s="2" t="str">
        <x:v>cereal_yield</x:v>
      </x:c>
      <x:c r="C4705" s="2" t="n">
        <x:v>5308.8</x:v>
      </x:c>
      <x:c r="D4705" s="2" t="n">
        <x:v>2024</x:v>
      </x:c>
      <x:c r="E4705" s="2" t="str">
        <x:v>WB_cereal_yield</x:v>
      </x:c>
      <x:c r="F4705" s="2" t="str">
        <x:v>Cereal yield (kg per hectare)</x:v>
      </x:c>
    </x:row>
    <x:row r="4706" ht="44" customHeight="1">
      <x:c r="A4706" s="2" t="str">
        <x:v>PRT</x:v>
      </x:c>
      <x:c r="B4706" s="2" t="str">
        <x:v>water_stress</x:v>
      </x:c>
      <x:c r="C4706" s="2" t="n">
        <x:v>12.31571228</x:v>
      </x:c>
      <x:c r="D4706" s="2" t="n">
        <x:v>2022</x:v>
      </x:c>
      <x:c r="E4706" s="2" t="str">
        <x:v>WB_water_stress</x:v>
      </x:c>
      <x:c r="F4706" s="2" t="str">
        <x:v>Level of water stress: freshwater withdrawal as a proportion of available freshwater resources</x:v>
      </x:c>
    </x:row>
    <x:row r="4707" ht="44" customHeight="1">
      <x:c r="A4707" s="2" t="str">
        <x:v>PRT</x:v>
      </x:c>
      <x:c r="B4707" s="2" t="str">
        <x:v>fertility</x:v>
      </x:c>
      <x:c r="C4707" s="2" t="n">
        <x:v>1.41</x:v>
      </x:c>
      <x:c r="D4707" s="2" t="n">
        <x:v>2024</x:v>
      </x:c>
      <x:c r="E4707" s="2" t="str">
        <x:v>WB_fertility</x:v>
      </x:c>
      <x:c r="F4707" s="2" t="str">
        <x:v>Fertility rate, total (births per woman)</x:v>
      </x:c>
    </x:row>
    <x:row r="4708" ht="44" customHeight="1">
      <x:c r="A4708" s="2" t="str">
        <x:v>PRT</x:v>
      </x:c>
      <x:c r="B4708" s="2" t="str">
        <x:v>life_expectancy</x:v>
      </x:c>
      <x:c r="C4708" s="2" t="n">
        <x:v>82.3829268292683</x:v>
      </x:c>
      <x:c r="D4708" s="2" t="n">
        <x:v>2024</x:v>
      </x:c>
      <x:c r="E4708" s="2" t="str">
        <x:v>WB_life_expectancy</x:v>
      </x:c>
      <x:c r="F4708" s="2" t="str">
        <x:v>Life expectancy at birth, total (years)</x:v>
      </x:c>
    </x:row>
    <x:row r="4709" ht="44" customHeight="1">
      <x:c r="A4709" s="2" t="str">
        <x:v>PRT</x:v>
      </x:c>
      <x:c r="B4709" s="2" t="str">
        <x:v>age_under15</x:v>
      </x:c>
      <x:c r="C4709" s="2" t="n">
        <x:v>12.7139902880698</x:v>
      </x:c>
      <x:c r="D4709" s="2" t="n">
        <x:v>2025</x:v>
      </x:c>
      <x:c r="E4709" s="2" t="str">
        <x:v>WB_age_under15</x:v>
      </x:c>
      <x:c r="F4709" s="2" t="str">
        <x:v>Population ages 0-14 (% of total population)</x:v>
      </x:c>
    </x:row>
    <x:row r="4710" ht="44" customHeight="1">
      <x:c r="A4710" s="2" t="str">
        <x:v>PRT</x:v>
      </x:c>
      <x:c r="B4710" s="2" t="str">
        <x:v>age_over65</x:v>
      </x:c>
      <x:c r="C4710" s="2" t="n">
        <x:v>24.9426193763087</x:v>
      </x:c>
      <x:c r="D4710" s="2" t="n">
        <x:v>2025</x:v>
      </x:c>
      <x:c r="E4710" s="2" t="str">
        <x:v>WB_age_over65</x:v>
      </x:c>
      <x:c r="F4710" s="2" t="str">
        <x:v>Population ages 65 and above (% of total population)</x:v>
      </x:c>
    </x:row>
    <x:row r="4711" ht="44" customHeight="1">
      <x:c r="A4711" s="2" t="str">
        <x:v>PRT</x:v>
      </x:c>
      <x:c r="B4711" s="2" t="str">
        <x:v>dependency_ratio</x:v>
      </x:c>
      <x:c r="C4711" s="2" t="n">
        <x:v>60.4019255586633</x:v>
      </x:c>
      <x:c r="D4711" s="2" t="n">
        <x:v>2025</x:v>
      </x:c>
      <x:c r="E4711" s="2" t="str">
        <x:v>WB_dependency_ratio</x:v>
      </x:c>
      <x:c r="F4711" s="2" t="str">
        <x:v>Age dependency ratio (% of working-age population)</x:v>
      </x:c>
    </x:row>
    <x:row r="4712" ht="44" customHeight="1">
      <x:c r="A4712" s="2" t="str">
        <x:v>PRT</x:v>
      </x:c>
      <x:c r="B4712" s="2" t="str">
        <x:v>net_migration</x:v>
      </x:c>
      <x:c r="C4712" s="2" t="n">
        <x:v>16472</x:v>
      </x:c>
      <x:c r="D4712" s="2" t="n">
        <x:v>2025</x:v>
      </x:c>
      <x:c r="E4712" s="2" t="str">
        <x:v>WB_net_migration</x:v>
      </x:c>
      <x:c r="F4712" s="2" t="str">
        <x:v>Net migration</x:v>
      </x:c>
    </x:row>
    <x:row r="4713" ht="44" customHeight="1">
      <x:c r="A4713" s="2" t="str">
        <x:v>PRT</x:v>
      </x:c>
      <x:c r="B4713" s="2" t="str">
        <x:v>real_gdp</x:v>
      </x:c>
      <x:c r="C4713" s="2" t="n">
        <x:v>246903381349.295</x:v>
      </x:c>
      <x:c r="D4713" s="2" t="n">
        <x:v>2025</x:v>
      </x:c>
      <x:c r="E4713" s="2" t="str">
        <x:v>WB_real_gdp</x:v>
      </x:c>
      <x:c r="F4713" s="2" t="str">
        <x:v>GDP (constant 2015 US$)</x:v>
      </x:c>
    </x:row>
    <x:row r="4714" ht="44" customHeight="1">
      <x:c r="A4714" s="2" t="str">
        <x:v>PRT</x:v>
      </x:c>
      <x:c r="B4714" s="2" t="str">
        <x:v>gdp_growth</x:v>
      </x:c>
      <x:c r="C4714" s="2" t="n">
        <x:v>1.86448007464475</x:v>
      </x:c>
      <x:c r="D4714" s="2" t="n">
        <x:v>2025</x:v>
      </x:c>
      <x:c r="E4714" s="2" t="str">
        <x:v>WB_gdp_growth</x:v>
      </x:c>
      <x:c r="F4714" s="2" t="str">
        <x:v>GDP growth (annual %)</x:v>
      </x:c>
    </x:row>
    <x:row r="4715" ht="44" customHeight="1">
      <x:c r="A4715" s="2" t="str">
        <x:v>PRT</x:v>
      </x:c>
      <x:c r="B4715" s="2" t="str">
        <x:v>real_income</x:v>
      </x:c>
      <x:c r="C4715" s="2" t="n">
        <x:v>22851.1179216572</x:v>
      </x:c>
      <x:c r="D4715" s="2" t="n">
        <x:v>2025</x:v>
      </x:c>
      <x:c r="E4715" s="2" t="str">
        <x:v>WB_real_income</x:v>
      </x:c>
      <x:c r="F4715" s="2" t="str">
        <x:v>GDP per capita (constant 2015 US$)</x:v>
      </x:c>
    </x:row>
    <x:row r="4716" ht="44" customHeight="1">
      <x:c r="A4716" s="2" t="str">
        <x:v>PRT</x:v>
      </x:c>
      <x:c r="B4716" s="2" t="str">
        <x:v>agriculture_gdp</x:v>
      </x:c>
      <x:c r="C4716" s="2" t="n">
        <x:v>1.96014913476984</x:v>
      </x:c>
      <x:c r="D4716" s="2" t="n">
        <x:v>2025</x:v>
      </x:c>
      <x:c r="E4716" s="2" t="str">
        <x:v>WB_agriculture_gdp</x:v>
      </x:c>
      <x:c r="F4716" s="2" t="str">
        <x:v>Agriculture, forestry, and fishing, value added (% of GDP)</x:v>
      </x:c>
    </x:row>
    <x:row r="4717" ht="44" customHeight="1">
      <x:c r="A4717" s="2" t="str">
        <x:v>PRT</x:v>
      </x:c>
      <x:c r="B4717" s="2" t="str">
        <x:v>poverty</x:v>
      </x:c>
      <x:c r="C4717" s="2" t="n">
        <x:v>0.4</x:v>
      </x:c>
      <x:c r="D4717" s="2" t="n">
        <x:v>2023</x:v>
      </x:c>
      <x:c r="E4717" s="2" t="str">
        <x:v>WB_poverty</x:v>
      </x:c>
      <x:c r="F4717" s="2" t="str">
        <x:v>Poverty headcount ratio at $3.00 a day (2021 PPP) (% of population)</x:v>
      </x:c>
    </x:row>
    <x:row r="4718" ht="44" customHeight="1">
      <x:c r="A4718" s="2" t="str">
        <x:v>PRT</x:v>
      </x:c>
      <x:c r="B4718" s="2" t="str">
        <x:v>gini</x:v>
      </x:c>
      <x:c r="C4718" s="2" t="n">
        <x:v>33.9</x:v>
      </x:c>
      <x:c r="D4718" s="2" t="n">
        <x:v>2023</x:v>
      </x:c>
      <x:c r="E4718" s="2" t="str">
        <x:v>WB_gini</x:v>
      </x:c>
      <x:c r="F4718" s="2" t="str">
        <x:v>Gini index</x:v>
      </x:c>
    </x:row>
    <x:row r="4719" ht="44" customHeight="1">
      <x:c r="A4719" s="2" t="str">
        <x:v>PRT</x:v>
      </x:c>
      <x:c r="B4719" s="2" t="str">
        <x:v>unemployment</x:v>
      </x:c>
      <x:c r="C4719" s="2" t="n">
        <x:v>6.164</x:v>
      </x:c>
      <x:c r="D4719" s="2" t="n">
        <x:v>2025</x:v>
      </x:c>
      <x:c r="E4719" s="2" t="str">
        <x:v>WB_unemployment</x:v>
      </x:c>
      <x:c r="F4719" s="2" t="str">
        <x:v>Unemployment, total (% of total labor force) (modeled ILO estimate)</x:v>
      </x:c>
    </x:row>
    <x:row r="4720" ht="44" customHeight="1">
      <x:c r="A4720" s="2" t="str">
        <x:v>PRT</x:v>
      </x:c>
      <x:c r="B4720" s="2" t="str">
        <x:v>private_credit</x:v>
      </x:c>
      <x:c r="C4720" s="2" t="n">
        <x:v>77.118172685653</x:v>
      </x:c>
      <x:c r="D4720" s="2" t="n">
        <x:v>2024</x:v>
      </x:c>
      <x:c r="E4720" s="2" t="str">
        <x:v>WB_private_credit</x:v>
      </x:c>
      <x:c r="F4720" s="2" t="str">
        <x:v>Domestic credit to private sector (% of GDP)</x:v>
      </x:c>
    </x:row>
    <x:row r="4721" ht="44" customHeight="1">
      <x:c r="A4721" s="2" t="str">
        <x:v>PRT</x:v>
      </x:c>
      <x:c r="B4721" s="2" t="str">
        <x:v>lending_rate</x:v>
      </x:c>
      <x:c r="C4721" s="2"/>
      <x:c r="D4721" s="2"/>
      <x:c r="E4721" s="2" t="str">
        <x:v>Missing</x:v>
      </x:c>
      <x:c r="F4721" s="2" t="str">
        <x:v>Lending interest rate (%)</x:v>
      </x:c>
    </x:row>
    <x:row r="4722" ht="44" customHeight="1">
      <x:c r="A4722" s="2" t="str">
        <x:v>PRT</x:v>
      </x:c>
      <x:c r="B4722" s="2" t="str">
        <x:v>real_interest</x:v>
      </x:c>
      <x:c r="C4722" s="2"/>
      <x:c r="D4722" s="2"/>
      <x:c r="E4722" s="2" t="str">
        <x:v>Missing</x:v>
      </x:c>
      <x:c r="F4722" s="2" t="str">
        <x:v>Real interest rate (%)</x:v>
      </x:c>
    </x:row>
    <x:row r="4723" ht="44" customHeight="1">
      <x:c r="A4723" s="2" t="str">
        <x:v>PRT</x:v>
      </x:c>
      <x:c r="B4723" s="2" t="str">
        <x:v>government_debt</x:v>
      </x:c>
      <x:c r="C4723" s="2"/>
      <x:c r="D4723" s="2"/>
      <x:c r="E4723" s="2" t="str">
        <x:v>Missing</x:v>
      </x:c>
      <x:c r="F4723" s="2" t="str">
        <x:v>Central government debt, total (% of GDP)</x:v>
      </x:c>
    </x:row>
    <x:row r="4724" ht="44" customHeight="1">
      <x:c r="A4724" s="2" t="str">
        <x:v>PRT</x:v>
      </x:c>
      <x:c r="B4724" s="2" t="str">
        <x:v>electricity_access</x:v>
      </x:c>
      <x:c r="C4724" s="2" t="n">
        <x:v>100</x:v>
      </x:c>
      <x:c r="D4724" s="2" t="n">
        <x:v>2024</x:v>
      </x:c>
      <x:c r="E4724" s="2" t="str">
        <x:v>WB_electricity_access</x:v>
      </x:c>
      <x:c r="F4724" s="2" t="str">
        <x:v>Access to electricity (% of population)</x:v>
      </x:c>
    </x:row>
    <x:row r="4725" ht="44" customHeight="1">
      <x:c r="A4725" s="2" t="str">
        <x:v>PRT</x:v>
      </x:c>
      <x:c r="B4725" s="2" t="str">
        <x:v>irrigated_land</x:v>
      </x:c>
      <x:c r="C4725" s="2" t="n">
        <x:v>14.7443285129569</x:v>
      </x:c>
      <x:c r="D4725" s="2" t="n">
        <x:v>2023</x:v>
      </x:c>
      <x:c r="E4725" s="2" t="str">
        <x:v>WB_irrigated_land</x:v>
      </x:c>
      <x:c r="F4725" s="2" t="str">
        <x:v>Agricultural irrigated land (% of total agricultural land)</x:v>
      </x:c>
    </x:row>
    <x:row r="4726" ht="44" customHeight="1">
      <x:c r="A4726" s="2" t="str">
        <x:v>PRT</x:v>
      </x:c>
      <x:c r="B4726" s="2" t="str">
        <x:v>cereal_area</x:v>
      </x:c>
      <x:c r="C4726" s="2" t="n">
        <x:v>191630</x:v>
      </x:c>
      <x:c r="D4726" s="2" t="n">
        <x:v>2024</x:v>
      </x:c>
      <x:c r="E4726" s="2" t="str">
        <x:v>WB_cereal_area</x:v>
      </x:c>
      <x:c r="F4726" s="2" t="str">
        <x:v>Land under cereal production (hectares)</x:v>
      </x:c>
    </x:row>
    <x:row r="4727" ht="44" customHeight="1">
      <x:c r="A4727" s="2" t="str">
        <x:v>PRT</x:v>
      </x:c>
      <x:c r="B4727" s="2" t="str">
        <x:v>undernourishment</x:v>
      </x:c>
      <x:c r="C4727" s="2" t="n">
        <x:v>2.5</x:v>
      </x:c>
      <x:c r="D4727" s="2" t="n">
        <x:v>2023</x:v>
      </x:c>
      <x:c r="E4727" s="2" t="str">
        <x:v>WB_undernourishment</x:v>
      </x:c>
      <x:c r="F4727" s="2" t="str">
        <x:v>Prevalence of undernourishment (% of population)</x:v>
      </x:c>
    </x:row>
    <x:row r="4728" ht="44" customHeight="1">
      <x:c r="A4728" s="2" t="str">
        <x:v>PRT</x:v>
      </x:c>
      <x:c r="B4728" s="2" t="str">
        <x:v>agriculture_employment</x:v>
      </x:c>
      <x:c r="C4728" s="2" t="n">
        <x:v>2.77622589812165</x:v>
      </x:c>
      <x:c r="D4728" s="2" t="n">
        <x:v>2025</x:v>
      </x:c>
      <x:c r="E4728" s="2" t="str">
        <x:v>WB_agriculture_employment</x:v>
      </x:c>
      <x:c r="F4728" s="2" t="str">
        <x:v>Employment in agriculture (% of total employment) (modeled ILO estimate)</x:v>
      </x:c>
    </x:row>
    <x:row r="4729" ht="44" customHeight="1">
      <x:c r="A4729" s="2" t="str">
        <x:v>PRT</x:v>
      </x:c>
      <x:c r="B4729" s="2" t="str">
        <x:v>water_withdrawal</x:v>
      </x:c>
      <x:c r="C4729" s="2" t="n">
        <x:v>16.1303421052632</x:v>
      </x:c>
      <x:c r="D4729" s="2" t="n">
        <x:v>2022</x:v>
      </x:c>
      <x:c r="E4729" s="2" t="str">
        <x:v>WB_water_withdrawal</x:v>
      </x:c>
      <x:c r="F4729" s="2" t="str">
        <x:v>Annual freshwater withdrawals, total (% of internal resources)</x:v>
      </x:c>
    </x:row>
    <x:row r="4730" ht="44" customHeight="1">
      <x:c r="A4730" s="2" t="str">
        <x:v>QAT</x:v>
      </x:c>
      <x:c r="B4730" s="2" t="str">
        <x:v>population</x:v>
      </x:c>
      <x:c r="C4730" s="2" t="n">
        <x:v>2972215</x:v>
      </x:c>
      <x:c r="D4730" s="2" t="n">
        <x:v>2025</x:v>
      </x:c>
      <x:c r="E4730" s="2" t="str">
        <x:v>WB_population</x:v>
      </x:c>
      <x:c r="F4730" s="2" t="str">
        <x:v>Population, total</x:v>
      </x:c>
    </x:row>
    <x:row r="4731" ht="44" customHeight="1">
      <x:c r="A4731" s="2" t="str">
        <x:v>QAT</x:v>
      </x:c>
      <x:c r="B4731" s="2" t="str">
        <x:v>income_ppp</x:v>
      </x:c>
      <x:c r="C4731" s="2" t="n">
        <x:v>110135.696297692</x:v>
      </x:c>
      <x:c r="D4731" s="2" t="n">
        <x:v>2025</x:v>
      </x:c>
      <x:c r="E4731" s="2" t="str">
        <x:v>WB_income_ppp</x:v>
      </x:c>
      <x:c r="F4731" s="2" t="str">
        <x:v>GDP per capita, PPP (constant 2021 international $)</x:v>
      </x:c>
    </x:row>
    <x:row r="4732" ht="44" customHeight="1">
      <x:c r="A4732" s="2" t="str">
        <x:v>QAT</x:v>
      </x:c>
      <x:c r="B4732" s="2" t="str">
        <x:v>urban</x:v>
      </x:c>
      <x:c r="C4732" s="2" t="n">
        <x:v>99.3593427696312</x:v>
      </x:c>
      <x:c r="D4732" s="2" t="n">
        <x:v>2025</x:v>
      </x:c>
      <x:c r="E4732" s="2" t="str">
        <x:v>WB_urban</x:v>
      </x:c>
      <x:c r="F4732" s="2" t="str">
        <x:v>Urban population (% of total population)</x:v>
      </x:c>
    </x:row>
    <x:row r="4733" ht="44" customHeight="1">
      <x:c r="A4733" s="2" t="str">
        <x:v>QAT</x:v>
      </x:c>
      <x:c r="B4733" s="2" t="str">
        <x:v>inflation</x:v>
      </x:c>
      <x:c r="C4733" s="2" t="n">
        <x:v>1.26734310292375</x:v>
      </x:c>
      <x:c r="D4733" s="2" t="n">
        <x:v>2024</x:v>
      </x:c>
      <x:c r="E4733" s="2" t="str">
        <x:v>WB_inflation</x:v>
      </x:c>
      <x:c r="F4733" s="2" t="str">
        <x:v>Inflation, consumer prices (annual %)</x:v>
      </x:c>
    </x:row>
    <x:row r="4734" ht="44" customHeight="1">
      <x:c r="A4734" s="2" t="str">
        <x:v>QAT</x:v>
      </x:c>
      <x:c r="B4734" s="2" t="str">
        <x:v>food_index</x:v>
      </x:c>
      <x:c r="C4734" s="2" t="n">
        <x:v>145.71</x:v>
      </x:c>
      <x:c r="D4734" s="2" t="n">
        <x:v>2022</x:v>
      </x:c>
      <x:c r="E4734" s="2" t="str">
        <x:v>WB_food_index</x:v>
      </x:c>
      <x:c r="F4734" s="2" t="str">
        <x:v>Food production index (2014-2016 = 100)</x:v>
      </x:c>
    </x:row>
    <x:row r="4735" ht="44" customHeight="1">
      <x:c r="A4735" s="2" t="str">
        <x:v>QAT</x:v>
      </x:c>
      <x:c r="B4735" s="2" t="str">
        <x:v>food_import_share</x:v>
      </x:c>
      <x:c r="C4735" s="2" t="n">
        <x:v>11.1829202642424</x:v>
      </x:c>
      <x:c r="D4735" s="2" t="n">
        <x:v>2024</x:v>
      </x:c>
      <x:c r="E4735" s="2" t="str">
        <x:v>WB_food_import_share</x:v>
      </x:c>
      <x:c r="F4735" s="2" t="str">
        <x:v>Food imports (% of merchandise imports)</x:v>
      </x:c>
    </x:row>
    <x:row r="4736" ht="44" customHeight="1">
      <x:c r="A4736" s="2" t="str">
        <x:v>QAT</x:v>
      </x:c>
      <x:c r="B4736" s="2" t="str">
        <x:v>food_export_share</x:v>
      </x:c>
      <x:c r="C4736" s="2" t="n">
        <x:v>0.107295442188746</x:v>
      </x:c>
      <x:c r="D4736" s="2" t="n">
        <x:v>2024</x:v>
      </x:c>
      <x:c r="E4736" s="2" t="str">
        <x:v>WB_food_export_share</x:v>
      </x:c>
      <x:c r="F4736" s="2" t="str">
        <x:v>Food exports (% of merchandise exports)</x:v>
      </x:c>
    </x:row>
    <x:row r="4737" ht="44" customHeight="1">
      <x:c r="A4737" s="2" t="str">
        <x:v>QAT</x:v>
      </x:c>
      <x:c r="B4737" s="2" t="str">
        <x:v>imports_usd</x:v>
      </x:c>
      <x:c r="C4737" s="2" t="n">
        <x:v>37537000000</x:v>
      </x:c>
      <x:c r="D4737" s="2" t="n">
        <x:v>2025</x:v>
      </x:c>
      <x:c r="E4737" s="2" t="str">
        <x:v>WB_imports_usd</x:v>
      </x:c>
      <x:c r="F4737" s="2" t="str">
        <x:v>Merchandise imports (current US$)</x:v>
      </x:c>
    </x:row>
    <x:row r="4738" ht="44" customHeight="1">
      <x:c r="A4738" s="2" t="str">
        <x:v>QAT</x:v>
      </x:c>
      <x:c r="B4738" s="2" t="str">
        <x:v>exports_usd</x:v>
      </x:c>
      <x:c r="C4738" s="2" t="n">
        <x:v>88771000000</x:v>
      </x:c>
      <x:c r="D4738" s="2" t="n">
        <x:v>2025</x:v>
      </x:c>
      <x:c r="E4738" s="2" t="str">
        <x:v>WB_exports_usd</x:v>
      </x:c>
      <x:c r="F4738" s="2" t="str">
        <x:v>Merchandise exports (current US$)</x:v>
      </x:c>
    </x:row>
    <x:row r="4739" ht="44" customHeight="1">
      <x:c r="A4739" s="2" t="str">
        <x:v>QAT</x:v>
      </x:c>
      <x:c r="B4739" s="2" t="str">
        <x:v>cereal_yield</x:v>
      </x:c>
      <x:c r="C4739" s="2" t="n">
        <x:v>18274.6</x:v>
      </x:c>
      <x:c r="D4739" s="2" t="n">
        <x:v>2023</x:v>
      </x:c>
      <x:c r="E4739" s="2" t="str">
        <x:v>WB_cereal_yield</x:v>
      </x:c>
      <x:c r="F4739" s="2" t="str">
        <x:v>Cereal yield (kg per hectare)</x:v>
      </x:c>
    </x:row>
    <x:row r="4740" ht="44" customHeight="1">
      <x:c r="A4740" s="2" t="str">
        <x:v>QAT</x:v>
      </x:c>
      <x:c r="B4740" s="2" t="str">
        <x:v>water_stress</x:v>
      </x:c>
      <x:c r="C4740" s="2" t="n">
        <x:v>431.0344828</x:v>
      </x:c>
      <x:c r="D4740" s="2" t="n">
        <x:v>2022</x:v>
      </x:c>
      <x:c r="E4740" s="2" t="str">
        <x:v>WB_water_stress</x:v>
      </x:c>
      <x:c r="F4740" s="2" t="str">
        <x:v>Level of water stress: freshwater withdrawal as a proportion of available freshwater resources</x:v>
      </x:c>
    </x:row>
    <x:row r="4741" ht="44" customHeight="1">
      <x:c r="A4741" s="2" t="str">
        <x:v>QAT</x:v>
      </x:c>
      <x:c r="B4741" s="2" t="str">
        <x:v>fertility</x:v>
      </x:c>
      <x:c r="C4741" s="2" t="n">
        <x:v>1.717</x:v>
      </x:c>
      <x:c r="D4741" s="2" t="n">
        <x:v>2024</x:v>
      </x:c>
      <x:c r="E4741" s="2" t="str">
        <x:v>WB_fertility</x:v>
      </x:c>
      <x:c r="F4741" s="2" t="str">
        <x:v>Fertility rate, total (births per woman)</x:v>
      </x:c>
    </x:row>
    <x:row r="4742" ht="44" customHeight="1">
      <x:c r="A4742" s="2" t="str">
        <x:v>QAT</x:v>
      </x:c>
      <x:c r="B4742" s="2" t="str">
        <x:v>life_expectancy</x:v>
      </x:c>
      <x:c r="C4742" s="2" t="n">
        <x:v>82.522</x:v>
      </x:c>
      <x:c r="D4742" s="2" t="n">
        <x:v>2024</x:v>
      </x:c>
      <x:c r="E4742" s="2" t="str">
        <x:v>WB_life_expectancy</x:v>
      </x:c>
      <x:c r="F4742" s="2" t="str">
        <x:v>Life expectancy at birth, total (years)</x:v>
      </x:c>
    </x:row>
    <x:row r="4743" ht="44" customHeight="1">
      <x:c r="A4743" s="2" t="str">
        <x:v>QAT</x:v>
      </x:c>
      <x:c r="B4743" s="2" t="str">
        <x:v>age_under15</x:v>
      </x:c>
      <x:c r="C4743" s="2" t="n">
        <x:v>15.0002960632256</x:v>
      </x:c>
      <x:c r="D4743" s="2" t="n">
        <x:v>2025</x:v>
      </x:c>
      <x:c r="E4743" s="2" t="str">
        <x:v>WB_age_under15</x:v>
      </x:c>
      <x:c r="F4743" s="2" t="str">
        <x:v>Population ages 0-14 (% of total population)</x:v>
      </x:c>
    </x:row>
    <x:row r="4744" ht="44" customHeight="1">
      <x:c r="A4744" s="2" t="str">
        <x:v>QAT</x:v>
      </x:c>
      <x:c r="B4744" s="2" t="str">
        <x:v>age_over65</x:v>
      </x:c>
      <x:c r="C4744" s="2" t="n">
        <x:v>1.70081503237359</x:v>
      </x:c>
      <x:c r="D4744" s="2" t="n">
        <x:v>2025</x:v>
      </x:c>
      <x:c r="E4744" s="2" t="str">
        <x:v>WB_age_over65</x:v>
      </x:c>
      <x:c r="F4744" s="2" t="str">
        <x:v>Population ages 65 and above (% of total population)</x:v>
      </x:c>
    </x:row>
    <x:row r="4745" ht="44" customHeight="1">
      <x:c r="A4745" s="2" t="str">
        <x:v>QAT</x:v>
      </x:c>
      <x:c r="B4745" s="2" t="str">
        <x:v>dependency_ratio</x:v>
      </x:c>
      <x:c r="C4745" s="2" t="n">
        <x:v>20.049623922883</x:v>
      </x:c>
      <x:c r="D4745" s="2" t="n">
        <x:v>2025</x:v>
      </x:c>
      <x:c r="E4745" s="2" t="str">
        <x:v>WB_dependency_ratio</x:v>
      </x:c>
      <x:c r="F4745" s="2" t="str">
        <x:v>Age dependency ratio (% of working-age population)</x:v>
      </x:c>
    </x:row>
    <x:row r="4746" ht="44" customHeight="1">
      <x:c r="A4746" s="2" t="str">
        <x:v>QAT</x:v>
      </x:c>
      <x:c r="B4746" s="2" t="str">
        <x:v>net_migration</x:v>
      </x:c>
      <x:c r="C4746" s="2" t="n">
        <x:v>36288</x:v>
      </x:c>
      <x:c r="D4746" s="2" t="n">
        <x:v>2025</x:v>
      </x:c>
      <x:c r="E4746" s="2" t="str">
        <x:v>WB_net_migration</x:v>
      </x:c>
      <x:c r="F4746" s="2" t="str">
        <x:v>Net migration</x:v>
      </x:c>
    </x:row>
    <x:row r="4747" ht="44" customHeight="1">
      <x:c r="A4747" s="2" t="str">
        <x:v>QAT</x:v>
      </x:c>
      <x:c r="B4747" s="2" t="str">
        <x:v>real_gdp</x:v>
      </x:c>
      <x:c r="C4747" s="2" t="n">
        <x:v>183488780201.551</x:v>
      </x:c>
      <x:c r="D4747" s="2" t="n">
        <x:v>2025</x:v>
      </x:c>
      <x:c r="E4747" s="2" t="str">
        <x:v>WB_real_gdp</x:v>
      </x:c>
      <x:c r="F4747" s="2" t="str">
        <x:v>GDP (constant 2015 US$)</x:v>
      </x:c>
    </x:row>
    <x:row r="4748" ht="44" customHeight="1">
      <x:c r="A4748" s="2" t="str">
        <x:v>QAT</x:v>
      </x:c>
      <x:c r="B4748" s="2" t="str">
        <x:v>gdp_growth</x:v>
      </x:c>
      <x:c r="C4748" s="2" t="n">
        <x:v>2.90166036660493</x:v>
      </x:c>
      <x:c r="D4748" s="2" t="n">
        <x:v>2025</x:v>
      </x:c>
      <x:c r="E4748" s="2" t="str">
        <x:v>WB_gdp_growth</x:v>
      </x:c>
      <x:c r="F4748" s="2" t="str">
        <x:v>GDP growth (annual %)</x:v>
      </x:c>
    </x:row>
    <x:row r="4749" ht="44" customHeight="1">
      <x:c r="A4749" s="2" t="str">
        <x:v>QAT</x:v>
      </x:c>
      <x:c r="B4749" s="2" t="str">
        <x:v>real_income</x:v>
      </x:c>
      <x:c r="C4749" s="2" t="n">
        <x:v>61734.692881084</x:v>
      </x:c>
      <x:c r="D4749" s="2" t="n">
        <x:v>2025</x:v>
      </x:c>
      <x:c r="E4749" s="2" t="str">
        <x:v>WB_real_income</x:v>
      </x:c>
      <x:c r="F4749" s="2" t="str">
        <x:v>GDP per capita (constant 2015 US$)</x:v>
      </x:c>
    </x:row>
    <x:row r="4750" ht="44" customHeight="1">
      <x:c r="A4750" s="2" t="str">
        <x:v>QAT</x:v>
      </x:c>
      <x:c r="B4750" s="2" t="str">
        <x:v>agriculture_gdp</x:v>
      </x:c>
      <x:c r="C4750" s="2" t="n">
        <x:v>0.30600137388372</x:v>
      </x:c>
      <x:c r="D4750" s="2" t="n">
        <x:v>2025</x:v>
      </x:c>
      <x:c r="E4750" s="2" t="str">
        <x:v>WB_agriculture_gdp</x:v>
      </x:c>
      <x:c r="F4750" s="2" t="str">
        <x:v>Agriculture, forestry, and fishing, value added (% of GDP)</x:v>
      </x:c>
    </x:row>
    <x:row r="4751" ht="44" customHeight="1">
      <x:c r="A4751" s="2" t="str">
        <x:v>QAT</x:v>
      </x:c>
      <x:c r="B4751" s="2" t="str">
        <x:v>poverty</x:v>
      </x:c>
      <x:c r="C4751" s="2" t="n">
        <x:v>0</x:v>
      </x:c>
      <x:c r="D4751" s="2" t="n">
        <x:v>2017</x:v>
      </x:c>
      <x:c r="E4751" s="2" t="str">
        <x:v>WB_poverty</x:v>
      </x:c>
      <x:c r="F4751" s="2" t="str">
        <x:v>Poverty headcount ratio at $3.00 a day (2021 PPP) (% of population)</x:v>
      </x:c>
    </x:row>
    <x:row r="4752" ht="44" customHeight="1">
      <x:c r="A4752" s="2" t="str">
        <x:v>QAT</x:v>
      </x:c>
      <x:c r="B4752" s="2" t="str">
        <x:v>gini</x:v>
      </x:c>
      <x:c r="C4752" s="2" t="n">
        <x:v>35.1</x:v>
      </x:c>
      <x:c r="D4752" s="2" t="n">
        <x:v>2017</x:v>
      </x:c>
      <x:c r="E4752" s="2" t="str">
        <x:v>WB_gini</x:v>
      </x:c>
      <x:c r="F4752" s="2" t="str">
        <x:v>Gini index</x:v>
      </x:c>
    </x:row>
    <x:row r="4753" ht="44" customHeight="1">
      <x:c r="A4753" s="2" t="str">
        <x:v>QAT</x:v>
      </x:c>
      <x:c r="B4753" s="2" t="str">
        <x:v>unemployment</x:v>
      </x:c>
      <x:c r="C4753" s="2" t="n">
        <x:v>0.13</x:v>
      </x:c>
      <x:c r="D4753" s="2" t="n">
        <x:v>2025</x:v>
      </x:c>
      <x:c r="E4753" s="2" t="str">
        <x:v>WB_unemployment</x:v>
      </x:c>
      <x:c r="F4753" s="2" t="str">
        <x:v>Unemployment, total (% of total labor force) (modeled ILO estimate)</x:v>
      </x:c>
    </x:row>
    <x:row r="4754" ht="44" customHeight="1">
      <x:c r="A4754" s="2" t="str">
        <x:v>QAT</x:v>
      </x:c>
      <x:c r="B4754" s="2" t="str">
        <x:v>private_credit</x:v>
      </x:c>
      <x:c r="C4754" s="2" t="n">
        <x:v>126.754580015982</x:v>
      </x:c>
      <x:c r="D4754" s="2" t="n">
        <x:v>2025</x:v>
      </x:c>
      <x:c r="E4754" s="2" t="str">
        <x:v>WB_private_credit</x:v>
      </x:c>
      <x:c r="F4754" s="2" t="str">
        <x:v>Domestic credit to private sector (% of GDP)</x:v>
      </x:c>
    </x:row>
    <x:row r="4755" ht="44" customHeight="1">
      <x:c r="A4755" s="2" t="str">
        <x:v>QAT</x:v>
      </x:c>
      <x:c r="B4755" s="2" t="str">
        <x:v>lending_rate</x:v>
      </x:c>
      <x:c r="C4755" s="2" t="n">
        <x:v>4.75395</x:v>
      </x:c>
      <x:c r="D4755" s="2" t="n">
        <x:v>2025</x:v>
      </x:c>
      <x:c r="E4755" s="2" t="str">
        <x:v>WB_lending_rate</x:v>
      </x:c>
      <x:c r="F4755" s="2" t="str">
        <x:v>Lending interest rate (%)</x:v>
      </x:c>
    </x:row>
    <x:row r="4756" ht="44" customHeight="1">
      <x:c r="A4756" s="2" t="str">
        <x:v>QAT</x:v>
      </x:c>
      <x:c r="B4756" s="2" t="str">
        <x:v>real_interest</x:v>
      </x:c>
      <x:c r="C4756" s="2" t="n">
        <x:v>8.16104576821988</x:v>
      </x:c>
      <x:c r="D4756" s="2" t="n">
        <x:v>2025</x:v>
      </x:c>
      <x:c r="E4756" s="2" t="str">
        <x:v>WB_real_interest</x:v>
      </x:c>
      <x:c r="F4756" s="2" t="str">
        <x:v>Real interest rate (%)</x:v>
      </x:c>
    </x:row>
    <x:row r="4757" ht="44" customHeight="1">
      <x:c r="A4757" s="2" t="str">
        <x:v>QAT</x:v>
      </x:c>
      <x:c r="B4757" s="2" t="str">
        <x:v>government_debt</x:v>
      </x:c>
      <x:c r="C4757" s="2"/>
      <x:c r="D4757" s="2"/>
      <x:c r="E4757" s="2" t="str">
        <x:v>Missing</x:v>
      </x:c>
      <x:c r="F4757" s="2" t="str">
        <x:v>Central government debt, total (% of GDP)</x:v>
      </x:c>
    </x:row>
    <x:row r="4758" ht="44" customHeight="1">
      <x:c r="A4758" s="2" t="str">
        <x:v>QAT</x:v>
      </x:c>
      <x:c r="B4758" s="2" t="str">
        <x:v>electricity_access</x:v>
      </x:c>
      <x:c r="C4758" s="2" t="n">
        <x:v>100</x:v>
      </x:c>
      <x:c r="D4758" s="2" t="n">
        <x:v>2024</x:v>
      </x:c>
      <x:c r="E4758" s="2" t="str">
        <x:v>WB_electricity_access</x:v>
      </x:c>
      <x:c r="F4758" s="2" t="str">
        <x:v>Access to electricity (% of population)</x:v>
      </x:c>
    </x:row>
    <x:row r="4759" ht="44" customHeight="1">
      <x:c r="A4759" s="2" t="str">
        <x:v>QAT</x:v>
      </x:c>
      <x:c r="B4759" s="2" t="str">
        <x:v>irrigated_land</x:v>
      </x:c>
      <x:c r="C4759" s="2" t="n">
        <x:v>17.5675675675676</x:v>
      </x:c>
      <x:c r="D4759" s="2" t="n">
        <x:v>2023</x:v>
      </x:c>
      <x:c r="E4759" s="2" t="str">
        <x:v>WB_irrigated_land</x:v>
      </x:c>
      <x:c r="F4759" s="2" t="str">
        <x:v>Agricultural irrigated land (% of total agricultural land)</x:v>
      </x:c>
    </x:row>
    <x:row r="4760" ht="44" customHeight="1">
      <x:c r="A4760" s="2" t="str">
        <x:v>QAT</x:v>
      </x:c>
      <x:c r="B4760" s="2" t="str">
        <x:v>cereal_area</x:v>
      </x:c>
      <x:c r="C4760" s="2" t="n">
        <x:v>121</x:v>
      </x:c>
      <x:c r="D4760" s="2" t="n">
        <x:v>2023</x:v>
      </x:c>
      <x:c r="E4760" s="2" t="str">
        <x:v>WB_cereal_area</x:v>
      </x:c>
      <x:c r="F4760" s="2" t="str">
        <x:v>Land under cereal production (hectares)</x:v>
      </x:c>
    </x:row>
    <x:row r="4761" ht="44" customHeight="1">
      <x:c r="A4761" s="2" t="str">
        <x:v>QAT</x:v>
      </x:c>
      <x:c r="B4761" s="2" t="str">
        <x:v>undernourishment</x:v>
      </x:c>
      <x:c r="C4761" s="2"/>
      <x:c r="D4761" s="2"/>
      <x:c r="E4761" s="2" t="str">
        <x:v>Missing</x:v>
      </x:c>
      <x:c r="F4761" s="2" t="str">
        <x:v>Prevalence of undernourishment (% of population)</x:v>
      </x:c>
    </x:row>
    <x:row r="4762" ht="44" customHeight="1">
      <x:c r="A4762" s="2" t="str">
        <x:v>QAT</x:v>
      </x:c>
      <x:c r="B4762" s="2" t="str">
        <x:v>agriculture_employment</x:v>
      </x:c>
      <x:c r="C4762" s="2" t="n">
        <x:v>1.62035055673617</x:v>
      </x:c>
      <x:c r="D4762" s="2" t="n">
        <x:v>2025</x:v>
      </x:c>
      <x:c r="E4762" s="2" t="str">
        <x:v>WB_agriculture_employment</x:v>
      </x:c>
      <x:c r="F4762" s="2" t="str">
        <x:v>Employment in agriculture (% of total employment) (modeled ILO estimate)</x:v>
      </x:c>
    </x:row>
    <x:row r="4763" ht="44" customHeight="1">
      <x:c r="A4763" s="2" t="str">
        <x:v>QAT</x:v>
      </x:c>
      <x:c r="B4763" s="2" t="str">
        <x:v>water_withdrawal</x:v>
      </x:c>
      <x:c r="C4763" s="2" t="n">
        <x:v>446.428571428571</x:v>
      </x:c>
      <x:c r="D4763" s="2" t="n">
        <x:v>2022</x:v>
      </x:c>
      <x:c r="E4763" s="2" t="str">
        <x:v>WB_water_withdrawal</x:v>
      </x:c>
      <x:c r="F4763" s="2" t="str">
        <x:v>Annual freshwater withdrawals, total (% of internal resources)</x:v>
      </x:c>
    </x:row>
    <x:row r="4764" ht="44" customHeight="1">
      <x:c r="A4764" s="2" t="str">
        <x:v>KOR</x:v>
      </x:c>
      <x:c r="B4764" s="2" t="str">
        <x:v>population</x:v>
      </x:c>
      <x:c r="C4764" s="2" t="n">
        <x:v>51684564</x:v>
      </x:c>
      <x:c r="D4764" s="2" t="n">
        <x:v>2025</x:v>
      </x:c>
      <x:c r="E4764" s="2" t="str">
        <x:v>WB_population</x:v>
      </x:c>
      <x:c r="F4764" s="2" t="str">
        <x:v>Population, total</x:v>
      </x:c>
    </x:row>
    <x:row r="4765" ht="44" customHeight="1">
      <x:c r="A4765" s="2" t="str">
        <x:v>KOR</x:v>
      </x:c>
      <x:c r="B4765" s="2" t="str">
        <x:v>income_ppp</x:v>
      </x:c>
      <x:c r="C4765" s="2" t="n">
        <x:v>55697.0848086328</x:v>
      </x:c>
      <x:c r="D4765" s="2" t="n">
        <x:v>2025</x:v>
      </x:c>
      <x:c r="E4765" s="2" t="str">
        <x:v>WB_income_ppp</x:v>
      </x:c>
      <x:c r="F4765" s="2" t="str">
        <x:v>GDP per capita, PPP (constant 2021 international $)</x:v>
      </x:c>
    </x:row>
    <x:row r="4766" ht="44" customHeight="1">
      <x:c r="A4766" s="2" t="str">
        <x:v>KOR</x:v>
      </x:c>
      <x:c r="B4766" s="2" t="str">
        <x:v>urban</x:v>
      </x:c>
      <x:c r="C4766" s="2" t="n">
        <x:v>81.1740263306674</x:v>
      </x:c>
      <x:c r="D4766" s="2" t="n">
        <x:v>2025</x:v>
      </x:c>
      <x:c r="E4766" s="2" t="str">
        <x:v>WB_urban</x:v>
      </x:c>
      <x:c r="F4766" s="2" t="str">
        <x:v>Urban population (% of total population)</x:v>
      </x:c>
    </x:row>
    <x:row r="4767" ht="44" customHeight="1">
      <x:c r="A4767" s="2" t="str">
        <x:v>KOR</x:v>
      </x:c>
      <x:c r="B4767" s="2" t="str">
        <x:v>inflation</x:v>
      </x:c>
      <x:c r="C4767" s="2" t="n">
        <x:v>2.12309421458659</x:v>
      </x:c>
      <x:c r="D4767" s="2" t="n">
        <x:v>2025</x:v>
      </x:c>
      <x:c r="E4767" s="2" t="str">
        <x:v>WB_inflation</x:v>
      </x:c>
      <x:c r="F4767" s="2" t="str">
        <x:v>Inflation, consumer prices (annual %)</x:v>
      </x:c>
    </x:row>
    <x:row r="4768" ht="44" customHeight="1">
      <x:c r="A4768" s="2" t="str">
        <x:v>KOR</x:v>
      </x:c>
      <x:c r="B4768" s="2" t="str">
        <x:v>food_index</x:v>
      </x:c>
      <x:c r="C4768" s="2" t="n">
        <x:v>101.21</x:v>
      </x:c>
      <x:c r="D4768" s="2" t="n">
        <x:v>2022</x:v>
      </x:c>
      <x:c r="E4768" s="2" t="str">
        <x:v>WB_food_index</x:v>
      </x:c>
      <x:c r="F4768" s="2" t="str">
        <x:v>Food production index (2014-2016 = 100)</x:v>
      </x:c>
    </x:row>
    <x:row r="4769" ht="44" customHeight="1">
      <x:c r="A4769" s="2" t="str">
        <x:v>KOR</x:v>
      </x:c>
      <x:c r="B4769" s="2" t="str">
        <x:v>food_import_share</x:v>
      </x:c>
      <x:c r="C4769" s="2" t="n">
        <x:v>6.289153490062</x:v>
      </x:c>
      <x:c r="D4769" s="2" t="n">
        <x:v>2024</x:v>
      </x:c>
      <x:c r="E4769" s="2" t="str">
        <x:v>WB_food_import_share</x:v>
      </x:c>
      <x:c r="F4769" s="2" t="str">
        <x:v>Food imports (% of merchandise imports)</x:v>
      </x:c>
    </x:row>
    <x:row r="4770" ht="44" customHeight="1">
      <x:c r="A4770" s="2" t="str">
        <x:v>KOR</x:v>
      </x:c>
      <x:c r="B4770" s="2" t="str">
        <x:v>food_export_share</x:v>
      </x:c>
      <x:c r="C4770" s="2" t="n">
        <x:v>1.62783431239529</x:v>
      </x:c>
      <x:c r="D4770" s="2" t="n">
        <x:v>2024</x:v>
      </x:c>
      <x:c r="E4770" s="2" t="str">
        <x:v>WB_food_export_share</x:v>
      </x:c>
      <x:c r="F4770" s="2" t="str">
        <x:v>Food exports (% of merchandise exports)</x:v>
      </x:c>
    </x:row>
    <x:row r="4771" ht="44" customHeight="1">
      <x:c r="A4771" s="2" t="str">
        <x:v>KOR</x:v>
      </x:c>
      <x:c r="B4771" s="2" t="str">
        <x:v>imports_usd</x:v>
      </x:c>
      <x:c r="C4771" s="2" t="n">
        <x:v>631895000000</x:v>
      </x:c>
      <x:c r="D4771" s="2" t="n">
        <x:v>2025</x:v>
      </x:c>
      <x:c r="E4771" s="2" t="str">
        <x:v>WB_imports_usd</x:v>
      </x:c>
      <x:c r="F4771" s="2" t="str">
        <x:v>Merchandise imports (current US$)</x:v>
      </x:c>
    </x:row>
    <x:row r="4772" ht="44" customHeight="1">
      <x:c r="A4772" s="2" t="str">
        <x:v>KOR</x:v>
      </x:c>
      <x:c r="B4772" s="2" t="str">
        <x:v>exports_usd</x:v>
      </x:c>
      <x:c r="C4772" s="2" t="n">
        <x:v>709330000000</x:v>
      </x:c>
      <x:c r="D4772" s="2" t="n">
        <x:v>2025</x:v>
      </x:c>
      <x:c r="E4772" s="2" t="str">
        <x:v>WB_exports_usd</x:v>
      </x:c>
      <x:c r="F4772" s="2" t="str">
        <x:v>Merchandise exports (current US$)</x:v>
      </x:c>
    </x:row>
    <x:row r="4773" ht="44" customHeight="1">
      <x:c r="A4773" s="2" t="str">
        <x:v>KOR</x:v>
      </x:c>
      <x:c r="B4773" s="2" t="str">
        <x:v>cereal_yield</x:v>
      </x:c>
      <x:c r="C4773" s="2" t="n">
        <x:v>6615.2</x:v>
      </x:c>
      <x:c r="D4773" s="2" t="n">
        <x:v>2023</x:v>
      </x:c>
      <x:c r="E4773" s="2" t="str">
        <x:v>WB_cereal_yield</x:v>
      </x:c>
      <x:c r="F4773" s="2" t="str">
        <x:v>Cereal yield (kg per hectare)</x:v>
      </x:c>
    </x:row>
    <x:row r="4774" ht="44" customHeight="1">
      <x:c r="A4774" s="2" t="str">
        <x:v>KOR</x:v>
      </x:c>
      <x:c r="B4774" s="2" t="str">
        <x:v>water_stress</x:v>
      </x:c>
      <x:c r="C4774" s="2" t="n">
        <x:v>85.22183304</x:v>
      </x:c>
      <x:c r="D4774" s="2" t="n">
        <x:v>2022</x:v>
      </x:c>
      <x:c r="E4774" s="2" t="str">
        <x:v>WB_water_stress</x:v>
      </x:c>
      <x:c r="F4774" s="2" t="str">
        <x:v>Level of water stress: freshwater withdrawal as a proportion of available freshwater resources</x:v>
      </x:c>
    </x:row>
    <x:row r="4775" ht="44" customHeight="1">
      <x:c r="A4775" s="2" t="str">
        <x:v>KOR</x:v>
      </x:c>
      <x:c r="B4775" s="2" t="str">
        <x:v>fertility</x:v>
      </x:c>
      <x:c r="C4775" s="2" t="n">
        <x:v>0.748</x:v>
      </x:c>
      <x:c r="D4775" s="2" t="n">
        <x:v>2024</x:v>
      </x:c>
      <x:c r="E4775" s="2" t="str">
        <x:v>WB_fertility</x:v>
      </x:c>
      <x:c r="F4775" s="2" t="str">
        <x:v>Fertility rate, total (births per woman)</x:v>
      </x:c>
    </x:row>
    <x:row r="4776" ht="44" customHeight="1">
      <x:c r="A4776" s="2" t="str">
        <x:v>KOR</x:v>
      </x:c>
      <x:c r="B4776" s="2" t="str">
        <x:v>life_expectancy</x:v>
      </x:c>
      <x:c r="C4776" s="2" t="n">
        <x:v>83.6292682926829</x:v>
      </x:c>
      <x:c r="D4776" s="2" t="n">
        <x:v>2024</x:v>
      </x:c>
      <x:c r="E4776" s="2" t="str">
        <x:v>WB_life_expectancy</x:v>
      </x:c>
      <x:c r="F4776" s="2" t="str">
        <x:v>Life expectancy at birth, total (years)</x:v>
      </x:c>
    </x:row>
    <x:row r="4777" ht="44" customHeight="1">
      <x:c r="A4777" s="2" t="str">
        <x:v>KOR</x:v>
      </x:c>
      <x:c r="B4777" s="2" t="str">
        <x:v>age_under15</x:v>
      </x:c>
      <x:c r="C4777" s="2" t="n">
        <x:v>10.2044670479846</x:v>
      </x:c>
      <x:c r="D4777" s="2" t="n">
        <x:v>2025</x:v>
      </x:c>
      <x:c r="E4777" s="2" t="str">
        <x:v>WB_age_under15</x:v>
      </x:c>
      <x:c r="F4777" s="2" t="str">
        <x:v>Population ages 0-14 (% of total population)</x:v>
      </x:c>
    </x:row>
    <x:row r="4778" ht="44" customHeight="1">
      <x:c r="A4778" s="2" t="str">
        <x:v>KOR</x:v>
      </x:c>
      <x:c r="B4778" s="2" t="str">
        <x:v>age_over65</x:v>
      </x:c>
      <x:c r="C4778" s="2" t="n">
        <x:v>20.3304188408974</x:v>
      </x:c>
      <x:c r="D4778" s="2" t="n">
        <x:v>2025</x:v>
      </x:c>
      <x:c r="E4778" s="2" t="str">
        <x:v>WB_age_over65</x:v>
      </x:c>
      <x:c r="F4778" s="2" t="str">
        <x:v>Population ages 65 and above (% of total population)</x:v>
      </x:c>
    </x:row>
    <x:row r="4779" ht="44" customHeight="1">
      <x:c r="A4779" s="2" t="str">
        <x:v>KOR</x:v>
      </x:c>
      <x:c r="B4779" s="2" t="str">
        <x:v>dependency_ratio</x:v>
      </x:c>
      <x:c r="C4779" s="2" t="n">
        <x:v>43.9571507924701</x:v>
      </x:c>
      <x:c r="D4779" s="2" t="n">
        <x:v>2025</x:v>
      </x:c>
      <x:c r="E4779" s="2" t="str">
        <x:v>WB_dependency_ratio</x:v>
      </x:c>
      <x:c r="F4779" s="2" t="str">
        <x:v>Age dependency ratio (% of working-age population)</x:v>
      </x:c>
    </x:row>
    <x:row r="4780" ht="44" customHeight="1">
      <x:c r="A4780" s="2" t="str">
        <x:v>KOR</x:v>
      </x:c>
      <x:c r="B4780" s="2" t="str">
        <x:v>net_migration</x:v>
      </x:c>
      <x:c r="C4780" s="2" t="n">
        <x:v>65731</x:v>
      </x:c>
      <x:c r="D4780" s="2" t="n">
        <x:v>2025</x:v>
      </x:c>
      <x:c r="E4780" s="2" t="str">
        <x:v>WB_net_migration</x:v>
      </x:c>
      <x:c r="F4780" s="2" t="str">
        <x:v>Net migration</x:v>
      </x:c>
    </x:row>
    <x:row r="4781" ht="44" customHeight="1">
      <x:c r="A4781" s="2" t="str">
        <x:v>KOR</x:v>
      </x:c>
      <x:c r="B4781" s="2" t="str">
        <x:v>real_gdp</x:v>
      </x:c>
      <x:c r="C4781" s="2" t="n">
        <x:v>1936603041534.49</x:v>
      </x:c>
      <x:c r="D4781" s="2" t="n">
        <x:v>2025</x:v>
      </x:c>
      <x:c r="E4781" s="2" t="str">
        <x:v>WB_real_gdp</x:v>
      </x:c>
      <x:c r="F4781" s="2" t="str">
        <x:v>GDP (constant 2015 US$)</x:v>
      </x:c>
    </x:row>
    <x:row r="4782" ht="44" customHeight="1">
      <x:c r="A4782" s="2" t="str">
        <x:v>KOR</x:v>
      </x:c>
      <x:c r="B4782" s="2" t="str">
        <x:v>gdp_growth</x:v>
      </x:c>
      <x:c r="C4782" s="2" t="n">
        <x:v>1.00701840291242</x:v>
      </x:c>
      <x:c r="D4782" s="2" t="n">
        <x:v>2025</x:v>
      </x:c>
      <x:c r="E4782" s="2" t="str">
        <x:v>WB_gdp_growth</x:v>
      </x:c>
      <x:c r="F4782" s="2" t="str">
        <x:v>GDP growth (annual %)</x:v>
      </x:c>
    </x:row>
    <x:row r="4783" ht="44" customHeight="1">
      <x:c r="A4783" s="2" t="str">
        <x:v>KOR</x:v>
      </x:c>
      <x:c r="B4783" s="2" t="str">
        <x:v>real_income</x:v>
      </x:c>
      <x:c r="C4783" s="2" t="n">
        <x:v>37469.6600233386</x:v>
      </x:c>
      <x:c r="D4783" s="2" t="n">
        <x:v>2025</x:v>
      </x:c>
      <x:c r="E4783" s="2" t="str">
        <x:v>WB_real_income</x:v>
      </x:c>
      <x:c r="F4783" s="2" t="str">
        <x:v>GDP per capita (constant 2015 US$)</x:v>
      </x:c>
    </x:row>
    <x:row r="4784" ht="44" customHeight="1">
      <x:c r="A4784" s="2" t="str">
        <x:v>KOR</x:v>
      </x:c>
      <x:c r="B4784" s="2" t="str">
        <x:v>agriculture_gdp</x:v>
      </x:c>
      <x:c r="C4784" s="2" t="n">
        <x:v>1.46427275259293</x:v>
      </x:c>
      <x:c r="D4784" s="2" t="n">
        <x:v>2025</x:v>
      </x:c>
      <x:c r="E4784" s="2" t="str">
        <x:v>WB_agriculture_gdp</x:v>
      </x:c>
      <x:c r="F4784" s="2" t="str">
        <x:v>Agriculture, forestry, and fishing, value added (% of GDP)</x:v>
      </x:c>
    </x:row>
    <x:row r="4785" ht="44" customHeight="1">
      <x:c r="A4785" s="2" t="str">
        <x:v>KOR</x:v>
      </x:c>
      <x:c r="B4785" s="2" t="str">
        <x:v>poverty</x:v>
      </x:c>
      <x:c r="C4785" s="2" t="n">
        <x:v>0.1</x:v>
      </x:c>
      <x:c r="D4785" s="2" t="n">
        <x:v>2021</x:v>
      </x:c>
      <x:c r="E4785" s="2" t="str">
        <x:v>WB_poverty</x:v>
      </x:c>
      <x:c r="F4785" s="2" t="str">
        <x:v>Poverty headcount ratio at $3.00 a day (2021 PPP) (% of population)</x:v>
      </x:c>
    </x:row>
    <x:row r="4786" ht="44" customHeight="1">
      <x:c r="A4786" s="2" t="str">
        <x:v>KOR</x:v>
      </x:c>
      <x:c r="B4786" s="2" t="str">
        <x:v>gini</x:v>
      </x:c>
      <x:c r="C4786" s="2" t="n">
        <x:v>32.9</x:v>
      </x:c>
      <x:c r="D4786" s="2" t="n">
        <x:v>2021</x:v>
      </x:c>
      <x:c r="E4786" s="2" t="str">
        <x:v>WB_gini</x:v>
      </x:c>
      <x:c r="F4786" s="2" t="str">
        <x:v>Gini index</x:v>
      </x:c>
    </x:row>
    <x:row r="4787" ht="44" customHeight="1">
      <x:c r="A4787" s="2" t="str">
        <x:v>KOR</x:v>
      </x:c>
      <x:c r="B4787" s="2" t="str">
        <x:v>unemployment</x:v>
      </x:c>
      <x:c r="C4787" s="2" t="n">
        <x:v>2.683</x:v>
      </x:c>
      <x:c r="D4787" s="2" t="n">
        <x:v>2025</x:v>
      </x:c>
      <x:c r="E4787" s="2" t="str">
        <x:v>WB_unemployment</x:v>
      </x:c>
      <x:c r="F4787" s="2" t="str">
        <x:v>Unemployment, total (% of total labor force) (modeled ILO estimate)</x:v>
      </x:c>
    </x:row>
    <x:row r="4788" ht="44" customHeight="1">
      <x:c r="A4788" s="2" t="str">
        <x:v>KOR</x:v>
      </x:c>
      <x:c r="B4788" s="2" t="str">
        <x:v>private_credit</x:v>
      </x:c>
      <x:c r="C4788" s="2" t="n">
        <x:v>160.347182678236</x:v>
      </x:c>
      <x:c r="D4788" s="2" t="n">
        <x:v>2024</x:v>
      </x:c>
      <x:c r="E4788" s="2" t="str">
        <x:v>WB_private_credit</x:v>
      </x:c>
      <x:c r="F4788" s="2" t="str">
        <x:v>Domestic credit to private sector (% of GDP)</x:v>
      </x:c>
    </x:row>
    <x:row r="4789" ht="44" customHeight="1">
      <x:c r="A4789" s="2" t="str">
        <x:v>KOR</x:v>
      </x:c>
      <x:c r="B4789" s="2" t="str">
        <x:v>lending_rate</x:v>
      </x:c>
      <x:c r="C4789" s="2" t="n">
        <x:v>4.1925</x:v>
      </x:c>
      <x:c r="D4789" s="2" t="n">
        <x:v>2025</x:v>
      </x:c>
      <x:c r="E4789" s="2" t="str">
        <x:v>WB_lending_rate</x:v>
      </x:c>
      <x:c r="F4789" s="2" t="str">
        <x:v>Lending interest rate (%)</x:v>
      </x:c>
    </x:row>
    <x:row r="4790" ht="44" customHeight="1">
      <x:c r="A4790" s="2" t="str">
        <x:v>KOR</x:v>
      </x:c>
      <x:c r="B4790" s="2" t="str">
        <x:v>real_interest</x:v>
      </x:c>
      <x:c r="C4790" s="2" t="n">
        <x:v>1.03398477457102</x:v>
      </x:c>
      <x:c r="D4790" s="2" t="n">
        <x:v>2025</x:v>
      </x:c>
      <x:c r="E4790" s="2" t="str">
        <x:v>WB_real_interest</x:v>
      </x:c>
      <x:c r="F4790" s="2" t="str">
        <x:v>Real interest rate (%)</x:v>
      </x:c>
    </x:row>
    <x:row r="4791" ht="44" customHeight="1">
      <x:c r="A4791" s="2" t="str">
        <x:v>KOR</x:v>
      </x:c>
      <x:c r="B4791" s="2" t="str">
        <x:v>government_debt</x:v>
      </x:c>
      <x:c r="C4791" s="2" t="n">
        <x:v>47.8141426119509</x:v>
      </x:c>
      <x:c r="D4791" s="2" t="n">
        <x:v>2024</x:v>
      </x:c>
      <x:c r="E4791" s="2" t="str">
        <x:v>WB_government_debt</x:v>
      </x:c>
      <x:c r="F4791" s="2" t="str">
        <x:v>Central government debt, total (% of GDP)</x:v>
      </x:c>
    </x:row>
    <x:row r="4792" ht="44" customHeight="1">
      <x:c r="A4792" s="2" t="str">
        <x:v>KOR</x:v>
      </x:c>
      <x:c r="B4792" s="2" t="str">
        <x:v>electricity_access</x:v>
      </x:c>
      <x:c r="C4792" s="2" t="n">
        <x:v>100</x:v>
      </x:c>
      <x:c r="D4792" s="2" t="n">
        <x:v>2024</x:v>
      </x:c>
      <x:c r="E4792" s="2" t="str">
        <x:v>WB_electricity_access</x:v>
      </x:c>
      <x:c r="F4792" s="2" t="str">
        <x:v>Access to electricity (% of population)</x:v>
      </x:c>
    </x:row>
    <x:row r="4793" ht="44" customHeight="1">
      <x:c r="A4793" s="2" t="str">
        <x:v>KOR</x:v>
      </x:c>
      <x:c r="B4793" s="2" t="str">
        <x:v>irrigated_land</x:v>
      </x:c>
      <x:c r="C4793" s="2"/>
      <x:c r="D4793" s="2"/>
      <x:c r="E4793" s="2" t="str">
        <x:v>Missing</x:v>
      </x:c>
      <x:c r="F4793" s="2" t="str">
        <x:v>Agricultural irrigated land (% of total agricultural land)</x:v>
      </x:c>
    </x:row>
    <x:row r="4794" ht="44" customHeight="1">
      <x:c r="A4794" s="2" t="str">
        <x:v>KOR</x:v>
      </x:c>
      <x:c r="B4794" s="2" t="str">
        <x:v>cereal_area</x:v>
      </x:c>
      <x:c r="C4794" s="2" t="n">
        <x:v>776099</x:v>
      </x:c>
      <x:c r="D4794" s="2" t="n">
        <x:v>2023</x:v>
      </x:c>
      <x:c r="E4794" s="2" t="str">
        <x:v>WB_cereal_area</x:v>
      </x:c>
      <x:c r="F4794" s="2" t="str">
        <x:v>Land under cereal production (hectares)</x:v>
      </x:c>
    </x:row>
    <x:row r="4795" ht="44" customHeight="1">
      <x:c r="A4795" s="2" t="str">
        <x:v>KOR</x:v>
      </x:c>
      <x:c r="B4795" s="2" t="str">
        <x:v>undernourishment</x:v>
      </x:c>
      <x:c r="C4795" s="2" t="n">
        <x:v>2.5</x:v>
      </x:c>
      <x:c r="D4795" s="2" t="n">
        <x:v>2023</x:v>
      </x:c>
      <x:c r="E4795" s="2" t="str">
        <x:v>WB_undernourishment</x:v>
      </x:c>
      <x:c r="F4795" s="2" t="str">
        <x:v>Prevalence of undernourishment (% of population)</x:v>
      </x:c>
    </x:row>
    <x:row r="4796" ht="44" customHeight="1">
      <x:c r="A4796" s="2" t="str">
        <x:v>KOR</x:v>
      </x:c>
      <x:c r="B4796" s="2" t="str">
        <x:v>agriculture_employment</x:v>
      </x:c>
      <x:c r="C4796" s="2" t="n">
        <x:v>5.10382768921025</x:v>
      </x:c>
      <x:c r="D4796" s="2" t="n">
        <x:v>2025</x:v>
      </x:c>
      <x:c r="E4796" s="2" t="str">
        <x:v>WB_agriculture_employment</x:v>
      </x:c>
      <x:c r="F4796" s="2" t="str">
        <x:v>Employment in agriculture (% of total employment) (modeled ILO estimate)</x:v>
      </x:c>
    </x:row>
    <x:row r="4797" ht="44" customHeight="1">
      <x:c r="A4797" s="2" t="str">
        <x:v>KOR</x:v>
      </x:c>
      <x:c r="B4797" s="2" t="str">
        <x:v>water_withdrawal</x:v>
      </x:c>
      <x:c r="C4797" s="2" t="n">
        <x:v>45.0223592906708</x:v>
      </x:c>
      <x:c r="D4797" s="2" t="n">
        <x:v>2022</x:v>
      </x:c>
      <x:c r="E4797" s="2" t="str">
        <x:v>WB_water_withdrawal</x:v>
      </x:c>
      <x:c r="F4797" s="2" t="str">
        <x:v>Annual freshwater withdrawals, total (% of internal resources)</x:v>
      </x:c>
    </x:row>
    <x:row r="4798" ht="44" customHeight="1">
      <x:c r="A4798" s="2" t="str">
        <x:v>MDA</x:v>
      </x:c>
      <x:c r="B4798" s="2" t="str">
        <x:v>population</x:v>
      </x:c>
      <x:c r="C4798" s="2" t="n">
        <x:v>2360527</x:v>
      </x:c>
      <x:c r="D4798" s="2" t="n">
        <x:v>2025</x:v>
      </x:c>
      <x:c r="E4798" s="2" t="str">
        <x:v>WB_population</x:v>
      </x:c>
      <x:c r="F4798" s="2" t="str">
        <x:v>Population, total</x:v>
      </x:c>
    </x:row>
    <x:row r="4799" ht="44" customHeight="1">
      <x:c r="A4799" s="2" t="str">
        <x:v>MDA</x:v>
      </x:c>
      <x:c r="B4799" s="2" t="str">
        <x:v>income_ppp</x:v>
      </x:c>
      <x:c r="C4799" s="2" t="n">
        <x:v>17087.1874044819</x:v>
      </x:c>
      <x:c r="D4799" s="2" t="n">
        <x:v>2025</x:v>
      </x:c>
      <x:c r="E4799" s="2" t="str">
        <x:v>WB_income_ppp</x:v>
      </x:c>
      <x:c r="F4799" s="2" t="str">
        <x:v>GDP per capita, PPP (constant 2021 international $)</x:v>
      </x:c>
    </x:row>
    <x:row r="4800" ht="44" customHeight="1">
      <x:c r="A4800" s="2" t="str">
        <x:v>MDA</x:v>
      </x:c>
      <x:c r="B4800" s="2" t="str">
        <x:v>urban</x:v>
      </x:c>
      <x:c r="C4800" s="2" t="n">
        <x:v>43.7336240404545</x:v>
      </x:c>
      <x:c r="D4800" s="2" t="n">
        <x:v>2025</x:v>
      </x:c>
      <x:c r="E4800" s="2" t="str">
        <x:v>WB_urban</x:v>
      </x:c>
      <x:c r="F4800" s="2" t="str">
        <x:v>Urban population (% of total population)</x:v>
      </x:c>
    </x:row>
    <x:row r="4801" ht="44" customHeight="1">
      <x:c r="A4801" s="2" t="str">
        <x:v>MDA</x:v>
      </x:c>
      <x:c r="B4801" s="2" t="str">
        <x:v>inflation</x:v>
      </x:c>
      <x:c r="C4801" s="2" t="n">
        <x:v>7.75904124001159</x:v>
      </x:c>
      <x:c r="D4801" s="2" t="n">
        <x:v>2025</x:v>
      </x:c>
      <x:c r="E4801" s="2" t="str">
        <x:v>WB_inflation</x:v>
      </x:c>
      <x:c r="F4801" s="2" t="str">
        <x:v>Inflation, consumer prices (annual %)</x:v>
      </x:c>
    </x:row>
    <x:row r="4802" ht="44" customHeight="1">
      <x:c r="A4802" s="2" t="str">
        <x:v>MDA</x:v>
      </x:c>
      <x:c r="B4802" s="2" t="str">
        <x:v>food_index</x:v>
      </x:c>
      <x:c r="C4802" s="2" t="n">
        <x:v>89.67</x:v>
      </x:c>
      <x:c r="D4802" s="2" t="n">
        <x:v>2022</x:v>
      </x:c>
      <x:c r="E4802" s="2" t="str">
        <x:v>WB_food_index</x:v>
      </x:c>
      <x:c r="F4802" s="2" t="str">
        <x:v>Food production index (2014-2016 = 100)</x:v>
      </x:c>
    </x:row>
    <x:row r="4803" ht="44" customHeight="1">
      <x:c r="A4803" s="2" t="str">
        <x:v>MDA</x:v>
      </x:c>
      <x:c r="B4803" s="2" t="str">
        <x:v>food_import_share</x:v>
      </x:c>
      <x:c r="C4803" s="2" t="n">
        <x:v>15.3983909668339</x:v>
      </x:c>
      <x:c r="D4803" s="2" t="n">
        <x:v>2024</x:v>
      </x:c>
      <x:c r="E4803" s="2" t="str">
        <x:v>WB_food_import_share</x:v>
      </x:c>
      <x:c r="F4803" s="2" t="str">
        <x:v>Food imports (% of merchandise imports)</x:v>
      </x:c>
    </x:row>
    <x:row r="4804" ht="44" customHeight="1">
      <x:c r="A4804" s="2" t="str">
        <x:v>MDA</x:v>
      </x:c>
      <x:c r="B4804" s="2" t="str">
        <x:v>food_export_share</x:v>
      </x:c>
      <x:c r="C4804" s="2" t="n">
        <x:v>56.1088580639776</x:v>
      </x:c>
      <x:c r="D4804" s="2" t="n">
        <x:v>2024</x:v>
      </x:c>
      <x:c r="E4804" s="2" t="str">
        <x:v>WB_food_export_share</x:v>
      </x:c>
      <x:c r="F4804" s="2" t="str">
        <x:v>Food exports (% of merchandise exports)</x:v>
      </x:c>
    </x:row>
    <x:row r="4805" ht="44" customHeight="1">
      <x:c r="A4805" s="2" t="str">
        <x:v>MDA</x:v>
      </x:c>
      <x:c r="B4805" s="2" t="str">
        <x:v>imports_usd</x:v>
      </x:c>
      <x:c r="C4805" s="2" t="n">
        <x:v>10922000000</x:v>
      </x:c>
      <x:c r="D4805" s="2" t="n">
        <x:v>2025</x:v>
      </x:c>
      <x:c r="E4805" s="2" t="str">
        <x:v>WB_imports_usd</x:v>
      </x:c>
      <x:c r="F4805" s="2" t="str">
        <x:v>Merchandise imports (current US$)</x:v>
      </x:c>
    </x:row>
    <x:row r="4806" ht="44" customHeight="1">
      <x:c r="A4806" s="2" t="str">
        <x:v>MDA</x:v>
      </x:c>
      <x:c r="B4806" s="2" t="str">
        <x:v>exports_usd</x:v>
      </x:c>
      <x:c r="C4806" s="2" t="n">
        <x:v>3783000000</x:v>
      </x:c>
      <x:c r="D4806" s="2" t="n">
        <x:v>2025</x:v>
      </x:c>
      <x:c r="E4806" s="2" t="str">
        <x:v>WB_exports_usd</x:v>
      </x:c>
      <x:c r="F4806" s="2" t="str">
        <x:v>Merchandise exports (current US$)</x:v>
      </x:c>
    </x:row>
    <x:row r="4807" ht="44" customHeight="1">
      <x:c r="A4807" s="2" t="str">
        <x:v>MDA</x:v>
      </x:c>
      <x:c r="B4807" s="2" t="str">
        <x:v>cereal_yield</x:v>
      </x:c>
      <x:c r="C4807" s="2" t="n">
        <x:v>3434</x:v>
      </x:c>
      <x:c r="D4807" s="2" t="n">
        <x:v>2023</x:v>
      </x:c>
      <x:c r="E4807" s="2" t="str">
        <x:v>WB_cereal_yield</x:v>
      </x:c>
      <x:c r="F4807" s="2" t="str">
        <x:v>Cereal yield (kg per hectare)</x:v>
      </x:c>
    </x:row>
    <x:row r="4808" ht="44" customHeight="1">
      <x:c r="A4808" s="2" t="str">
        <x:v>MDA</x:v>
      </x:c>
      <x:c r="B4808" s="2" t="str">
        <x:v>water_stress</x:v>
      </x:c>
      <x:c r="C4808" s="2" t="n">
        <x:v>12.56311256</x:v>
      </x:c>
      <x:c r="D4808" s="2" t="n">
        <x:v>2022</x:v>
      </x:c>
      <x:c r="E4808" s="2" t="str">
        <x:v>WB_water_stress</x:v>
      </x:c>
      <x:c r="F4808" s="2" t="str">
        <x:v>Level of water stress: freshwater withdrawal as a proportion of available freshwater resources</x:v>
      </x:c>
    </x:row>
    <x:row r="4809" ht="44" customHeight="1">
      <x:c r="A4809" s="2" t="str">
        <x:v>MDA</x:v>
      </x:c>
      <x:c r="B4809" s="2" t="str">
        <x:v>fertility</x:v>
      </x:c>
      <x:c r="C4809" s="2" t="n">
        <x:v>1.726</x:v>
      </x:c>
      <x:c r="D4809" s="2" t="n">
        <x:v>2024</x:v>
      </x:c>
      <x:c r="E4809" s="2" t="str">
        <x:v>WB_fertility</x:v>
      </x:c>
      <x:c r="F4809" s="2" t="str">
        <x:v>Fertility rate, total (births per woman)</x:v>
      </x:c>
    </x:row>
    <x:row r="4810" ht="44" customHeight="1">
      <x:c r="A4810" s="2" t="str">
        <x:v>MDA</x:v>
      </x:c>
      <x:c r="B4810" s="2" t="str">
        <x:v>life_expectancy</x:v>
      </x:c>
      <x:c r="C4810" s="2" t="n">
        <x:v>71.332</x:v>
      </x:c>
      <x:c r="D4810" s="2" t="n">
        <x:v>2024</x:v>
      </x:c>
      <x:c r="E4810" s="2" t="str">
        <x:v>WB_life_expectancy</x:v>
      </x:c>
      <x:c r="F4810" s="2" t="str">
        <x:v>Life expectancy at birth, total (years)</x:v>
      </x:c>
    </x:row>
    <x:row r="4811" ht="44" customHeight="1">
      <x:c r="A4811" s="2" t="str">
        <x:v>MDA</x:v>
      </x:c>
      <x:c r="B4811" s="2" t="str">
        <x:v>age_under15</x:v>
      </x:c>
      <x:c r="C4811" s="2" t="n">
        <x:v>19.5343421651874</x:v>
      </x:c>
      <x:c r="D4811" s="2" t="n">
        <x:v>2025</x:v>
      </x:c>
      <x:c r="E4811" s="2" t="str">
        <x:v>WB_age_under15</x:v>
      </x:c>
      <x:c r="F4811" s="2" t="str">
        <x:v>Population ages 0-14 (% of total population)</x:v>
      </x:c>
    </x:row>
    <x:row r="4812" ht="44" customHeight="1">
      <x:c r="A4812" s="2" t="str">
        <x:v>MDA</x:v>
      </x:c>
      <x:c r="B4812" s="2" t="str">
        <x:v>age_over65</x:v>
      </x:c>
      <x:c r="C4812" s="2" t="n">
        <x:v>16.8576673952236</x:v>
      </x:c>
      <x:c r="D4812" s="2" t="n">
        <x:v>2025</x:v>
      </x:c>
      <x:c r="E4812" s="2" t="str">
        <x:v>WB_age_over65</x:v>
      </x:c>
      <x:c r="F4812" s="2" t="str">
        <x:v>Population ages 65 and above (% of total population)</x:v>
      </x:c>
    </x:row>
    <x:row r="4813" ht="44" customHeight="1">
      <x:c r="A4813" s="2" t="str">
        <x:v>MDA</x:v>
      </x:c>
      <x:c r="B4813" s="2" t="str">
        <x:v>dependency_ratio</x:v>
      </x:c>
      <x:c r="C4813" s="2" t="n">
        <x:v>57.2129306739199</x:v>
      </x:c>
      <x:c r="D4813" s="2" t="n">
        <x:v>2025</x:v>
      </x:c>
      <x:c r="E4813" s="2" t="str">
        <x:v>WB_dependency_ratio</x:v>
      </x:c>
      <x:c r="F4813" s="2" t="str">
        <x:v>Age dependency ratio (% of working-age population)</x:v>
      </x:c>
    </x:row>
    <x:row r="4814" ht="44" customHeight="1">
      <x:c r="A4814" s="2" t="str">
        <x:v>MDA</x:v>
      </x:c>
      <x:c r="B4814" s="2" t="str">
        <x:v>net_migration</x:v>
      </x:c>
      <x:c r="C4814" s="2" t="n">
        <x:v>-29766</x:v>
      </x:c>
      <x:c r="D4814" s="2" t="n">
        <x:v>2025</x:v>
      </x:c>
      <x:c r="E4814" s="2" t="str">
        <x:v>WB_net_migration</x:v>
      </x:c>
      <x:c r="F4814" s="2" t="str">
        <x:v>Net migration</x:v>
      </x:c>
    </x:row>
    <x:row r="4815" ht="44" customHeight="1">
      <x:c r="A4815" s="2" t="str">
        <x:v>MDA</x:v>
      </x:c>
      <x:c r="B4815" s="2" t="str">
        <x:v>real_gdp</x:v>
      </x:c>
      <x:c r="C4815" s="2" t="n">
        <x:v>9486079719.1752</x:v>
      </x:c>
      <x:c r="D4815" s="2" t="n">
        <x:v>2025</x:v>
      </x:c>
      <x:c r="E4815" s="2" t="str">
        <x:v>WB_real_gdp</x:v>
      </x:c>
      <x:c r="F4815" s="2" t="str">
        <x:v>GDP (constant 2015 US$)</x:v>
      </x:c>
    </x:row>
    <x:row r="4816" ht="44" customHeight="1">
      <x:c r="A4816" s="2" t="str">
        <x:v>MDA</x:v>
      </x:c>
      <x:c r="B4816" s="2" t="str">
        <x:v>gdp_growth</x:v>
      </x:c>
      <x:c r="C4816" s="2" t="n">
        <x:v>2.41649734575068</x:v>
      </x:c>
      <x:c r="D4816" s="2" t="n">
        <x:v>2025</x:v>
      </x:c>
      <x:c r="E4816" s="2" t="str">
        <x:v>WB_gdp_growth</x:v>
      </x:c>
      <x:c r="F4816" s="2" t="str">
        <x:v>GDP growth (annual %)</x:v>
      </x:c>
    </x:row>
    <x:row r="4817" ht="44" customHeight="1">
      <x:c r="A4817" s="2" t="str">
        <x:v>MDA</x:v>
      </x:c>
      <x:c r="B4817" s="2" t="str">
        <x:v>real_income</x:v>
      </x:c>
      <x:c r="C4817" s="2" t="n">
        <x:v>4018.62792468597</x:v>
      </x:c>
      <x:c r="D4817" s="2" t="n">
        <x:v>2025</x:v>
      </x:c>
      <x:c r="E4817" s="2" t="str">
        <x:v>WB_real_income</x:v>
      </x:c>
      <x:c r="F4817" s="2" t="str">
        <x:v>GDP per capita (constant 2015 US$)</x:v>
      </x:c>
    </x:row>
    <x:row r="4818" ht="44" customHeight="1">
      <x:c r="A4818" s="2" t="str">
        <x:v>MDA</x:v>
      </x:c>
      <x:c r="B4818" s="2" t="str">
        <x:v>agriculture_gdp</x:v>
      </x:c>
      <x:c r="C4818" s="2" t="n">
        <x:v>7.37632402548248</x:v>
      </x:c>
      <x:c r="D4818" s="2" t="n">
        <x:v>2025</x:v>
      </x:c>
      <x:c r="E4818" s="2" t="str">
        <x:v>WB_agriculture_gdp</x:v>
      </x:c>
      <x:c r="F4818" s="2" t="str">
        <x:v>Agriculture, forestry, and fishing, value added (% of GDP)</x:v>
      </x:c>
    </x:row>
    <x:row r="4819" ht="44" customHeight="1">
      <x:c r="A4819" s="2" t="str">
        <x:v>MDA</x:v>
      </x:c>
      <x:c r="B4819" s="2" t="str">
        <x:v>poverty</x:v>
      </x:c>
      <x:c r="C4819" s="2" t="n">
        <x:v>0.1</x:v>
      </x:c>
      <x:c r="D4819" s="2" t="n">
        <x:v>2023</x:v>
      </x:c>
      <x:c r="E4819" s="2" t="str">
        <x:v>WB_poverty</x:v>
      </x:c>
      <x:c r="F4819" s="2" t="str">
        <x:v>Poverty headcount ratio at $3.00 a day (2021 PPP) (% of population)</x:v>
      </x:c>
    </x:row>
    <x:row r="4820" ht="44" customHeight="1">
      <x:c r="A4820" s="2" t="str">
        <x:v>MDA</x:v>
      </x:c>
      <x:c r="B4820" s="2" t="str">
        <x:v>gini</x:v>
      </x:c>
      <x:c r="C4820" s="2" t="n">
        <x:v>26.8</x:v>
      </x:c>
      <x:c r="D4820" s="2" t="n">
        <x:v>2023</x:v>
      </x:c>
      <x:c r="E4820" s="2" t="str">
        <x:v>WB_gini</x:v>
      </x:c>
      <x:c r="F4820" s="2" t="str">
        <x:v>Gini index</x:v>
      </x:c>
    </x:row>
    <x:row r="4821" ht="44" customHeight="1">
      <x:c r="A4821" s="2" t="str">
        <x:v>MDA</x:v>
      </x:c>
      <x:c r="B4821" s="2" t="str">
        <x:v>unemployment</x:v>
      </x:c>
      <x:c r="C4821" s="2" t="n">
        <x:v>1.505</x:v>
      </x:c>
      <x:c r="D4821" s="2" t="n">
        <x:v>2025</x:v>
      </x:c>
      <x:c r="E4821" s="2" t="str">
        <x:v>WB_unemployment</x:v>
      </x:c>
      <x:c r="F4821" s="2" t="str">
        <x:v>Unemployment, total (% of total labor force) (modeled ILO estimate)</x:v>
      </x:c>
    </x:row>
    <x:row r="4822" ht="44" customHeight="1">
      <x:c r="A4822" s="2" t="str">
        <x:v>MDA</x:v>
      </x:c>
      <x:c r="B4822" s="2" t="str">
        <x:v>private_credit</x:v>
      </x:c>
      <x:c r="C4822" s="2" t="n">
        <x:v>29.3332103367705</x:v>
      </x:c>
      <x:c r="D4822" s="2" t="n">
        <x:v>2024</x:v>
      </x:c>
      <x:c r="E4822" s="2" t="str">
        <x:v>WB_private_credit</x:v>
      </x:c>
      <x:c r="F4822" s="2" t="str">
        <x:v>Domestic credit to private sector (% of GDP)</x:v>
      </x:c>
    </x:row>
    <x:row r="4823" ht="44" customHeight="1">
      <x:c r="A4823" s="2" t="str">
        <x:v>MDA</x:v>
      </x:c>
      <x:c r="B4823" s="2" t="str">
        <x:v>lending_rate</x:v>
      </x:c>
      <x:c r="C4823" s="2" t="n">
        <x:v>8.9852652157229</x:v>
      </x:c>
      <x:c r="D4823" s="2" t="n">
        <x:v>2025</x:v>
      </x:c>
      <x:c r="E4823" s="2" t="str">
        <x:v>WB_lending_rate</x:v>
      </x:c>
      <x:c r="F4823" s="2" t="str">
        <x:v>Lending interest rate (%)</x:v>
      </x:c>
    </x:row>
    <x:row r="4824" ht="44" customHeight="1">
      <x:c r="A4824" s="2" t="str">
        <x:v>MDA</x:v>
      </x:c>
      <x:c r="B4824" s="2" t="str">
        <x:v>real_interest</x:v>
      </x:c>
      <x:c r="C4824" s="2" t="n">
        <x:v>2.27680500440031</x:v>
      </x:c>
      <x:c r="D4824" s="2" t="n">
        <x:v>2025</x:v>
      </x:c>
      <x:c r="E4824" s="2" t="str">
        <x:v>WB_real_interest</x:v>
      </x:c>
      <x:c r="F4824" s="2" t="str">
        <x:v>Real interest rate (%)</x:v>
      </x:c>
    </x:row>
    <x:row r="4825" ht="44" customHeight="1">
      <x:c r="A4825" s="2" t="str">
        <x:v>MDA</x:v>
      </x:c>
      <x:c r="B4825" s="2" t="str">
        <x:v>government_debt</x:v>
      </x:c>
      <x:c r="C4825" s="2" t="n">
        <x:v>34.261803411132</x:v>
      </x:c>
      <x:c r="D4825" s="2" t="n">
        <x:v>2023</x:v>
      </x:c>
      <x:c r="E4825" s="2" t="str">
        <x:v>WB_government_debt</x:v>
      </x:c>
      <x:c r="F4825" s="2" t="str">
        <x:v>Central government debt, total (% of GDP)</x:v>
      </x:c>
    </x:row>
    <x:row r="4826" ht="44" customHeight="1">
      <x:c r="A4826" s="2" t="str">
        <x:v>MDA</x:v>
      </x:c>
      <x:c r="B4826" s="2" t="str">
        <x:v>electricity_access</x:v>
      </x:c>
      <x:c r="C4826" s="2" t="n">
        <x:v>100</x:v>
      </x:c>
      <x:c r="D4826" s="2" t="n">
        <x:v>2024</x:v>
      </x:c>
      <x:c r="E4826" s="2" t="str">
        <x:v>WB_electricity_access</x:v>
      </x:c>
      <x:c r="F4826" s="2" t="str">
        <x:v>Access to electricity (% of population)</x:v>
      </x:c>
    </x:row>
    <x:row r="4827" ht="44" customHeight="1">
      <x:c r="A4827" s="2" t="str">
        <x:v>MDA</x:v>
      </x:c>
      <x:c r="B4827" s="2" t="str">
        <x:v>irrigated_land</x:v>
      </x:c>
      <x:c r="C4827" s="2" t="n">
        <x:v>8.72950819672131</x:v>
      </x:c>
      <x:c r="D4827" s="2" t="n">
        <x:v>2023</x:v>
      </x:c>
      <x:c r="E4827" s="2" t="str">
        <x:v>WB_irrigated_land</x:v>
      </x:c>
      <x:c r="F4827" s="2" t="str">
        <x:v>Agricultural irrigated land (% of total agricultural land)</x:v>
      </x:c>
    </x:row>
    <x:row r="4828" ht="44" customHeight="1">
      <x:c r="A4828" s="2" t="str">
        <x:v>MDA</x:v>
      </x:c>
      <x:c r="B4828" s="2" t="str">
        <x:v>cereal_area</x:v>
      </x:c>
      <x:c r="C4828" s="2" t="n">
        <x:v>925199</x:v>
      </x:c>
      <x:c r="D4828" s="2" t="n">
        <x:v>2023</x:v>
      </x:c>
      <x:c r="E4828" s="2" t="str">
        <x:v>WB_cereal_area</x:v>
      </x:c>
      <x:c r="F4828" s="2" t="str">
        <x:v>Land under cereal production (hectares)</x:v>
      </x:c>
    </x:row>
    <x:row r="4829" ht="44" customHeight="1">
      <x:c r="A4829" s="2" t="str">
        <x:v>MDA</x:v>
      </x:c>
      <x:c r="B4829" s="2" t="str">
        <x:v>undernourishment</x:v>
      </x:c>
      <x:c r="C4829" s="2" t="n">
        <x:v>2.5</x:v>
      </x:c>
      <x:c r="D4829" s="2" t="n">
        <x:v>2023</x:v>
      </x:c>
      <x:c r="E4829" s="2" t="str">
        <x:v>WB_undernourishment</x:v>
      </x:c>
      <x:c r="F4829" s="2" t="str">
        <x:v>Prevalence of undernourishment (% of population)</x:v>
      </x:c>
    </x:row>
    <x:row r="4830" ht="44" customHeight="1">
      <x:c r="A4830" s="2" t="str">
        <x:v>MDA</x:v>
      </x:c>
      <x:c r="B4830" s="2" t="str">
        <x:v>agriculture_employment</x:v>
      </x:c>
      <x:c r="C4830" s="2" t="n">
        <x:v>50.5020476881222</x:v>
      </x:c>
      <x:c r="D4830" s="2" t="n">
        <x:v>2025</x:v>
      </x:c>
      <x:c r="E4830" s="2" t="str">
        <x:v>WB_agriculture_employment</x:v>
      </x:c>
      <x:c r="F4830" s="2" t="str">
        <x:v>Employment in agriculture (% of total employment) (modeled ILO estimate)</x:v>
      </x:c>
    </x:row>
    <x:row r="4831" ht="44" customHeight="1">
      <x:c r="A4831" s="2" t="str">
        <x:v>MDA</x:v>
      </x:c>
      <x:c r="B4831" s="2" t="str">
        <x:v>water_withdrawal</x:v>
      </x:c>
      <x:c r="C4831" s="2" t="n">
        <x:v>52.2222222222222</x:v>
      </x:c>
      <x:c r="D4831" s="2" t="n">
        <x:v>2022</x:v>
      </x:c>
      <x:c r="E4831" s="2" t="str">
        <x:v>WB_water_withdrawal</x:v>
      </x:c>
      <x:c r="F4831" s="2" t="str">
        <x:v>Annual freshwater withdrawals, total (% of internal resources)</x:v>
      </x:c>
    </x:row>
    <x:row r="4832" ht="44" customHeight="1">
      <x:c r="A4832" s="2" t="str">
        <x:v>ROU</x:v>
      </x:c>
      <x:c r="B4832" s="2" t="str">
        <x:v>population</x:v>
      </x:c>
      <x:c r="C4832" s="2" t="n">
        <x:v>19020271</x:v>
      </x:c>
      <x:c r="D4832" s="2" t="n">
        <x:v>2025</x:v>
      </x:c>
      <x:c r="E4832" s="2" t="str">
        <x:v>WB_population</x:v>
      </x:c>
      <x:c r="F4832" s="2" t="str">
        <x:v>Population, total</x:v>
      </x:c>
    </x:row>
    <x:row r="4833" ht="44" customHeight="1">
      <x:c r="A4833" s="2" t="str">
        <x:v>ROU</x:v>
      </x:c>
      <x:c r="B4833" s="2" t="str">
        <x:v>income_ppp</x:v>
      </x:c>
      <x:c r="C4833" s="2" t="n">
        <x:v>40845.9843440113</x:v>
      </x:c>
      <x:c r="D4833" s="2" t="n">
        <x:v>2025</x:v>
      </x:c>
      <x:c r="E4833" s="2" t="str">
        <x:v>WB_income_ppp</x:v>
      </x:c>
      <x:c r="F4833" s="2" t="str">
        <x:v>GDP per capita, PPP (constant 2021 international $)</x:v>
      </x:c>
    </x:row>
    <x:row r="4834" ht="44" customHeight="1">
      <x:c r="A4834" s="2" t="str">
        <x:v>ROU</x:v>
      </x:c>
      <x:c r="B4834" s="2" t="str">
        <x:v>urban</x:v>
      </x:c>
      <x:c r="C4834" s="2" t="n">
        <x:v>52.1728885041698</x:v>
      </x:c>
      <x:c r="D4834" s="2" t="n">
        <x:v>2025</x:v>
      </x:c>
      <x:c r="E4834" s="2" t="str">
        <x:v>WB_urban</x:v>
      </x:c>
      <x:c r="F4834" s="2" t="str">
        <x:v>Urban population (% of total population)</x:v>
      </x:c>
    </x:row>
    <x:row r="4835" ht="44" customHeight="1">
      <x:c r="A4835" s="2" t="str">
        <x:v>ROU</x:v>
      </x:c>
      <x:c r="B4835" s="2" t="str">
        <x:v>inflation</x:v>
      </x:c>
      <x:c r="C4835" s="2" t="n">
        <x:v>7.18903362292063</x:v>
      </x:c>
      <x:c r="D4835" s="2" t="n">
        <x:v>2025</x:v>
      </x:c>
      <x:c r="E4835" s="2" t="str">
        <x:v>WB_inflation</x:v>
      </x:c>
      <x:c r="F4835" s="2" t="str">
        <x:v>Inflation, consumer prices (annual %)</x:v>
      </x:c>
    </x:row>
    <x:row r="4836" ht="44" customHeight="1">
      <x:c r="A4836" s="2" t="str">
        <x:v>ROU</x:v>
      </x:c>
      <x:c r="B4836" s="2" t="str">
        <x:v>food_index</x:v>
      </x:c>
      <x:c r="C4836" s="2" t="n">
        <x:v>85.18</x:v>
      </x:c>
      <x:c r="D4836" s="2" t="n">
        <x:v>2022</x:v>
      </x:c>
      <x:c r="E4836" s="2" t="str">
        <x:v>WB_food_index</x:v>
      </x:c>
      <x:c r="F4836" s="2" t="str">
        <x:v>Food production index (2014-2016 = 100)</x:v>
      </x:c>
    </x:row>
    <x:row r="4837" ht="44" customHeight="1">
      <x:c r="A4837" s="2" t="str">
        <x:v>ROU</x:v>
      </x:c>
      <x:c r="B4837" s="2" t="str">
        <x:v>food_import_share</x:v>
      </x:c>
      <x:c r="C4837" s="2" t="n">
        <x:v>10.6925497359455</x:v>
      </x:c>
      <x:c r="D4837" s="2" t="n">
        <x:v>2024</x:v>
      </x:c>
      <x:c r="E4837" s="2" t="str">
        <x:v>WB_food_import_share</x:v>
      </x:c>
      <x:c r="F4837" s="2" t="str">
        <x:v>Food imports (% of merchandise imports)</x:v>
      </x:c>
    </x:row>
    <x:row r="4838" ht="44" customHeight="1">
      <x:c r="A4838" s="2" t="str">
        <x:v>ROU</x:v>
      </x:c>
      <x:c r="B4838" s="2" t="str">
        <x:v>food_export_share</x:v>
      </x:c>
      <x:c r="C4838" s="2" t="n">
        <x:v>11.5407084070835</x:v>
      </x:c>
      <x:c r="D4838" s="2" t="n">
        <x:v>2024</x:v>
      </x:c>
      <x:c r="E4838" s="2" t="str">
        <x:v>WB_food_export_share</x:v>
      </x:c>
      <x:c r="F4838" s="2" t="str">
        <x:v>Food exports (% of merchandise exports)</x:v>
      </x:c>
    </x:row>
    <x:row r="4839" ht="44" customHeight="1">
      <x:c r="A4839" s="2" t="str">
        <x:v>ROU</x:v>
      </x:c>
      <x:c r="B4839" s="2" t="str">
        <x:v>imports_usd</x:v>
      </x:c>
      <x:c r="C4839" s="2" t="n">
        <x:v>146036000000</x:v>
      </x:c>
      <x:c r="D4839" s="2" t="n">
        <x:v>2025</x:v>
      </x:c>
      <x:c r="E4839" s="2" t="str">
        <x:v>WB_imports_usd</x:v>
      </x:c>
      <x:c r="F4839" s="2" t="str">
        <x:v>Merchandise imports (current US$)</x:v>
      </x:c>
    </x:row>
    <x:row r="4840" ht="44" customHeight="1">
      <x:c r="A4840" s="2" t="str">
        <x:v>ROU</x:v>
      </x:c>
      <x:c r="B4840" s="2" t="str">
        <x:v>exports_usd</x:v>
      </x:c>
      <x:c r="C4840" s="2" t="n">
        <x:v>109134000000</x:v>
      </x:c>
      <x:c r="D4840" s="2" t="n">
        <x:v>2025</x:v>
      </x:c>
      <x:c r="E4840" s="2" t="str">
        <x:v>WB_exports_usd</x:v>
      </x:c>
      <x:c r="F4840" s="2" t="str">
        <x:v>Merchandise exports (current US$)</x:v>
      </x:c>
    </x:row>
    <x:row r="4841" ht="44" customHeight="1">
      <x:c r="A4841" s="2" t="str">
        <x:v>ROU</x:v>
      </x:c>
      <x:c r="B4841" s="2" t="str">
        <x:v>cereal_yield</x:v>
      </x:c>
      <x:c r="C4841" s="2" t="n">
        <x:v>4020.8</x:v>
      </x:c>
      <x:c r="D4841" s="2" t="n">
        <x:v>2023</x:v>
      </x:c>
      <x:c r="E4841" s="2" t="str">
        <x:v>WB_cereal_yield</x:v>
      </x:c>
      <x:c r="F4841" s="2" t="str">
        <x:v>Cereal yield (kg per hectare)</x:v>
      </x:c>
    </x:row>
    <x:row r="4842" ht="44" customHeight="1">
      <x:c r="A4842" s="2" t="str">
        <x:v>ROU</x:v>
      </x:c>
      <x:c r="B4842" s="2" t="str">
        <x:v>water_stress</x:v>
      </x:c>
      <x:c r="C4842" s="2" t="n">
        <x:v>7.63130793</x:v>
      </x:c>
      <x:c r="D4842" s="2" t="n">
        <x:v>2022</x:v>
      </x:c>
      <x:c r="E4842" s="2" t="str">
        <x:v>WB_water_stress</x:v>
      </x:c>
      <x:c r="F4842" s="2" t="str">
        <x:v>Level of water stress: freshwater withdrawal as a proportion of available freshwater resources</x:v>
      </x:c>
    </x:row>
    <x:row r="4843" ht="44" customHeight="1">
      <x:c r="A4843" s="2" t="str">
        <x:v>ROU</x:v>
      </x:c>
      <x:c r="B4843" s="2" t="str">
        <x:v>fertility</x:v>
      </x:c>
      <x:c r="C4843" s="2" t="n">
        <x:v>1.39</x:v>
      </x:c>
      <x:c r="D4843" s="2" t="n">
        <x:v>2024</x:v>
      </x:c>
      <x:c r="E4843" s="2" t="str">
        <x:v>WB_fertility</x:v>
      </x:c>
      <x:c r="F4843" s="2" t="str">
        <x:v>Fertility rate, total (births per woman)</x:v>
      </x:c>
    </x:row>
    <x:row r="4844" ht="44" customHeight="1">
      <x:c r="A4844" s="2" t="str">
        <x:v>ROU</x:v>
      </x:c>
      <x:c r="B4844" s="2" t="str">
        <x:v>life_expectancy</x:v>
      </x:c>
      <x:c r="C4844" s="2" t="n">
        <x:v>76.4585365853659</x:v>
      </x:c>
      <x:c r="D4844" s="2" t="n">
        <x:v>2024</x:v>
      </x:c>
      <x:c r="E4844" s="2" t="str">
        <x:v>WB_life_expectancy</x:v>
      </x:c>
      <x:c r="F4844" s="2" t="str">
        <x:v>Life expectancy at birth, total (years)</x:v>
      </x:c>
    </x:row>
    <x:row r="4845" ht="44" customHeight="1">
      <x:c r="A4845" s="2" t="str">
        <x:v>ROU</x:v>
      </x:c>
      <x:c r="B4845" s="2" t="str">
        <x:v>age_under15</x:v>
      </x:c>
      <x:c r="C4845" s="2" t="n">
        <x:v>15.5552851325905</x:v>
      </x:c>
      <x:c r="D4845" s="2" t="n">
        <x:v>2025</x:v>
      </x:c>
      <x:c r="E4845" s="2" t="str">
        <x:v>WB_age_under15</x:v>
      </x:c>
      <x:c r="F4845" s="2" t="str">
        <x:v>Population ages 0-14 (% of total population)</x:v>
      </x:c>
    </x:row>
    <x:row r="4846" ht="44" customHeight="1">
      <x:c r="A4846" s="2" t="str">
        <x:v>ROU</x:v>
      </x:c>
      <x:c r="B4846" s="2" t="str">
        <x:v>age_over65</x:v>
      </x:c>
      <x:c r="C4846" s="2" t="n">
        <x:v>20.1384043774039</x:v>
      </x:c>
      <x:c r="D4846" s="2" t="n">
        <x:v>2025</x:v>
      </x:c>
      <x:c r="E4846" s="2" t="str">
        <x:v>WB_age_over65</x:v>
      </x:c>
      <x:c r="F4846" s="2" t="str">
        <x:v>Population ages 65 and above (% of total population)</x:v>
      </x:c>
    </x:row>
    <x:row r="4847" ht="44" customHeight="1">
      <x:c r="A4847" s="2" t="str">
        <x:v>ROU</x:v>
      </x:c>
      <x:c r="B4847" s="2" t="str">
        <x:v>dependency_ratio</x:v>
      </x:c>
      <x:c r="C4847" s="2" t="n">
        <x:v>55.5057277535752</x:v>
      </x:c>
      <x:c r="D4847" s="2" t="n">
        <x:v>2025</x:v>
      </x:c>
      <x:c r="E4847" s="2" t="str">
        <x:v>WB_dependency_ratio</x:v>
      </x:c>
      <x:c r="F4847" s="2" t="str">
        <x:v>Age dependency ratio (% of working-age population)</x:v>
      </x:c>
    </x:row>
    <x:row r="4848" ht="44" customHeight="1">
      <x:c r="A4848" s="2" t="str">
        <x:v>ROU</x:v>
      </x:c>
      <x:c r="B4848" s="2" t="str">
        <x:v>net_migration</x:v>
      </x:c>
      <x:c r="C4848" s="2" t="n">
        <x:v>-29041</x:v>
      </x:c>
      <x:c r="D4848" s="2" t="n">
        <x:v>2025</x:v>
      </x:c>
      <x:c r="E4848" s="2" t="str">
        <x:v>WB_net_migration</x:v>
      </x:c>
      <x:c r="F4848" s="2" t="str">
        <x:v>Net migration</x:v>
      </x:c>
    </x:row>
    <x:row r="4849" ht="44" customHeight="1">
      <x:c r="A4849" s="2" t="str">
        <x:v>ROU</x:v>
      </x:c>
      <x:c r="B4849" s="2" t="str">
        <x:v>real_gdp</x:v>
      </x:c>
      <x:c r="C4849" s="2" t="n">
        <x:v>238992844283.874</x:v>
      </x:c>
      <x:c r="D4849" s="2" t="n">
        <x:v>2025</x:v>
      </x:c>
      <x:c r="E4849" s="2" t="str">
        <x:v>WB_real_gdp</x:v>
      </x:c>
      <x:c r="F4849" s="2" t="str">
        <x:v>GDP (constant 2015 US$)</x:v>
      </x:c>
    </x:row>
    <x:row r="4850" ht="44" customHeight="1">
      <x:c r="A4850" s="2" t="str">
        <x:v>ROU</x:v>
      </x:c>
      <x:c r="B4850" s="2" t="str">
        <x:v>gdp_growth</x:v>
      </x:c>
      <x:c r="C4850" s="2" t="n">
        <x:v>0.677829835052762</x:v>
      </x:c>
      <x:c r="D4850" s="2" t="n">
        <x:v>2025</x:v>
      </x:c>
      <x:c r="E4850" s="2" t="str">
        <x:v>WB_gdp_growth</x:v>
      </x:c>
      <x:c r="F4850" s="2" t="str">
        <x:v>GDP growth (annual %)</x:v>
      </x:c>
    </x:row>
    <x:row r="4851" ht="44" customHeight="1">
      <x:c r="A4851" s="2" t="str">
        <x:v>ROU</x:v>
      </x:c>
      <x:c r="B4851" s="2" t="str">
        <x:v>real_income</x:v>
      </x:c>
      <x:c r="C4851" s="2" t="n">
        <x:v>12565.1650433306</x:v>
      </x:c>
      <x:c r="D4851" s="2" t="n">
        <x:v>2025</x:v>
      </x:c>
      <x:c r="E4851" s="2" t="str">
        <x:v>WB_real_income</x:v>
      </x:c>
      <x:c r="F4851" s="2" t="str">
        <x:v>GDP per capita (constant 2015 US$)</x:v>
      </x:c>
    </x:row>
    <x:row r="4852" ht="44" customHeight="1">
      <x:c r="A4852" s="2" t="str">
        <x:v>ROU</x:v>
      </x:c>
      <x:c r="B4852" s="2" t="str">
        <x:v>agriculture_gdp</x:v>
      </x:c>
      <x:c r="C4852" s="2" t="n">
        <x:v>3.00114031225865</x:v>
      </x:c>
      <x:c r="D4852" s="2" t="n">
        <x:v>2025</x:v>
      </x:c>
      <x:c r="E4852" s="2" t="str">
        <x:v>WB_agriculture_gdp</x:v>
      </x:c>
      <x:c r="F4852" s="2" t="str">
        <x:v>Agriculture, forestry, and fishing, value added (% of GDP)</x:v>
      </x:c>
    </x:row>
    <x:row r="4853" ht="44" customHeight="1">
      <x:c r="A4853" s="2" t="str">
        <x:v>ROU</x:v>
      </x:c>
      <x:c r="B4853" s="2" t="str">
        <x:v>poverty</x:v>
      </x:c>
      <x:c r="C4853" s="2" t="n">
        <x:v>0.7</x:v>
      </x:c>
      <x:c r="D4853" s="2" t="n">
        <x:v>2023</x:v>
      </x:c>
      <x:c r="E4853" s="2" t="str">
        <x:v>WB_poverty</x:v>
      </x:c>
      <x:c r="F4853" s="2" t="str">
        <x:v>Poverty headcount ratio at $3.00 a day (2021 PPP) (% of population)</x:v>
      </x:c>
    </x:row>
    <x:row r="4854" ht="44" customHeight="1">
      <x:c r="A4854" s="2" t="str">
        <x:v>ROU</x:v>
      </x:c>
      <x:c r="B4854" s="2" t="str">
        <x:v>gini</x:v>
      </x:c>
      <x:c r="C4854" s="2" t="n">
        <x:v>29.8</x:v>
      </x:c>
      <x:c r="D4854" s="2" t="n">
        <x:v>2023</x:v>
      </x:c>
      <x:c r="E4854" s="2" t="str">
        <x:v>WB_gini</x:v>
      </x:c>
      <x:c r="F4854" s="2" t="str">
        <x:v>Gini index</x:v>
      </x:c>
    </x:row>
    <x:row r="4855" ht="44" customHeight="1">
      <x:c r="A4855" s="2" t="str">
        <x:v>ROU</x:v>
      </x:c>
      <x:c r="B4855" s="2" t="str">
        <x:v>unemployment</x:v>
      </x:c>
      <x:c r="C4855" s="2" t="n">
        <x:v>5.992</x:v>
      </x:c>
      <x:c r="D4855" s="2" t="n">
        <x:v>2025</x:v>
      </x:c>
      <x:c r="E4855" s="2" t="str">
        <x:v>WB_unemployment</x:v>
      </x:c>
      <x:c r="F4855" s="2" t="str">
        <x:v>Unemployment, total (% of total labor force) (modeled ILO estimate)</x:v>
      </x:c>
    </x:row>
    <x:row r="4856" ht="44" customHeight="1">
      <x:c r="A4856" s="2" t="str">
        <x:v>ROU</x:v>
      </x:c>
      <x:c r="B4856" s="2" t="str">
        <x:v>private_credit</x:v>
      </x:c>
      <x:c r="C4856" s="2" t="n">
        <x:v>22.0718036114915</x:v>
      </x:c>
      <x:c r="D4856" s="2" t="n">
        <x:v>2025</x:v>
      </x:c>
      <x:c r="E4856" s="2" t="str">
        <x:v>WB_private_credit</x:v>
      </x:c>
      <x:c r="F4856" s="2" t="str">
        <x:v>Domestic credit to private sector (% of GDP)</x:v>
      </x:c>
    </x:row>
    <x:row r="4857" ht="44" customHeight="1">
      <x:c r="A4857" s="2" t="str">
        <x:v>ROU</x:v>
      </x:c>
      <x:c r="B4857" s="2" t="str">
        <x:v>lending_rate</x:v>
      </x:c>
      <x:c r="C4857" s="2" t="n">
        <x:v>8.52155041563583</x:v>
      </x:c>
      <x:c r="D4857" s="2" t="n">
        <x:v>2025</x:v>
      </x:c>
      <x:c r="E4857" s="2" t="str">
        <x:v>WB_lending_rate</x:v>
      </x:c>
      <x:c r="F4857" s="2" t="str">
        <x:v>Lending interest rate (%)</x:v>
      </x:c>
    </x:row>
    <x:row r="4858" ht="44" customHeight="1">
      <x:c r="A4858" s="2" t="str">
        <x:v>ROU</x:v>
      </x:c>
      <x:c r="B4858" s="2" t="str">
        <x:v>real_interest</x:v>
      </x:c>
      <x:c r="C4858" s="2" t="n">
        <x:v>0.293700652213721</x:v>
      </x:c>
      <x:c r="D4858" s="2" t="n">
        <x:v>2025</x:v>
      </x:c>
      <x:c r="E4858" s="2" t="str">
        <x:v>WB_real_interest</x:v>
      </x:c>
      <x:c r="F4858" s="2" t="str">
        <x:v>Real interest rate (%)</x:v>
      </x:c>
    </x:row>
    <x:row r="4859" ht="44" customHeight="1">
      <x:c r="A4859" s="2" t="str">
        <x:v>ROU</x:v>
      </x:c>
      <x:c r="B4859" s="2" t="str">
        <x:v>government_debt</x:v>
      </x:c>
      <x:c r="C4859" s="2"/>
      <x:c r="D4859" s="2"/>
      <x:c r="E4859" s="2" t="str">
        <x:v>Missing</x:v>
      </x:c>
      <x:c r="F4859" s="2" t="str">
        <x:v>Central government debt, total (% of GDP)</x:v>
      </x:c>
    </x:row>
    <x:row r="4860" ht="44" customHeight="1">
      <x:c r="A4860" s="2" t="str">
        <x:v>ROU</x:v>
      </x:c>
      <x:c r="B4860" s="2" t="str">
        <x:v>electricity_access</x:v>
      </x:c>
      <x:c r="C4860" s="2" t="n">
        <x:v>100</x:v>
      </x:c>
      <x:c r="D4860" s="2" t="n">
        <x:v>2024</x:v>
      </x:c>
      <x:c r="E4860" s="2" t="str">
        <x:v>WB_electricity_access</x:v>
      </x:c>
      <x:c r="F4860" s="2" t="str">
        <x:v>Access to electricity (% of population)</x:v>
      </x:c>
    </x:row>
    <x:row r="4861" ht="44" customHeight="1">
      <x:c r="A4861" s="2" t="str">
        <x:v>ROU</x:v>
      </x:c>
      <x:c r="B4861" s="2" t="str">
        <x:v>irrigated_land</x:v>
      </x:c>
      <x:c r="C4861" s="2" t="n">
        <x:v>4.05033425088478</x:v>
      </x:c>
      <x:c r="D4861" s="2" t="n">
        <x:v>2023</x:v>
      </x:c>
      <x:c r="E4861" s="2" t="str">
        <x:v>WB_irrigated_land</x:v>
      </x:c>
      <x:c r="F4861" s="2" t="str">
        <x:v>Agricultural irrigated land (% of total agricultural land)</x:v>
      </x:c>
    </x:row>
    <x:row r="4862" ht="44" customHeight="1">
      <x:c r="A4862" s="2" t="str">
        <x:v>ROU</x:v>
      </x:c>
      <x:c r="B4862" s="2" t="str">
        <x:v>cereal_area</x:v>
      </x:c>
      <x:c r="C4862" s="2" t="n">
        <x:v>5169230</x:v>
      </x:c>
      <x:c r="D4862" s="2" t="n">
        <x:v>2023</x:v>
      </x:c>
      <x:c r="E4862" s="2" t="str">
        <x:v>WB_cereal_area</x:v>
      </x:c>
      <x:c r="F4862" s="2" t="str">
        <x:v>Land under cereal production (hectares)</x:v>
      </x:c>
    </x:row>
    <x:row r="4863" ht="44" customHeight="1">
      <x:c r="A4863" s="2" t="str">
        <x:v>ROU</x:v>
      </x:c>
      <x:c r="B4863" s="2" t="str">
        <x:v>undernourishment</x:v>
      </x:c>
      <x:c r="C4863" s="2" t="n">
        <x:v>2.5</x:v>
      </x:c>
      <x:c r="D4863" s="2" t="n">
        <x:v>2023</x:v>
      </x:c>
      <x:c r="E4863" s="2" t="str">
        <x:v>WB_undernourishment</x:v>
      </x:c>
      <x:c r="F4863" s="2" t="str">
        <x:v>Prevalence of undernourishment (% of population)</x:v>
      </x:c>
    </x:row>
    <x:row r="4864" ht="44" customHeight="1">
      <x:c r="A4864" s="2" t="str">
        <x:v>ROU</x:v>
      </x:c>
      <x:c r="B4864" s="2" t="str">
        <x:v>agriculture_employment</x:v>
      </x:c>
      <x:c r="C4864" s="2" t="n">
        <x:v>10.9455166058844</x:v>
      </x:c>
      <x:c r="D4864" s="2" t="n">
        <x:v>2025</x:v>
      </x:c>
      <x:c r="E4864" s="2" t="str">
        <x:v>WB_agriculture_employment</x:v>
      </x:c>
      <x:c r="F4864" s="2" t="str">
        <x:v>Employment in agriculture (% of total employment) (modeled ILO estimate)</x:v>
      </x:c>
    </x:row>
    <x:row r="4865" ht="44" customHeight="1">
      <x:c r="A4865" s="2" t="str">
        <x:v>ROU</x:v>
      </x:c>
      <x:c r="B4865" s="2" t="str">
        <x:v>water_withdrawal</x:v>
      </x:c>
      <x:c r="C4865" s="2" t="n">
        <x:v>19.2331288343558</x:v>
      </x:c>
      <x:c r="D4865" s="2" t="n">
        <x:v>2022</x:v>
      </x:c>
      <x:c r="E4865" s="2" t="str">
        <x:v>WB_water_withdrawal</x:v>
      </x:c>
      <x:c r="F4865" s="2" t="str">
        <x:v>Annual freshwater withdrawals, total (% of internal resources)</x:v>
      </x:c>
    </x:row>
    <x:row r="4866" ht="44" customHeight="1">
      <x:c r="A4866" s="2" t="str">
        <x:v>RUS</x:v>
      </x:c>
      <x:c r="B4866" s="2" t="str">
        <x:v>population</x:v>
      </x:c>
      <x:c r="C4866" s="2" t="n">
        <x:v>143513328</x:v>
      </x:c>
      <x:c r="D4866" s="2" t="n">
        <x:v>2025</x:v>
      </x:c>
      <x:c r="E4866" s="2" t="str">
        <x:v>WB_population</x:v>
      </x:c>
      <x:c r="F4866" s="2" t="str">
        <x:v>Population, total</x:v>
      </x:c>
    </x:row>
    <x:row r="4867" ht="44" customHeight="1">
      <x:c r="A4867" s="2" t="str">
        <x:v>RUS</x:v>
      </x:c>
      <x:c r="B4867" s="2" t="str">
        <x:v>income_ppp</x:v>
      </x:c>
      <x:c r="C4867" s="2" t="n">
        <x:v>42357.98828125</x:v>
      </x:c>
      <x:c r="D4867" s="2" t="n">
        <x:v>2025</x:v>
      </x:c>
      <x:c r="E4867" s="2" t="str">
        <x:v>WB_income_ppp</x:v>
      </x:c>
      <x:c r="F4867" s="2" t="str">
        <x:v>GDP per capita, PPP (constant 2021 international $)</x:v>
      </x:c>
    </x:row>
    <x:row r="4868" ht="44" customHeight="1">
      <x:c r="A4868" s="2" t="str">
        <x:v>RUS</x:v>
      </x:c>
      <x:c r="B4868" s="2" t="str">
        <x:v>urban</x:v>
      </x:c>
      <x:c r="C4868" s="2" t="n">
        <x:v>75.2506636608215</x:v>
      </x:c>
      <x:c r="D4868" s="2" t="n">
        <x:v>2025</x:v>
      </x:c>
      <x:c r="E4868" s="2" t="str">
        <x:v>WB_urban</x:v>
      </x:c>
      <x:c r="F4868" s="2" t="str">
        <x:v>Urban population (% of total population)</x:v>
      </x:c>
    </x:row>
    <x:row r="4869" ht="44" customHeight="1">
      <x:c r="A4869" s="2" t="str">
        <x:v>RUS</x:v>
      </x:c>
      <x:c r="B4869" s="2" t="str">
        <x:v>inflation</x:v>
      </x:c>
      <x:c r="C4869" s="2" t="n">
        <x:v>8.71986939402666</x:v>
      </x:c>
      <x:c r="D4869" s="2" t="n">
        <x:v>2025</x:v>
      </x:c>
      <x:c r="E4869" s="2" t="str">
        <x:v>WB_inflation</x:v>
      </x:c>
      <x:c r="F4869" s="2" t="str">
        <x:v>Inflation, consumer prices (annual %)</x:v>
      </x:c>
    </x:row>
    <x:row r="4870" ht="44" customHeight="1">
      <x:c r="A4870" s="2" t="str">
        <x:v>RUS</x:v>
      </x:c>
      <x:c r="B4870" s="2" t="str">
        <x:v>food_index</x:v>
      </x:c>
      <x:c r="C4870" s="2" t="n">
        <x:v>126.44</x:v>
      </x:c>
      <x:c r="D4870" s="2" t="n">
        <x:v>2022</x:v>
      </x:c>
      <x:c r="E4870" s="2" t="str">
        <x:v>WB_food_index</x:v>
      </x:c>
      <x:c r="F4870" s="2" t="str">
        <x:v>Food production index (2014-2016 = 100)</x:v>
      </x:c>
    </x:row>
    <x:row r="4871" ht="44" customHeight="1">
      <x:c r="A4871" s="2" t="str">
        <x:v>RUS</x:v>
      </x:c>
      <x:c r="B4871" s="2" t="str">
        <x:v>food_import_share</x:v>
      </x:c>
      <x:c r="C4871" s="2" t="n">
        <x:v>10.8585376848486</x:v>
      </x:c>
      <x:c r="D4871" s="2" t="n">
        <x:v>2021</x:v>
      </x:c>
      <x:c r="E4871" s="2" t="str">
        <x:v>WB_food_import_share</x:v>
      </x:c>
      <x:c r="F4871" s="2" t="str">
        <x:v>Food imports (% of merchandise imports)</x:v>
      </x:c>
    </x:row>
    <x:row r="4872" ht="44" customHeight="1">
      <x:c r="A4872" s="2" t="str">
        <x:v>RUS</x:v>
      </x:c>
      <x:c r="B4872" s="2" t="str">
        <x:v>food_export_share</x:v>
      </x:c>
      <x:c r="C4872" s="2" t="n">
        <x:v>6.58356390019312</x:v>
      </x:c>
      <x:c r="D4872" s="2" t="n">
        <x:v>2021</x:v>
      </x:c>
      <x:c r="E4872" s="2" t="str">
        <x:v>WB_food_export_share</x:v>
      </x:c>
      <x:c r="F4872" s="2" t="str">
        <x:v>Food exports (% of merchandise exports)</x:v>
      </x:c>
    </x:row>
    <x:row r="4873" ht="44" customHeight="1">
      <x:c r="A4873" s="2" t="str">
        <x:v>RUS</x:v>
      </x:c>
      <x:c r="B4873" s="2" t="str">
        <x:v>imports_usd</x:v>
      </x:c>
      <x:c r="C4873" s="2" t="n">
        <x:v>302710000000</x:v>
      </x:c>
      <x:c r="D4873" s="2" t="n">
        <x:v>2025</x:v>
      </x:c>
      <x:c r="E4873" s="2" t="str">
        <x:v>WB_imports_usd</x:v>
      </x:c>
      <x:c r="F4873" s="2" t="str">
        <x:v>Merchandise imports (current US$)</x:v>
      </x:c>
    </x:row>
    <x:row r="4874" ht="44" customHeight="1">
      <x:c r="A4874" s="2" t="str">
        <x:v>RUS</x:v>
      </x:c>
      <x:c r="B4874" s="2" t="str">
        <x:v>exports_usd</x:v>
      </x:c>
      <x:c r="C4874" s="2" t="n">
        <x:v>419398000000</x:v>
      </x:c>
      <x:c r="D4874" s="2" t="n">
        <x:v>2025</x:v>
      </x:c>
      <x:c r="E4874" s="2" t="str">
        <x:v>WB_exports_usd</x:v>
      </x:c>
      <x:c r="F4874" s="2" t="str">
        <x:v>Merchandise exports (current US$)</x:v>
      </x:c>
    </x:row>
    <x:row r="4875" ht="44" customHeight="1">
      <x:c r="A4875" s="2" t="str">
        <x:v>RUS</x:v>
      </x:c>
      <x:c r="B4875" s="2" t="str">
        <x:v>cereal_yield</x:v>
      </x:c>
      <x:c r="C4875" s="2" t="n">
        <x:v>3166.6</x:v>
      </x:c>
      <x:c r="D4875" s="2" t="n">
        <x:v>2023</x:v>
      </x:c>
      <x:c r="E4875" s="2" t="str">
        <x:v>WB_cereal_yield</x:v>
      </x:c>
      <x:c r="F4875" s="2" t="str">
        <x:v>Cereal yield (kg per hectare)</x:v>
      </x:c>
    </x:row>
    <x:row r="4876" ht="44" customHeight="1">
      <x:c r="A4876" s="2" t="str">
        <x:v>RUS</x:v>
      </x:c>
      <x:c r="B4876" s="2" t="str">
        <x:v>water_stress</x:v>
      </x:c>
      <x:c r="C4876" s="2" t="n">
        <x:v>4.122242749</x:v>
      </x:c>
      <x:c r="D4876" s="2" t="n">
        <x:v>2022</x:v>
      </x:c>
      <x:c r="E4876" s="2" t="str">
        <x:v>WB_water_stress</x:v>
      </x:c>
      <x:c r="F4876" s="2" t="str">
        <x:v>Level of water stress: freshwater withdrawal as a proportion of available freshwater resources</x:v>
      </x:c>
    </x:row>
    <x:row r="4877" ht="44" customHeight="1">
      <x:c r="A4877" s="2" t="str">
        <x:v>RUS</x:v>
      </x:c>
      <x:c r="B4877" s="2" t="str">
        <x:v>fertility</x:v>
      </x:c>
      <x:c r="C4877" s="2" t="n">
        <x:v>1.418</x:v>
      </x:c>
      <x:c r="D4877" s="2" t="n">
        <x:v>2024</x:v>
      </x:c>
      <x:c r="E4877" s="2" t="str">
        <x:v>WB_fertility</x:v>
      </x:c>
      <x:c r="F4877" s="2" t="str">
        <x:v>Fertility rate, total (births per woman)</x:v>
      </x:c>
    </x:row>
    <x:row r="4878" ht="44" customHeight="1">
      <x:c r="A4878" s="2" t="str">
        <x:v>RUS</x:v>
      </x:c>
      <x:c r="B4878" s="2" t="str">
        <x:v>life_expectancy</x:v>
      </x:c>
      <x:c r="C4878" s="2" t="n">
        <x:v>73.4404878048781</x:v>
      </x:c>
      <x:c r="D4878" s="2" t="n">
        <x:v>2024</x:v>
      </x:c>
      <x:c r="E4878" s="2" t="str">
        <x:v>WB_life_expectancy</x:v>
      </x:c>
      <x:c r="F4878" s="2" t="str">
        <x:v>Life expectancy at birth, total (years)</x:v>
      </x:c>
    </x:row>
    <x:row r="4879" ht="44" customHeight="1">
      <x:c r="A4879" s="2" t="str">
        <x:v>RUS</x:v>
      </x:c>
      <x:c r="B4879" s="2" t="str">
        <x:v>age_under15</x:v>
      </x:c>
      <x:c r="C4879" s="2" t="n">
        <x:v>17.027484657309</x:v>
      </x:c>
      <x:c r="D4879" s="2" t="n">
        <x:v>2025</x:v>
      </x:c>
      <x:c r="E4879" s="2" t="str">
        <x:v>WB_age_under15</x:v>
      </x:c>
      <x:c r="F4879" s="2" t="str">
        <x:v>Population ages 0-14 (% of total population)</x:v>
      </x:c>
    </x:row>
    <x:row r="4880" ht="44" customHeight="1">
      <x:c r="A4880" s="2" t="str">
        <x:v>RUS</x:v>
      </x:c>
      <x:c r="B4880" s="2" t="str">
        <x:v>age_over65</x:v>
      </x:c>
      <x:c r="C4880" s="2" t="n">
        <x:v>17.7917873832619</x:v>
      </x:c>
      <x:c r="D4880" s="2" t="n">
        <x:v>2025</x:v>
      </x:c>
      <x:c r="E4880" s="2" t="str">
        <x:v>WB_age_over65</x:v>
      </x:c>
      <x:c r="F4880" s="2" t="str">
        <x:v>Population ages 65 and above (% of total population)</x:v>
      </x:c>
    </x:row>
    <x:row r="4881" ht="44" customHeight="1">
      <x:c r="A4881" s="2" t="str">
        <x:v>RUS</x:v>
      </x:c>
      <x:c r="B4881" s="2" t="str">
        <x:v>dependency_ratio</x:v>
      </x:c>
      <x:c r="C4881" s="2" t="n">
        <x:v>53.4195812682232</x:v>
      </x:c>
      <x:c r="D4881" s="2" t="n">
        <x:v>2025</x:v>
      </x:c>
      <x:c r="E4881" s="2" t="str">
        <x:v>WB_dependency_ratio</x:v>
      </x:c>
      <x:c r="F4881" s="2" t="str">
        <x:v>Age dependency ratio (% of working-age population)</x:v>
      </x:c>
    </x:row>
    <x:row r="4882" ht="44" customHeight="1">
      <x:c r="A4882" s="2" t="str">
        <x:v>RUS</x:v>
      </x:c>
      <x:c r="B4882" s="2" t="str">
        <x:v>net_migration</x:v>
      </x:c>
      <x:c r="C4882" s="2" t="n">
        <x:v>-251822</x:v>
      </x:c>
      <x:c r="D4882" s="2" t="n">
        <x:v>2025</x:v>
      </x:c>
      <x:c r="E4882" s="2" t="str">
        <x:v>WB_net_migration</x:v>
      </x:c>
      <x:c r="F4882" s="2" t="str">
        <x:v>Net migration</x:v>
      </x:c>
    </x:row>
    <x:row r="4883" ht="44" customHeight="1">
      <x:c r="A4883" s="2" t="str">
        <x:v>RUS</x:v>
      </x:c>
      <x:c r="B4883" s="2" t="str">
        <x:v>real_gdp</x:v>
      </x:c>
      <x:c r="C4883" s="2" t="n">
        <x:v>1637255383314.57</x:v>
      </x:c>
      <x:c r="D4883" s="2" t="n">
        <x:v>2025</x:v>
      </x:c>
      <x:c r="E4883" s="2" t="str">
        <x:v>WB_real_gdp</x:v>
      </x:c>
      <x:c r="F4883" s="2" t="str">
        <x:v>GDP (constant 2015 US$)</x:v>
      </x:c>
    </x:row>
    <x:row r="4884" ht="44" customHeight="1">
      <x:c r="A4884" s="2" t="str">
        <x:v>RUS</x:v>
      </x:c>
      <x:c r="B4884" s="2" t="str">
        <x:v>gdp_growth</x:v>
      </x:c>
      <x:c r="C4884" s="2" t="n">
        <x:v>1.00117656925738</x:v>
      </x:c>
      <x:c r="D4884" s="2" t="n">
        <x:v>2025</x:v>
      </x:c>
      <x:c r="E4884" s="2" t="str">
        <x:v>WB_gdp_growth</x:v>
      </x:c>
      <x:c r="F4884" s="2" t="str">
        <x:v>GDP growth (annual %)</x:v>
      </x:c>
    </x:row>
    <x:row r="4885" ht="44" customHeight="1">
      <x:c r="A4885" s="2" t="str">
        <x:v>RUS</x:v>
      </x:c>
      <x:c r="B4885" s="2" t="str">
        <x:v>real_income</x:v>
      </x:c>
      <x:c r="C4885" s="2" t="n">
        <x:v>11216.2451171875</x:v>
      </x:c>
      <x:c r="D4885" s="2" t="n">
        <x:v>2025</x:v>
      </x:c>
      <x:c r="E4885" s="2" t="str">
        <x:v>WB_real_income</x:v>
      </x:c>
      <x:c r="F4885" s="2" t="str">
        <x:v>GDP per capita (constant 2015 US$)</x:v>
      </x:c>
    </x:row>
    <x:row r="4886" ht="44" customHeight="1">
      <x:c r="A4886" s="2" t="str">
        <x:v>RUS</x:v>
      </x:c>
      <x:c r="B4886" s="2" t="str">
        <x:v>agriculture_gdp</x:v>
      </x:c>
      <x:c r="C4886" s="2" t="n">
        <x:v>3.05735752541339</x:v>
      </x:c>
      <x:c r="D4886" s="2" t="n">
        <x:v>2025</x:v>
      </x:c>
      <x:c r="E4886" s="2" t="str">
        <x:v>WB_agriculture_gdp</x:v>
      </x:c>
      <x:c r="F4886" s="2" t="str">
        <x:v>Agriculture, forestry, and fishing, value added (% of GDP)</x:v>
      </x:c>
    </x:row>
    <x:row r="4887" ht="44" customHeight="1">
      <x:c r="A4887" s="2" t="str">
        <x:v>RUS</x:v>
      </x:c>
      <x:c r="B4887" s="2" t="str">
        <x:v>poverty</x:v>
      </x:c>
      <x:c r="C4887" s="2" t="n">
        <x:v>0.1</x:v>
      </x:c>
      <x:c r="D4887" s="2" t="n">
        <x:v>2023</x:v>
      </x:c>
      <x:c r="E4887" s="2" t="str">
        <x:v>WB_poverty</x:v>
      </x:c>
      <x:c r="F4887" s="2" t="str">
        <x:v>Poverty headcount ratio at $3.00 a day (2021 PPP) (% of population)</x:v>
      </x:c>
    </x:row>
    <x:row r="4888" ht="44" customHeight="1">
      <x:c r="A4888" s="2" t="str">
        <x:v>RUS</x:v>
      </x:c>
      <x:c r="B4888" s="2" t="str">
        <x:v>gini</x:v>
      </x:c>
      <x:c r="C4888" s="2" t="n">
        <x:v>33</x:v>
      </x:c>
      <x:c r="D4888" s="2" t="n">
        <x:v>2023</x:v>
      </x:c>
      <x:c r="E4888" s="2" t="str">
        <x:v>WB_gini</x:v>
      </x:c>
      <x:c r="F4888" s="2" t="str">
        <x:v>Gini index</x:v>
      </x:c>
    </x:row>
    <x:row r="4889" ht="44" customHeight="1">
      <x:c r="A4889" s="2" t="str">
        <x:v>RUS</x:v>
      </x:c>
      <x:c r="B4889" s="2" t="str">
        <x:v>unemployment</x:v>
      </x:c>
      <x:c r="C4889" s="2" t="n">
        <x:v>2.133</x:v>
      </x:c>
      <x:c r="D4889" s="2" t="n">
        <x:v>2025</x:v>
      </x:c>
      <x:c r="E4889" s="2" t="str">
        <x:v>WB_unemployment</x:v>
      </x:c>
      <x:c r="F4889" s="2" t="str">
        <x:v>Unemployment, total (% of total labor force) (modeled ILO estimate)</x:v>
      </x:c>
    </x:row>
    <x:row r="4890" ht="44" customHeight="1">
      <x:c r="A4890" s="2" t="str">
        <x:v>RUS</x:v>
      </x:c>
      <x:c r="B4890" s="2" t="str">
        <x:v>private_credit</x:v>
      </x:c>
      <x:c r="C4890" s="2" t="n">
        <x:v>54.6422447762479</x:v>
      </x:c>
      <x:c r="D4890" s="2" t="n">
        <x:v>2021</x:v>
      </x:c>
      <x:c r="E4890" s="2" t="str">
        <x:v>WB_private_credit</x:v>
      </x:c>
      <x:c r="F4890" s="2" t="str">
        <x:v>Domestic credit to private sector (% of GDP)</x:v>
      </x:c>
    </x:row>
    <x:row r="4891" ht="44" customHeight="1">
      <x:c r="A4891" s="2" t="str">
        <x:v>RUS</x:v>
      </x:c>
      <x:c r="B4891" s="2" t="str">
        <x:v>lending_rate</x:v>
      </x:c>
      <x:c r="C4891" s="2" t="n">
        <x:v>17.0925</x:v>
      </x:c>
      <x:c r="D4891" s="2" t="n">
        <x:v>2024</x:v>
      </x:c>
      <x:c r="E4891" s="2" t="str">
        <x:v>WB_lending_rate</x:v>
      </x:c>
      <x:c r="F4891" s="2" t="str">
        <x:v>Lending interest rate (%)</x:v>
      </x:c>
    </x:row>
    <x:row r="4892" ht="44" customHeight="1">
      <x:c r="A4892" s="2" t="str">
        <x:v>RUS</x:v>
      </x:c>
      <x:c r="B4892" s="2" t="str">
        <x:v>real_interest</x:v>
      </x:c>
      <x:c r="C4892" s="2" t="n">
        <x:v>5.81969103265575</x:v>
      </x:c>
      <x:c r="D4892" s="2" t="n">
        <x:v>2024</x:v>
      </x:c>
      <x:c r="E4892" s="2" t="str">
        <x:v>WB_real_interest</x:v>
      </x:c>
      <x:c r="F4892" s="2" t="str">
        <x:v>Real interest rate (%)</x:v>
      </x:c>
    </x:row>
    <x:row r="4893" ht="44" customHeight="1">
      <x:c r="A4893" s="2" t="str">
        <x:v>RUS</x:v>
      </x:c>
      <x:c r="B4893" s="2" t="str">
        <x:v>government_debt</x:v>
      </x:c>
      <x:c r="C4893" s="2" t="n">
        <x:v>17.8500676833114</x:v>
      </x:c>
      <x:c r="D4893" s="2" t="n">
        <x:v>2024</x:v>
      </x:c>
      <x:c r="E4893" s="2" t="str">
        <x:v>WB_government_debt</x:v>
      </x:c>
      <x:c r="F4893" s="2" t="str">
        <x:v>Central government debt, total (% of GDP)</x:v>
      </x:c>
    </x:row>
    <x:row r="4894" ht="44" customHeight="1">
      <x:c r="A4894" s="2" t="str">
        <x:v>RUS</x:v>
      </x:c>
      <x:c r="B4894" s="2" t="str">
        <x:v>electricity_access</x:v>
      </x:c>
      <x:c r="C4894" s="2" t="n">
        <x:v>100</x:v>
      </x:c>
      <x:c r="D4894" s="2" t="n">
        <x:v>2024</x:v>
      </x:c>
      <x:c r="E4894" s="2" t="str">
        <x:v>WB_electricity_access</x:v>
      </x:c>
      <x:c r="F4894" s="2" t="str">
        <x:v>Access to electricity (% of population)</x:v>
      </x:c>
    </x:row>
    <x:row r="4895" ht="44" customHeight="1">
      <x:c r="A4895" s="2" t="str">
        <x:v>RUS</x:v>
      </x:c>
      <x:c r="B4895" s="2" t="str">
        <x:v>irrigated_land</x:v>
      </x:c>
      <x:c r="C4895" s="2" t="n">
        <x:v>1.97082053328631</x:v>
      </x:c>
      <x:c r="D4895" s="2" t="n">
        <x:v>2008</x:v>
      </x:c>
      <x:c r="E4895" s="2" t="str">
        <x:v>WB_irrigated_land</x:v>
      </x:c>
      <x:c r="F4895" s="2" t="str">
        <x:v>Agricultural irrigated land (% of total agricultural land)</x:v>
      </x:c>
    </x:row>
    <x:row r="4896" ht="44" customHeight="1">
      <x:c r="A4896" s="2" t="str">
        <x:v>RUS</x:v>
      </x:c>
      <x:c r="B4896" s="2" t="str">
        <x:v>cereal_area</x:v>
      </x:c>
      <x:c r="C4896" s="2" t="n">
        <x:v>43171705</x:v>
      </x:c>
      <x:c r="D4896" s="2" t="n">
        <x:v>2023</x:v>
      </x:c>
      <x:c r="E4896" s="2" t="str">
        <x:v>WB_cereal_area</x:v>
      </x:c>
      <x:c r="F4896" s="2" t="str">
        <x:v>Land under cereal production (hectares)</x:v>
      </x:c>
    </x:row>
    <x:row r="4897" ht="44" customHeight="1">
      <x:c r="A4897" s="2" t="str">
        <x:v>RUS</x:v>
      </x:c>
      <x:c r="B4897" s="2" t="str">
        <x:v>undernourishment</x:v>
      </x:c>
      <x:c r="C4897" s="2" t="n">
        <x:v>2.5</x:v>
      </x:c>
      <x:c r="D4897" s="2" t="n">
        <x:v>2023</x:v>
      </x:c>
      <x:c r="E4897" s="2" t="str">
        <x:v>WB_undernourishment</x:v>
      </x:c>
      <x:c r="F4897" s="2" t="str">
        <x:v>Prevalence of undernourishment (% of population)</x:v>
      </x:c>
    </x:row>
    <x:row r="4898" ht="44" customHeight="1">
      <x:c r="A4898" s="2" t="str">
        <x:v>RUS</x:v>
      </x:c>
      <x:c r="B4898" s="2" t="str">
        <x:v>agriculture_employment</x:v>
      </x:c>
      <x:c r="C4898" s="2" t="n">
        <x:v>5.10897725869351</x:v>
      </x:c>
      <x:c r="D4898" s="2" t="n">
        <x:v>2025</x:v>
      </x:c>
      <x:c r="E4898" s="2" t="str">
        <x:v>WB_agriculture_employment</x:v>
      </x:c>
      <x:c r="F4898" s="2" t="str">
        <x:v>Employment in agriculture (% of total employment) (modeled ILO estimate)</x:v>
      </x:c>
    </x:row>
    <x:row r="4899" ht="44" customHeight="1">
      <x:c r="A4899" s="2" t="str">
        <x:v>RUS</x:v>
      </x:c>
      <x:c r="B4899" s="2" t="str">
        <x:v>water_withdrawal</x:v>
      </x:c>
      <x:c r="C4899" s="2" t="n">
        <x:v>1.50324675324675</x:v>
      </x:c>
      <x:c r="D4899" s="2" t="n">
        <x:v>2022</x:v>
      </x:c>
      <x:c r="E4899" s="2" t="str">
        <x:v>WB_water_withdrawal</x:v>
      </x:c>
      <x:c r="F4899" s="2" t="str">
        <x:v>Annual freshwater withdrawals, total (% of internal resources)</x:v>
      </x:c>
    </x:row>
    <x:row r="4900" ht="44" customHeight="1">
      <x:c r="A4900" s="2" t="str">
        <x:v>RWA</x:v>
      </x:c>
      <x:c r="B4900" s="2" t="str">
        <x:v>population</x:v>
      </x:c>
      <x:c r="C4900" s="2" t="n">
        <x:v>14569341</x:v>
      </x:c>
      <x:c r="D4900" s="2" t="n">
        <x:v>2025</x:v>
      </x:c>
      <x:c r="E4900" s="2" t="str">
        <x:v>WB_population</x:v>
      </x:c>
      <x:c r="F4900" s="2" t="str">
        <x:v>Population, total</x:v>
      </x:c>
    </x:row>
    <x:row r="4901" ht="44" customHeight="1">
      <x:c r="A4901" s="2" t="str">
        <x:v>RWA</x:v>
      </x:c>
      <x:c r="B4901" s="2" t="str">
        <x:v>income_ppp</x:v>
      </x:c>
      <x:c r="C4901" s="2" t="n">
        <x:v>3558.68003753808</x:v>
      </x:c>
      <x:c r="D4901" s="2" t="n">
        <x:v>2025</x:v>
      </x:c>
      <x:c r="E4901" s="2" t="str">
        <x:v>WB_income_ppp</x:v>
      </x:c>
      <x:c r="F4901" s="2" t="str">
        <x:v>GDP per capita, PPP (constant 2021 international $)</x:v>
      </x:c>
    </x:row>
    <x:row r="4902" ht="44" customHeight="1">
      <x:c r="A4902" s="2" t="str">
        <x:v>RWA</x:v>
      </x:c>
      <x:c r="B4902" s="2" t="str">
        <x:v>urban</x:v>
      </x:c>
      <x:c r="C4902" s="2" t="n">
        <x:v>30.9133840928162</x:v>
      </x:c>
      <x:c r="D4902" s="2" t="n">
        <x:v>2025</x:v>
      </x:c>
      <x:c r="E4902" s="2" t="str">
        <x:v>WB_urban</x:v>
      </x:c>
      <x:c r="F4902" s="2" t="str">
        <x:v>Urban population (% of total population)</x:v>
      </x:c>
    </x:row>
    <x:row r="4903" ht="44" customHeight="1">
      <x:c r="A4903" s="2" t="str">
        <x:v>RWA</x:v>
      </x:c>
      <x:c r="B4903" s="2" t="str">
        <x:v>inflation</x:v>
      </x:c>
      <x:c r="C4903" s="2" t="n">
        <x:v>5.913000168826</x:v>
      </x:c>
      <x:c r="D4903" s="2" t="n">
        <x:v>2025</x:v>
      </x:c>
      <x:c r="E4903" s="2" t="str">
        <x:v>WB_inflation</x:v>
      </x:c>
      <x:c r="F4903" s="2" t="str">
        <x:v>Inflation, consumer prices (annual %)</x:v>
      </x:c>
    </x:row>
    <x:row r="4904" ht="44" customHeight="1">
      <x:c r="A4904" s="2" t="str">
        <x:v>RWA</x:v>
      </x:c>
      <x:c r="B4904" s="2" t="str">
        <x:v>food_index</x:v>
      </x:c>
      <x:c r="C4904" s="2" t="n">
        <x:v>117.31</x:v>
      </x:c>
      <x:c r="D4904" s="2" t="n">
        <x:v>2022</x:v>
      </x:c>
      <x:c r="E4904" s="2" t="str">
        <x:v>WB_food_index</x:v>
      </x:c>
      <x:c r="F4904" s="2" t="str">
        <x:v>Food production index (2014-2016 = 100)</x:v>
      </x:c>
    </x:row>
    <x:row r="4905" ht="44" customHeight="1">
      <x:c r="A4905" s="2" t="str">
        <x:v>RWA</x:v>
      </x:c>
      <x:c r="B4905" s="2" t="str">
        <x:v>food_import_share</x:v>
      </x:c>
      <x:c r="C4905" s="2" t="n">
        <x:v>22.4441780080013</x:v>
      </x:c>
      <x:c r="D4905" s="2" t="n">
        <x:v>2022</x:v>
      </x:c>
      <x:c r="E4905" s="2" t="str">
        <x:v>WB_food_import_share</x:v>
      </x:c>
      <x:c r="F4905" s="2" t="str">
        <x:v>Food imports (% of merchandise imports)</x:v>
      </x:c>
    </x:row>
    <x:row r="4906" ht="44" customHeight="1">
      <x:c r="A4906" s="2" t="str">
        <x:v>RWA</x:v>
      </x:c>
      <x:c r="B4906" s="2" t="str">
        <x:v>food_export_share</x:v>
      </x:c>
      <x:c r="C4906" s="2" t="n">
        <x:v>27.2372546452418</x:v>
      </x:c>
      <x:c r="D4906" s="2" t="n">
        <x:v>2022</x:v>
      </x:c>
      <x:c r="E4906" s="2" t="str">
        <x:v>WB_food_export_share</x:v>
      </x:c>
      <x:c r="F4906" s="2" t="str">
        <x:v>Food exports (% of merchandise exports)</x:v>
      </x:c>
    </x:row>
    <x:row r="4907" ht="44" customHeight="1">
      <x:c r="A4907" s="2" t="str">
        <x:v>RWA</x:v>
      </x:c>
      <x:c r="B4907" s="2" t="str">
        <x:v>imports_usd</x:v>
      </x:c>
      <x:c r="C4907" s="2" t="n">
        <x:v>5070000000</x:v>
      </x:c>
      <x:c r="D4907" s="2" t="n">
        <x:v>2025</x:v>
      </x:c>
      <x:c r="E4907" s="2" t="str">
        <x:v>WB_imports_usd</x:v>
      </x:c>
      <x:c r="F4907" s="2" t="str">
        <x:v>Merchandise imports (current US$)</x:v>
      </x:c>
    </x:row>
    <x:row r="4908" ht="44" customHeight="1">
      <x:c r="A4908" s="2" t="str">
        <x:v>RWA</x:v>
      </x:c>
      <x:c r="B4908" s="2" t="str">
        <x:v>exports_usd</x:v>
      </x:c>
      <x:c r="C4908" s="2" t="n">
        <x:v>2450000000</x:v>
      </x:c>
      <x:c r="D4908" s="2" t="n">
        <x:v>2025</x:v>
      </x:c>
      <x:c r="E4908" s="2" t="str">
        <x:v>WB_exports_usd</x:v>
      </x:c>
      <x:c r="F4908" s="2" t="str">
        <x:v>Merchandise exports (current US$)</x:v>
      </x:c>
    </x:row>
    <x:row r="4909" ht="44" customHeight="1">
      <x:c r="A4909" s="2" t="str">
        <x:v>RWA</x:v>
      </x:c>
      <x:c r="B4909" s="2" t="str">
        <x:v>cereal_yield</x:v>
      </x:c>
      <x:c r="C4909" s="2" t="n">
        <x:v>1784</x:v>
      </x:c>
      <x:c r="D4909" s="2" t="n">
        <x:v>2024</x:v>
      </x:c>
      <x:c r="E4909" s="2" t="str">
        <x:v>WB_cereal_yield</x:v>
      </x:c>
      <x:c r="F4909" s="2" t="str">
        <x:v>Cereal yield (kg per hectare)</x:v>
      </x:c>
    </x:row>
    <x:row r="4910" ht="44" customHeight="1">
      <x:c r="A4910" s="2" t="str">
        <x:v>RWA</x:v>
      </x:c>
      <x:c r="B4910" s="2" t="str">
        <x:v>water_stress</x:v>
      </x:c>
      <x:c r="C4910" s="2" t="n">
        <x:v>20.1986755</x:v>
      </x:c>
      <x:c r="D4910" s="2" t="n">
        <x:v>2022</x:v>
      </x:c>
      <x:c r="E4910" s="2" t="str">
        <x:v>WB_water_stress</x:v>
      </x:c>
      <x:c r="F4910" s="2" t="str">
        <x:v>Level of water stress: freshwater withdrawal as a proportion of available freshwater resources</x:v>
      </x:c>
    </x:row>
    <x:row r="4911" ht="44" customHeight="1">
      <x:c r="A4911" s="2" t="str">
        <x:v>RWA</x:v>
      </x:c>
      <x:c r="B4911" s="2" t="str">
        <x:v>fertility</x:v>
      </x:c>
      <x:c r="C4911" s="2" t="n">
        <x:v>3.645</x:v>
      </x:c>
      <x:c r="D4911" s="2" t="n">
        <x:v>2024</x:v>
      </x:c>
      <x:c r="E4911" s="2" t="str">
        <x:v>WB_fertility</x:v>
      </x:c>
      <x:c r="F4911" s="2" t="str">
        <x:v>Fertility rate, total (births per woman)</x:v>
      </x:c>
    </x:row>
    <x:row r="4912" ht="44" customHeight="1">
      <x:c r="A4912" s="2" t="str">
        <x:v>RWA</x:v>
      </x:c>
      <x:c r="B4912" s="2" t="str">
        <x:v>life_expectancy</x:v>
      </x:c>
      <x:c r="C4912" s="2" t="n">
        <x:v>68.017</x:v>
      </x:c>
      <x:c r="D4912" s="2" t="n">
        <x:v>2024</x:v>
      </x:c>
      <x:c r="E4912" s="2" t="str">
        <x:v>WB_life_expectancy</x:v>
      </x:c>
      <x:c r="F4912" s="2" t="str">
        <x:v>Life expectancy at birth, total (years)</x:v>
      </x:c>
    </x:row>
    <x:row r="4913" ht="44" customHeight="1">
      <x:c r="A4913" s="2" t="str">
        <x:v>RWA</x:v>
      </x:c>
      <x:c r="B4913" s="2" t="str">
        <x:v>age_under15</x:v>
      </x:c>
      <x:c r="C4913" s="2" t="n">
        <x:v>37.01944504626</x:v>
      </x:c>
      <x:c r="D4913" s="2" t="n">
        <x:v>2025</x:v>
      </x:c>
      <x:c r="E4913" s="2" t="str">
        <x:v>WB_age_under15</x:v>
      </x:c>
      <x:c r="F4913" s="2" t="str">
        <x:v>Population ages 0-14 (% of total population)</x:v>
      </x:c>
    </x:row>
    <x:row r="4914" ht="44" customHeight="1">
      <x:c r="A4914" s="2" t="str">
        <x:v>RWA</x:v>
      </x:c>
      <x:c r="B4914" s="2" t="str">
        <x:v>age_over65</x:v>
      </x:c>
      <x:c r="C4914" s="2" t="n">
        <x:v>4.02416636497719</x:v>
      </x:c>
      <x:c r="D4914" s="2" t="n">
        <x:v>2025</x:v>
      </x:c>
      <x:c r="E4914" s="2" t="str">
        <x:v>WB_age_over65</x:v>
      </x:c>
      <x:c r="F4914" s="2" t="str">
        <x:v>Population ages 65 and above (% of total population)</x:v>
      </x:c>
    </x:row>
    <x:row r="4915" ht="44" customHeight="1">
      <x:c r="A4915" s="2" t="str">
        <x:v>RWA</x:v>
      </x:c>
      <x:c r="B4915" s="2" t="str">
        <x:v>dependency_ratio</x:v>
      </x:c>
      <x:c r="C4915" s="2" t="n">
        <x:v>69.6169080663881</x:v>
      </x:c>
      <x:c r="D4915" s="2" t="n">
        <x:v>2025</x:v>
      </x:c>
      <x:c r="E4915" s="2" t="str">
        <x:v>WB_dependency_ratio</x:v>
      </x:c>
      <x:c r="F4915" s="2" t="str">
        <x:v>Age dependency ratio (% of working-age population)</x:v>
      </x:c>
    </x:row>
    <x:row r="4916" ht="44" customHeight="1">
      <x:c r="A4916" s="2" t="str">
        <x:v>RWA</x:v>
      </x:c>
      <x:c r="B4916" s="2" t="str">
        <x:v>net_migration</x:v>
      </x:c>
      <x:c r="C4916" s="2" t="n">
        <x:v>6282</x:v>
      </x:c>
      <x:c r="D4916" s="2" t="n">
        <x:v>2025</x:v>
      </x:c>
      <x:c r="E4916" s="2" t="str">
        <x:v>WB_net_migration</x:v>
      </x:c>
      <x:c r="F4916" s="2" t="str">
        <x:v>Net migration</x:v>
      </x:c>
    </x:row>
    <x:row r="4917" ht="44" customHeight="1">
      <x:c r="A4917" s="2" t="str">
        <x:v>RWA</x:v>
      </x:c>
      <x:c r="B4917" s="2" t="str">
        <x:v>real_gdp</x:v>
      </x:c>
      <x:c r="C4917" s="2" t="n">
        <x:v>16266231947.2257</x:v>
      </x:c>
      <x:c r="D4917" s="2" t="n">
        <x:v>2025</x:v>
      </x:c>
      <x:c r="E4917" s="2" t="str">
        <x:v>WB_real_gdp</x:v>
      </x:c>
      <x:c r="F4917" s="2" t="str">
        <x:v>GDP (constant 2015 US$)</x:v>
      </x:c>
    </x:row>
    <x:row r="4918" ht="44" customHeight="1">
      <x:c r="A4918" s="2" t="str">
        <x:v>RWA</x:v>
      </x:c>
      <x:c r="B4918" s="2" t="str">
        <x:v>gdp_growth</x:v>
      </x:c>
      <x:c r="C4918" s="2" t="n">
        <x:v>9.37579834182446</x:v>
      </x:c>
      <x:c r="D4918" s="2" t="n">
        <x:v>2025</x:v>
      </x:c>
      <x:c r="E4918" s="2" t="str">
        <x:v>WB_gdp_growth</x:v>
      </x:c>
      <x:c r="F4918" s="2" t="str">
        <x:v>GDP growth (annual %)</x:v>
      </x:c>
    </x:row>
    <x:row r="4919" ht="44" customHeight="1">
      <x:c r="A4919" s="2" t="str">
        <x:v>RWA</x:v>
      </x:c>
      <x:c r="B4919" s="2" t="str">
        <x:v>real_income</x:v>
      </x:c>
      <x:c r="C4919" s="2" t="n">
        <x:v>1116.46998633814</x:v>
      </x:c>
      <x:c r="D4919" s="2" t="n">
        <x:v>2025</x:v>
      </x:c>
      <x:c r="E4919" s="2" t="str">
        <x:v>WB_real_income</x:v>
      </x:c>
      <x:c r="F4919" s="2" t="str">
        <x:v>GDP per capita (constant 2015 US$)</x:v>
      </x:c>
    </x:row>
    <x:row r="4920" ht="44" customHeight="1">
      <x:c r="A4920" s="2" t="str">
        <x:v>RWA</x:v>
      </x:c>
      <x:c r="B4920" s="2" t="str">
        <x:v>agriculture_gdp</x:v>
      </x:c>
      <x:c r="C4920" s="2" t="n">
        <x:v>20.3036785808482</x:v>
      </x:c>
      <x:c r="D4920" s="2" t="n">
        <x:v>2025</x:v>
      </x:c>
      <x:c r="E4920" s="2" t="str">
        <x:v>WB_agriculture_gdp</x:v>
      </x:c>
      <x:c r="F4920" s="2" t="str">
        <x:v>Agriculture, forestry, and fishing, value added (% of GDP)</x:v>
      </x:c>
    </x:row>
    <x:row r="4921" ht="44" customHeight="1">
      <x:c r="A4921" s="2" t="str">
        <x:v>RWA</x:v>
      </x:c>
      <x:c r="B4921" s="2" t="str">
        <x:v>poverty</x:v>
      </x:c>
      <x:c r="C4921" s="2" t="n">
        <x:v>38.6</x:v>
      </x:c>
      <x:c r="D4921" s="2" t="n">
        <x:v>2023</x:v>
      </x:c>
      <x:c r="E4921" s="2" t="str">
        <x:v>WB_poverty</x:v>
      </x:c>
      <x:c r="F4921" s="2" t="str">
        <x:v>Poverty headcount ratio at $3.00 a day (2021 PPP) (% of population)</x:v>
      </x:c>
    </x:row>
    <x:row r="4922" ht="44" customHeight="1">
      <x:c r="A4922" s="2" t="str">
        <x:v>RWA</x:v>
      </x:c>
      <x:c r="B4922" s="2" t="str">
        <x:v>gini</x:v>
      </x:c>
      <x:c r="C4922" s="2" t="n">
        <x:v>39.4</x:v>
      </x:c>
      <x:c r="D4922" s="2" t="n">
        <x:v>2023</x:v>
      </x:c>
      <x:c r="E4922" s="2" t="str">
        <x:v>WB_gini</x:v>
      </x:c>
      <x:c r="F4922" s="2" t="str">
        <x:v>Gini index</x:v>
      </x:c>
    </x:row>
    <x:row r="4923" ht="44" customHeight="1">
      <x:c r="A4923" s="2" t="str">
        <x:v>RWA</x:v>
      </x:c>
      <x:c r="B4923" s="2" t="str">
        <x:v>unemployment</x:v>
      </x:c>
      <x:c r="C4923" s="2" t="n">
        <x:v>11.363</x:v>
      </x:c>
      <x:c r="D4923" s="2" t="n">
        <x:v>2025</x:v>
      </x:c>
      <x:c r="E4923" s="2" t="str">
        <x:v>WB_unemployment</x:v>
      </x:c>
      <x:c r="F4923" s="2" t="str">
        <x:v>Unemployment, total (% of total labor force) (modeled ILO estimate)</x:v>
      </x:c>
    </x:row>
    <x:row r="4924" ht="44" customHeight="1">
      <x:c r="A4924" s="2" t="str">
        <x:v>RWA</x:v>
      </x:c>
      <x:c r="B4924" s="2" t="str">
        <x:v>private_credit</x:v>
      </x:c>
      <x:c r="C4924" s="2" t="n">
        <x:v>22.0867382294523</x:v>
      </x:c>
      <x:c r="D4924" s="2" t="n">
        <x:v>2025</x:v>
      </x:c>
      <x:c r="E4924" s="2" t="str">
        <x:v>WB_private_credit</x:v>
      </x:c>
      <x:c r="F4924" s="2" t="str">
        <x:v>Domestic credit to private sector (% of GDP)</x:v>
      </x:c>
    </x:row>
    <x:row r="4925" ht="44" customHeight="1">
      <x:c r="A4925" s="2" t="str">
        <x:v>RWA</x:v>
      </x:c>
      <x:c r="B4925" s="2" t="str">
        <x:v>lending_rate</x:v>
      </x:c>
      <x:c r="C4925" s="2" t="n">
        <x:v>16.0166666666667</x:v>
      </x:c>
      <x:c r="D4925" s="2" t="n">
        <x:v>2024</x:v>
      </x:c>
      <x:c r="E4925" s="2" t="str">
        <x:v>WB_lending_rate</x:v>
      </x:c>
      <x:c r="F4925" s="2" t="str">
        <x:v>Lending interest rate (%)</x:v>
      </x:c>
    </x:row>
    <x:row r="4926" ht="44" customHeight="1">
      <x:c r="A4926" s="2" t="str">
        <x:v>RWA</x:v>
      </x:c>
      <x:c r="B4926" s="2" t="str">
        <x:v>real_interest</x:v>
      </x:c>
      <x:c r="C4926" s="2" t="n">
        <x:v>7.2802728080444</x:v>
      </x:c>
      <x:c r="D4926" s="2" t="n">
        <x:v>2024</x:v>
      </x:c>
      <x:c r="E4926" s="2" t="str">
        <x:v>WB_real_interest</x:v>
      </x:c>
      <x:c r="F4926" s="2" t="str">
        <x:v>Real interest rate (%)</x:v>
      </x:c>
    </x:row>
    <x:row r="4927" ht="44" customHeight="1">
      <x:c r="A4927" s="2" t="str">
        <x:v>RWA</x:v>
      </x:c>
      <x:c r="B4927" s="2" t="str">
        <x:v>government_debt</x:v>
      </x:c>
      <x:c r="C4927" s="2"/>
      <x:c r="D4927" s="2"/>
      <x:c r="E4927" s="2" t="str">
        <x:v>Missing</x:v>
      </x:c>
      <x:c r="F4927" s="2" t="str">
        <x:v>Central government debt, total (% of GDP)</x:v>
      </x:c>
    </x:row>
    <x:row r="4928" ht="44" customHeight="1">
      <x:c r="A4928" s="2" t="str">
        <x:v>RWA</x:v>
      </x:c>
      <x:c r="B4928" s="2" t="str">
        <x:v>electricity_access</x:v>
      </x:c>
      <x:c r="C4928" s="2" t="n">
        <x:v>72</x:v>
      </x:c>
      <x:c r="D4928" s="2" t="n">
        <x:v>2024</x:v>
      </x:c>
      <x:c r="E4928" s="2" t="str">
        <x:v>WB_electricity_access</x:v>
      </x:c>
      <x:c r="F4928" s="2" t="str">
        <x:v>Access to electricity (% of population)</x:v>
      </x:c>
    </x:row>
    <x:row r="4929" ht="44" customHeight="1">
      <x:c r="A4929" s="2" t="str">
        <x:v>RWA</x:v>
      </x:c>
      <x:c r="B4929" s="2" t="str">
        <x:v>irrigated_land</x:v>
      </x:c>
      <x:c r="C4929" s="2" t="n">
        <x:v>0.422115895800106</x:v>
      </x:c>
      <x:c r="D4929" s="2" t="n">
        <x:v>2005</x:v>
      </x:c>
      <x:c r="E4929" s="2" t="str">
        <x:v>WB_irrigated_land</x:v>
      </x:c>
      <x:c r="F4929" s="2" t="str">
        <x:v>Agricultural irrigated land (% of total agricultural land)</x:v>
      </x:c>
    </x:row>
    <x:row r="4930" ht="44" customHeight="1">
      <x:c r="A4930" s="2" t="str">
        <x:v>RWA</x:v>
      </x:c>
      <x:c r="B4930" s="2" t="str">
        <x:v>cereal_area</x:v>
      </x:c>
      <x:c r="C4930" s="2" t="n">
        <x:v>546634</x:v>
      </x:c>
      <x:c r="D4930" s="2" t="n">
        <x:v>2024</x:v>
      </x:c>
      <x:c r="E4930" s="2" t="str">
        <x:v>WB_cereal_area</x:v>
      </x:c>
      <x:c r="F4930" s="2" t="str">
        <x:v>Land under cereal production (hectares)</x:v>
      </x:c>
    </x:row>
    <x:row r="4931" ht="44" customHeight="1">
      <x:c r="A4931" s="2" t="str">
        <x:v>RWA</x:v>
      </x:c>
      <x:c r="B4931" s="2" t="str">
        <x:v>undernourishment</x:v>
      </x:c>
      <x:c r="C4931" s="2" t="n">
        <x:v>24.4</x:v>
      </x:c>
      <x:c r="D4931" s="2" t="n">
        <x:v>2023</x:v>
      </x:c>
      <x:c r="E4931" s="2" t="str">
        <x:v>WB_undernourishment</x:v>
      </x:c>
      <x:c r="F4931" s="2" t="str">
        <x:v>Prevalence of undernourishment (% of population)</x:v>
      </x:c>
    </x:row>
    <x:row r="4932" ht="44" customHeight="1">
      <x:c r="A4932" s="2" t="str">
        <x:v>RWA</x:v>
      </x:c>
      <x:c r="B4932" s="2" t="str">
        <x:v>agriculture_employment</x:v>
      </x:c>
      <x:c r="C4932" s="2" t="n">
        <x:v>35.0513644642127</x:v>
      </x:c>
      <x:c r="D4932" s="2" t="n">
        <x:v>2025</x:v>
      </x:c>
      <x:c r="E4932" s="2" t="str">
        <x:v>WB_agriculture_employment</x:v>
      </x:c>
      <x:c r="F4932" s="2" t="str">
        <x:v>Employment in agriculture (% of total employment) (modeled ILO estimate)</x:v>
      </x:c>
    </x:row>
    <x:row r="4933" ht="44" customHeight="1">
      <x:c r="A4933" s="2" t="str">
        <x:v>RWA</x:v>
      </x:c>
      <x:c r="B4933" s="2" t="str">
        <x:v>water_withdrawal</x:v>
      </x:c>
      <x:c r="C4933" s="2" t="n">
        <x:v>6.42105263157895</x:v>
      </x:c>
      <x:c r="D4933" s="2" t="n">
        <x:v>2022</x:v>
      </x:c>
      <x:c r="E4933" s="2" t="str">
        <x:v>WB_water_withdrawal</x:v>
      </x:c>
      <x:c r="F4933" s="2" t="str">
        <x:v>Annual freshwater withdrawals, total (% of internal resources)</x:v>
      </x:c>
    </x:row>
    <x:row r="4934" ht="44" customHeight="1">
      <x:c r="A4934" s="2" t="str">
        <x:v>KNA</x:v>
      </x:c>
      <x:c r="B4934" s="2" t="str">
        <x:v>population</x:v>
      </x:c>
      <x:c r="C4934" s="2" t="n">
        <x:v>46922</x:v>
      </x:c>
      <x:c r="D4934" s="2" t="n">
        <x:v>2025</x:v>
      </x:c>
      <x:c r="E4934" s="2" t="str">
        <x:v>WB_population</x:v>
      </x:c>
      <x:c r="F4934" s="2" t="str">
        <x:v>Population, total</x:v>
      </x:c>
    </x:row>
    <x:row r="4935" ht="44" customHeight="1">
      <x:c r="A4935" s="2" t="str">
        <x:v>KNA</x:v>
      </x:c>
      <x:c r="B4935" s="2" t="str">
        <x:v>income_ppp</x:v>
      </x:c>
      <x:c r="C4935" s="2" t="n">
        <x:v>31427.6630825717</x:v>
      </x:c>
      <x:c r="D4935" s="2" t="n">
        <x:v>2025</x:v>
      </x:c>
      <x:c r="E4935" s="2" t="str">
        <x:v>WB_income_ppp</x:v>
      </x:c>
      <x:c r="F4935" s="2" t="str">
        <x:v>GDP per capita, PPP (constant 2021 international $)</x:v>
      </x:c>
    </x:row>
    <x:row r="4936" ht="44" customHeight="1">
      <x:c r="A4936" s="2" t="str">
        <x:v>KNA</x:v>
      </x:c>
      <x:c r="B4936" s="2" t="str">
        <x:v>urban</x:v>
      </x:c>
      <x:c r="C4936" s="2" t="n">
        <x:v>31.8987713138283</x:v>
      </x:c>
      <x:c r="D4936" s="2" t="n">
        <x:v>2025</x:v>
      </x:c>
      <x:c r="E4936" s="2" t="str">
        <x:v>WB_urban</x:v>
      </x:c>
      <x:c r="F4936" s="2" t="str">
        <x:v>Urban population (% of total population)</x:v>
      </x:c>
    </x:row>
    <x:row r="4937" ht="44" customHeight="1">
      <x:c r="A4937" s="2" t="str">
        <x:v>KNA</x:v>
      </x:c>
      <x:c r="B4937" s="2" t="str">
        <x:v>inflation</x:v>
      </x:c>
      <x:c r="C4937" s="2" t="n">
        <x:v>3.55711230848243</x:v>
      </x:c>
      <x:c r="D4937" s="2" t="n">
        <x:v>2023</x:v>
      </x:c>
      <x:c r="E4937" s="2" t="str">
        <x:v>WB_inflation</x:v>
      </x:c>
      <x:c r="F4937" s="2" t="str">
        <x:v>Inflation, consumer prices (annual %)</x:v>
      </x:c>
    </x:row>
    <x:row r="4938" ht="44" customHeight="1">
      <x:c r="A4938" s="2" t="str">
        <x:v>KNA</x:v>
      </x:c>
      <x:c r="B4938" s="2" t="str">
        <x:v>food_index</x:v>
      </x:c>
      <x:c r="C4938" s="2" t="n">
        <x:v>115.11</x:v>
      </x:c>
      <x:c r="D4938" s="2" t="n">
        <x:v>2022</x:v>
      </x:c>
      <x:c r="E4938" s="2" t="str">
        <x:v>WB_food_index</x:v>
      </x:c>
      <x:c r="F4938" s="2" t="str">
        <x:v>Food production index (2014-2016 = 100)</x:v>
      </x:c>
    </x:row>
    <x:row r="4939" ht="44" customHeight="1">
      <x:c r="A4939" s="2" t="str">
        <x:v>KNA</x:v>
      </x:c>
      <x:c r="B4939" s="2" t="str">
        <x:v>food_import_share</x:v>
      </x:c>
      <x:c r="C4939" s="2" t="n">
        <x:v>25.3848981641499</x:v>
      </x:c>
      <x:c r="D4939" s="2" t="n">
        <x:v>2017</x:v>
      </x:c>
      <x:c r="E4939" s="2" t="str">
        <x:v>WB_food_import_share</x:v>
      </x:c>
      <x:c r="F4939" s="2" t="str">
        <x:v>Food imports (% of merchandise imports)</x:v>
      </x:c>
    </x:row>
    <x:row r="4940" ht="44" customHeight="1">
      <x:c r="A4940" s="2" t="str">
        <x:v>KNA</x:v>
      </x:c>
      <x:c r="B4940" s="2" t="str">
        <x:v>food_export_share</x:v>
      </x:c>
      <x:c r="C4940" s="2" t="n">
        <x:v>13.4822844594712</x:v>
      </x:c>
      <x:c r="D4940" s="2" t="n">
        <x:v>2017</x:v>
      </x:c>
      <x:c r="E4940" s="2" t="str">
        <x:v>WB_food_export_share</x:v>
      </x:c>
      <x:c r="F4940" s="2" t="str">
        <x:v>Food exports (% of merchandise exports)</x:v>
      </x:c>
    </x:row>
    <x:row r="4941" ht="44" customHeight="1">
      <x:c r="A4941" s="2" t="str">
        <x:v>KNA</x:v>
      </x:c>
      <x:c r="B4941" s="2" t="str">
        <x:v>imports_usd</x:v>
      </x:c>
      <x:c r="C4941" s="2" t="n">
        <x:v>410000000</x:v>
      </x:c>
      <x:c r="D4941" s="2" t="n">
        <x:v>2025</x:v>
      </x:c>
      <x:c r="E4941" s="2" t="str">
        <x:v>WB_imports_usd</x:v>
      </x:c>
      <x:c r="F4941" s="2" t="str">
        <x:v>Merchandise imports (current US$)</x:v>
      </x:c>
    </x:row>
    <x:row r="4942" ht="44" customHeight="1">
      <x:c r="A4942" s="2" t="str">
        <x:v>KNA</x:v>
      </x:c>
      <x:c r="B4942" s="2" t="str">
        <x:v>exports_usd</x:v>
      </x:c>
      <x:c r="C4942" s="2" t="n">
        <x:v>34000000</x:v>
      </x:c>
      <x:c r="D4942" s="2" t="n">
        <x:v>2025</x:v>
      </x:c>
      <x:c r="E4942" s="2" t="str">
        <x:v>WB_exports_usd</x:v>
      </x:c>
      <x:c r="F4942" s="2" t="str">
        <x:v>Merchandise exports (current US$)</x:v>
      </x:c>
    </x:row>
    <x:row r="4943" ht="44" customHeight="1">
      <x:c r="A4943" s="2" t="str">
        <x:v>KNA</x:v>
      </x:c>
      <x:c r="B4943" s="2" t="str">
        <x:v>cereal_yield</x:v>
      </x:c>
      <x:c r="C4943" s="2"/>
      <x:c r="D4943" s="2"/>
      <x:c r="E4943" s="2" t="str">
        <x:v>Missing</x:v>
      </x:c>
      <x:c r="F4943" s="2" t="str">
        <x:v>Cereal yield (kg per hectare)</x:v>
      </x:c>
    </x:row>
    <x:row r="4944" ht="44" customHeight="1">
      <x:c r="A4944" s="2" t="str">
        <x:v>KNA</x:v>
      </x:c>
      <x:c r="B4944" s="2" t="str">
        <x:v>water_stress</x:v>
      </x:c>
      <x:c r="C4944" s="2" t="n">
        <x:v>50.83333333</x:v>
      </x:c>
      <x:c r="D4944" s="2" t="n">
        <x:v>2022</x:v>
      </x:c>
      <x:c r="E4944" s="2" t="str">
        <x:v>WB_water_stress</x:v>
      </x:c>
      <x:c r="F4944" s="2" t="str">
        <x:v>Level of water stress: freshwater withdrawal as a proportion of available freshwater resources</x:v>
      </x:c>
    </x:row>
    <x:row r="4945" ht="44" customHeight="1">
      <x:c r="A4945" s="2" t="str">
        <x:v>KNA</x:v>
      </x:c>
      <x:c r="B4945" s="2" t="str">
        <x:v>fertility</x:v>
      </x:c>
      <x:c r="C4945" s="2" t="n">
        <x:v>1.526</x:v>
      </x:c>
      <x:c r="D4945" s="2" t="n">
        <x:v>2024</x:v>
      </x:c>
      <x:c r="E4945" s="2" t="str">
        <x:v>WB_fertility</x:v>
      </x:c>
      <x:c r="F4945" s="2" t="str">
        <x:v>Fertility rate, total (births per woman)</x:v>
      </x:c>
    </x:row>
    <x:row r="4946" ht="44" customHeight="1">
      <x:c r="A4946" s="2" t="str">
        <x:v>KNA</x:v>
      </x:c>
      <x:c r="B4946" s="2" t="str">
        <x:v>life_expectancy</x:v>
      </x:c>
      <x:c r="C4946" s="2" t="n">
        <x:v>72.281</x:v>
      </x:c>
      <x:c r="D4946" s="2" t="n">
        <x:v>2024</x:v>
      </x:c>
      <x:c r="E4946" s="2" t="str">
        <x:v>WB_life_expectancy</x:v>
      </x:c>
      <x:c r="F4946" s="2" t="str">
        <x:v>Life expectancy at birth, total (years)</x:v>
      </x:c>
    </x:row>
    <x:row r="4947" ht="44" customHeight="1">
      <x:c r="A4947" s="2" t="str">
        <x:v>KNA</x:v>
      </x:c>
      <x:c r="B4947" s="2" t="str">
        <x:v>age_under15</x:v>
      </x:c>
      <x:c r="C4947" s="2" t="n">
        <x:v>18.3359440768091</x:v>
      </x:c>
      <x:c r="D4947" s="2" t="n">
        <x:v>2025</x:v>
      </x:c>
      <x:c r="E4947" s="2" t="str">
        <x:v>WB_age_under15</x:v>
      </x:c>
      <x:c r="F4947" s="2" t="str">
        <x:v>Population ages 0-14 (% of total population)</x:v>
      </x:c>
    </x:row>
    <x:row r="4948" ht="44" customHeight="1">
      <x:c r="A4948" s="2" t="str">
        <x:v>KNA</x:v>
      </x:c>
      <x:c r="B4948" s="2" t="str">
        <x:v>age_over65</x:v>
      </x:c>
      <x:c r="C4948" s="2" t="n">
        <x:v>11.720639791993</x:v>
      </x:c>
      <x:c r="D4948" s="2" t="n">
        <x:v>2025</x:v>
      </x:c>
      <x:c r="E4948" s="2" t="str">
        <x:v>WB_age_over65</x:v>
      </x:c>
      <x:c r="F4948" s="2" t="str">
        <x:v>Population ages 65 and above (% of total population)</x:v>
      </x:c>
    </x:row>
    <x:row r="4949" ht="44" customHeight="1">
      <x:c r="A4949" s="2" t="str">
        <x:v>KNA</x:v>
      </x:c>
      <x:c r="B4949" s="2" t="str">
        <x:v>dependency_ratio</x:v>
      </x:c>
      <x:c r="C4949" s="2" t="n">
        <x:v>42.9751058837868</x:v>
      </x:c>
      <x:c r="D4949" s="2" t="n">
        <x:v>2025</x:v>
      </x:c>
      <x:c r="E4949" s="2" t="str">
        <x:v>WB_dependency_ratio</x:v>
      </x:c>
      <x:c r="F4949" s="2" t="str">
        <x:v>Age dependency ratio (% of working-age population)</x:v>
      </x:c>
    </x:row>
    <x:row r="4950" ht="44" customHeight="1">
      <x:c r="A4950" s="2" t="str">
        <x:v>KNA</x:v>
      </x:c>
      <x:c r="B4950" s="2" t="str">
        <x:v>net_migration</x:v>
      </x:c>
      <x:c r="C4950" s="2" t="n">
        <x:v>18</x:v>
      </x:c>
      <x:c r="D4950" s="2" t="n">
        <x:v>2025</x:v>
      </x:c>
      <x:c r="E4950" s="2" t="str">
        <x:v>WB_net_migration</x:v>
      </x:c>
      <x:c r="F4950" s="2" t="str">
        <x:v>Net migration</x:v>
      </x:c>
    </x:row>
    <x:row r="4951" ht="44" customHeight="1">
      <x:c r="A4951" s="2" t="str">
        <x:v>KNA</x:v>
      </x:c>
      <x:c r="B4951" s="2" t="str">
        <x:v>real_gdp</x:v>
      </x:c>
      <x:c r="C4951" s="2" t="n">
        <x:v>1043449132.66188</x:v>
      </x:c>
      <x:c r="D4951" s="2" t="n">
        <x:v>2025</x:v>
      </x:c>
      <x:c r="E4951" s="2" t="str">
        <x:v>WB_real_gdp</x:v>
      </x:c>
      <x:c r="F4951" s="2" t="str">
        <x:v>GDP (constant 2015 US$)</x:v>
      </x:c>
    </x:row>
    <x:row r="4952" ht="44" customHeight="1">
      <x:c r="A4952" s="2" t="str">
        <x:v>KNA</x:v>
      </x:c>
      <x:c r="B4952" s="2" t="str">
        <x:v>gdp_growth</x:v>
      </x:c>
      <x:c r="C4952" s="2" t="n">
        <x:v>2.68858456990016</x:v>
      </x:c>
      <x:c r="D4952" s="2" t="n">
        <x:v>2025</x:v>
      </x:c>
      <x:c r="E4952" s="2" t="str">
        <x:v>WB_gdp_growth</x:v>
      </x:c>
      <x:c r="F4952" s="2" t="str">
        <x:v>GDP growth (annual %)</x:v>
      </x:c>
    </x:row>
    <x:row r="4953" ht="44" customHeight="1">
      <x:c r="A4953" s="2" t="str">
        <x:v>KNA</x:v>
      </x:c>
      <x:c r="B4953" s="2" t="str">
        <x:v>real_income</x:v>
      </x:c>
      <x:c r="C4953" s="2" t="n">
        <x:v>22237.9509113396</x:v>
      </x:c>
      <x:c r="D4953" s="2" t="n">
        <x:v>2025</x:v>
      </x:c>
      <x:c r="E4953" s="2" t="str">
        <x:v>WB_real_income</x:v>
      </x:c>
      <x:c r="F4953" s="2" t="str">
        <x:v>GDP per capita (constant 2015 US$)</x:v>
      </x:c>
    </x:row>
    <x:row r="4954" ht="44" customHeight="1">
      <x:c r="A4954" s="2" t="str">
        <x:v>KNA</x:v>
      </x:c>
      <x:c r="B4954" s="2" t="str">
        <x:v>agriculture_gdp</x:v>
      </x:c>
      <x:c r="C4954" s="2" t="n">
        <x:v>1.28963007238327</x:v>
      </x:c>
      <x:c r="D4954" s="2" t="n">
        <x:v>2025</x:v>
      </x:c>
      <x:c r="E4954" s="2" t="str">
        <x:v>WB_agriculture_gdp</x:v>
      </x:c>
      <x:c r="F4954" s="2" t="str">
        <x:v>Agriculture, forestry, and fishing, value added (% of GDP)</x:v>
      </x:c>
    </x:row>
    <x:row r="4955" ht="44" customHeight="1">
      <x:c r="A4955" s="2" t="str">
        <x:v>KNA</x:v>
      </x:c>
      <x:c r="B4955" s="2" t="str">
        <x:v>poverty</x:v>
      </x:c>
      <x:c r="C4955" s="2"/>
      <x:c r="D4955" s="2"/>
      <x:c r="E4955" s="2" t="str">
        <x:v>Missing</x:v>
      </x:c>
      <x:c r="F4955" s="2" t="str">
        <x:v>Poverty headcount ratio at $3.00 a day (2021 PPP) (% of population)</x:v>
      </x:c>
    </x:row>
    <x:row r="4956" ht="44" customHeight="1">
      <x:c r="A4956" s="2" t="str">
        <x:v>KNA</x:v>
      </x:c>
      <x:c r="B4956" s="2" t="str">
        <x:v>gini</x:v>
      </x:c>
      <x:c r="C4956" s="2"/>
      <x:c r="D4956" s="2"/>
      <x:c r="E4956" s="2" t="str">
        <x:v>Missing</x:v>
      </x:c>
      <x:c r="F4956" s="2" t="str">
        <x:v>Gini index</x:v>
      </x:c>
    </x:row>
    <x:row r="4957" ht="44" customHeight="1">
      <x:c r="A4957" s="2" t="str">
        <x:v>KNA</x:v>
      </x:c>
      <x:c r="B4957" s="2" t="str">
        <x:v>unemployment</x:v>
      </x:c>
      <x:c r="C4957" s="2"/>
      <x:c r="D4957" s="2"/>
      <x:c r="E4957" s="2" t="str">
        <x:v>Missing</x:v>
      </x:c>
      <x:c r="F4957" s="2" t="str">
        <x:v>Unemployment, total (% of total labor force) (modeled ILO estimate)</x:v>
      </x:c>
    </x:row>
    <x:row r="4958" ht="44" customHeight="1">
      <x:c r="A4958" s="2" t="str">
        <x:v>KNA</x:v>
      </x:c>
      <x:c r="B4958" s="2" t="str">
        <x:v>private_credit</x:v>
      </x:c>
      <x:c r="C4958" s="2" t="n">
        <x:v>65.0317791637589</x:v>
      </x:c>
      <x:c r="D4958" s="2" t="n">
        <x:v>2025</x:v>
      </x:c>
      <x:c r="E4958" s="2" t="str">
        <x:v>WB_private_credit</x:v>
      </x:c>
      <x:c r="F4958" s="2" t="str">
        <x:v>Domestic credit to private sector (% of GDP)</x:v>
      </x:c>
    </x:row>
    <x:row r="4959" ht="44" customHeight="1">
      <x:c r="A4959" s="2" t="str">
        <x:v>KNA</x:v>
      </x:c>
      <x:c r="B4959" s="2" t="str">
        <x:v>lending_rate</x:v>
      </x:c>
      <x:c r="C4959" s="2" t="n">
        <x:v>6.5235195</x:v>
      </x:c>
      <x:c r="D4959" s="2" t="n">
        <x:v>2025</x:v>
      </x:c>
      <x:c r="E4959" s="2" t="str">
        <x:v>WB_lending_rate</x:v>
      </x:c>
      <x:c r="F4959" s="2" t="str">
        <x:v>Lending interest rate (%)</x:v>
      </x:c>
    </x:row>
    <x:row r="4960" ht="44" customHeight="1">
      <x:c r="A4960" s="2" t="str">
        <x:v>KNA</x:v>
      </x:c>
      <x:c r="B4960" s="2" t="str">
        <x:v>real_interest</x:v>
      </x:c>
      <x:c r="C4960" s="2" t="n">
        <x:v>3.73787194781281</x:v>
      </x:c>
      <x:c r="D4960" s="2" t="n">
        <x:v>2025</x:v>
      </x:c>
      <x:c r="E4960" s="2" t="str">
        <x:v>WB_real_interest</x:v>
      </x:c>
      <x:c r="F4960" s="2" t="str">
        <x:v>Real interest rate (%)</x:v>
      </x:c>
    </x:row>
    <x:row r="4961" ht="44" customHeight="1">
      <x:c r="A4961" s="2" t="str">
        <x:v>KNA</x:v>
      </x:c>
      <x:c r="B4961" s="2" t="str">
        <x:v>government_debt</x:v>
      </x:c>
      <x:c r="C4961" s="2" t="n">
        <x:v>57.666394367293</x:v>
      </x:c>
      <x:c r="D4961" s="2" t="n">
        <x:v>2014</x:v>
      </x:c>
      <x:c r="E4961" s="2" t="str">
        <x:v>WB_government_debt</x:v>
      </x:c>
      <x:c r="F4961" s="2" t="str">
        <x:v>Central government debt, total (% of GDP)</x:v>
      </x:c>
    </x:row>
    <x:row r="4962" ht="44" customHeight="1">
      <x:c r="A4962" s="2" t="str">
        <x:v>KNA</x:v>
      </x:c>
      <x:c r="B4962" s="2" t="str">
        <x:v>electricity_access</x:v>
      </x:c>
      <x:c r="C4962" s="2" t="n">
        <x:v>100</x:v>
      </x:c>
      <x:c r="D4962" s="2" t="n">
        <x:v>2024</x:v>
      </x:c>
      <x:c r="E4962" s="2" t="str">
        <x:v>WB_electricity_access</x:v>
      </x:c>
      <x:c r="F4962" s="2" t="str">
        <x:v>Access to electricity (% of population)</x:v>
      </x:c>
    </x:row>
    <x:row r="4963" ht="44" customHeight="1">
      <x:c r="A4963" s="2" t="str">
        <x:v>KNA</x:v>
      </x:c>
      <x:c r="B4963" s="2" t="str">
        <x:v>irrigated_land</x:v>
      </x:c>
      <x:c r="C4963" s="2"/>
      <x:c r="D4963" s="2"/>
      <x:c r="E4963" s="2" t="str">
        <x:v>Missing</x:v>
      </x:c>
      <x:c r="F4963" s="2" t="str">
        <x:v>Agricultural irrigated land (% of total agricultural land)</x:v>
      </x:c>
    </x:row>
    <x:row r="4964" ht="44" customHeight="1">
      <x:c r="A4964" s="2" t="str">
        <x:v>KNA</x:v>
      </x:c>
      <x:c r="B4964" s="2" t="str">
        <x:v>cereal_area</x:v>
      </x:c>
      <x:c r="C4964" s="2"/>
      <x:c r="D4964" s="2"/>
      <x:c r="E4964" s="2" t="str">
        <x:v>Missing</x:v>
      </x:c>
      <x:c r="F4964" s="2" t="str">
        <x:v>Land under cereal production (hectares)</x:v>
      </x:c>
    </x:row>
    <x:row r="4965" ht="44" customHeight="1">
      <x:c r="A4965" s="2" t="str">
        <x:v>KNA</x:v>
      </x:c>
      <x:c r="B4965" s="2" t="str">
        <x:v>undernourishment</x:v>
      </x:c>
      <x:c r="C4965" s="2"/>
      <x:c r="D4965" s="2"/>
      <x:c r="E4965" s="2" t="str">
        <x:v>Missing</x:v>
      </x:c>
      <x:c r="F4965" s="2" t="str">
        <x:v>Prevalence of undernourishment (% of population)</x:v>
      </x:c>
    </x:row>
    <x:row r="4966" ht="44" customHeight="1">
      <x:c r="A4966" s="2" t="str">
        <x:v>KNA</x:v>
      </x:c>
      <x:c r="B4966" s="2" t="str">
        <x:v>agriculture_employment</x:v>
      </x:c>
      <x:c r="C4966" s="2"/>
      <x:c r="D4966" s="2"/>
      <x:c r="E4966" s="2" t="str">
        <x:v>Missing</x:v>
      </x:c>
      <x:c r="F4966" s="2" t="str">
        <x:v>Employment in agriculture (% of total employment) (modeled ILO estimate)</x:v>
      </x:c>
    </x:row>
    <x:row r="4967" ht="44" customHeight="1">
      <x:c r="A4967" s="2" t="str">
        <x:v>KNA</x:v>
      </x:c>
      <x:c r="B4967" s="2" t="str">
        <x:v>water_withdrawal</x:v>
      </x:c>
      <x:c r="C4967" s="2" t="n">
        <x:v>50.8333333333333</x:v>
      </x:c>
      <x:c r="D4967" s="2" t="n">
        <x:v>2022</x:v>
      </x:c>
      <x:c r="E4967" s="2" t="str">
        <x:v>WB_water_withdrawal</x:v>
      </x:c>
      <x:c r="F4967" s="2" t="str">
        <x:v>Annual freshwater withdrawals, total (% of internal resources)</x:v>
      </x:c>
    </x:row>
    <x:row r="4968" ht="44" customHeight="1">
      <x:c r="A4968" s="2" t="str">
        <x:v>LCA</x:v>
      </x:c>
      <x:c r="B4968" s="2" t="str">
        <x:v>population</x:v>
      </x:c>
      <x:c r="C4968" s="2" t="n">
        <x:v>180149</x:v>
      </x:c>
      <x:c r="D4968" s="2" t="n">
        <x:v>2025</x:v>
      </x:c>
      <x:c r="E4968" s="2" t="str">
        <x:v>WB_population</x:v>
      </x:c>
      <x:c r="F4968" s="2" t="str">
        <x:v>Population, total</x:v>
      </x:c>
    </x:row>
    <x:row r="4969" ht="44" customHeight="1">
      <x:c r="A4969" s="2" t="str">
        <x:v>LCA</x:v>
      </x:c>
      <x:c r="B4969" s="2" t="str">
        <x:v>income_ppp</x:v>
      </x:c>
      <x:c r="C4969" s="2" t="n">
        <x:v>24502.9628641276</x:v>
      </x:c>
      <x:c r="D4969" s="2" t="n">
        <x:v>2025</x:v>
      </x:c>
      <x:c r="E4969" s="2" t="str">
        <x:v>WB_income_ppp</x:v>
      </x:c>
      <x:c r="F4969" s="2" t="str">
        <x:v>GDP per capita, PPP (constant 2021 international $)</x:v>
      </x:c>
    </x:row>
    <x:row r="4970" ht="44" customHeight="1">
      <x:c r="A4970" s="2" t="str">
        <x:v>LCA</x:v>
      </x:c>
      <x:c r="B4970" s="2" t="str">
        <x:v>urban</x:v>
      </x:c>
      <x:c r="C4970" s="2" t="n">
        <x:v>29.096571131107</x:v>
      </x:c>
      <x:c r="D4970" s="2" t="n">
        <x:v>2025</x:v>
      </x:c>
      <x:c r="E4970" s="2" t="str">
        <x:v>WB_urban</x:v>
      </x:c>
      <x:c r="F4970" s="2" t="str">
        <x:v>Urban population (% of total population)</x:v>
      </x:c>
    </x:row>
    <x:row r="4971" ht="44" customHeight="1">
      <x:c r="A4971" s="2" t="str">
        <x:v>LCA</x:v>
      </x:c>
      <x:c r="B4971" s="2" t="str">
        <x:v>inflation</x:v>
      </x:c>
      <x:c r="C4971" s="2" t="n">
        <x:v>2.02709512086274</x:v>
      </x:c>
      <x:c r="D4971" s="2" t="n">
        <x:v>2025</x:v>
      </x:c>
      <x:c r="E4971" s="2" t="str">
        <x:v>WB_inflation</x:v>
      </x:c>
      <x:c r="F4971" s="2" t="str">
        <x:v>Inflation, consumer prices (annual %)</x:v>
      </x:c>
    </x:row>
    <x:row r="4972" ht="44" customHeight="1">
      <x:c r="A4972" s="2" t="str">
        <x:v>LCA</x:v>
      </x:c>
      <x:c r="B4972" s="2" t="str">
        <x:v>food_index</x:v>
      </x:c>
      <x:c r="C4972" s="2" t="n">
        <x:v>90.59</x:v>
      </x:c>
      <x:c r="D4972" s="2" t="n">
        <x:v>2022</x:v>
      </x:c>
      <x:c r="E4972" s="2" t="str">
        <x:v>WB_food_index</x:v>
      </x:c>
      <x:c r="F4972" s="2" t="str">
        <x:v>Food production index (2014-2016 = 100)</x:v>
      </x:c>
    </x:row>
    <x:row r="4973" ht="44" customHeight="1">
      <x:c r="A4973" s="2" t="str">
        <x:v>LCA</x:v>
      </x:c>
      <x:c r="B4973" s="2" t="str">
        <x:v>food_import_share</x:v>
      </x:c>
      <x:c r="C4973" s="2" t="n">
        <x:v>27.6430449111677</x:v>
      </x:c>
      <x:c r="D4973" s="2" t="n">
        <x:v>2020</x:v>
      </x:c>
      <x:c r="E4973" s="2" t="str">
        <x:v>WB_food_import_share</x:v>
      </x:c>
      <x:c r="F4973" s="2" t="str">
        <x:v>Food imports (% of merchandise imports)</x:v>
      </x:c>
    </x:row>
    <x:row r="4974" ht="44" customHeight="1">
      <x:c r="A4974" s="2" t="str">
        <x:v>LCA</x:v>
      </x:c>
      <x:c r="B4974" s="2" t="str">
        <x:v>food_export_share</x:v>
      </x:c>
      <x:c r="C4974" s="2" t="n">
        <x:v>41.6256432051622</x:v>
      </x:c>
      <x:c r="D4974" s="2" t="n">
        <x:v>2020</x:v>
      </x:c>
      <x:c r="E4974" s="2" t="str">
        <x:v>WB_food_export_share</x:v>
      </x:c>
      <x:c r="F4974" s="2" t="str">
        <x:v>Food exports (% of merchandise exports)</x:v>
      </x:c>
    </x:row>
    <x:row r="4975" ht="44" customHeight="1">
      <x:c r="A4975" s="2" t="str">
        <x:v>LCA</x:v>
      </x:c>
      <x:c r="B4975" s="2" t="str">
        <x:v>imports_usd</x:v>
      </x:c>
      <x:c r="C4975" s="2" t="n">
        <x:v>1009000000</x:v>
      </x:c>
      <x:c r="D4975" s="2" t="n">
        <x:v>2025</x:v>
      </x:c>
      <x:c r="E4975" s="2" t="str">
        <x:v>WB_imports_usd</x:v>
      </x:c>
      <x:c r="F4975" s="2" t="str">
        <x:v>Merchandise imports (current US$)</x:v>
      </x:c>
    </x:row>
    <x:row r="4976" ht="44" customHeight="1">
      <x:c r="A4976" s="2" t="str">
        <x:v>LCA</x:v>
      </x:c>
      <x:c r="B4976" s="2" t="str">
        <x:v>exports_usd</x:v>
      </x:c>
      <x:c r="C4976" s="2" t="n">
        <x:v>85000000</x:v>
      </x:c>
      <x:c r="D4976" s="2" t="n">
        <x:v>2025</x:v>
      </x:c>
      <x:c r="E4976" s="2" t="str">
        <x:v>WB_exports_usd</x:v>
      </x:c>
      <x:c r="F4976" s="2" t="str">
        <x:v>Merchandise exports (current US$)</x:v>
      </x:c>
    </x:row>
    <x:row r="4977" ht="44" customHeight="1">
      <x:c r="A4977" s="2" t="str">
        <x:v>LCA</x:v>
      </x:c>
      <x:c r="B4977" s="2" t="str">
        <x:v>cereal_yield</x:v>
      </x:c>
      <x:c r="C4977" s="2"/>
      <x:c r="D4977" s="2"/>
      <x:c r="E4977" s="2" t="str">
        <x:v>Missing</x:v>
      </x:c>
      <x:c r="F4977" s="2" t="str">
        <x:v>Cereal yield (kg per hectare)</x:v>
      </x:c>
    </x:row>
    <x:row r="4978" ht="44" customHeight="1">
      <x:c r="A4978" s="2" t="str">
        <x:v>LCA</x:v>
      </x:c>
      <x:c r="B4978" s="2" t="str">
        <x:v>water_stress</x:v>
      </x:c>
      <x:c r="C4978" s="2" t="n">
        <x:v>14.3</x:v>
      </x:c>
      <x:c r="D4978" s="2" t="n">
        <x:v>2022</x:v>
      </x:c>
      <x:c r="E4978" s="2" t="str">
        <x:v>WB_water_stress</x:v>
      </x:c>
      <x:c r="F4978" s="2" t="str">
        <x:v>Level of water stress: freshwater withdrawal as a proportion of available freshwater resources</x:v>
      </x:c>
    </x:row>
    <x:row r="4979" ht="44" customHeight="1">
      <x:c r="A4979" s="2" t="str">
        <x:v>LCA</x:v>
      </x:c>
      <x:c r="B4979" s="2" t="str">
        <x:v>fertility</x:v>
      </x:c>
      <x:c r="C4979" s="2" t="n">
        <x:v>1.385</x:v>
      </x:c>
      <x:c r="D4979" s="2" t="n">
        <x:v>2024</x:v>
      </x:c>
      <x:c r="E4979" s="2" t="str">
        <x:v>WB_fertility</x:v>
      </x:c>
      <x:c r="F4979" s="2" t="str">
        <x:v>Fertility rate, total (births per woman)</x:v>
      </x:c>
    </x:row>
    <x:row r="4980" ht="44" customHeight="1">
      <x:c r="A4980" s="2" t="str">
        <x:v>LCA</x:v>
      </x:c>
      <x:c r="B4980" s="2" t="str">
        <x:v>life_expectancy</x:v>
      </x:c>
      <x:c r="C4980" s="2" t="n">
        <x:v>72.846</x:v>
      </x:c>
      <x:c r="D4980" s="2" t="n">
        <x:v>2024</x:v>
      </x:c>
      <x:c r="E4980" s="2" t="str">
        <x:v>WB_life_expectancy</x:v>
      </x:c>
      <x:c r="F4980" s="2" t="str">
        <x:v>Life expectancy at birth, total (years)</x:v>
      </x:c>
    </x:row>
    <x:row r="4981" ht="44" customHeight="1">
      <x:c r="A4981" s="2" t="str">
        <x:v>LCA</x:v>
      </x:c>
      <x:c r="B4981" s="2" t="str">
        <x:v>age_under15</x:v>
      </x:c>
      <x:c r="C4981" s="2" t="n">
        <x:v>17.2451692765433</x:v>
      </x:c>
      <x:c r="D4981" s="2" t="n">
        <x:v>2025</x:v>
      </x:c>
      <x:c r="E4981" s="2" t="str">
        <x:v>WB_age_under15</x:v>
      </x:c>
      <x:c r="F4981" s="2" t="str">
        <x:v>Population ages 0-14 (% of total population)</x:v>
      </x:c>
    </x:row>
    <x:row r="4982" ht="44" customHeight="1">
      <x:c r="A4982" s="2" t="str">
        <x:v>LCA</x:v>
      </x:c>
      <x:c r="B4982" s="2" t="str">
        <x:v>age_over65</x:v>
      </x:c>
      <x:c r="C4982" s="2" t="n">
        <x:v>9.963696717717</x:v>
      </x:c>
      <x:c r="D4982" s="2" t="n">
        <x:v>2025</x:v>
      </x:c>
      <x:c r="E4982" s="2" t="str">
        <x:v>WB_age_over65</x:v>
      </x:c>
      <x:c r="F4982" s="2" t="str">
        <x:v>Population ages 65 and above (% of total population)</x:v>
      </x:c>
    </x:row>
    <x:row r="4983" ht="44" customHeight="1">
      <x:c r="A4983" s="2" t="str">
        <x:v>LCA</x:v>
      </x:c>
      <x:c r="B4983" s="2" t="str">
        <x:v>dependency_ratio</x:v>
      </x:c>
      <x:c r="C4983" s="2" t="n">
        <x:v>37.3788443793706</x:v>
      </x:c>
      <x:c r="D4983" s="2" t="n">
        <x:v>2025</x:v>
      </x:c>
      <x:c r="E4983" s="2" t="str">
        <x:v>WB_dependency_ratio</x:v>
      </x:c>
      <x:c r="F4983" s="2" t="str">
        <x:v>Age dependency ratio (% of working-age population)</x:v>
      </x:c>
    </x:row>
    <x:row r="4984" ht="44" customHeight="1">
      <x:c r="A4984" s="2" t="str">
        <x:v>LCA</x:v>
      </x:c>
      <x:c r="B4984" s="2" t="str">
        <x:v>net_migration</x:v>
      </x:c>
      <x:c r="C4984" s="2" t="n">
        <x:v>-23</x:v>
      </x:c>
      <x:c r="D4984" s="2" t="n">
        <x:v>2025</x:v>
      </x:c>
      <x:c r="E4984" s="2" t="str">
        <x:v>WB_net_migration</x:v>
      </x:c>
      <x:c r="F4984" s="2" t="str">
        <x:v>Net migration</x:v>
      </x:c>
    </x:row>
    <x:row r="4985" ht="44" customHeight="1">
      <x:c r="A4985" s="2" t="str">
        <x:v>LCA</x:v>
      </x:c>
      <x:c r="B4985" s="2" t="str">
        <x:v>real_gdp</x:v>
      </x:c>
      <x:c r="C4985" s="2" t="n">
        <x:v>2178643364.46113</x:v>
      </x:c>
      <x:c r="D4985" s="2" t="n">
        <x:v>2025</x:v>
      </x:c>
      <x:c r="E4985" s="2" t="str">
        <x:v>WB_real_gdp</x:v>
      </x:c>
      <x:c r="F4985" s="2" t="str">
        <x:v>GDP (constant 2015 US$)</x:v>
      </x:c>
    </x:row>
    <x:row r="4986" ht="44" customHeight="1">
      <x:c r="A4986" s="2" t="str">
        <x:v>LCA</x:v>
      </x:c>
      <x:c r="B4986" s="2" t="str">
        <x:v>gdp_growth</x:v>
      </x:c>
      <x:c r="C4986" s="2" t="n">
        <x:v>-0.57407528214496</x:v>
      </x:c>
      <x:c r="D4986" s="2" t="n">
        <x:v>2025</x:v>
      </x:c>
      <x:c r="E4986" s="2" t="str">
        <x:v>WB_gdp_growth</x:v>
      </x:c>
      <x:c r="F4986" s="2" t="str">
        <x:v>GDP growth (annual %)</x:v>
      </x:c>
    </x:row>
    <x:row r="4987" ht="44" customHeight="1">
      <x:c r="A4987" s="2" t="str">
        <x:v>LCA</x:v>
      </x:c>
      <x:c r="B4987" s="2" t="str">
        <x:v>real_income</x:v>
      </x:c>
      <x:c r="C4987" s="2" t="n">
        <x:v>12093.5634639167</x:v>
      </x:c>
      <x:c r="D4987" s="2" t="n">
        <x:v>2025</x:v>
      </x:c>
      <x:c r="E4987" s="2" t="str">
        <x:v>WB_real_income</x:v>
      </x:c>
      <x:c r="F4987" s="2" t="str">
        <x:v>GDP per capita (constant 2015 US$)</x:v>
      </x:c>
    </x:row>
    <x:row r="4988" ht="44" customHeight="1">
      <x:c r="A4988" s="2" t="str">
        <x:v>LCA</x:v>
      </x:c>
      <x:c r="B4988" s="2" t="str">
        <x:v>agriculture_gdp</x:v>
      </x:c>
      <x:c r="C4988" s="2" t="n">
        <x:v>1.65774357258379</x:v>
      </x:c>
      <x:c r="D4988" s="2" t="n">
        <x:v>2025</x:v>
      </x:c>
      <x:c r="E4988" s="2" t="str">
        <x:v>WB_agriculture_gdp</x:v>
      </x:c>
      <x:c r="F4988" s="2" t="str">
        <x:v>Agriculture, forestry, and fishing, value added (% of GDP)</x:v>
      </x:c>
    </x:row>
    <x:row r="4989" ht="44" customHeight="1">
      <x:c r="A4989" s="2" t="str">
        <x:v>LCA</x:v>
      </x:c>
      <x:c r="B4989" s="2" t="str">
        <x:v>poverty</x:v>
      </x:c>
      <x:c r="C4989" s="2" t="n">
        <x:v>0.1</x:v>
      </x:c>
      <x:c r="D4989" s="2" t="n">
        <x:v>2015</x:v>
      </x:c>
      <x:c r="E4989" s="2" t="str">
        <x:v>WB_poverty</x:v>
      </x:c>
      <x:c r="F4989" s="2" t="str">
        <x:v>Poverty headcount ratio at $3.00 a day (2021 PPP) (% of population)</x:v>
      </x:c>
    </x:row>
    <x:row r="4990" ht="44" customHeight="1">
      <x:c r="A4990" s="2" t="str">
        <x:v>LCA</x:v>
      </x:c>
      <x:c r="B4990" s="2" t="str">
        <x:v>gini</x:v>
      </x:c>
      <x:c r="C4990" s="2" t="n">
        <x:v>43.7</x:v>
      </x:c>
      <x:c r="D4990" s="2" t="n">
        <x:v>2015</x:v>
      </x:c>
      <x:c r="E4990" s="2" t="str">
        <x:v>WB_gini</x:v>
      </x:c>
      <x:c r="F4990" s="2" t="str">
        <x:v>Gini index</x:v>
      </x:c>
    </x:row>
    <x:row r="4991" ht="44" customHeight="1">
      <x:c r="A4991" s="2" t="str">
        <x:v>LCA</x:v>
      </x:c>
      <x:c r="B4991" s="2" t="str">
        <x:v>unemployment</x:v>
      </x:c>
      <x:c r="C4991" s="2" t="n">
        <x:v>9.452</x:v>
      </x:c>
      <x:c r="D4991" s="2" t="n">
        <x:v>2025</x:v>
      </x:c>
      <x:c r="E4991" s="2" t="str">
        <x:v>WB_unemployment</x:v>
      </x:c>
      <x:c r="F4991" s="2" t="str">
        <x:v>Unemployment, total (% of total labor force) (modeled ILO estimate)</x:v>
      </x:c>
    </x:row>
    <x:row r="4992" ht="44" customHeight="1">
      <x:c r="A4992" s="2" t="str">
        <x:v>LCA</x:v>
      </x:c>
      <x:c r="B4992" s="2" t="str">
        <x:v>private_credit</x:v>
      </x:c>
      <x:c r="C4992" s="2" t="n">
        <x:v>51.7439908538286</x:v>
      </x:c>
      <x:c r="D4992" s="2" t="n">
        <x:v>2025</x:v>
      </x:c>
      <x:c r="E4992" s="2" t="str">
        <x:v>WB_private_credit</x:v>
      </x:c>
      <x:c r="F4992" s="2" t="str">
        <x:v>Domestic credit to private sector (% of GDP)</x:v>
      </x:c>
    </x:row>
    <x:row r="4993" ht="44" customHeight="1">
      <x:c r="A4993" s="2" t="str">
        <x:v>LCA</x:v>
      </x:c>
      <x:c r="B4993" s="2" t="str">
        <x:v>lending_rate</x:v>
      </x:c>
      <x:c r="C4993" s="2" t="n">
        <x:v>6.2511965</x:v>
      </x:c>
      <x:c r="D4993" s="2" t="n">
        <x:v>2025</x:v>
      </x:c>
      <x:c r="E4993" s="2" t="str">
        <x:v>WB_lending_rate</x:v>
      </x:c>
      <x:c r="F4993" s="2" t="str">
        <x:v>Lending interest rate (%)</x:v>
      </x:c>
    </x:row>
    <x:row r="4994" ht="44" customHeight="1">
      <x:c r="A4994" s="2" t="str">
        <x:v>LCA</x:v>
      </x:c>
      <x:c r="B4994" s="2" t="str">
        <x:v>real_interest</x:v>
      </x:c>
      <x:c r="C4994" s="2" t="n">
        <x:v>3.6012883221516</x:v>
      </x:c>
      <x:c r="D4994" s="2" t="n">
        <x:v>2025</x:v>
      </x:c>
      <x:c r="E4994" s="2" t="str">
        <x:v>WB_real_interest</x:v>
      </x:c>
      <x:c r="F4994" s="2" t="str">
        <x:v>Real interest rate (%)</x:v>
      </x:c>
    </x:row>
    <x:row r="4995" ht="44" customHeight="1">
      <x:c r="A4995" s="2" t="str">
        <x:v>LCA</x:v>
      </x:c>
      <x:c r="B4995" s="2" t="str">
        <x:v>government_debt</x:v>
      </x:c>
      <x:c r="C4995" s="2" t="n">
        <x:v>45.8570272133998</x:v>
      </x:c>
      <x:c r="D4995" s="2" t="n">
        <x:v>2010</x:v>
      </x:c>
      <x:c r="E4995" s="2" t="str">
        <x:v>WB_government_debt</x:v>
      </x:c>
      <x:c r="F4995" s="2" t="str">
        <x:v>Central government debt, total (% of GDP)</x:v>
      </x:c>
    </x:row>
    <x:row r="4996" ht="44" customHeight="1">
      <x:c r="A4996" s="2" t="str">
        <x:v>LCA</x:v>
      </x:c>
      <x:c r="B4996" s="2" t="str">
        <x:v>electricity_access</x:v>
      </x:c>
      <x:c r="C4996" s="2" t="n">
        <x:v>100</x:v>
      </x:c>
      <x:c r="D4996" s="2" t="n">
        <x:v>2024</x:v>
      </x:c>
      <x:c r="E4996" s="2" t="str">
        <x:v>WB_electricity_access</x:v>
      </x:c>
      <x:c r="F4996" s="2" t="str">
        <x:v>Access to electricity (% of population)</x:v>
      </x:c>
    </x:row>
    <x:row r="4997" ht="44" customHeight="1">
      <x:c r="A4997" s="2" t="str">
        <x:v>LCA</x:v>
      </x:c>
      <x:c r="B4997" s="2" t="str">
        <x:v>irrigated_land</x:v>
      </x:c>
      <x:c r="C4997" s="2"/>
      <x:c r="D4997" s="2"/>
      <x:c r="E4997" s="2" t="str">
        <x:v>Missing</x:v>
      </x:c>
      <x:c r="F4997" s="2" t="str">
        <x:v>Agricultural irrigated land (% of total agricultural land)</x:v>
      </x:c>
    </x:row>
    <x:row r="4998" ht="44" customHeight="1">
      <x:c r="A4998" s="2" t="str">
        <x:v>LCA</x:v>
      </x:c>
      <x:c r="B4998" s="2" t="str">
        <x:v>cereal_area</x:v>
      </x:c>
      <x:c r="C4998" s="2"/>
      <x:c r="D4998" s="2"/>
      <x:c r="E4998" s="2" t="str">
        <x:v>Missing</x:v>
      </x:c>
      <x:c r="F4998" s="2" t="str">
        <x:v>Land under cereal production (hectares)</x:v>
      </x:c>
    </x:row>
    <x:row r="4999" ht="44" customHeight="1">
      <x:c r="A4999" s="2" t="str">
        <x:v>LCA</x:v>
      </x:c>
      <x:c r="B4999" s="2" t="str">
        <x:v>undernourishment</x:v>
      </x:c>
      <x:c r="C4999" s="2"/>
      <x:c r="D4999" s="2"/>
      <x:c r="E4999" s="2" t="str">
        <x:v>Missing</x:v>
      </x:c>
      <x:c r="F4999" s="2" t="str">
        <x:v>Prevalence of undernourishment (% of population)</x:v>
      </x:c>
    </x:row>
    <x:row r="5000" ht="44" customHeight="1">
      <x:c r="A5000" s="2" t="str">
        <x:v>LCA</x:v>
      </x:c>
      <x:c r="B5000" s="2" t="str">
        <x:v>agriculture_employment</x:v>
      </x:c>
      <x:c r="C5000" s="2" t="n">
        <x:v>7.47352200711867</x:v>
      </x:c>
      <x:c r="D5000" s="2" t="n">
        <x:v>2025</x:v>
      </x:c>
      <x:c r="E5000" s="2" t="str">
        <x:v>WB_agriculture_employment</x:v>
      </x:c>
      <x:c r="F5000" s="2" t="str">
        <x:v>Employment in agriculture (% of total employment) (modeled ILO estimate)</x:v>
      </x:c>
    </x:row>
    <x:row r="5001" ht="44" customHeight="1">
      <x:c r="A5001" s="2" t="str">
        <x:v>LCA</x:v>
      </x:c>
      <x:c r="B5001" s="2" t="str">
        <x:v>water_withdrawal</x:v>
      </x:c>
      <x:c r="C5001" s="2" t="n">
        <x:v>14.3</x:v>
      </x:c>
      <x:c r="D5001" s="2" t="n">
        <x:v>2022</x:v>
      </x:c>
      <x:c r="E5001" s="2" t="str">
        <x:v>WB_water_withdrawal</x:v>
      </x:c>
      <x:c r="F5001" s="2" t="str">
        <x:v>Annual freshwater withdrawals, total (% of internal resources)</x:v>
      </x:c>
    </x:row>
    <x:row r="5002" ht="44" customHeight="1">
      <x:c r="A5002" s="2" t="str">
        <x:v>VCT</x:v>
      </x:c>
      <x:c r="B5002" s="2" t="str">
        <x:v>population</x:v>
      </x:c>
      <x:c r="C5002" s="2" t="n">
        <x:v>99924</x:v>
      </x:c>
      <x:c r="D5002" s="2" t="n">
        <x:v>2025</x:v>
      </x:c>
      <x:c r="E5002" s="2" t="str">
        <x:v>WB_population</x:v>
      </x:c>
      <x:c r="F5002" s="2" t="str">
        <x:v>Population, total</x:v>
      </x:c>
    </x:row>
    <x:row r="5003" ht="44" customHeight="1">
      <x:c r="A5003" s="2" t="str">
        <x:v>VCT</x:v>
      </x:c>
      <x:c r="B5003" s="2" t="str">
        <x:v>income_ppp</x:v>
      </x:c>
      <x:c r="C5003" s="2" t="n">
        <x:v>19483.0127638994</x:v>
      </x:c>
      <x:c r="D5003" s="2" t="n">
        <x:v>2025</x:v>
      </x:c>
      <x:c r="E5003" s="2" t="str">
        <x:v>WB_income_ppp</x:v>
      </x:c>
      <x:c r="F5003" s="2" t="str">
        <x:v>GDP per capita, PPP (constant 2021 international $)</x:v>
      </x:c>
    </x:row>
    <x:row r="5004" ht="44" customHeight="1">
      <x:c r="A5004" s="2" t="str">
        <x:v>VCT</x:v>
      </x:c>
      <x:c r="B5004" s="2" t="str">
        <x:v>urban</x:v>
      </x:c>
      <x:c r="C5004" s="2" t="n">
        <x:v>47.9810480381821</x:v>
      </x:c>
      <x:c r="D5004" s="2" t="n">
        <x:v>2025</x:v>
      </x:c>
      <x:c r="E5004" s="2" t="str">
        <x:v>WB_urban</x:v>
      </x:c>
      <x:c r="F5004" s="2" t="str">
        <x:v>Urban population (% of total population)</x:v>
      </x:c>
    </x:row>
    <x:row r="5005" ht="44" customHeight="1">
      <x:c r="A5005" s="2" t="str">
        <x:v>VCT</x:v>
      </x:c>
      <x:c r="B5005" s="2" t="str">
        <x:v>inflation</x:v>
      </x:c>
      <x:c r="C5005" s="2" t="n">
        <x:v>0.815322893749171</x:v>
      </x:c>
      <x:c r="D5005" s="2" t="n">
        <x:v>2025</x:v>
      </x:c>
      <x:c r="E5005" s="2" t="str">
        <x:v>WB_inflation</x:v>
      </x:c>
      <x:c r="F5005" s="2" t="str">
        <x:v>Inflation, consumer prices (annual %)</x:v>
      </x:c>
    </x:row>
    <x:row r="5006" ht="44" customHeight="1">
      <x:c r="A5006" s="2" t="str">
        <x:v>VCT</x:v>
      </x:c>
      <x:c r="B5006" s="2" t="str">
        <x:v>food_index</x:v>
      </x:c>
      <x:c r="C5006" s="2" t="n">
        <x:v>101.11</x:v>
      </x:c>
      <x:c r="D5006" s="2" t="n">
        <x:v>2022</x:v>
      </x:c>
      <x:c r="E5006" s="2" t="str">
        <x:v>WB_food_index</x:v>
      </x:c>
      <x:c r="F5006" s="2" t="str">
        <x:v>Food production index (2014-2016 = 100)</x:v>
      </x:c>
    </x:row>
    <x:row r="5007" ht="44" customHeight="1">
      <x:c r="A5007" s="2" t="str">
        <x:v>VCT</x:v>
      </x:c>
      <x:c r="B5007" s="2" t="str">
        <x:v>food_import_share</x:v>
      </x:c>
      <x:c r="C5007" s="2" t="n">
        <x:v>25.9960868086502</x:v>
      </x:c>
      <x:c r="D5007" s="2" t="n">
        <x:v>2023</x:v>
      </x:c>
      <x:c r="E5007" s="2" t="str">
        <x:v>WB_food_import_share</x:v>
      </x:c>
      <x:c r="F5007" s="2" t="str">
        <x:v>Food imports (% of merchandise imports)</x:v>
      </x:c>
    </x:row>
    <x:row r="5008" ht="44" customHeight="1">
      <x:c r="A5008" s="2" t="str">
        <x:v>VCT</x:v>
      </x:c>
      <x:c r="B5008" s="2" t="str">
        <x:v>food_export_share</x:v>
      </x:c>
      <x:c r="C5008" s="2" t="n">
        <x:v>72.5053396773012</x:v>
      </x:c>
      <x:c r="D5008" s="2" t="n">
        <x:v>2023</x:v>
      </x:c>
      <x:c r="E5008" s="2" t="str">
        <x:v>WB_food_export_share</x:v>
      </x:c>
      <x:c r="F5008" s="2" t="str">
        <x:v>Food exports (% of merchandise exports)</x:v>
      </x:c>
    </x:row>
    <x:row r="5009" ht="44" customHeight="1">
      <x:c r="A5009" s="2" t="str">
        <x:v>VCT</x:v>
      </x:c>
      <x:c r="B5009" s="2" t="str">
        <x:v>imports_usd</x:v>
      </x:c>
      <x:c r="C5009" s="2" t="n">
        <x:v>509000000</x:v>
      </x:c>
      <x:c r="D5009" s="2" t="n">
        <x:v>2025</x:v>
      </x:c>
      <x:c r="E5009" s="2" t="str">
        <x:v>WB_imports_usd</x:v>
      </x:c>
      <x:c r="F5009" s="2" t="str">
        <x:v>Merchandise imports (current US$)</x:v>
      </x:c>
    </x:row>
    <x:row r="5010" ht="44" customHeight="1">
      <x:c r="A5010" s="2" t="str">
        <x:v>VCT</x:v>
      </x:c>
      <x:c r="B5010" s="2" t="str">
        <x:v>exports_usd</x:v>
      </x:c>
      <x:c r="C5010" s="2" t="n">
        <x:v>37000000</x:v>
      </x:c>
      <x:c r="D5010" s="2" t="n">
        <x:v>2025</x:v>
      </x:c>
      <x:c r="E5010" s="2" t="str">
        <x:v>WB_exports_usd</x:v>
      </x:c>
      <x:c r="F5010" s="2" t="str">
        <x:v>Merchandise exports (current US$)</x:v>
      </x:c>
    </x:row>
    <x:row r="5011" ht="44" customHeight="1">
      <x:c r="A5011" s="2" t="str">
        <x:v>VCT</x:v>
      </x:c>
      <x:c r="B5011" s="2" t="str">
        <x:v>cereal_yield</x:v>
      </x:c>
      <x:c r="C5011" s="2" t="n">
        <x:v>13343.8</x:v>
      </x:c>
      <x:c r="D5011" s="2" t="n">
        <x:v>2024</x:v>
      </x:c>
      <x:c r="E5011" s="2" t="str">
        <x:v>WB_cereal_yield</x:v>
      </x:c>
      <x:c r="F5011" s="2" t="str">
        <x:v>Cereal yield (kg per hectare)</x:v>
      </x:c>
    </x:row>
    <x:row r="5012" ht="44" customHeight="1">
      <x:c r="A5012" s="2" t="str">
        <x:v>VCT</x:v>
      </x:c>
      <x:c r="B5012" s="2" t="str">
        <x:v>water_stress</x:v>
      </x:c>
      <x:c r="C5012" s="2" t="n">
        <x:v>7.9</x:v>
      </x:c>
      <x:c r="D5012" s="2" t="n">
        <x:v>2022</x:v>
      </x:c>
      <x:c r="E5012" s="2" t="str">
        <x:v>WB_water_stress</x:v>
      </x:c>
      <x:c r="F5012" s="2" t="str">
        <x:v>Level of water stress: freshwater withdrawal as a proportion of available freshwater resources</x:v>
      </x:c>
    </x:row>
    <x:row r="5013" ht="44" customHeight="1">
      <x:c r="A5013" s="2" t="str">
        <x:v>VCT</x:v>
      </x:c>
      <x:c r="B5013" s="2" t="str">
        <x:v>fertility</x:v>
      </x:c>
      <x:c r="C5013" s="2" t="n">
        <x:v>1.761</x:v>
      </x:c>
      <x:c r="D5013" s="2" t="n">
        <x:v>2024</x:v>
      </x:c>
      <x:c r="E5013" s="2" t="str">
        <x:v>WB_fertility</x:v>
      </x:c>
      <x:c r="F5013" s="2" t="str">
        <x:v>Fertility rate, total (births per woman)</x:v>
      </x:c>
    </x:row>
    <x:row r="5014" ht="44" customHeight="1">
      <x:c r="A5014" s="2" t="str">
        <x:v>VCT</x:v>
      </x:c>
      <x:c r="B5014" s="2" t="str">
        <x:v>life_expectancy</x:v>
      </x:c>
      <x:c r="C5014" s="2" t="n">
        <x:v>71.382</x:v>
      </x:c>
      <x:c r="D5014" s="2" t="n">
        <x:v>2024</x:v>
      </x:c>
      <x:c r="E5014" s="2" t="str">
        <x:v>WB_life_expectancy</x:v>
      </x:c>
      <x:c r="F5014" s="2" t="str">
        <x:v>Life expectancy at birth, total (years)</x:v>
      </x:c>
    </x:row>
    <x:row r="5015" ht="44" customHeight="1">
      <x:c r="A5015" s="2" t="str">
        <x:v>VCT</x:v>
      </x:c>
      <x:c r="B5015" s="2" t="str">
        <x:v>age_under15</x:v>
      </x:c>
      <x:c r="C5015" s="2" t="n">
        <x:v>20.8712577996387</x:v>
      </x:c>
      <x:c r="D5015" s="2" t="n">
        <x:v>2025</x:v>
      </x:c>
      <x:c r="E5015" s="2" t="str">
        <x:v>WB_age_under15</x:v>
      </x:c>
      <x:c r="F5015" s="2" t="str">
        <x:v>Population ages 0-14 (% of total population)</x:v>
      </x:c>
    </x:row>
    <x:row r="5016" ht="44" customHeight="1">
      <x:c r="A5016" s="2" t="str">
        <x:v>VCT</x:v>
      </x:c>
      <x:c r="B5016" s="2" t="str">
        <x:v>age_over65</x:v>
      </x:c>
      <x:c r="C5016" s="2" t="n">
        <x:v>12.2502489379482</x:v>
      </x:c>
      <x:c r="D5016" s="2" t="n">
        <x:v>2025</x:v>
      </x:c>
      <x:c r="E5016" s="2" t="str">
        <x:v>WB_age_over65</x:v>
      </x:c>
      <x:c r="F5016" s="2" t="str">
        <x:v>Population ages 65 and above (% of total population)</x:v>
      </x:c>
    </x:row>
    <x:row r="5017" ht="44" customHeight="1">
      <x:c r="A5017" s="2" t="str">
        <x:v>VCT</x:v>
      </x:c>
      <x:c r="B5017" s="2" t="str">
        <x:v>dependency_ratio</x:v>
      </x:c>
      <x:c r="C5017" s="2" t="n">
        <x:v>49.5241515532412</x:v>
      </x:c>
      <x:c r="D5017" s="2" t="n">
        <x:v>2025</x:v>
      </x:c>
      <x:c r="E5017" s="2" t="str">
        <x:v>WB_dependency_ratio</x:v>
      </x:c>
      <x:c r="F5017" s="2" t="str">
        <x:v>Age dependency ratio (% of working-age population)</x:v>
      </x:c>
    </x:row>
    <x:row r="5018" ht="44" customHeight="1">
      <x:c r="A5018" s="2" t="str">
        <x:v>VCT</x:v>
      </x:c>
      <x:c r="B5018" s="2" t="str">
        <x:v>net_migration</x:v>
      </x:c>
      <x:c r="C5018" s="2" t="n">
        <x:v>-714</x:v>
      </x:c>
      <x:c r="D5018" s="2" t="n">
        <x:v>2025</x:v>
      </x:c>
      <x:c r="E5018" s="2" t="str">
        <x:v>WB_net_migration</x:v>
      </x:c>
      <x:c r="F5018" s="2" t="str">
        <x:v>Net migration</x:v>
      </x:c>
    </x:row>
    <x:row r="5019" ht="44" customHeight="1">
      <x:c r="A5019" s="2" t="str">
        <x:v>VCT</x:v>
      </x:c>
      <x:c r="B5019" s="2" t="str">
        <x:v>real_gdp</x:v>
      </x:c>
      <x:c r="C5019" s="2" t="n">
        <x:v>986735188.198088</x:v>
      </x:c>
      <x:c r="D5019" s="2" t="n">
        <x:v>2025</x:v>
      </x:c>
      <x:c r="E5019" s="2" t="str">
        <x:v>WB_real_gdp</x:v>
      </x:c>
      <x:c r="F5019" s="2" t="str">
        <x:v>GDP (constant 2015 US$)</x:v>
      </x:c>
    </x:row>
    <x:row r="5020" ht="44" customHeight="1">
      <x:c r="A5020" s="2" t="str">
        <x:v>VCT</x:v>
      </x:c>
      <x:c r="B5020" s="2" t="str">
        <x:v>gdp_growth</x:v>
      </x:c>
      <x:c r="C5020" s="2" t="n">
        <x:v>3.3921670546227</x:v>
      </x:c>
      <x:c r="D5020" s="2" t="n">
        <x:v>2025</x:v>
      </x:c>
      <x:c r="E5020" s="2" t="str">
        <x:v>WB_gdp_growth</x:v>
      </x:c>
      <x:c r="F5020" s="2" t="str">
        <x:v>GDP growth (annual %)</x:v>
      </x:c>
    </x:row>
    <x:row r="5021" ht="44" customHeight="1">
      <x:c r="A5021" s="2" t="str">
        <x:v>VCT</x:v>
      </x:c>
      <x:c r="B5021" s="2" t="str">
        <x:v>real_income</x:v>
      </x:c>
      <x:c r="C5021" s="2" t="n">
        <x:v>9874.85677312846</x:v>
      </x:c>
      <x:c r="D5021" s="2" t="n">
        <x:v>2025</x:v>
      </x:c>
      <x:c r="E5021" s="2" t="str">
        <x:v>WB_real_income</x:v>
      </x:c>
      <x:c r="F5021" s="2" t="str">
        <x:v>GDP per capita (constant 2015 US$)</x:v>
      </x:c>
    </x:row>
    <x:row r="5022" ht="44" customHeight="1">
      <x:c r="A5022" s="2" t="str">
        <x:v>VCT</x:v>
      </x:c>
      <x:c r="B5022" s="2" t="str">
        <x:v>agriculture_gdp</x:v>
      </x:c>
      <x:c r="C5022" s="2" t="n">
        <x:v>3.43660558850432</x:v>
      </x:c>
      <x:c r="D5022" s="2" t="n">
        <x:v>2025</x:v>
      </x:c>
      <x:c r="E5022" s="2" t="str">
        <x:v>WB_agriculture_gdp</x:v>
      </x:c>
      <x:c r="F5022" s="2" t="str">
        <x:v>Agriculture, forestry, and fishing, value added (% of GDP)</x:v>
      </x:c>
    </x:row>
    <x:row r="5023" ht="44" customHeight="1">
      <x:c r="A5023" s="2" t="str">
        <x:v>VCT</x:v>
      </x:c>
      <x:c r="B5023" s="2" t="str">
        <x:v>poverty</x:v>
      </x:c>
      <x:c r="C5023" s="2"/>
      <x:c r="D5023" s="2"/>
      <x:c r="E5023" s="2" t="str">
        <x:v>Missing</x:v>
      </x:c>
      <x:c r="F5023" s="2" t="str">
        <x:v>Poverty headcount ratio at $3.00 a day (2021 PPP) (% of population)</x:v>
      </x:c>
    </x:row>
    <x:row r="5024" ht="44" customHeight="1">
      <x:c r="A5024" s="2" t="str">
        <x:v>VCT</x:v>
      </x:c>
      <x:c r="B5024" s="2" t="str">
        <x:v>gini</x:v>
      </x:c>
      <x:c r="C5024" s="2"/>
      <x:c r="D5024" s="2"/>
      <x:c r="E5024" s="2" t="str">
        <x:v>Missing</x:v>
      </x:c>
      <x:c r="F5024" s="2" t="str">
        <x:v>Gini index</x:v>
      </x:c>
    </x:row>
    <x:row r="5025" ht="44" customHeight="1">
      <x:c r="A5025" s="2" t="str">
        <x:v>VCT</x:v>
      </x:c>
      <x:c r="B5025" s="2" t="str">
        <x:v>unemployment</x:v>
      </x:c>
      <x:c r="C5025" s="2" t="n">
        <x:v>18.003</x:v>
      </x:c>
      <x:c r="D5025" s="2" t="n">
        <x:v>2025</x:v>
      </x:c>
      <x:c r="E5025" s="2" t="str">
        <x:v>WB_unemployment</x:v>
      </x:c>
      <x:c r="F5025" s="2" t="str">
        <x:v>Unemployment, total (% of total labor force) (modeled ILO estimate)</x:v>
      </x:c>
    </x:row>
    <x:row r="5026" ht="44" customHeight="1">
      <x:c r="A5026" s="2" t="str">
        <x:v>VCT</x:v>
      </x:c>
      <x:c r="B5026" s="2" t="str">
        <x:v>private_credit</x:v>
      </x:c>
      <x:c r="C5026" s="2" t="n">
        <x:v>36.5669056681715</x:v>
      </x:c>
      <x:c r="D5026" s="2" t="n">
        <x:v>2025</x:v>
      </x:c>
      <x:c r="E5026" s="2" t="str">
        <x:v>WB_private_credit</x:v>
      </x:c>
      <x:c r="F5026" s="2" t="str">
        <x:v>Domestic credit to private sector (% of GDP)</x:v>
      </x:c>
    </x:row>
    <x:row r="5027" ht="44" customHeight="1">
      <x:c r="A5027" s="2" t="str">
        <x:v>VCT</x:v>
      </x:c>
      <x:c r="B5027" s="2" t="str">
        <x:v>lending_rate</x:v>
      </x:c>
      <x:c r="C5027" s="2" t="n">
        <x:v>7.059139</x:v>
      </x:c>
      <x:c r="D5027" s="2" t="n">
        <x:v>2025</x:v>
      </x:c>
      <x:c r="E5027" s="2" t="str">
        <x:v>WB_lending_rate</x:v>
      </x:c>
      <x:c r="F5027" s="2" t="str">
        <x:v>Lending interest rate (%)</x:v>
      </x:c>
    </x:row>
    <x:row r="5028" ht="44" customHeight="1">
      <x:c r="A5028" s="2" t="str">
        <x:v>VCT</x:v>
      </x:c>
      <x:c r="B5028" s="2" t="str">
        <x:v>real_interest</x:v>
      </x:c>
      <x:c r="C5028" s="2" t="n">
        <x:v>2.04740609428833</x:v>
      </x:c>
      <x:c r="D5028" s="2" t="n">
        <x:v>2025</x:v>
      </x:c>
      <x:c r="E5028" s="2" t="str">
        <x:v>WB_real_interest</x:v>
      </x:c>
      <x:c r="F5028" s="2" t="str">
        <x:v>Real interest rate (%)</x:v>
      </x:c>
    </x:row>
    <x:row r="5029" ht="44" customHeight="1">
      <x:c r="A5029" s="2" t="str">
        <x:v>VCT</x:v>
      </x:c>
      <x:c r="B5029" s="2" t="str">
        <x:v>government_debt</x:v>
      </x:c>
      <x:c r="C5029" s="2" t="n">
        <x:v>53.6982398780635</x:v>
      </x:c>
      <x:c r="D5029" s="2" t="n">
        <x:v>2009</x:v>
      </x:c>
      <x:c r="E5029" s="2" t="str">
        <x:v>WB_government_debt</x:v>
      </x:c>
      <x:c r="F5029" s="2" t="str">
        <x:v>Central government debt, total (% of GDP)</x:v>
      </x:c>
    </x:row>
    <x:row r="5030" ht="44" customHeight="1">
      <x:c r="A5030" s="2" t="str">
        <x:v>VCT</x:v>
      </x:c>
      <x:c r="B5030" s="2" t="str">
        <x:v>electricity_access</x:v>
      </x:c>
      <x:c r="C5030" s="2" t="n">
        <x:v>100</x:v>
      </x:c>
      <x:c r="D5030" s="2" t="n">
        <x:v>2024</x:v>
      </x:c>
      <x:c r="E5030" s="2" t="str">
        <x:v>WB_electricity_access</x:v>
      </x:c>
      <x:c r="F5030" s="2" t="str">
        <x:v>Access to electricity (% of population)</x:v>
      </x:c>
    </x:row>
    <x:row r="5031" ht="44" customHeight="1">
      <x:c r="A5031" s="2" t="str">
        <x:v>VCT</x:v>
      </x:c>
      <x:c r="B5031" s="2" t="str">
        <x:v>irrigated_land</x:v>
      </x:c>
      <x:c r="C5031" s="2"/>
      <x:c r="D5031" s="2"/>
      <x:c r="E5031" s="2" t="str">
        <x:v>Missing</x:v>
      </x:c>
      <x:c r="F5031" s="2" t="str">
        <x:v>Agricultural irrigated land (% of total agricultural land)</x:v>
      </x:c>
    </x:row>
    <x:row r="5032" ht="44" customHeight="1">
      <x:c r="A5032" s="2" t="str">
        <x:v>VCT</x:v>
      </x:c>
      <x:c r="B5032" s="2" t="str">
        <x:v>cereal_area</x:v>
      </x:c>
      <x:c r="C5032" s="2" t="n">
        <x:v>32</x:v>
      </x:c>
      <x:c r="D5032" s="2" t="n">
        <x:v>2024</x:v>
      </x:c>
      <x:c r="E5032" s="2" t="str">
        <x:v>WB_cereal_area</x:v>
      </x:c>
      <x:c r="F5032" s="2" t="str">
        <x:v>Land under cereal production (hectares)</x:v>
      </x:c>
    </x:row>
    <x:row r="5033" ht="44" customHeight="1">
      <x:c r="A5033" s="2" t="str">
        <x:v>VCT</x:v>
      </x:c>
      <x:c r="B5033" s="2" t="str">
        <x:v>undernourishment</x:v>
      </x:c>
      <x:c r="C5033" s="2" t="n">
        <x:v>6.1</x:v>
      </x:c>
      <x:c r="D5033" s="2" t="n">
        <x:v>2023</x:v>
      </x:c>
      <x:c r="E5033" s="2" t="str">
        <x:v>WB_undernourishment</x:v>
      </x:c>
      <x:c r="F5033" s="2" t="str">
        <x:v>Prevalence of undernourishment (% of population)</x:v>
      </x:c>
    </x:row>
    <x:row r="5034" ht="44" customHeight="1">
      <x:c r="A5034" s="2" t="str">
        <x:v>VCT</x:v>
      </x:c>
      <x:c r="B5034" s="2" t="str">
        <x:v>agriculture_employment</x:v>
      </x:c>
      <x:c r="C5034" s="2" t="n">
        <x:v>9.07480180814574</x:v>
      </x:c>
      <x:c r="D5034" s="2" t="n">
        <x:v>2025</x:v>
      </x:c>
      <x:c r="E5034" s="2" t="str">
        <x:v>WB_agriculture_employment</x:v>
      </x:c>
      <x:c r="F5034" s="2" t="str">
        <x:v>Employment in agriculture (% of total employment) (modeled ILO estimate)</x:v>
      </x:c>
    </x:row>
    <x:row r="5035" ht="44" customHeight="1">
      <x:c r="A5035" s="2" t="str">
        <x:v>VCT</x:v>
      </x:c>
      <x:c r="B5035" s="2" t="str">
        <x:v>water_withdrawal</x:v>
      </x:c>
      <x:c r="C5035" s="2" t="n">
        <x:v>7.9</x:v>
      </x:c>
      <x:c r="D5035" s="2" t="n">
        <x:v>2022</x:v>
      </x:c>
      <x:c r="E5035" s="2" t="str">
        <x:v>WB_water_withdrawal</x:v>
      </x:c>
      <x:c r="F5035" s="2" t="str">
        <x:v>Annual freshwater withdrawals, total (% of internal resources)</x:v>
      </x:c>
    </x:row>
    <x:row r="5036" ht="44" customHeight="1">
      <x:c r="A5036" s="2" t="str">
        <x:v>WSM</x:v>
      </x:c>
      <x:c r="B5036" s="2" t="str">
        <x:v>population</x:v>
      </x:c>
      <x:c r="C5036" s="2" t="n">
        <x:v>219306</x:v>
      </x:c>
      <x:c r="D5036" s="2" t="n">
        <x:v>2025</x:v>
      </x:c>
      <x:c r="E5036" s="2" t="str">
        <x:v>WB_population</x:v>
      </x:c>
      <x:c r="F5036" s="2" t="str">
        <x:v>Population, total</x:v>
      </x:c>
    </x:row>
    <x:row r="5037" ht="44" customHeight="1">
      <x:c r="A5037" s="2" t="str">
        <x:v>WSM</x:v>
      </x:c>
      <x:c r="B5037" s="2" t="str">
        <x:v>income_ppp</x:v>
      </x:c>
      <x:c r="C5037" s="2" t="n">
        <x:v>7963.42749052153</x:v>
      </x:c>
      <x:c r="D5037" s="2" t="n">
        <x:v>2025</x:v>
      </x:c>
      <x:c r="E5037" s="2" t="str">
        <x:v>WB_income_ppp</x:v>
      </x:c>
      <x:c r="F5037" s="2" t="str">
        <x:v>GDP per capita, PPP (constant 2021 international $)</x:v>
      </x:c>
    </x:row>
    <x:row r="5038" ht="44" customHeight="1">
      <x:c r="A5038" s="2" t="str">
        <x:v>WSM</x:v>
      </x:c>
      <x:c r="B5038" s="2" t="str">
        <x:v>urban</x:v>
      </x:c>
      <x:c r="C5038" s="2" t="n">
        <x:v>17.5063874123422</x:v>
      </x:c>
      <x:c r="D5038" s="2" t="n">
        <x:v>2025</x:v>
      </x:c>
      <x:c r="E5038" s="2" t="str">
        <x:v>WB_urban</x:v>
      </x:c>
      <x:c r="F5038" s="2" t="str">
        <x:v>Urban population (% of total population)</x:v>
      </x:c>
    </x:row>
    <x:row r="5039" ht="44" customHeight="1">
      <x:c r="A5039" s="2" t="str">
        <x:v>WSM</x:v>
      </x:c>
      <x:c r="B5039" s="2" t="str">
        <x:v>inflation</x:v>
      </x:c>
      <x:c r="C5039" s="2" t="n">
        <x:v>2.2119620764675</x:v>
      </x:c>
      <x:c r="D5039" s="2" t="n">
        <x:v>2025</x:v>
      </x:c>
      <x:c r="E5039" s="2" t="str">
        <x:v>WB_inflation</x:v>
      </x:c>
      <x:c r="F5039" s="2" t="str">
        <x:v>Inflation, consumer prices (annual %)</x:v>
      </x:c>
    </x:row>
    <x:row r="5040" ht="44" customHeight="1">
      <x:c r="A5040" s="2" t="str">
        <x:v>WSM</x:v>
      </x:c>
      <x:c r="B5040" s="2" t="str">
        <x:v>food_index</x:v>
      </x:c>
      <x:c r="C5040" s="2" t="n">
        <x:v>83.05</x:v>
      </x:c>
      <x:c r="D5040" s="2" t="n">
        <x:v>2022</x:v>
      </x:c>
      <x:c r="E5040" s="2" t="str">
        <x:v>WB_food_index</x:v>
      </x:c>
      <x:c r="F5040" s="2" t="str">
        <x:v>Food production index (2014-2016 = 100)</x:v>
      </x:c>
    </x:row>
    <x:row r="5041" ht="44" customHeight="1">
      <x:c r="A5041" s="2" t="str">
        <x:v>WSM</x:v>
      </x:c>
      <x:c r="B5041" s="2" t="str">
        <x:v>food_import_share</x:v>
      </x:c>
      <x:c r="C5041" s="2" t="n">
        <x:v>29.6321037402232</x:v>
      </x:c>
      <x:c r="D5041" s="2" t="n">
        <x:v>2024</x:v>
      </x:c>
      <x:c r="E5041" s="2" t="str">
        <x:v>WB_food_import_share</x:v>
      </x:c>
      <x:c r="F5041" s="2" t="str">
        <x:v>Food imports (% of merchandise imports)</x:v>
      </x:c>
    </x:row>
    <x:row r="5042" ht="44" customHeight="1">
      <x:c r="A5042" s="2" t="str">
        <x:v>WSM</x:v>
      </x:c>
      <x:c r="B5042" s="2" t="str">
        <x:v>food_export_share</x:v>
      </x:c>
      <x:c r="C5042" s="2" t="n">
        <x:v>24.7506471048432</x:v>
      </x:c>
      <x:c r="D5042" s="2" t="n">
        <x:v>2024</x:v>
      </x:c>
      <x:c r="E5042" s="2" t="str">
        <x:v>WB_food_export_share</x:v>
      </x:c>
      <x:c r="F5042" s="2" t="str">
        <x:v>Food exports (% of merchandise exports)</x:v>
      </x:c>
    </x:row>
    <x:row r="5043" ht="44" customHeight="1">
      <x:c r="A5043" s="2" t="str">
        <x:v>WSM</x:v>
      </x:c>
      <x:c r="B5043" s="2" t="str">
        <x:v>imports_usd</x:v>
      </x:c>
      <x:c r="C5043" s="2" t="n">
        <x:v>467000000</x:v>
      </x:c>
      <x:c r="D5043" s="2" t="n">
        <x:v>2025</x:v>
      </x:c>
      <x:c r="E5043" s="2" t="str">
        <x:v>WB_imports_usd</x:v>
      </x:c>
      <x:c r="F5043" s="2" t="str">
        <x:v>Merchandise imports (current US$)</x:v>
      </x:c>
    </x:row>
    <x:row r="5044" ht="44" customHeight="1">
      <x:c r="A5044" s="2" t="str">
        <x:v>WSM</x:v>
      </x:c>
      <x:c r="B5044" s="2" t="str">
        <x:v>exports_usd</x:v>
      </x:c>
      <x:c r="C5044" s="2" t="n">
        <x:v>24000000</x:v>
      </x:c>
      <x:c r="D5044" s="2" t="n">
        <x:v>2025</x:v>
      </x:c>
      <x:c r="E5044" s="2" t="str">
        <x:v>WB_exports_usd</x:v>
      </x:c>
      <x:c r="F5044" s="2" t="str">
        <x:v>Merchandise exports (current US$)</x:v>
      </x:c>
    </x:row>
    <x:row r="5045" ht="44" customHeight="1">
      <x:c r="A5045" s="2" t="str">
        <x:v>WSM</x:v>
      </x:c>
      <x:c r="B5045" s="2" t="str">
        <x:v>cereal_yield</x:v>
      </x:c>
      <x:c r="C5045" s="2"/>
      <x:c r="D5045" s="2"/>
      <x:c r="E5045" s="2" t="str">
        <x:v>Missing</x:v>
      </x:c>
      <x:c r="F5045" s="2" t="str">
        <x:v>Cereal yield (kg per hectare)</x:v>
      </x:c>
    </x:row>
    <x:row r="5046" ht="44" customHeight="1">
      <x:c r="A5046" s="2" t="str">
        <x:v>WSM</x:v>
      </x:c>
      <x:c r="B5046" s="2" t="str">
        <x:v>water_stress</x:v>
      </x:c>
      <x:c r="C5046" s="2"/>
      <x:c r="D5046" s="2"/>
      <x:c r="E5046" s="2" t="str">
        <x:v>Missing</x:v>
      </x:c>
      <x:c r="F5046" s="2" t="str">
        <x:v>Level of water stress: freshwater withdrawal as a proportion of available freshwater resources</x:v>
      </x:c>
    </x:row>
    <x:row r="5047" ht="44" customHeight="1">
      <x:c r="A5047" s="2" t="str">
        <x:v>WSM</x:v>
      </x:c>
      <x:c r="B5047" s="2" t="str">
        <x:v>fertility</x:v>
      </x:c>
      <x:c r="C5047" s="2" t="n">
        <x:v>3.801</x:v>
      </x:c>
      <x:c r="D5047" s="2" t="n">
        <x:v>2024</x:v>
      </x:c>
      <x:c r="E5047" s="2" t="str">
        <x:v>WB_fertility</x:v>
      </x:c>
      <x:c r="F5047" s="2" t="str">
        <x:v>Fertility rate, total (births per woman)</x:v>
      </x:c>
    </x:row>
    <x:row r="5048" ht="44" customHeight="1">
      <x:c r="A5048" s="2" t="str">
        <x:v>WSM</x:v>
      </x:c>
      <x:c r="B5048" s="2" t="str">
        <x:v>life_expectancy</x:v>
      </x:c>
      <x:c r="C5048" s="2" t="n">
        <x:v>71.826</x:v>
      </x:c>
      <x:c r="D5048" s="2" t="n">
        <x:v>2024</x:v>
      </x:c>
      <x:c r="E5048" s="2" t="str">
        <x:v>WB_life_expectancy</x:v>
      </x:c>
      <x:c r="F5048" s="2" t="str">
        <x:v>Life expectancy at birth, total (years)</x:v>
      </x:c>
    </x:row>
    <x:row r="5049" ht="44" customHeight="1">
      <x:c r="A5049" s="2" t="str">
        <x:v>WSM</x:v>
      </x:c>
      <x:c r="B5049" s="2" t="str">
        <x:v>age_under15</x:v>
      </x:c>
      <x:c r="C5049" s="2" t="n">
        <x:v>38.0611153796171</x:v>
      </x:c>
      <x:c r="D5049" s="2" t="n">
        <x:v>2025</x:v>
      </x:c>
      <x:c r="E5049" s="2" t="str">
        <x:v>WB_age_under15</x:v>
      </x:c>
      <x:c r="F5049" s="2" t="str">
        <x:v>Population ages 0-14 (% of total population)</x:v>
      </x:c>
    </x:row>
    <x:row r="5050" ht="44" customHeight="1">
      <x:c r="A5050" s="2" t="str">
        <x:v>WSM</x:v>
      </x:c>
      <x:c r="B5050" s="2" t="str">
        <x:v>age_over65</x:v>
      </x:c>
      <x:c r="C5050" s="2" t="n">
        <x:v>6.06890356646976</x:v>
      </x:c>
      <x:c r="D5050" s="2" t="n">
        <x:v>2025</x:v>
      </x:c>
      <x:c r="E5050" s="2" t="str">
        <x:v>WB_age_over65</x:v>
      </x:c>
      <x:c r="F5050" s="2" t="str">
        <x:v>Population ages 65 and above (% of total population)</x:v>
      </x:c>
    </x:row>
    <x:row r="5051" ht="44" customHeight="1">
      <x:c r="A5051" s="2" t="str">
        <x:v>WSM</x:v>
      </x:c>
      <x:c r="B5051" s="2" t="str">
        <x:v>dependency_ratio</x:v>
      </x:c>
      <x:c r="C5051" s="2" t="n">
        <x:v>78.9865008243148</x:v>
      </x:c>
      <x:c r="D5051" s="2" t="n">
        <x:v>2025</x:v>
      </x:c>
      <x:c r="E5051" s="2" t="str">
        <x:v>WB_dependency_ratio</x:v>
      </x:c>
      <x:c r="F5051" s="2" t="str">
        <x:v>Age dependency ratio (% of working-age population)</x:v>
      </x:c>
    </x:row>
    <x:row r="5052" ht="44" customHeight="1">
      <x:c r="A5052" s="2" t="str">
        <x:v>WSM</x:v>
      </x:c>
      <x:c r="B5052" s="2" t="str">
        <x:v>net_migration</x:v>
      </x:c>
      <x:c r="C5052" s="2" t="n">
        <x:v>-2815</x:v>
      </x:c>
      <x:c r="D5052" s="2" t="n">
        <x:v>2025</x:v>
      </x:c>
      <x:c r="E5052" s="2" t="str">
        <x:v>WB_net_migration</x:v>
      </x:c>
      <x:c r="F5052" s="2" t="str">
        <x:v>Net migration</x:v>
      </x:c>
    </x:row>
    <x:row r="5053" ht="44" customHeight="1">
      <x:c r="A5053" s="2" t="str">
        <x:v>WSM</x:v>
      </x:c>
      <x:c r="B5053" s="2" t="str">
        <x:v>real_gdp</x:v>
      </x:c>
      <x:c r="C5053" s="2" t="n">
        <x:v>1108788407.22014</x:v>
      </x:c>
      <x:c r="D5053" s="2" t="n">
        <x:v>2025</x:v>
      </x:c>
      <x:c r="E5053" s="2" t="str">
        <x:v>WB_real_gdp</x:v>
      </x:c>
      <x:c r="F5053" s="2" t="str">
        <x:v>GDP (constant 2015 US$)</x:v>
      </x:c>
    </x:row>
    <x:row r="5054" ht="44" customHeight="1">
      <x:c r="A5054" s="2" t="str">
        <x:v>WSM</x:v>
      </x:c>
      <x:c r="B5054" s="2" t="str">
        <x:v>gdp_growth</x:v>
      </x:c>
      <x:c r="C5054" s="2" t="n">
        <x:v>4.20440659006225</x:v>
      </x:c>
      <x:c r="D5054" s="2" t="n">
        <x:v>2025</x:v>
      </x:c>
      <x:c r="E5054" s="2" t="str">
        <x:v>WB_gdp_growth</x:v>
      </x:c>
      <x:c r="F5054" s="2" t="str">
        <x:v>GDP growth (annual %)</x:v>
      </x:c>
    </x:row>
    <x:row r="5055" ht="44" customHeight="1">
      <x:c r="A5055" s="2" t="str">
        <x:v>WSM</x:v>
      </x:c>
      <x:c r="B5055" s="2" t="str">
        <x:v>real_income</x:v>
      </x:c>
      <x:c r="C5055" s="2" t="n">
        <x:v>5055.89636042853</x:v>
      </x:c>
      <x:c r="D5055" s="2" t="n">
        <x:v>2025</x:v>
      </x:c>
      <x:c r="E5055" s="2" t="str">
        <x:v>WB_real_income</x:v>
      </x:c>
      <x:c r="F5055" s="2" t="str">
        <x:v>GDP per capita (constant 2015 US$)</x:v>
      </x:c>
    </x:row>
    <x:row r="5056" ht="44" customHeight="1">
      <x:c r="A5056" s="2" t="str">
        <x:v>WSM</x:v>
      </x:c>
      <x:c r="B5056" s="2" t="str">
        <x:v>agriculture_gdp</x:v>
      </x:c>
      <x:c r="C5056" s="2" t="n">
        <x:v>9.0895376966202</x:v>
      </x:c>
      <x:c r="D5056" s="2" t="n">
        <x:v>2025</x:v>
      </x:c>
      <x:c r="E5056" s="2" t="str">
        <x:v>WB_agriculture_gdp</x:v>
      </x:c>
      <x:c r="F5056" s="2" t="str">
        <x:v>Agriculture, forestry, and fishing, value added (% of GDP)</x:v>
      </x:c>
    </x:row>
    <x:row r="5057" ht="44" customHeight="1">
      <x:c r="A5057" s="2" t="str">
        <x:v>WSM</x:v>
      </x:c>
      <x:c r="B5057" s="2" t="str">
        <x:v>poverty</x:v>
      </x:c>
      <x:c r="C5057" s="2" t="n">
        <x:v>4.5</x:v>
      </x:c>
      <x:c r="D5057" s="2" t="n">
        <x:v>2013</x:v>
      </x:c>
      <x:c r="E5057" s="2" t="str">
        <x:v>WB_poverty</x:v>
      </x:c>
      <x:c r="F5057" s="2" t="str">
        <x:v>Poverty headcount ratio at $3.00 a day (2021 PPP) (% of population)</x:v>
      </x:c>
    </x:row>
    <x:row r="5058" ht="44" customHeight="1">
      <x:c r="A5058" s="2" t="str">
        <x:v>WSM</x:v>
      </x:c>
      <x:c r="B5058" s="2" t="str">
        <x:v>gini</x:v>
      </x:c>
      <x:c r="C5058" s="2" t="n">
        <x:v>38.7</x:v>
      </x:c>
      <x:c r="D5058" s="2" t="n">
        <x:v>2013</x:v>
      </x:c>
      <x:c r="E5058" s="2" t="str">
        <x:v>WB_gini</x:v>
      </x:c>
      <x:c r="F5058" s="2" t="str">
        <x:v>Gini index</x:v>
      </x:c>
    </x:row>
    <x:row r="5059" ht="44" customHeight="1">
      <x:c r="A5059" s="2" t="str">
        <x:v>WSM</x:v>
      </x:c>
      <x:c r="B5059" s="2" t="str">
        <x:v>unemployment</x:v>
      </x:c>
      <x:c r="C5059" s="2" t="n">
        <x:v>4.996</x:v>
      </x:c>
      <x:c r="D5059" s="2" t="n">
        <x:v>2025</x:v>
      </x:c>
      <x:c r="E5059" s="2" t="str">
        <x:v>WB_unemployment</x:v>
      </x:c>
      <x:c r="F5059" s="2" t="str">
        <x:v>Unemployment, total (% of total labor force) (modeled ILO estimate)</x:v>
      </x:c>
    </x:row>
    <x:row r="5060" ht="44" customHeight="1">
      <x:c r="A5060" s="2" t="str">
        <x:v>WSM</x:v>
      </x:c>
      <x:c r="B5060" s="2" t="str">
        <x:v>private_credit</x:v>
      </x:c>
      <x:c r="C5060" s="2" t="n">
        <x:v>65.4823099177082</x:v>
      </x:c>
      <x:c r="D5060" s="2" t="n">
        <x:v>2025</x:v>
      </x:c>
      <x:c r="E5060" s="2" t="str">
        <x:v>WB_private_credit</x:v>
      </x:c>
      <x:c r="F5060" s="2" t="str">
        <x:v>Domestic credit to private sector (% of GDP)</x:v>
      </x:c>
    </x:row>
    <x:row r="5061" ht="44" customHeight="1">
      <x:c r="A5061" s="2" t="str">
        <x:v>WSM</x:v>
      </x:c>
      <x:c r="B5061" s="2" t="str">
        <x:v>lending_rate</x:v>
      </x:c>
      <x:c r="C5061" s="2" t="n">
        <x:v>8.38581460388878</x:v>
      </x:c>
      <x:c r="D5061" s="2" t="n">
        <x:v>2025</x:v>
      </x:c>
      <x:c r="E5061" s="2" t="str">
        <x:v>WB_lending_rate</x:v>
      </x:c>
      <x:c r="F5061" s="2" t="str">
        <x:v>Lending interest rate (%)</x:v>
      </x:c>
    </x:row>
    <x:row r="5062" ht="44" customHeight="1">
      <x:c r="A5062" s="2" t="str">
        <x:v>WSM</x:v>
      </x:c>
      <x:c r="B5062" s="2" t="str">
        <x:v>real_interest</x:v>
      </x:c>
      <x:c r="C5062" s="2" t="n">
        <x:v>2.08790704616359</x:v>
      </x:c>
      <x:c r="D5062" s="2" t="n">
        <x:v>2025</x:v>
      </x:c>
      <x:c r="E5062" s="2" t="str">
        <x:v>WB_real_interest</x:v>
      </x:c>
      <x:c r="F5062" s="2" t="str">
        <x:v>Real interest rate (%)</x:v>
      </x:c>
    </x:row>
    <x:row r="5063" ht="44" customHeight="1">
      <x:c r="A5063" s="2" t="str">
        <x:v>WSM</x:v>
      </x:c>
      <x:c r="B5063" s="2" t="str">
        <x:v>government_debt</x:v>
      </x:c>
      <x:c r="C5063" s="2"/>
      <x:c r="D5063" s="2"/>
      <x:c r="E5063" s="2" t="str">
        <x:v>Missing</x:v>
      </x:c>
      <x:c r="F5063" s="2" t="str">
        <x:v>Central government debt, total (% of GDP)</x:v>
      </x:c>
    </x:row>
    <x:row r="5064" ht="44" customHeight="1">
      <x:c r="A5064" s="2" t="str">
        <x:v>WSM</x:v>
      </x:c>
      <x:c r="B5064" s="2" t="str">
        <x:v>electricity_access</x:v>
      </x:c>
      <x:c r="C5064" s="2" t="n">
        <x:v>100</x:v>
      </x:c>
      <x:c r="D5064" s="2" t="n">
        <x:v>2024</x:v>
      </x:c>
      <x:c r="E5064" s="2" t="str">
        <x:v>WB_electricity_access</x:v>
      </x:c>
      <x:c r="F5064" s="2" t="str">
        <x:v>Access to electricity (% of population)</x:v>
      </x:c>
    </x:row>
    <x:row r="5065" ht="44" customHeight="1">
      <x:c r="A5065" s="2" t="str">
        <x:v>WSM</x:v>
      </x:c>
      <x:c r="B5065" s="2" t="str">
        <x:v>irrigated_land</x:v>
      </x:c>
      <x:c r="C5065" s="2"/>
      <x:c r="D5065" s="2"/>
      <x:c r="E5065" s="2" t="str">
        <x:v>Missing</x:v>
      </x:c>
      <x:c r="F5065" s="2" t="str">
        <x:v>Agricultural irrigated land (% of total agricultural land)</x:v>
      </x:c>
    </x:row>
    <x:row r="5066" ht="44" customHeight="1">
      <x:c r="A5066" s="2" t="str">
        <x:v>WSM</x:v>
      </x:c>
      <x:c r="B5066" s="2" t="str">
        <x:v>cereal_area</x:v>
      </x:c>
      <x:c r="C5066" s="2"/>
      <x:c r="D5066" s="2"/>
      <x:c r="E5066" s="2" t="str">
        <x:v>Missing</x:v>
      </x:c>
      <x:c r="F5066" s="2" t="str">
        <x:v>Land under cereal production (hectares)</x:v>
      </x:c>
    </x:row>
    <x:row r="5067" ht="44" customHeight="1">
      <x:c r="A5067" s="2" t="str">
        <x:v>WSM</x:v>
      </x:c>
      <x:c r="B5067" s="2" t="str">
        <x:v>undernourishment</x:v>
      </x:c>
      <x:c r="C5067" s="2" t="n">
        <x:v>3.6</x:v>
      </x:c>
      <x:c r="D5067" s="2" t="n">
        <x:v>2023</x:v>
      </x:c>
      <x:c r="E5067" s="2" t="str">
        <x:v>WB_undernourishment</x:v>
      </x:c>
      <x:c r="F5067" s="2" t="str">
        <x:v>Prevalence of undernourishment (% of population)</x:v>
      </x:c>
    </x:row>
    <x:row r="5068" ht="44" customHeight="1">
      <x:c r="A5068" s="2" t="str">
        <x:v>WSM</x:v>
      </x:c>
      <x:c r="B5068" s="2" t="str">
        <x:v>agriculture_employment</x:v>
      </x:c>
      <x:c r="C5068" s="2" t="n">
        <x:v>26.8773911459282</x:v>
      </x:c>
      <x:c r="D5068" s="2" t="n">
        <x:v>2025</x:v>
      </x:c>
      <x:c r="E5068" s="2" t="str">
        <x:v>WB_agriculture_employment</x:v>
      </x:c>
      <x:c r="F5068" s="2" t="str">
        <x:v>Employment in agriculture (% of total employment) (modeled ILO estimate)</x:v>
      </x:c>
    </x:row>
    <x:row r="5069" ht="44" customHeight="1">
      <x:c r="A5069" s="2" t="str">
        <x:v>WSM</x:v>
      </x:c>
      <x:c r="B5069" s="2" t="str">
        <x:v>water_withdrawal</x:v>
      </x:c>
      <x:c r="C5069" s="2"/>
      <x:c r="D5069" s="2"/>
      <x:c r="E5069" s="2" t="str">
        <x:v>Missing</x:v>
      </x:c>
      <x:c r="F5069" s="2" t="str">
        <x:v>Annual freshwater withdrawals, total (% of internal resources)</x:v>
      </x:c>
    </x:row>
    <x:row r="5070" ht="44" customHeight="1">
      <x:c r="A5070" s="2" t="str">
        <x:v>SMR</x:v>
      </x:c>
      <x:c r="B5070" s="2" t="str">
        <x:v>population</x:v>
      </x:c>
      <x:c r="C5070" s="2" t="n">
        <x:v>34109</x:v>
      </x:c>
      <x:c r="D5070" s="2" t="n">
        <x:v>2025</x:v>
      </x:c>
      <x:c r="E5070" s="2" t="str">
        <x:v>WB_population</x:v>
      </x:c>
      <x:c r="F5070" s="2" t="str">
        <x:v>Population, total</x:v>
      </x:c>
    </x:row>
    <x:row r="5071" ht="44" customHeight="1">
      <x:c r="A5071" s="2" t="str">
        <x:v>SMR</x:v>
      </x:c>
      <x:c r="B5071" s="2" t="str">
        <x:v>income_ppp</x:v>
      </x:c>
      <x:c r="C5071" s="2" t="n">
        <x:v>70951.7919690715</x:v>
      </x:c>
      <x:c r="D5071" s="2" t="n">
        <x:v>2023</x:v>
      </x:c>
      <x:c r="E5071" s="2" t="str">
        <x:v>WB_income_ppp</x:v>
      </x:c>
      <x:c r="F5071" s="2" t="str">
        <x:v>GDP per capita, PPP (constant 2021 international $)</x:v>
      </x:c>
    </x:row>
    <x:row r="5072" ht="44" customHeight="1">
      <x:c r="A5072" s="2" t="str">
        <x:v>SMR</x:v>
      </x:c>
      <x:c r="B5072" s="2" t="str">
        <x:v>urban</x:v>
      </x:c>
      <x:c r="C5072" s="2" t="n">
        <x:v>97.1870254171573</x:v>
      </x:c>
      <x:c r="D5072" s="2" t="n">
        <x:v>2025</x:v>
      </x:c>
      <x:c r="E5072" s="2" t="str">
        <x:v>WB_urban</x:v>
      </x:c>
      <x:c r="F5072" s="2" t="str">
        <x:v>Urban population (% of total population)</x:v>
      </x:c>
    </x:row>
    <x:row r="5073" ht="44" customHeight="1">
      <x:c r="A5073" s="2" t="str">
        <x:v>SMR</x:v>
      </x:c>
      <x:c r="B5073" s="2" t="str">
        <x:v>inflation</x:v>
      </x:c>
      <x:c r="C5073" s="2" t="n">
        <x:v>2.29519525025037</x:v>
      </x:c>
      <x:c r="D5073" s="2" t="n">
        <x:v>2025</x:v>
      </x:c>
      <x:c r="E5073" s="2" t="str">
        <x:v>WB_inflation</x:v>
      </x:c>
      <x:c r="F5073" s="2" t="str">
        <x:v>Inflation, consumer prices (annual %)</x:v>
      </x:c>
    </x:row>
    <x:row r="5074" ht="44" customHeight="1">
      <x:c r="A5074" s="2" t="str">
        <x:v>SMR</x:v>
      </x:c>
      <x:c r="B5074" s="2" t="str">
        <x:v>food_index</x:v>
      </x:c>
      <x:c r="C5074" s="2"/>
      <x:c r="D5074" s="2"/>
      <x:c r="E5074" s="2" t="str">
        <x:v>Missing</x:v>
      </x:c>
      <x:c r="F5074" s="2" t="str">
        <x:v>Food production index (2014-2016 = 100)</x:v>
      </x:c>
    </x:row>
    <x:row r="5075" ht="44" customHeight="1">
      <x:c r="A5075" s="2" t="str">
        <x:v>SMR</x:v>
      </x:c>
      <x:c r="B5075" s="2" t="str">
        <x:v>food_import_share</x:v>
      </x:c>
      <x:c r="C5075" s="2"/>
      <x:c r="D5075" s="2"/>
      <x:c r="E5075" s="2" t="str">
        <x:v>Missing</x:v>
      </x:c>
      <x:c r="F5075" s="2" t="str">
        <x:v>Food imports (% of merchandise imports)</x:v>
      </x:c>
    </x:row>
    <x:row r="5076" ht="44" customHeight="1">
      <x:c r="A5076" s="2" t="str">
        <x:v>SMR</x:v>
      </x:c>
      <x:c r="B5076" s="2" t="str">
        <x:v>food_export_share</x:v>
      </x:c>
      <x:c r="C5076" s="2"/>
      <x:c r="D5076" s="2"/>
      <x:c r="E5076" s="2" t="str">
        <x:v>Missing</x:v>
      </x:c>
      <x:c r="F5076" s="2" t="str">
        <x:v>Food exports (% of merchandise exports)</x:v>
      </x:c>
    </x:row>
    <x:row r="5077" ht="44" customHeight="1">
      <x:c r="A5077" s="2" t="str">
        <x:v>SMR</x:v>
      </x:c>
      <x:c r="B5077" s="2" t="str">
        <x:v>imports_usd</x:v>
      </x:c>
      <x:c r="C5077" s="2"/>
      <x:c r="D5077" s="2"/>
      <x:c r="E5077" s="2" t="str">
        <x:v>Missing</x:v>
      </x:c>
      <x:c r="F5077" s="2" t="str">
        <x:v>Merchandise imports (current US$)</x:v>
      </x:c>
    </x:row>
    <x:row r="5078" ht="44" customHeight="1">
      <x:c r="A5078" s="2" t="str">
        <x:v>SMR</x:v>
      </x:c>
      <x:c r="B5078" s="2" t="str">
        <x:v>exports_usd</x:v>
      </x:c>
      <x:c r="C5078" s="2"/>
      <x:c r="D5078" s="2"/>
      <x:c r="E5078" s="2" t="str">
        <x:v>Missing</x:v>
      </x:c>
      <x:c r="F5078" s="2" t="str">
        <x:v>Merchandise exports (current US$)</x:v>
      </x:c>
    </x:row>
    <x:row r="5079" ht="44" customHeight="1">
      <x:c r="A5079" s="2" t="str">
        <x:v>SMR</x:v>
      </x:c>
      <x:c r="B5079" s="2" t="str">
        <x:v>cereal_yield</x:v>
      </x:c>
      <x:c r="C5079" s="2"/>
      <x:c r="D5079" s="2"/>
      <x:c r="E5079" s="2" t="str">
        <x:v>Missing</x:v>
      </x:c>
      <x:c r="F5079" s="2" t="str">
        <x:v>Cereal yield (kg per hectare)</x:v>
      </x:c>
    </x:row>
    <x:row r="5080" ht="44" customHeight="1">
      <x:c r="A5080" s="2" t="str">
        <x:v>SMR</x:v>
      </x:c>
      <x:c r="B5080" s="2" t="str">
        <x:v>water_stress</x:v>
      </x:c>
      <x:c r="C5080" s="2"/>
      <x:c r="D5080" s="2"/>
      <x:c r="E5080" s="2" t="str">
        <x:v>Missing</x:v>
      </x:c>
      <x:c r="F5080" s="2" t="str">
        <x:v>Level of water stress: freshwater withdrawal as a proportion of available freshwater resources</x:v>
      </x:c>
    </x:row>
    <x:row r="5081" ht="44" customHeight="1">
      <x:c r="A5081" s="2" t="str">
        <x:v>SMR</x:v>
      </x:c>
      <x:c r="B5081" s="2" t="str">
        <x:v>fertility</x:v>
      </x:c>
      <x:c r="C5081" s="2" t="n">
        <x:v>1.158</x:v>
      </x:c>
      <x:c r="D5081" s="2" t="n">
        <x:v>2024</x:v>
      </x:c>
      <x:c r="E5081" s="2" t="str">
        <x:v>WB_fertility</x:v>
      </x:c>
      <x:c r="F5081" s="2" t="str">
        <x:v>Fertility rate, total (births per woman)</x:v>
      </x:c>
    </x:row>
    <x:row r="5082" ht="44" customHeight="1">
      <x:c r="A5082" s="2" t="str">
        <x:v>SMR</x:v>
      </x:c>
      <x:c r="B5082" s="2" t="str">
        <x:v>life_expectancy</x:v>
      </x:c>
      <x:c r="C5082" s="2" t="n">
        <x:v>85.817</x:v>
      </x:c>
      <x:c r="D5082" s="2" t="n">
        <x:v>2024</x:v>
      </x:c>
      <x:c r="E5082" s="2" t="str">
        <x:v>WB_life_expectancy</x:v>
      </x:c>
      <x:c r="F5082" s="2" t="str">
        <x:v>Life expectancy at birth, total (years)</x:v>
      </x:c>
    </x:row>
    <x:row r="5083" ht="44" customHeight="1">
      <x:c r="A5083" s="2" t="str">
        <x:v>SMR</x:v>
      </x:c>
      <x:c r="B5083" s="2" t="str">
        <x:v>age_under15</x:v>
      </x:c>
      <x:c r="C5083" s="2" t="n">
        <x:v>11.8504728572492</x:v>
      </x:c>
      <x:c r="D5083" s="2" t="n">
        <x:v>2025</x:v>
      </x:c>
      <x:c r="E5083" s="2" t="str">
        <x:v>WB_age_under15</x:v>
      </x:c>
      <x:c r="F5083" s="2" t="str">
        <x:v>Population ages 0-14 (% of total population)</x:v>
      </x:c>
    </x:row>
    <x:row r="5084" ht="44" customHeight="1">
      <x:c r="A5084" s="2" t="str">
        <x:v>SMR</x:v>
      </x:c>
      <x:c r="B5084" s="2" t="str">
        <x:v>age_over65</x:v>
      </x:c>
      <x:c r="C5084" s="2" t="n">
        <x:v>23.1484101571226</x:v>
      </x:c>
      <x:c r="D5084" s="2" t="n">
        <x:v>2025</x:v>
      </x:c>
      <x:c r="E5084" s="2" t="str">
        <x:v>WB_age_over65</x:v>
      </x:c>
      <x:c r="F5084" s="2" t="str">
        <x:v>Population ages 65 and above (% of total population)</x:v>
      </x:c>
    </x:row>
    <x:row r="5085" ht="44" customHeight="1">
      <x:c r="A5085" s="2" t="str">
        <x:v>SMR</x:v>
      </x:c>
      <x:c r="B5085" s="2" t="str">
        <x:v>dependency_ratio</x:v>
      </x:c>
      <x:c r="C5085" s="2" t="n">
        <x:v>53.8451129854314</x:v>
      </x:c>
      <x:c r="D5085" s="2" t="n">
        <x:v>2025</x:v>
      </x:c>
      <x:c r="E5085" s="2" t="str">
        <x:v>WB_dependency_ratio</x:v>
      </x:c>
      <x:c r="F5085" s="2" t="str">
        <x:v>Age dependency ratio (% of working-age population)</x:v>
      </x:c>
    </x:row>
    <x:row r="5086" ht="44" customHeight="1">
      <x:c r="A5086" s="2" t="str">
        <x:v>SMR</x:v>
      </x:c>
      <x:c r="B5086" s="2" t="str">
        <x:v>net_migration</x:v>
      </x:c>
      <x:c r="C5086" s="2" t="n">
        <x:v>122</x:v>
      </x:c>
      <x:c r="D5086" s="2" t="n">
        <x:v>2025</x:v>
      </x:c>
      <x:c r="E5086" s="2" t="str">
        <x:v>WB_net_migration</x:v>
      </x:c>
      <x:c r="F5086" s="2" t="str">
        <x:v>Net migration</x:v>
      </x:c>
    </x:row>
    <x:row r="5087" ht="44" customHeight="1">
      <x:c r="A5087" s="2" t="str">
        <x:v>SMR</x:v>
      </x:c>
      <x:c r="B5087" s="2" t="str">
        <x:v>real_gdp</x:v>
      </x:c>
      <x:c r="C5087" s="2" t="n">
        <x:v>1737822991.03591</x:v>
      </x:c>
      <x:c r="D5087" s="2" t="n">
        <x:v>2023</x:v>
      </x:c>
      <x:c r="E5087" s="2" t="str">
        <x:v>WB_real_gdp</x:v>
      </x:c>
      <x:c r="F5087" s="2" t="str">
        <x:v>GDP (constant 2015 US$)</x:v>
      </x:c>
    </x:row>
    <x:row r="5088" ht="44" customHeight="1">
      <x:c r="A5088" s="2" t="str">
        <x:v>SMR</x:v>
      </x:c>
      <x:c r="B5088" s="2" t="str">
        <x:v>gdp_growth</x:v>
      </x:c>
      <x:c r="C5088" s="2" t="n">
        <x:v>0.401932371532837</x:v>
      </x:c>
      <x:c r="D5088" s="2" t="n">
        <x:v>2023</x:v>
      </x:c>
      <x:c r="E5088" s="2" t="str">
        <x:v>WB_gdp_growth</x:v>
      </x:c>
      <x:c r="F5088" s="2" t="str">
        <x:v>GDP growth (annual %)</x:v>
      </x:c>
    </x:row>
    <x:row r="5089" ht="44" customHeight="1">
      <x:c r="A5089" s="2" t="str">
        <x:v>SMR</x:v>
      </x:c>
      <x:c r="B5089" s="2" t="str">
        <x:v>real_income</x:v>
      </x:c>
      <x:c r="C5089" s="2" t="n">
        <x:v>51323.7741002928</x:v>
      </x:c>
      <x:c r="D5089" s="2" t="n">
        <x:v>2023</x:v>
      </x:c>
      <x:c r="E5089" s="2" t="str">
        <x:v>WB_real_income</x:v>
      </x:c>
      <x:c r="F5089" s="2" t="str">
        <x:v>GDP per capita (constant 2015 US$)</x:v>
      </x:c>
    </x:row>
    <x:row r="5090" ht="44" customHeight="1">
      <x:c r="A5090" s="2" t="str">
        <x:v>SMR</x:v>
      </x:c>
      <x:c r="B5090" s="2" t="str">
        <x:v>agriculture_gdp</x:v>
      </x:c>
      <x:c r="C5090" s="2" t="n">
        <x:v>0.0150943420378973</x:v>
      </x:c>
      <x:c r="D5090" s="2" t="n">
        <x:v>2023</x:v>
      </x:c>
      <x:c r="E5090" s="2" t="str">
        <x:v>WB_agriculture_gdp</x:v>
      </x:c>
      <x:c r="F5090" s="2" t="str">
        <x:v>Agriculture, forestry, and fishing, value added (% of GDP)</x:v>
      </x:c>
    </x:row>
    <x:row r="5091" ht="44" customHeight="1">
      <x:c r="A5091" s="2" t="str">
        <x:v>SMR</x:v>
      </x:c>
      <x:c r="B5091" s="2" t="str">
        <x:v>poverty</x:v>
      </x:c>
      <x:c r="C5091" s="2"/>
      <x:c r="D5091" s="2"/>
      <x:c r="E5091" s="2" t="str">
        <x:v>Missing</x:v>
      </x:c>
      <x:c r="F5091" s="2" t="str">
        <x:v>Poverty headcount ratio at $3.00 a day (2021 PPP) (% of population)</x:v>
      </x:c>
    </x:row>
    <x:row r="5092" ht="44" customHeight="1">
      <x:c r="A5092" s="2" t="str">
        <x:v>SMR</x:v>
      </x:c>
      <x:c r="B5092" s="2" t="str">
        <x:v>gini</x:v>
      </x:c>
      <x:c r="C5092" s="2"/>
      <x:c r="D5092" s="2"/>
      <x:c r="E5092" s="2" t="str">
        <x:v>Missing</x:v>
      </x:c>
      <x:c r="F5092" s="2" t="str">
        <x:v>Gini index</x:v>
      </x:c>
    </x:row>
    <x:row r="5093" ht="44" customHeight="1">
      <x:c r="A5093" s="2" t="str">
        <x:v>SMR</x:v>
      </x:c>
      <x:c r="B5093" s="2" t="str">
        <x:v>unemployment</x:v>
      </x:c>
      <x:c r="C5093" s="2"/>
      <x:c r="D5093" s="2"/>
      <x:c r="E5093" s="2" t="str">
        <x:v>Missing</x:v>
      </x:c>
      <x:c r="F5093" s="2" t="str">
        <x:v>Unemployment, total (% of total labor force) (modeled ILO estimate)</x:v>
      </x:c>
    </x:row>
    <x:row r="5094" ht="44" customHeight="1">
      <x:c r="A5094" s="2" t="str">
        <x:v>SMR</x:v>
      </x:c>
      <x:c r="B5094" s="2" t="str">
        <x:v>private_credit</x:v>
      </x:c>
      <x:c r="C5094" s="2"/>
      <x:c r="D5094" s="2"/>
      <x:c r="E5094" s="2" t="str">
        <x:v>Missing</x:v>
      </x:c>
      <x:c r="F5094" s="2" t="str">
        <x:v>Domestic credit to private sector (% of GDP)</x:v>
      </x:c>
    </x:row>
    <x:row r="5095" ht="44" customHeight="1">
      <x:c r="A5095" s="2" t="str">
        <x:v>SMR</x:v>
      </x:c>
      <x:c r="B5095" s="2" t="str">
        <x:v>lending_rate</x:v>
      </x:c>
      <x:c r="C5095" s="2" t="n">
        <x:v>4.61580833333333</x:v>
      </x:c>
      <x:c r="D5095" s="2" t="n">
        <x:v>2025</x:v>
      </x:c>
      <x:c r="E5095" s="2" t="str">
        <x:v>WB_lending_rate</x:v>
      </x:c>
      <x:c r="F5095" s="2" t="str">
        <x:v>Lending interest rate (%)</x:v>
      </x:c>
    </x:row>
    <x:row r="5096" ht="44" customHeight="1">
      <x:c r="A5096" s="2" t="str">
        <x:v>SMR</x:v>
      </x:c>
      <x:c r="B5096" s="2" t="str">
        <x:v>real_interest</x:v>
      </x:c>
      <x:c r="C5096" s="2" t="n">
        <x:v>-1.60290544493976</x:v>
      </x:c>
      <x:c r="D5096" s="2" t="n">
        <x:v>2023</x:v>
      </x:c>
      <x:c r="E5096" s="2" t="str">
        <x:v>WB_real_interest</x:v>
      </x:c>
      <x:c r="F5096" s="2" t="str">
        <x:v>Real interest rate (%)</x:v>
      </x:c>
    </x:row>
    <x:row r="5097" ht="44" customHeight="1">
      <x:c r="A5097" s="2" t="str">
        <x:v>SMR</x:v>
      </x:c>
      <x:c r="B5097" s="2" t="str">
        <x:v>government_debt</x:v>
      </x:c>
      <x:c r="C5097" s="2" t="n">
        <x:v>99.8703825579645</x:v>
      </x:c>
      <x:c r="D5097" s="2" t="n">
        <x:v>2023</x:v>
      </x:c>
      <x:c r="E5097" s="2" t="str">
        <x:v>WB_government_debt</x:v>
      </x:c>
      <x:c r="F5097" s="2" t="str">
        <x:v>Central government debt, total (% of GDP)</x:v>
      </x:c>
    </x:row>
    <x:row r="5098" ht="44" customHeight="1">
      <x:c r="A5098" s="2" t="str">
        <x:v>SMR</x:v>
      </x:c>
      <x:c r="B5098" s="2" t="str">
        <x:v>electricity_access</x:v>
      </x:c>
      <x:c r="C5098" s="2" t="n">
        <x:v>100</x:v>
      </x:c>
      <x:c r="D5098" s="2" t="n">
        <x:v>2024</x:v>
      </x:c>
      <x:c r="E5098" s="2" t="str">
        <x:v>WB_electricity_access</x:v>
      </x:c>
      <x:c r="F5098" s="2" t="str">
        <x:v>Access to electricity (% of population)</x:v>
      </x:c>
    </x:row>
    <x:row r="5099" ht="44" customHeight="1">
      <x:c r="A5099" s="2" t="str">
        <x:v>SMR</x:v>
      </x:c>
      <x:c r="B5099" s="2" t="str">
        <x:v>irrigated_land</x:v>
      </x:c>
      <x:c r="C5099" s="2"/>
      <x:c r="D5099" s="2"/>
      <x:c r="E5099" s="2" t="str">
        <x:v>Missing</x:v>
      </x:c>
      <x:c r="F5099" s="2" t="str">
        <x:v>Agricultural irrigated land (% of total agricultural land)</x:v>
      </x:c>
    </x:row>
    <x:row r="5100" ht="44" customHeight="1">
      <x:c r="A5100" s="2" t="str">
        <x:v>SMR</x:v>
      </x:c>
      <x:c r="B5100" s="2" t="str">
        <x:v>cereal_area</x:v>
      </x:c>
      <x:c r="C5100" s="2"/>
      <x:c r="D5100" s="2"/>
      <x:c r="E5100" s="2" t="str">
        <x:v>Missing</x:v>
      </x:c>
      <x:c r="F5100" s="2" t="str">
        <x:v>Land under cereal production (hectares)</x:v>
      </x:c>
    </x:row>
    <x:row r="5101" ht="44" customHeight="1">
      <x:c r="A5101" s="2" t="str">
        <x:v>SMR</x:v>
      </x:c>
      <x:c r="B5101" s="2" t="str">
        <x:v>undernourishment</x:v>
      </x:c>
      <x:c r="C5101" s="2"/>
      <x:c r="D5101" s="2"/>
      <x:c r="E5101" s="2" t="str">
        <x:v>Missing</x:v>
      </x:c>
      <x:c r="F5101" s="2" t="str">
        <x:v>Prevalence of undernourishment (% of population)</x:v>
      </x:c>
    </x:row>
    <x:row r="5102" ht="44" customHeight="1">
      <x:c r="A5102" s="2" t="str">
        <x:v>SMR</x:v>
      </x:c>
      <x:c r="B5102" s="2" t="str">
        <x:v>agriculture_employment</x:v>
      </x:c>
      <x:c r="C5102" s="2"/>
      <x:c r="D5102" s="2"/>
      <x:c r="E5102" s="2" t="str">
        <x:v>Missing</x:v>
      </x:c>
      <x:c r="F5102" s="2" t="str">
        <x:v>Employment in agriculture (% of total employment) (modeled ILO estimate)</x:v>
      </x:c>
    </x:row>
    <x:row r="5103" ht="44" customHeight="1">
      <x:c r="A5103" s="2" t="str">
        <x:v>SMR</x:v>
      </x:c>
      <x:c r="B5103" s="2" t="str">
        <x:v>water_withdrawal</x:v>
      </x:c>
      <x:c r="C5103" s="2"/>
      <x:c r="D5103" s="2"/>
      <x:c r="E5103" s="2" t="str">
        <x:v>Missing</x:v>
      </x:c>
      <x:c r="F5103" s="2" t="str">
        <x:v>Annual freshwater withdrawals, total (% of internal resources)</x:v>
      </x:c>
    </x:row>
    <x:row r="5104" ht="44" customHeight="1">
      <x:c r="A5104" s="2" t="str">
        <x:v>STP</x:v>
      </x:c>
      <x:c r="B5104" s="2" t="str">
        <x:v>population</x:v>
      </x:c>
      <x:c r="C5104" s="2" t="n">
        <x:v>240254</x:v>
      </x:c>
      <x:c r="D5104" s="2" t="n">
        <x:v>2025</x:v>
      </x:c>
      <x:c r="E5104" s="2" t="str">
        <x:v>WB_population</x:v>
      </x:c>
      <x:c r="F5104" s="2" t="str">
        <x:v>Population, total</x:v>
      </x:c>
    </x:row>
    <x:row r="5105" ht="44" customHeight="1">
      <x:c r="A5105" s="2" t="str">
        <x:v>STP</x:v>
      </x:c>
      <x:c r="B5105" s="2" t="str">
        <x:v>income_ppp</x:v>
      </x:c>
      <x:c r="C5105" s="2" t="n">
        <x:v>5459.21311766335</x:v>
      </x:c>
      <x:c r="D5105" s="2" t="n">
        <x:v>2025</x:v>
      </x:c>
      <x:c r="E5105" s="2" t="str">
        <x:v>WB_income_ppp</x:v>
      </x:c>
      <x:c r="F5105" s="2" t="str">
        <x:v>GDP per capita, PPP (constant 2021 international $)</x:v>
      </x:c>
    </x:row>
    <x:row r="5106" ht="44" customHeight="1">
      <x:c r="A5106" s="2" t="str">
        <x:v>STP</x:v>
      </x:c>
      <x:c r="B5106" s="2" t="str">
        <x:v>urban</x:v>
      </x:c>
      <x:c r="C5106" s="2" t="n">
        <x:v>69.1721865415984</x:v>
      </x:c>
      <x:c r="D5106" s="2" t="n">
        <x:v>2025</x:v>
      </x:c>
      <x:c r="E5106" s="2" t="str">
        <x:v>WB_urban</x:v>
      </x:c>
      <x:c r="F5106" s="2" t="str">
        <x:v>Urban population (% of total population)</x:v>
      </x:c>
    </x:row>
    <x:row r="5107" ht="44" customHeight="1">
      <x:c r="A5107" s="2" t="str">
        <x:v>STP</x:v>
      </x:c>
      <x:c r="B5107" s="2" t="str">
        <x:v>inflation</x:v>
      </x:c>
      <x:c r="C5107" s="2" t="n">
        <x:v>11.0474362281814</x:v>
      </x:c>
      <x:c r="D5107" s="2" t="n">
        <x:v>2025</x:v>
      </x:c>
      <x:c r="E5107" s="2" t="str">
        <x:v>WB_inflation</x:v>
      </x:c>
      <x:c r="F5107" s="2" t="str">
        <x:v>Inflation, consumer prices (annual %)</x:v>
      </x:c>
    </x:row>
    <x:row r="5108" ht="44" customHeight="1">
      <x:c r="A5108" s="2" t="str">
        <x:v>STP</x:v>
      </x:c>
      <x:c r="B5108" s="2" t="str">
        <x:v>food_index</x:v>
      </x:c>
      <x:c r="C5108" s="2" t="n">
        <x:v>107.25</x:v>
      </x:c>
      <x:c r="D5108" s="2" t="n">
        <x:v>2022</x:v>
      </x:c>
      <x:c r="E5108" s="2" t="str">
        <x:v>WB_food_index</x:v>
      </x:c>
      <x:c r="F5108" s="2" t="str">
        <x:v>Food production index (2014-2016 = 100)</x:v>
      </x:c>
    </x:row>
    <x:row r="5109" ht="44" customHeight="1">
      <x:c r="A5109" s="2" t="str">
        <x:v>STP</x:v>
      </x:c>
      <x:c r="B5109" s="2" t="str">
        <x:v>food_import_share</x:v>
      </x:c>
      <x:c r="C5109" s="2" t="n">
        <x:v>31.8148500954205</x:v>
      </x:c>
      <x:c r="D5109" s="2" t="n">
        <x:v>2023</x:v>
      </x:c>
      <x:c r="E5109" s="2" t="str">
        <x:v>WB_food_import_share</x:v>
      </x:c>
      <x:c r="F5109" s="2" t="str">
        <x:v>Food imports (% of merchandise imports)</x:v>
      </x:c>
    </x:row>
    <x:row r="5110" ht="44" customHeight="1">
      <x:c r="A5110" s="2" t="str">
        <x:v>STP</x:v>
      </x:c>
      <x:c r="B5110" s="2" t="str">
        <x:v>food_export_share</x:v>
      </x:c>
      <x:c r="C5110" s="2" t="n">
        <x:v>98.21041550523</x:v>
      </x:c>
      <x:c r="D5110" s="2" t="n">
        <x:v>2023</x:v>
      </x:c>
      <x:c r="E5110" s="2" t="str">
        <x:v>WB_food_export_share</x:v>
      </x:c>
      <x:c r="F5110" s="2" t="str">
        <x:v>Food exports (% of merchandise exports)</x:v>
      </x:c>
    </x:row>
    <x:row r="5111" ht="44" customHeight="1">
      <x:c r="A5111" s="2" t="str">
        <x:v>STP</x:v>
      </x:c>
      <x:c r="B5111" s="2" t="str">
        <x:v>imports_usd</x:v>
      </x:c>
      <x:c r="C5111" s="2" t="n">
        <x:v>183000000</x:v>
      </x:c>
      <x:c r="D5111" s="2" t="n">
        <x:v>2025</x:v>
      </x:c>
      <x:c r="E5111" s="2" t="str">
        <x:v>WB_imports_usd</x:v>
      </x:c>
      <x:c r="F5111" s="2" t="str">
        <x:v>Merchandise imports (current US$)</x:v>
      </x:c>
    </x:row>
    <x:row r="5112" ht="44" customHeight="1">
      <x:c r="A5112" s="2" t="str">
        <x:v>STP</x:v>
      </x:c>
      <x:c r="B5112" s="2" t="str">
        <x:v>exports_usd</x:v>
      </x:c>
      <x:c r="C5112" s="2" t="n">
        <x:v>38000000</x:v>
      </x:c>
      <x:c r="D5112" s="2" t="n">
        <x:v>2025</x:v>
      </x:c>
      <x:c r="E5112" s="2" t="str">
        <x:v>WB_exports_usd</x:v>
      </x:c>
      <x:c r="F5112" s="2" t="str">
        <x:v>Merchandise exports (current US$)</x:v>
      </x:c>
    </x:row>
    <x:row r="5113" ht="44" customHeight="1">
      <x:c r="A5113" s="2" t="str">
        <x:v>STP</x:v>
      </x:c>
      <x:c r="B5113" s="2" t="str">
        <x:v>cereal_yield</x:v>
      </x:c>
      <x:c r="C5113" s="2" t="n">
        <x:v>2003.9</x:v>
      </x:c>
      <x:c r="D5113" s="2" t="n">
        <x:v>2023</x:v>
      </x:c>
      <x:c r="E5113" s="2" t="str">
        <x:v>WB_cereal_yield</x:v>
      </x:c>
      <x:c r="F5113" s="2" t="str">
        <x:v>Cereal yield (kg per hectare)</x:v>
      </x:c>
    </x:row>
    <x:row r="5114" ht="44" customHeight="1">
      <x:c r="A5114" s="2" t="str">
        <x:v>STP</x:v>
      </x:c>
      <x:c r="B5114" s="2" t="str">
        <x:v>water_stress</x:v>
      </x:c>
      <x:c r="C5114" s="2" t="n">
        <x:v>1.876146789</x:v>
      </x:c>
      <x:c r="D5114" s="2" t="n">
        <x:v>2022</x:v>
      </x:c>
      <x:c r="E5114" s="2" t="str">
        <x:v>WB_water_stress</x:v>
      </x:c>
      <x:c r="F5114" s="2" t="str">
        <x:v>Level of water stress: freshwater withdrawal as a proportion of available freshwater resources</x:v>
      </x:c>
    </x:row>
    <x:row r="5115" ht="44" customHeight="1">
      <x:c r="A5115" s="2" t="str">
        <x:v>STP</x:v>
      </x:c>
      <x:c r="B5115" s="2" t="str">
        <x:v>fertility</x:v>
      </x:c>
      <x:c r="C5115" s="2" t="n">
        <x:v>3.596</x:v>
      </x:c>
      <x:c r="D5115" s="2" t="n">
        <x:v>2024</x:v>
      </x:c>
      <x:c r="E5115" s="2" t="str">
        <x:v>WB_fertility</x:v>
      </x:c>
      <x:c r="F5115" s="2" t="str">
        <x:v>Fertility rate, total (births per woman)</x:v>
      </x:c>
    </x:row>
    <x:row r="5116" ht="44" customHeight="1">
      <x:c r="A5116" s="2" t="str">
        <x:v>STP</x:v>
      </x:c>
      <x:c r="B5116" s="2" t="str">
        <x:v>life_expectancy</x:v>
      </x:c>
      <x:c r="C5116" s="2" t="n">
        <x:v>69.905</x:v>
      </x:c>
      <x:c r="D5116" s="2" t="n">
        <x:v>2024</x:v>
      </x:c>
      <x:c r="E5116" s="2" t="str">
        <x:v>WB_life_expectancy</x:v>
      </x:c>
      <x:c r="F5116" s="2" t="str">
        <x:v>Life expectancy at birth, total (years)</x:v>
      </x:c>
    </x:row>
    <x:row r="5117" ht="44" customHeight="1">
      <x:c r="A5117" s="2" t="str">
        <x:v>STP</x:v>
      </x:c>
      <x:c r="B5117" s="2" t="str">
        <x:v>age_under15</x:v>
      </x:c>
      <x:c r="C5117" s="2" t="n">
        <x:v>37.4553597442706</x:v>
      </x:c>
      <x:c r="D5117" s="2" t="n">
        <x:v>2025</x:v>
      </x:c>
      <x:c r="E5117" s="2" t="str">
        <x:v>WB_age_under15</x:v>
      </x:c>
      <x:c r="F5117" s="2" t="str">
        <x:v>Population ages 0-14 (% of total population)</x:v>
      </x:c>
    </x:row>
    <x:row r="5118" ht="44" customHeight="1">
      <x:c r="A5118" s="2" t="str">
        <x:v>STP</x:v>
      </x:c>
      <x:c r="B5118" s="2" t="str">
        <x:v>age_over65</x:v>
      </x:c>
      <x:c r="C5118" s="2" t="n">
        <x:v>3.94457532444829</x:v>
      </x:c>
      <x:c r="D5118" s="2" t="n">
        <x:v>2025</x:v>
      </x:c>
      <x:c r="E5118" s="2" t="str">
        <x:v>WB_age_over65</x:v>
      </x:c>
      <x:c r="F5118" s="2" t="str">
        <x:v>Population ages 65 and above (% of total population)</x:v>
      </x:c>
    </x:row>
    <x:row r="5119" ht="44" customHeight="1">
      <x:c r="A5119" s="2" t="str">
        <x:v>STP</x:v>
      </x:c>
      <x:c r="B5119" s="2" t="str">
        <x:v>dependency_ratio</x:v>
      </x:c>
      <x:c r="C5119" s="2" t="n">
        <x:v>70.6482750783087</x:v>
      </x:c>
      <x:c r="D5119" s="2" t="n">
        <x:v>2025</x:v>
      </x:c>
      <x:c r="E5119" s="2" t="str">
        <x:v>WB_dependency_ratio</x:v>
      </x:c>
      <x:c r="F5119" s="2" t="str">
        <x:v>Age dependency ratio (% of working-age population)</x:v>
      </x:c>
    </x:row>
    <x:row r="5120" ht="44" customHeight="1">
      <x:c r="A5120" s="2" t="str">
        <x:v>STP</x:v>
      </x:c>
      <x:c r="B5120" s="2" t="str">
        <x:v>net_migration</x:v>
      </x:c>
      <x:c r="C5120" s="2" t="n">
        <x:v>-650</x:v>
      </x:c>
      <x:c r="D5120" s="2" t="n">
        <x:v>2025</x:v>
      </x:c>
      <x:c r="E5120" s="2" t="str">
        <x:v>WB_net_migration</x:v>
      </x:c>
      <x:c r="F5120" s="2" t="str">
        <x:v>Net migration</x:v>
      </x:c>
    </x:row>
    <x:row r="5121" ht="44" customHeight="1">
      <x:c r="A5121" s="2" t="str">
        <x:v>STP</x:v>
      </x:c>
      <x:c r="B5121" s="2" t="str">
        <x:v>real_gdp</x:v>
      </x:c>
      <x:c r="C5121" s="2" t="n">
        <x:v>326781365.560781</x:v>
      </x:c>
      <x:c r="D5121" s="2" t="n">
        <x:v>2025</x:v>
      </x:c>
      <x:c r="E5121" s="2" t="str">
        <x:v>WB_real_gdp</x:v>
      </x:c>
      <x:c r="F5121" s="2" t="str">
        <x:v>GDP (constant 2015 US$)</x:v>
      </x:c>
    </x:row>
    <x:row r="5122" ht="44" customHeight="1">
      <x:c r="A5122" s="2" t="str">
        <x:v>STP</x:v>
      </x:c>
      <x:c r="B5122" s="2" t="str">
        <x:v>gdp_growth</x:v>
      </x:c>
      <x:c r="C5122" s="2" t="n">
        <x:v>1.02847453097097</x:v>
      </x:c>
      <x:c r="D5122" s="2" t="n">
        <x:v>2025</x:v>
      </x:c>
      <x:c r="E5122" s="2" t="str">
        <x:v>WB_gdp_growth</x:v>
      </x:c>
      <x:c r="F5122" s="2" t="str">
        <x:v>GDP growth (annual %)</x:v>
      </x:c>
    </x:row>
    <x:row r="5123" ht="44" customHeight="1">
      <x:c r="A5123" s="2" t="str">
        <x:v>STP</x:v>
      </x:c>
      <x:c r="B5123" s="2" t="str">
        <x:v>real_income</x:v>
      </x:c>
      <x:c r="C5123" s="2" t="n">
        <x:v>1360.14953158233</x:v>
      </x:c>
      <x:c r="D5123" s="2" t="n">
        <x:v>2025</x:v>
      </x:c>
      <x:c r="E5123" s="2" t="str">
        <x:v>WB_real_income</x:v>
      </x:c>
      <x:c r="F5123" s="2" t="str">
        <x:v>GDP per capita (constant 2015 US$)</x:v>
      </x:c>
    </x:row>
    <x:row r="5124" ht="44" customHeight="1">
      <x:c r="A5124" s="2" t="str">
        <x:v>STP</x:v>
      </x:c>
      <x:c r="B5124" s="2" t="str">
        <x:v>agriculture_gdp</x:v>
      </x:c>
      <x:c r="C5124" s="2" t="n">
        <x:v>12.1902347368193</x:v>
      </x:c>
      <x:c r="D5124" s="2" t="n">
        <x:v>2025</x:v>
      </x:c>
      <x:c r="E5124" s="2" t="str">
        <x:v>WB_agriculture_gdp</x:v>
      </x:c>
      <x:c r="F5124" s="2" t="str">
        <x:v>Agriculture, forestry, and fishing, value added (% of GDP)</x:v>
      </x:c>
    </x:row>
    <x:row r="5125" ht="44" customHeight="1">
      <x:c r="A5125" s="2" t="str">
        <x:v>STP</x:v>
      </x:c>
      <x:c r="B5125" s="2" t="str">
        <x:v>poverty</x:v>
      </x:c>
      <x:c r="C5125" s="2" t="n">
        <x:v>13</x:v>
      </x:c>
      <x:c r="D5125" s="2" t="n">
        <x:v>2017</x:v>
      </x:c>
      <x:c r="E5125" s="2" t="str">
        <x:v>WB_poverty</x:v>
      </x:c>
      <x:c r="F5125" s="2" t="str">
        <x:v>Poverty headcount ratio at $3.00 a day (2021 PPP) (% of population)</x:v>
      </x:c>
    </x:row>
    <x:row r="5126" ht="44" customHeight="1">
      <x:c r="A5126" s="2" t="str">
        <x:v>STP</x:v>
      </x:c>
      <x:c r="B5126" s="2" t="str">
        <x:v>gini</x:v>
      </x:c>
      <x:c r="C5126" s="2" t="n">
        <x:v>40.7</x:v>
      </x:c>
      <x:c r="D5126" s="2" t="n">
        <x:v>2017</x:v>
      </x:c>
      <x:c r="E5126" s="2" t="str">
        <x:v>WB_gini</x:v>
      </x:c>
      <x:c r="F5126" s="2" t="str">
        <x:v>Gini index</x:v>
      </x:c>
    </x:row>
    <x:row r="5127" ht="44" customHeight="1">
      <x:c r="A5127" s="2" t="str">
        <x:v>STP</x:v>
      </x:c>
      <x:c r="B5127" s="2" t="str">
        <x:v>unemployment</x:v>
      </x:c>
      <x:c r="C5127" s="2" t="n">
        <x:v>9.132</x:v>
      </x:c>
      <x:c r="D5127" s="2" t="n">
        <x:v>2025</x:v>
      </x:c>
      <x:c r="E5127" s="2" t="str">
        <x:v>WB_unemployment</x:v>
      </x:c>
      <x:c r="F5127" s="2" t="str">
        <x:v>Unemployment, total (% of total labor force) (modeled ILO estimate)</x:v>
      </x:c>
    </x:row>
    <x:row r="5128" ht="44" customHeight="1">
      <x:c r="A5128" s="2" t="str">
        <x:v>STP</x:v>
      </x:c>
      <x:c r="B5128" s="2" t="str">
        <x:v>private_credit</x:v>
      </x:c>
      <x:c r="C5128" s="2" t="n">
        <x:v>7.81631512865351</x:v>
      </x:c>
      <x:c r="D5128" s="2" t="n">
        <x:v>2023</x:v>
      </x:c>
      <x:c r="E5128" s="2" t="str">
        <x:v>WB_private_credit</x:v>
      </x:c>
      <x:c r="F5128" s="2" t="str">
        <x:v>Domestic credit to private sector (% of GDP)</x:v>
      </x:c>
    </x:row>
    <x:row r="5129" ht="44" customHeight="1">
      <x:c r="A5129" s="2" t="str">
        <x:v>STP</x:v>
      </x:c>
      <x:c r="B5129" s="2" t="str">
        <x:v>lending_rate</x:v>
      </x:c>
      <x:c r="C5129" s="2" t="n">
        <x:v>17.8374768518519</x:v>
      </x:c>
      <x:c r="D5129" s="2" t="n">
        <x:v>2024</x:v>
      </x:c>
      <x:c r="E5129" s="2" t="str">
        <x:v>WB_lending_rate</x:v>
      </x:c>
      <x:c r="F5129" s="2" t="str">
        <x:v>Lending interest rate (%)</x:v>
      </x:c>
    </x:row>
    <x:row r="5130" ht="44" customHeight="1">
      <x:c r="A5130" s="2" t="str">
        <x:v>STP</x:v>
      </x:c>
      <x:c r="B5130" s="2" t="str">
        <x:v>real_interest</x:v>
      </x:c>
      <x:c r="C5130" s="2" t="n">
        <x:v>0.146022911303171</x:v>
      </x:c>
      <x:c r="D5130" s="2" t="n">
        <x:v>2024</x:v>
      </x:c>
      <x:c r="E5130" s="2" t="str">
        <x:v>WB_real_interest</x:v>
      </x:c>
      <x:c r="F5130" s="2" t="str">
        <x:v>Real interest rate (%)</x:v>
      </x:c>
    </x:row>
    <x:row r="5131" ht="44" customHeight="1">
      <x:c r="A5131" s="2" t="str">
        <x:v>STP</x:v>
      </x:c>
      <x:c r="B5131" s="2" t="str">
        <x:v>government_debt</x:v>
      </x:c>
      <x:c r="C5131" s="2"/>
      <x:c r="D5131" s="2"/>
      <x:c r="E5131" s="2" t="str">
        <x:v>Missing</x:v>
      </x:c>
      <x:c r="F5131" s="2" t="str">
        <x:v>Central government debt, total (% of GDP)</x:v>
      </x:c>
    </x:row>
    <x:row r="5132" ht="44" customHeight="1">
      <x:c r="A5132" s="2" t="str">
        <x:v>STP</x:v>
      </x:c>
      <x:c r="B5132" s="2" t="str">
        <x:v>electricity_access</x:v>
      </x:c>
      <x:c r="C5132" s="2" t="n">
        <x:v>77.7</x:v>
      </x:c>
      <x:c r="D5132" s="2" t="n">
        <x:v>2024</x:v>
      </x:c>
      <x:c r="E5132" s="2" t="str">
        <x:v>WB_electricity_access</x:v>
      </x:c>
      <x:c r="F5132" s="2" t="str">
        <x:v>Access to electricity (% of population)</x:v>
      </x:c>
    </x:row>
    <x:row r="5133" ht="44" customHeight="1">
      <x:c r="A5133" s="2" t="str">
        <x:v>STP</x:v>
      </x:c>
      <x:c r="B5133" s="2" t="str">
        <x:v>irrigated_land</x:v>
      </x:c>
      <x:c r="C5133" s="2"/>
      <x:c r="D5133" s="2"/>
      <x:c r="E5133" s="2" t="str">
        <x:v>Missing</x:v>
      </x:c>
      <x:c r="F5133" s="2" t="str">
        <x:v>Agricultural irrigated land (% of total agricultural land)</x:v>
      </x:c>
    </x:row>
    <x:row r="5134" ht="44" customHeight="1">
      <x:c r="A5134" s="2" t="str">
        <x:v>STP</x:v>
      </x:c>
      <x:c r="B5134" s="2" t="str">
        <x:v>cereal_area</x:v>
      </x:c>
      <x:c r="C5134" s="2" t="n">
        <x:v>393</x:v>
      </x:c>
      <x:c r="D5134" s="2" t="n">
        <x:v>2023</x:v>
      </x:c>
      <x:c r="E5134" s="2" t="str">
        <x:v>WB_cereal_area</x:v>
      </x:c>
      <x:c r="F5134" s="2" t="str">
        <x:v>Land under cereal production (hectares)</x:v>
      </x:c>
    </x:row>
    <x:row r="5135" ht="44" customHeight="1">
      <x:c r="A5135" s="2" t="str">
        <x:v>STP</x:v>
      </x:c>
      <x:c r="B5135" s="2" t="str">
        <x:v>undernourishment</x:v>
      </x:c>
      <x:c r="C5135" s="2" t="n">
        <x:v>17.4</x:v>
      </x:c>
      <x:c r="D5135" s="2" t="n">
        <x:v>2023</x:v>
      </x:c>
      <x:c r="E5135" s="2" t="str">
        <x:v>WB_undernourishment</x:v>
      </x:c>
      <x:c r="F5135" s="2" t="str">
        <x:v>Prevalence of undernourishment (% of population)</x:v>
      </x:c>
    </x:row>
    <x:row r="5136" ht="44" customHeight="1">
      <x:c r="A5136" s="2" t="str">
        <x:v>STP</x:v>
      </x:c>
      <x:c r="B5136" s="2" t="str">
        <x:v>agriculture_employment</x:v>
      </x:c>
      <x:c r="C5136" s="2" t="n">
        <x:v>12.0607429718875</x:v>
      </x:c>
      <x:c r="D5136" s="2" t="n">
        <x:v>2025</x:v>
      </x:c>
      <x:c r="E5136" s="2" t="str">
        <x:v>WB_agriculture_employment</x:v>
      </x:c>
      <x:c r="F5136" s="2" t="str">
        <x:v>Employment in agriculture (% of total employment) (modeled ILO estimate)</x:v>
      </x:c>
    </x:row>
    <x:row r="5137" ht="44" customHeight="1">
      <x:c r="A5137" s="2" t="str">
        <x:v>STP</x:v>
      </x:c>
      <x:c r="B5137" s="2" t="str">
        <x:v>water_withdrawal</x:v>
      </x:c>
      <x:c r="C5137" s="2" t="n">
        <x:v>1.87614678899083</x:v>
      </x:c>
      <x:c r="D5137" s="2" t="n">
        <x:v>2022</x:v>
      </x:c>
      <x:c r="E5137" s="2" t="str">
        <x:v>WB_water_withdrawal</x:v>
      </x:c>
      <x:c r="F5137" s="2" t="str">
        <x:v>Annual freshwater withdrawals, total (% of internal resources)</x:v>
      </x:c>
    </x:row>
    <x:row r="5138" ht="44" customHeight="1">
      <x:c r="A5138" s="2" t="str">
        <x:v>SAU</x:v>
      </x:c>
      <x:c r="B5138" s="2" t="str">
        <x:v>population</x:v>
      </x:c>
      <x:c r="C5138" s="2" t="n">
        <x:v>36973555</x:v>
      </x:c>
      <x:c r="D5138" s="2" t="n">
        <x:v>2025</x:v>
      </x:c>
      <x:c r="E5138" s="2" t="str">
        <x:v>WB_population</x:v>
      </x:c>
      <x:c r="F5138" s="2" t="str">
        <x:v>Population, total</x:v>
      </x:c>
    </x:row>
    <x:row r="5139" ht="44" customHeight="1">
      <x:c r="A5139" s="2" t="str">
        <x:v>SAU</x:v>
      </x:c>
      <x:c r="B5139" s="2" t="str">
        <x:v>income_ppp</x:v>
      </x:c>
      <x:c r="C5139" s="2" t="n">
        <x:v>63051.0467257986</x:v>
      </x:c>
      <x:c r="D5139" s="2" t="n">
        <x:v>2025</x:v>
      </x:c>
      <x:c r="E5139" s="2" t="str">
        <x:v>WB_income_ppp</x:v>
      </x:c>
      <x:c r="F5139" s="2" t="str">
        <x:v>GDP per capita, PPP (constant 2021 international $)</x:v>
      </x:c>
    </x:row>
    <x:row r="5140" ht="44" customHeight="1">
      <x:c r="A5140" s="2" t="str">
        <x:v>SAU</x:v>
      </x:c>
      <x:c r="B5140" s="2" t="str">
        <x:v>urban</x:v>
      </x:c>
      <x:c r="C5140" s="2" t="n">
        <x:v>84.6123121062185</x:v>
      </x:c>
      <x:c r="D5140" s="2" t="n">
        <x:v>2025</x:v>
      </x:c>
      <x:c r="E5140" s="2" t="str">
        <x:v>WB_urban</x:v>
      </x:c>
      <x:c r="F5140" s="2" t="str">
        <x:v>Urban population (% of total population)</x:v>
      </x:c>
    </x:row>
    <x:row r="5141" ht="44" customHeight="1">
      <x:c r="A5141" s="2" t="str">
        <x:v>SAU</x:v>
      </x:c>
      <x:c r="B5141" s="2" t="str">
        <x:v>inflation</x:v>
      </x:c>
      <x:c r="C5141" s="2" t="n">
        <x:v>2.08420853585036</x:v>
      </x:c>
      <x:c r="D5141" s="2" t="n">
        <x:v>2025</x:v>
      </x:c>
      <x:c r="E5141" s="2" t="str">
        <x:v>WB_inflation</x:v>
      </x:c>
      <x:c r="F5141" s="2" t="str">
        <x:v>Inflation, consumer prices (annual %)</x:v>
      </x:c>
    </x:row>
    <x:row r="5142" ht="44" customHeight="1">
      <x:c r="A5142" s="2" t="str">
        <x:v>SAU</x:v>
      </x:c>
      <x:c r="B5142" s="2" t="str">
        <x:v>food_index</x:v>
      </x:c>
      <x:c r="C5142" s="2" t="n">
        <x:v>172.66</x:v>
      </x:c>
      <x:c r="D5142" s="2" t="n">
        <x:v>2022</x:v>
      </x:c>
      <x:c r="E5142" s="2" t="str">
        <x:v>WB_food_index</x:v>
      </x:c>
      <x:c r="F5142" s="2" t="str">
        <x:v>Food production index (2014-2016 = 100)</x:v>
      </x:c>
    </x:row>
    <x:row r="5143" ht="44" customHeight="1">
      <x:c r="A5143" s="2" t="str">
        <x:v>SAU</x:v>
      </x:c>
      <x:c r="B5143" s="2" t="str">
        <x:v>food_import_share</x:v>
      </x:c>
      <x:c r="C5143" s="2" t="n">
        <x:v>12.9517318061095</x:v>
      </x:c>
      <x:c r="D5143" s="2" t="n">
        <x:v>2024</x:v>
      </x:c>
      <x:c r="E5143" s="2" t="str">
        <x:v>WB_food_import_share</x:v>
      </x:c>
      <x:c r="F5143" s="2" t="str">
        <x:v>Food imports (% of merchandise imports)</x:v>
      </x:c>
    </x:row>
    <x:row r="5144" ht="44" customHeight="1">
      <x:c r="A5144" s="2" t="str">
        <x:v>SAU</x:v>
      </x:c>
      <x:c r="B5144" s="2" t="str">
        <x:v>food_export_share</x:v>
      </x:c>
      <x:c r="C5144" s="2" t="n">
        <x:v>1.94621730852082</x:v>
      </x:c>
      <x:c r="D5144" s="2" t="n">
        <x:v>2024</x:v>
      </x:c>
      <x:c r="E5144" s="2" t="str">
        <x:v>WB_food_export_share</x:v>
      </x:c>
      <x:c r="F5144" s="2" t="str">
        <x:v>Food exports (% of merchandise exports)</x:v>
      </x:c>
    </x:row>
    <x:row r="5145" ht="44" customHeight="1">
      <x:c r="A5145" s="2" t="str">
        <x:v>SAU</x:v>
      </x:c>
      <x:c r="B5145" s="2" t="str">
        <x:v>imports_usd</x:v>
      </x:c>
      <x:c r="C5145" s="2" t="n">
        <x:v>254063000000</x:v>
      </x:c>
      <x:c r="D5145" s="2" t="n">
        <x:v>2025</x:v>
      </x:c>
      <x:c r="E5145" s="2" t="str">
        <x:v>WB_imports_usd</x:v>
      </x:c>
      <x:c r="F5145" s="2" t="str">
        <x:v>Merchandise imports (current US$)</x:v>
      </x:c>
    </x:row>
    <x:row r="5146" ht="44" customHeight="1">
      <x:c r="A5146" s="2" t="str">
        <x:v>SAU</x:v>
      </x:c>
      <x:c r="B5146" s="2" t="str">
        <x:v>exports_usd</x:v>
      </x:c>
      <x:c r="C5146" s="2" t="n">
        <x:v>310672000000</x:v>
      </x:c>
      <x:c r="D5146" s="2" t="n">
        <x:v>2025</x:v>
      </x:c>
      <x:c r="E5146" s="2" t="str">
        <x:v>WB_exports_usd</x:v>
      </x:c>
      <x:c r="F5146" s="2" t="str">
        <x:v>Merchandise exports (current US$)</x:v>
      </x:c>
    </x:row>
    <x:row r="5147" ht="44" customHeight="1">
      <x:c r="A5147" s="2" t="str">
        <x:v>SAU</x:v>
      </x:c>
      <x:c r="B5147" s="2" t="str">
        <x:v>cereal_yield</x:v>
      </x:c>
      <x:c r="C5147" s="2" t="n">
        <x:v>5121.7</x:v>
      </x:c>
      <x:c r="D5147" s="2" t="n">
        <x:v>2023</x:v>
      </x:c>
      <x:c r="E5147" s="2" t="str">
        <x:v>WB_cereal_yield</x:v>
      </x:c>
      <x:c r="F5147" s="2" t="str">
        <x:v>Cereal yield (kg per hectare)</x:v>
      </x:c>
    </x:row>
    <x:row r="5148" ht="44" customHeight="1">
      <x:c r="A5148" s="2" t="str">
        <x:v>SAU</x:v>
      </x:c>
      <x:c r="B5148" s="2" t="str">
        <x:v>water_stress</x:v>
      </x:c>
      <x:c r="C5148" s="2" t="n">
        <x:v>974.1666667</x:v>
      </x:c>
      <x:c r="D5148" s="2" t="n">
        <x:v>2022</x:v>
      </x:c>
      <x:c r="E5148" s="2" t="str">
        <x:v>WB_water_stress</x:v>
      </x:c>
      <x:c r="F5148" s="2" t="str">
        <x:v>Level of water stress: freshwater withdrawal as a proportion of available freshwater resources</x:v>
      </x:c>
    </x:row>
    <x:row r="5149" ht="44" customHeight="1">
      <x:c r="A5149" s="2" t="str">
        <x:v>SAU</x:v>
      </x:c>
      <x:c r="B5149" s="2" t="str">
        <x:v>fertility</x:v>
      </x:c>
      <x:c r="C5149" s="2" t="n">
        <x:v>2.308</x:v>
      </x:c>
      <x:c r="D5149" s="2" t="n">
        <x:v>2024</x:v>
      </x:c>
      <x:c r="E5149" s="2" t="str">
        <x:v>WB_fertility</x:v>
      </x:c>
      <x:c r="F5149" s="2" t="str">
        <x:v>Fertility rate, total (births per woman)</x:v>
      </x:c>
    </x:row>
    <x:row r="5150" ht="44" customHeight="1">
      <x:c r="A5150" s="2" t="str">
        <x:v>SAU</x:v>
      </x:c>
      <x:c r="B5150" s="2" t="str">
        <x:v>life_expectancy</x:v>
      </x:c>
      <x:c r="C5150" s="2" t="n">
        <x:v>78.982</x:v>
      </x:c>
      <x:c r="D5150" s="2" t="n">
        <x:v>2024</x:v>
      </x:c>
      <x:c r="E5150" s="2" t="str">
        <x:v>WB_life_expectancy</x:v>
      </x:c>
      <x:c r="F5150" s="2" t="str">
        <x:v>Life expectancy at birth, total (years)</x:v>
      </x:c>
    </x:row>
    <x:row r="5151" ht="44" customHeight="1">
      <x:c r="A5151" s="2" t="str">
        <x:v>SAU</x:v>
      </x:c>
      <x:c r="B5151" s="2" t="str">
        <x:v>age_under15</x:v>
      </x:c>
      <x:c r="C5151" s="2" t="n">
        <x:v>23.6210800290965</x:v>
      </x:c>
      <x:c r="D5151" s="2" t="n">
        <x:v>2025</x:v>
      </x:c>
      <x:c r="E5151" s="2" t="str">
        <x:v>WB_age_under15</x:v>
      </x:c>
      <x:c r="F5151" s="2" t="str">
        <x:v>Population ages 0-14 (% of total population)</x:v>
      </x:c>
    </x:row>
    <x:row r="5152" ht="44" customHeight="1">
      <x:c r="A5152" s="2" t="str">
        <x:v>SAU</x:v>
      </x:c>
      <x:c r="B5152" s="2" t="str">
        <x:v>age_over65</x:v>
      </x:c>
      <x:c r="C5152" s="2" t="n">
        <x:v>3.05678115419144</x:v>
      </x:c>
      <x:c r="D5152" s="2" t="n">
        <x:v>2025</x:v>
      </x:c>
      <x:c r="E5152" s="2" t="str">
        <x:v>WB_age_over65</x:v>
      </x:c>
      <x:c r="F5152" s="2" t="str">
        <x:v>Population ages 65 and above (% of total population)</x:v>
      </x:c>
    </x:row>
    <x:row r="5153" ht="44" customHeight="1">
      <x:c r="A5153" s="2" t="str">
        <x:v>SAU</x:v>
      </x:c>
      <x:c r="B5153" s="2" t="str">
        <x:v>dependency_ratio</x:v>
      </x:c>
      <x:c r="C5153" s="2" t="n">
        <x:v>36.3844574144974</x:v>
      </x:c>
      <x:c r="D5153" s="2" t="n">
        <x:v>2025</x:v>
      </x:c>
      <x:c r="E5153" s="2" t="str">
        <x:v>WB_dependency_ratio</x:v>
      </x:c>
      <x:c r="F5153" s="2" t="str">
        <x:v>Age dependency ratio (% of working-age population)</x:v>
      </x:c>
    </x:row>
    <x:row r="5154" ht="44" customHeight="1">
      <x:c r="A5154" s="2" t="str">
        <x:v>SAU</x:v>
      </x:c>
      <x:c r="B5154" s="2" t="str">
        <x:v>net_migration</x:v>
      </x:c>
      <x:c r="C5154" s="2" t="n">
        <x:v>119738</x:v>
      </x:c>
      <x:c r="D5154" s="2" t="n">
        <x:v>2025</x:v>
      </x:c>
      <x:c r="E5154" s="2" t="str">
        <x:v>WB_net_migration</x:v>
      </x:c>
      <x:c r="F5154" s="2" t="str">
        <x:v>Net migration</x:v>
      </x:c>
    </x:row>
    <x:row r="5155" ht="44" customHeight="1">
      <x:c r="A5155" s="2" t="str">
        <x:v>SAU</x:v>
      </x:c>
      <x:c r="B5155" s="2" t="str">
        <x:v>real_gdp</x:v>
      </x:c>
      <x:c r="C5155" s="2" t="n">
        <x:v>926779452930.387</x:v>
      </x:c>
      <x:c r="D5155" s="2" t="n">
        <x:v>2025</x:v>
      </x:c>
      <x:c r="E5155" s="2" t="str">
        <x:v>WB_real_gdp</x:v>
      </x:c>
      <x:c r="F5155" s="2" t="str">
        <x:v>GDP (constant 2015 US$)</x:v>
      </x:c>
    </x:row>
    <x:row r="5156" ht="44" customHeight="1">
      <x:c r="A5156" s="2" t="str">
        <x:v>SAU</x:v>
      </x:c>
      <x:c r="B5156" s="2" t="str">
        <x:v>gdp_growth</x:v>
      </x:c>
      <x:c r="C5156" s="2" t="n">
        <x:v>4.50246560191663</x:v>
      </x:c>
      <x:c r="D5156" s="2" t="n">
        <x:v>2025</x:v>
      </x:c>
      <x:c r="E5156" s="2" t="str">
        <x:v>WB_gdp_growth</x:v>
      </x:c>
      <x:c r="F5156" s="2" t="str">
        <x:v>GDP growth (annual %)</x:v>
      </x:c>
    </x:row>
    <x:row r="5157" ht="44" customHeight="1">
      <x:c r="A5157" s="2" t="str">
        <x:v>SAU</x:v>
      </x:c>
      <x:c r="B5157" s="2" t="str">
        <x:v>real_income</x:v>
      </x:c>
      <x:c r="C5157" s="2" t="n">
        <x:v>25066.008744098</x:v>
      </x:c>
      <x:c r="D5157" s="2" t="n">
        <x:v>2025</x:v>
      </x:c>
      <x:c r="E5157" s="2" t="str">
        <x:v>WB_real_income</x:v>
      </x:c>
      <x:c r="F5157" s="2" t="str">
        <x:v>GDP per capita (constant 2015 US$)</x:v>
      </x:c>
    </x:row>
    <x:row r="5158" ht="44" customHeight="1">
      <x:c r="A5158" s="2" t="str">
        <x:v>SAU</x:v>
      </x:c>
      <x:c r="B5158" s="2" t="str">
        <x:v>agriculture_gdp</x:v>
      </x:c>
      <x:c r="C5158" s="2" t="n">
        <x:v>2.58995651280475</x:v>
      </x:c>
      <x:c r="D5158" s="2" t="n">
        <x:v>2025</x:v>
      </x:c>
      <x:c r="E5158" s="2" t="str">
        <x:v>WB_agriculture_gdp</x:v>
      </x:c>
      <x:c r="F5158" s="2" t="str">
        <x:v>Agriculture, forestry, and fishing, value added (% of GDP)</x:v>
      </x:c>
    </x:row>
    <x:row r="5159" ht="44" customHeight="1">
      <x:c r="A5159" s="2" t="str">
        <x:v>SAU</x:v>
      </x:c>
      <x:c r="B5159" s="2" t="str">
        <x:v>poverty</x:v>
      </x:c>
      <x:c r="C5159" s="2"/>
      <x:c r="D5159" s="2"/>
      <x:c r="E5159" s="2" t="str">
        <x:v>Missing</x:v>
      </x:c>
      <x:c r="F5159" s="2" t="str">
        <x:v>Poverty headcount ratio at $3.00 a day (2021 PPP) (% of population)</x:v>
      </x:c>
    </x:row>
    <x:row r="5160" ht="44" customHeight="1">
      <x:c r="A5160" s="2" t="str">
        <x:v>SAU</x:v>
      </x:c>
      <x:c r="B5160" s="2" t="str">
        <x:v>gini</x:v>
      </x:c>
      <x:c r="C5160" s="2"/>
      <x:c r="D5160" s="2"/>
      <x:c r="E5160" s="2" t="str">
        <x:v>Missing</x:v>
      </x:c>
      <x:c r="F5160" s="2" t="str">
        <x:v>Gini index</x:v>
      </x:c>
    </x:row>
    <x:row r="5161" ht="44" customHeight="1">
      <x:c r="A5161" s="2" t="str">
        <x:v>SAU</x:v>
      </x:c>
      <x:c r="B5161" s="2" t="str">
        <x:v>unemployment</x:v>
      </x:c>
      <x:c r="C5161" s="2" t="n">
        <x:v>3.038</x:v>
      </x:c>
      <x:c r="D5161" s="2" t="n">
        <x:v>2025</x:v>
      </x:c>
      <x:c r="E5161" s="2" t="str">
        <x:v>WB_unemployment</x:v>
      </x:c>
      <x:c r="F5161" s="2" t="str">
        <x:v>Unemployment, total (% of total labor force) (modeled ILO estimate)</x:v>
      </x:c>
    </x:row>
    <x:row r="5162" ht="44" customHeight="1">
      <x:c r="A5162" s="2" t="str">
        <x:v>SAU</x:v>
      </x:c>
      <x:c r="B5162" s="2" t="str">
        <x:v>private_credit</x:v>
      </x:c>
      <x:c r="C5162" s="2" t="n">
        <x:v>50.1375935809361</x:v>
      </x:c>
      <x:c r="D5162" s="2" t="n">
        <x:v>2017</x:v>
      </x:c>
      <x:c r="E5162" s="2" t="str">
        <x:v>WB_private_credit</x:v>
      </x:c>
      <x:c r="F5162" s="2" t="str">
        <x:v>Domestic credit to private sector (% of GDP)</x:v>
      </x:c>
    </x:row>
    <x:row r="5163" ht="44" customHeight="1">
      <x:c r="A5163" s="2" t="str">
        <x:v>SAU</x:v>
      </x:c>
      <x:c r="B5163" s="2" t="str">
        <x:v>lending_rate</x:v>
      </x:c>
      <x:c r="C5163" s="2"/>
      <x:c r="D5163" s="2"/>
      <x:c r="E5163" s="2" t="str">
        <x:v>Missing</x:v>
      </x:c>
      <x:c r="F5163" s="2" t="str">
        <x:v>Lending interest rate (%)</x:v>
      </x:c>
    </x:row>
    <x:row r="5164" ht="44" customHeight="1">
      <x:c r="A5164" s="2" t="str">
        <x:v>SAU</x:v>
      </x:c>
      <x:c r="B5164" s="2" t="str">
        <x:v>real_interest</x:v>
      </x:c>
      <x:c r="C5164" s="2"/>
      <x:c r="D5164" s="2"/>
      <x:c r="E5164" s="2" t="str">
        <x:v>Missing</x:v>
      </x:c>
      <x:c r="F5164" s="2" t="str">
        <x:v>Real interest rate (%)</x:v>
      </x:c>
    </x:row>
    <x:row r="5165" ht="44" customHeight="1">
      <x:c r="A5165" s="2" t="str">
        <x:v>SAU</x:v>
      </x:c>
      <x:c r="B5165" s="2" t="str">
        <x:v>government_debt</x:v>
      </x:c>
      <x:c r="C5165" s="2"/>
      <x:c r="D5165" s="2"/>
      <x:c r="E5165" s="2" t="str">
        <x:v>Missing</x:v>
      </x:c>
      <x:c r="F5165" s="2" t="str">
        <x:v>Central government debt, total (% of GDP)</x:v>
      </x:c>
    </x:row>
    <x:row r="5166" ht="44" customHeight="1">
      <x:c r="A5166" s="2" t="str">
        <x:v>SAU</x:v>
      </x:c>
      <x:c r="B5166" s="2" t="str">
        <x:v>electricity_access</x:v>
      </x:c>
      <x:c r="C5166" s="2" t="n">
        <x:v>100</x:v>
      </x:c>
      <x:c r="D5166" s="2" t="n">
        <x:v>2024</x:v>
      </x:c>
      <x:c r="E5166" s="2" t="str">
        <x:v>WB_electricity_access</x:v>
      </x:c>
      <x:c r="F5166" s="2" t="str">
        <x:v>Access to electricity (% of population)</x:v>
      </x:c>
    </x:row>
    <x:row r="5167" ht="44" customHeight="1">
      <x:c r="A5167" s="2" t="str">
        <x:v>SAU</x:v>
      </x:c>
      <x:c r="B5167" s="2" t="str">
        <x:v>irrigated_land</x:v>
      </x:c>
      <x:c r="C5167" s="2" t="n">
        <x:v>0.436251421547004</x:v>
      </x:c>
      <x:c r="D5167" s="2" t="n">
        <x:v>2023</x:v>
      </x:c>
      <x:c r="E5167" s="2" t="str">
        <x:v>WB_irrigated_land</x:v>
      </x:c>
      <x:c r="F5167" s="2" t="str">
        <x:v>Agricultural irrigated land (% of total agricultural land)</x:v>
      </x:c>
    </x:row>
    <x:row r="5168" ht="44" customHeight="1">
      <x:c r="A5168" s="2" t="str">
        <x:v>SAU</x:v>
      </x:c>
      <x:c r="B5168" s="2" t="str">
        <x:v>cereal_area</x:v>
      </x:c>
      <x:c r="C5168" s="2" t="n">
        <x:v>232932</x:v>
      </x:c>
      <x:c r="D5168" s="2" t="n">
        <x:v>2023</x:v>
      </x:c>
      <x:c r="E5168" s="2" t="str">
        <x:v>WB_cereal_area</x:v>
      </x:c>
      <x:c r="F5168" s="2" t="str">
        <x:v>Land under cereal production (hectares)</x:v>
      </x:c>
    </x:row>
    <x:row r="5169" ht="44" customHeight="1">
      <x:c r="A5169" s="2" t="str">
        <x:v>SAU</x:v>
      </x:c>
      <x:c r="B5169" s="2" t="str">
        <x:v>undernourishment</x:v>
      </x:c>
      <x:c r="C5169" s="2" t="n">
        <x:v>2.5</x:v>
      </x:c>
      <x:c r="D5169" s="2" t="n">
        <x:v>2023</x:v>
      </x:c>
      <x:c r="E5169" s="2" t="str">
        <x:v>WB_undernourishment</x:v>
      </x:c>
      <x:c r="F5169" s="2" t="str">
        <x:v>Prevalence of undernourishment (% of population)</x:v>
      </x:c>
    </x:row>
    <x:row r="5170" ht="44" customHeight="1">
      <x:c r="A5170" s="2" t="str">
        <x:v>SAU</x:v>
      </x:c>
      <x:c r="B5170" s="2" t="str">
        <x:v>agriculture_employment</x:v>
      </x:c>
      <x:c r="C5170" s="2" t="n">
        <x:v>2.49866168091677</x:v>
      </x:c>
      <x:c r="D5170" s="2" t="n">
        <x:v>2025</x:v>
      </x:c>
      <x:c r="E5170" s="2" t="str">
        <x:v>WB_agriculture_employment</x:v>
      </x:c>
      <x:c r="F5170" s="2" t="str">
        <x:v>Employment in agriculture (% of total employment) (modeled ILO estimate)</x:v>
      </x:c>
    </x:row>
    <x:row r="5171" ht="44" customHeight="1">
      <x:c r="A5171" s="2" t="str">
        <x:v>SAU</x:v>
      </x:c>
      <x:c r="B5171" s="2" t="str">
        <x:v>water_withdrawal</x:v>
      </x:c>
      <x:c r="C5171" s="2" t="n">
        <x:v>974.166666666667</x:v>
      </x:c>
      <x:c r="D5171" s="2" t="n">
        <x:v>2022</x:v>
      </x:c>
      <x:c r="E5171" s="2" t="str">
        <x:v>WB_water_withdrawal</x:v>
      </x:c>
      <x:c r="F5171" s="2" t="str">
        <x:v>Annual freshwater withdrawals, total (% of internal resources)</x:v>
      </x:c>
    </x:row>
    <x:row r="5172" ht="44" customHeight="1">
      <x:c r="A5172" s="2" t="str">
        <x:v>SEN</x:v>
      </x:c>
      <x:c r="B5172" s="2" t="str">
        <x:v>population</x:v>
      </x:c>
      <x:c r="C5172" s="2" t="n">
        <x:v>18931966</x:v>
      </x:c>
      <x:c r="D5172" s="2" t="n">
        <x:v>2025</x:v>
      </x:c>
      <x:c r="E5172" s="2" t="str">
        <x:v>WB_population</x:v>
      </x:c>
      <x:c r="F5172" s="2" t="str">
        <x:v>Population, total</x:v>
      </x:c>
    </x:row>
    <x:row r="5173" ht="44" customHeight="1">
      <x:c r="A5173" s="2" t="str">
        <x:v>SEN</x:v>
      </x:c>
      <x:c r="B5173" s="2" t="str">
        <x:v>income_ppp</x:v>
      </x:c>
      <x:c r="C5173" s="2" t="n">
        <x:v>4668.54167658726</x:v>
      </x:c>
      <x:c r="D5173" s="2" t="n">
        <x:v>2025</x:v>
      </x:c>
      <x:c r="E5173" s="2" t="str">
        <x:v>WB_income_ppp</x:v>
      </x:c>
      <x:c r="F5173" s="2" t="str">
        <x:v>GDP per capita, PPP (constant 2021 international $)</x:v>
      </x:c>
    </x:row>
    <x:row r="5174" ht="44" customHeight="1">
      <x:c r="A5174" s="2" t="str">
        <x:v>SEN</x:v>
      </x:c>
      <x:c r="B5174" s="2" t="str">
        <x:v>urban</x:v>
      </x:c>
      <x:c r="C5174" s="2" t="n">
        <x:v>55.7672494455246</x:v>
      </x:c>
      <x:c r="D5174" s="2" t="n">
        <x:v>2025</x:v>
      </x:c>
      <x:c r="E5174" s="2" t="str">
        <x:v>WB_urban</x:v>
      </x:c>
      <x:c r="F5174" s="2" t="str">
        <x:v>Urban population (% of total population)</x:v>
      </x:c>
    </x:row>
    <x:row r="5175" ht="44" customHeight="1">
      <x:c r="A5175" s="2" t="str">
        <x:v>SEN</x:v>
      </x:c>
      <x:c r="B5175" s="2" t="str">
        <x:v>inflation</x:v>
      </x:c>
      <x:c r="C5175" s="2" t="n">
        <x:v>1.45900719841385</x:v>
      </x:c>
      <x:c r="D5175" s="2" t="n">
        <x:v>2025</x:v>
      </x:c>
      <x:c r="E5175" s="2" t="str">
        <x:v>WB_inflation</x:v>
      </x:c>
      <x:c r="F5175" s="2" t="str">
        <x:v>Inflation, consumer prices (annual %)</x:v>
      </x:c>
    </x:row>
    <x:row r="5176" ht="44" customHeight="1">
      <x:c r="A5176" s="2" t="str">
        <x:v>SEN</x:v>
      </x:c>
      <x:c r="B5176" s="2" t="str">
        <x:v>food_index</x:v>
      </x:c>
      <x:c r="C5176" s="2" t="n">
        <x:v>177.49</x:v>
      </x:c>
      <x:c r="D5176" s="2" t="n">
        <x:v>2022</x:v>
      </x:c>
      <x:c r="E5176" s="2" t="str">
        <x:v>WB_food_index</x:v>
      </x:c>
      <x:c r="F5176" s="2" t="str">
        <x:v>Food production index (2014-2016 = 100)</x:v>
      </x:c>
    </x:row>
    <x:row r="5177" ht="44" customHeight="1">
      <x:c r="A5177" s="2" t="str">
        <x:v>SEN</x:v>
      </x:c>
      <x:c r="B5177" s="2" t="str">
        <x:v>food_import_share</x:v>
      </x:c>
      <x:c r="C5177" s="2" t="n">
        <x:v>18.989000141093</x:v>
      </x:c>
      <x:c r="D5177" s="2" t="n">
        <x:v>2024</x:v>
      </x:c>
      <x:c r="E5177" s="2" t="str">
        <x:v>WB_food_import_share</x:v>
      </x:c>
      <x:c r="F5177" s="2" t="str">
        <x:v>Food imports (% of merchandise imports)</x:v>
      </x:c>
    </x:row>
    <x:row r="5178" ht="44" customHeight="1">
      <x:c r="A5178" s="2" t="str">
        <x:v>SEN</x:v>
      </x:c>
      <x:c r="B5178" s="2" t="str">
        <x:v>food_export_share</x:v>
      </x:c>
      <x:c r="C5178" s="2" t="n">
        <x:v>21.588386801499</x:v>
      </x:c>
      <x:c r="D5178" s="2" t="n">
        <x:v>2024</x:v>
      </x:c>
      <x:c r="E5178" s="2" t="str">
        <x:v>WB_food_export_share</x:v>
      </x:c>
      <x:c r="F5178" s="2" t="str">
        <x:v>Food exports (% of merchandise exports)</x:v>
      </x:c>
    </x:row>
    <x:row r="5179" ht="44" customHeight="1">
      <x:c r="A5179" s="2" t="str">
        <x:v>SEN</x:v>
      </x:c>
      <x:c r="B5179" s="2" t="str">
        <x:v>imports_usd</x:v>
      </x:c>
      <x:c r="C5179" s="2" t="n">
        <x:v>11947000000</x:v>
      </x:c>
      <x:c r="D5179" s="2" t="n">
        <x:v>2025</x:v>
      </x:c>
      <x:c r="E5179" s="2" t="str">
        <x:v>WB_imports_usd</x:v>
      </x:c>
      <x:c r="F5179" s="2" t="str">
        <x:v>Merchandise imports (current US$)</x:v>
      </x:c>
    </x:row>
    <x:row r="5180" ht="44" customHeight="1">
      <x:c r="A5180" s="2" t="str">
        <x:v>SEN</x:v>
      </x:c>
      <x:c r="B5180" s="2" t="str">
        <x:v>exports_usd</x:v>
      </x:c>
      <x:c r="C5180" s="2" t="n">
        <x:v>10243000000</x:v>
      </x:c>
      <x:c r="D5180" s="2" t="n">
        <x:v>2025</x:v>
      </x:c>
      <x:c r="E5180" s="2" t="str">
        <x:v>WB_exports_usd</x:v>
      </x:c>
      <x:c r="F5180" s="2" t="str">
        <x:v>Merchandise exports (current US$)</x:v>
      </x:c>
    </x:row>
    <x:row r="5181" ht="44" customHeight="1">
      <x:c r="A5181" s="2" t="str">
        <x:v>SEN</x:v>
      </x:c>
      <x:c r="B5181" s="2" t="str">
        <x:v>cereal_yield</x:v>
      </x:c>
      <x:c r="C5181" s="2" t="n">
        <x:v>2192.1</x:v>
      </x:c>
      <x:c r="D5181" s="2" t="n">
        <x:v>2023</x:v>
      </x:c>
      <x:c r="E5181" s="2" t="str">
        <x:v>WB_cereal_yield</x:v>
      </x:c>
      <x:c r="F5181" s="2" t="str">
        <x:v>Cereal yield (kg per hectare)</x:v>
      </x:c>
    </x:row>
    <x:row r="5182" ht="44" customHeight="1">
      <x:c r="A5182" s="2" t="str">
        <x:v>SEN</x:v>
      </x:c>
      <x:c r="B5182" s="2" t="str">
        <x:v>water_stress</x:v>
      </x:c>
      <x:c r="C5182" s="2" t="n">
        <x:v>16.2764487</x:v>
      </x:c>
      <x:c r="D5182" s="2" t="n">
        <x:v>2022</x:v>
      </x:c>
      <x:c r="E5182" s="2" t="str">
        <x:v>WB_water_stress</x:v>
      </x:c>
      <x:c r="F5182" s="2" t="str">
        <x:v>Level of water stress: freshwater withdrawal as a proportion of available freshwater resources</x:v>
      </x:c>
    </x:row>
    <x:row r="5183" ht="44" customHeight="1">
      <x:c r="A5183" s="2" t="str">
        <x:v>SEN</x:v>
      </x:c>
      <x:c r="B5183" s="2" t="str">
        <x:v>fertility</x:v>
      </x:c>
      <x:c r="C5183" s="2" t="n">
        <x:v>3.765</x:v>
      </x:c>
      <x:c r="D5183" s="2" t="n">
        <x:v>2024</x:v>
      </x:c>
      <x:c r="E5183" s="2" t="str">
        <x:v>WB_fertility</x:v>
      </x:c>
      <x:c r="F5183" s="2" t="str">
        <x:v>Fertility rate, total (births per woman)</x:v>
      </x:c>
    </x:row>
    <x:row r="5184" ht="44" customHeight="1">
      <x:c r="A5184" s="2" t="str">
        <x:v>SEN</x:v>
      </x:c>
      <x:c r="B5184" s="2" t="str">
        <x:v>life_expectancy</x:v>
      </x:c>
      <x:c r="C5184" s="2" t="n">
        <x:v>68.924</x:v>
      </x:c>
      <x:c r="D5184" s="2" t="n">
        <x:v>2024</x:v>
      </x:c>
      <x:c r="E5184" s="2" t="str">
        <x:v>WB_life_expectancy</x:v>
      </x:c>
      <x:c r="F5184" s="2" t="str">
        <x:v>Life expectancy at birth, total (years)</x:v>
      </x:c>
    </x:row>
    <x:row r="5185" ht="44" customHeight="1">
      <x:c r="A5185" s="2" t="str">
        <x:v>SEN</x:v>
      </x:c>
      <x:c r="B5185" s="2" t="str">
        <x:v>age_under15</x:v>
      </x:c>
      <x:c r="C5185" s="2" t="n">
        <x:v>37.7428065911695</x:v>
      </x:c>
      <x:c r="D5185" s="2" t="n">
        <x:v>2025</x:v>
      </x:c>
      <x:c r="E5185" s="2" t="str">
        <x:v>WB_age_under15</x:v>
      </x:c>
      <x:c r="F5185" s="2" t="str">
        <x:v>Population ages 0-14 (% of total population)</x:v>
      </x:c>
    </x:row>
    <x:row r="5186" ht="44" customHeight="1">
      <x:c r="A5186" s="2" t="str">
        <x:v>SEN</x:v>
      </x:c>
      <x:c r="B5186" s="2" t="str">
        <x:v>age_over65</x:v>
      </x:c>
      <x:c r="C5186" s="2" t="n">
        <x:v>3.64616639269883</x:v>
      </x:c>
      <x:c r="D5186" s="2" t="n">
        <x:v>2025</x:v>
      </x:c>
      <x:c r="E5186" s="2" t="str">
        <x:v>WB_age_over65</x:v>
      </x:c>
      <x:c r="F5186" s="2" t="str">
        <x:v>Population ages 65 and above (% of total population)</x:v>
      </x:c>
    </x:row>
    <x:row r="5187" ht="44" customHeight="1">
      <x:c r="A5187" s="2" t="str">
        <x:v>SEN</x:v>
      </x:c>
      <x:c r="B5187" s="2" t="str">
        <x:v>dependency_ratio</x:v>
      </x:c>
      <x:c r="C5187" s="2" t="n">
        <x:v>70.6163540376813</x:v>
      </x:c>
      <x:c r="D5187" s="2" t="n">
        <x:v>2025</x:v>
      </x:c>
      <x:c r="E5187" s="2" t="str">
        <x:v>WB_dependency_ratio</x:v>
      </x:c>
      <x:c r="F5187" s="2" t="str">
        <x:v>Age dependency ratio (% of working-age population)</x:v>
      </x:c>
    </x:row>
    <x:row r="5188" ht="44" customHeight="1">
      <x:c r="A5188" s="2" t="str">
        <x:v>SEN</x:v>
      </x:c>
      <x:c r="B5188" s="2" t="str">
        <x:v>net_migration</x:v>
      </x:c>
      <x:c r="C5188" s="2" t="n">
        <x:v>-12636</x:v>
      </x:c>
      <x:c r="D5188" s="2" t="n">
        <x:v>2025</x:v>
      </x:c>
      <x:c r="E5188" s="2" t="str">
        <x:v>WB_net_migration</x:v>
      </x:c>
      <x:c r="F5188" s="2" t="str">
        <x:v>Net migration</x:v>
      </x:c>
    </x:row>
    <x:row r="5189" ht="44" customHeight="1">
      <x:c r="A5189" s="2" t="str">
        <x:v>SEN</x:v>
      </x:c>
      <x:c r="B5189" s="2" t="str">
        <x:v>real_gdp</x:v>
      </x:c>
      <x:c r="C5189" s="2" t="n">
        <x:v>29955264558.0666</x:v>
      </x:c>
      <x:c r="D5189" s="2" t="n">
        <x:v>2025</x:v>
      </x:c>
      <x:c r="E5189" s="2" t="str">
        <x:v>WB_real_gdp</x:v>
      </x:c>
      <x:c r="F5189" s="2" t="str">
        <x:v>GDP (constant 2015 US$)</x:v>
      </x:c>
    </x:row>
    <x:row r="5190" ht="44" customHeight="1">
      <x:c r="A5190" s="2" t="str">
        <x:v>SEN</x:v>
      </x:c>
      <x:c r="B5190" s="2" t="str">
        <x:v>gdp_growth</x:v>
      </x:c>
      <x:c r="C5190" s="2" t="n">
        <x:v>6.68227744849194</x:v>
      </x:c>
      <x:c r="D5190" s="2" t="n">
        <x:v>2025</x:v>
      </x:c>
      <x:c r="E5190" s="2" t="str">
        <x:v>WB_gdp_growth</x:v>
      </x:c>
      <x:c r="F5190" s="2" t="str">
        <x:v>GDP growth (annual %)</x:v>
      </x:c>
    </x:row>
    <x:row r="5191" ht="44" customHeight="1">
      <x:c r="A5191" s="2" t="str">
        <x:v>SEN</x:v>
      </x:c>
      <x:c r="B5191" s="2" t="str">
        <x:v>real_income</x:v>
      </x:c>
      <x:c r="C5191" s="2" t="n">
        <x:v>1582.25852286375</x:v>
      </x:c>
      <x:c r="D5191" s="2" t="n">
        <x:v>2025</x:v>
      </x:c>
      <x:c r="E5191" s="2" t="str">
        <x:v>WB_real_income</x:v>
      </x:c>
      <x:c r="F5191" s="2" t="str">
        <x:v>GDP per capita (constant 2015 US$)</x:v>
      </x:c>
    </x:row>
    <x:row r="5192" ht="44" customHeight="1">
      <x:c r="A5192" s="2" t="str">
        <x:v>SEN</x:v>
      </x:c>
      <x:c r="B5192" s="2" t="str">
        <x:v>agriculture_gdp</x:v>
      </x:c>
      <x:c r="C5192" s="2" t="n">
        <x:v>17.0838912567949</x:v>
      </x:c>
      <x:c r="D5192" s="2" t="n">
        <x:v>2025</x:v>
      </x:c>
      <x:c r="E5192" s="2" t="str">
        <x:v>WB_agriculture_gdp</x:v>
      </x:c>
      <x:c r="F5192" s="2" t="str">
        <x:v>Agriculture, forestry, and fishing, value added (% of GDP)</x:v>
      </x:c>
    </x:row>
    <x:row r="5193" ht="44" customHeight="1">
      <x:c r="A5193" s="2" t="str">
        <x:v>SEN</x:v>
      </x:c>
      <x:c r="B5193" s="2" t="str">
        <x:v>poverty</x:v>
      </x:c>
      <x:c r="C5193" s="2" t="n">
        <x:v>17.9</x:v>
      </x:c>
      <x:c r="D5193" s="2" t="n">
        <x:v>2021</x:v>
      </x:c>
      <x:c r="E5193" s="2" t="str">
        <x:v>WB_poverty</x:v>
      </x:c>
      <x:c r="F5193" s="2" t="str">
        <x:v>Poverty headcount ratio at $3.00 a day (2021 PPP) (% of population)</x:v>
      </x:c>
    </x:row>
    <x:row r="5194" ht="44" customHeight="1">
      <x:c r="A5194" s="2" t="str">
        <x:v>SEN</x:v>
      </x:c>
      <x:c r="B5194" s="2" t="str">
        <x:v>gini</x:v>
      </x:c>
      <x:c r="C5194" s="2" t="n">
        <x:v>36.2</x:v>
      </x:c>
      <x:c r="D5194" s="2" t="n">
        <x:v>2021</x:v>
      </x:c>
      <x:c r="E5194" s="2" t="str">
        <x:v>WB_gini</x:v>
      </x:c>
      <x:c r="F5194" s="2" t="str">
        <x:v>Gini index</x:v>
      </x:c>
    </x:row>
    <x:row r="5195" ht="44" customHeight="1">
      <x:c r="A5195" s="2" t="str">
        <x:v>SEN</x:v>
      </x:c>
      <x:c r="B5195" s="2" t="str">
        <x:v>unemployment</x:v>
      </x:c>
      <x:c r="C5195" s="2" t="n">
        <x:v>2.735</x:v>
      </x:c>
      <x:c r="D5195" s="2" t="n">
        <x:v>2025</x:v>
      </x:c>
      <x:c r="E5195" s="2" t="str">
        <x:v>WB_unemployment</x:v>
      </x:c>
      <x:c r="F5195" s="2" t="str">
        <x:v>Unemployment, total (% of total labor force) (modeled ILO estimate)</x:v>
      </x:c>
    </x:row>
    <x:row r="5196" ht="44" customHeight="1">
      <x:c r="A5196" s="2" t="str">
        <x:v>SEN</x:v>
      </x:c>
      <x:c r="B5196" s="2" t="str">
        <x:v>private_credit</x:v>
      </x:c>
      <x:c r="C5196" s="2" t="n">
        <x:v>30.8840419671112</x:v>
      </x:c>
      <x:c r="D5196" s="2" t="n">
        <x:v>2025</x:v>
      </x:c>
      <x:c r="E5196" s="2" t="str">
        <x:v>WB_private_credit</x:v>
      </x:c>
      <x:c r="F5196" s="2" t="str">
        <x:v>Domestic credit to private sector (% of GDP)</x:v>
      </x:c>
    </x:row>
    <x:row r="5197" ht="44" customHeight="1">
      <x:c r="A5197" s="2" t="str">
        <x:v>SEN</x:v>
      </x:c>
      <x:c r="B5197" s="2" t="str">
        <x:v>lending_rate</x:v>
      </x:c>
      <x:c r="C5197" s="2" t="n">
        <x:v>5.295</x:v>
      </x:c>
      <x:c r="D5197" s="2" t="n">
        <x:v>2016</x:v>
      </x:c>
      <x:c r="E5197" s="2" t="str">
        <x:v>WB_lending_rate</x:v>
      </x:c>
      <x:c r="F5197" s="2" t="str">
        <x:v>Lending interest rate (%)</x:v>
      </x:c>
    </x:row>
    <x:row r="5198" ht="44" customHeight="1">
      <x:c r="A5198" s="2" t="str">
        <x:v>SEN</x:v>
      </x:c>
      <x:c r="B5198" s="2" t="str">
        <x:v>real_interest</x:v>
      </x:c>
      <x:c r="C5198" s="2" t="n">
        <x:v>4.29827404488885</x:v>
      </x:c>
      <x:c r="D5198" s="2" t="n">
        <x:v>2016</x:v>
      </x:c>
      <x:c r="E5198" s="2" t="str">
        <x:v>WB_real_interest</x:v>
      </x:c>
      <x:c r="F5198" s="2" t="str">
        <x:v>Real interest rate (%)</x:v>
      </x:c>
    </x:row>
    <x:row r="5199" ht="44" customHeight="1">
      <x:c r="A5199" s="2" t="str">
        <x:v>SEN</x:v>
      </x:c>
      <x:c r="B5199" s="2" t="str">
        <x:v>government_debt</x:v>
      </x:c>
      <x:c r="C5199" s="2"/>
      <x:c r="D5199" s="2"/>
      <x:c r="E5199" s="2" t="str">
        <x:v>Missing</x:v>
      </x:c>
      <x:c r="F5199" s="2" t="str">
        <x:v>Central government debt, total (% of GDP)</x:v>
      </x:c>
    </x:row>
    <x:row r="5200" ht="44" customHeight="1">
      <x:c r="A5200" s="2" t="str">
        <x:v>SEN</x:v>
      </x:c>
      <x:c r="B5200" s="2" t="str">
        <x:v>electricity_access</x:v>
      </x:c>
      <x:c r="C5200" s="2" t="n">
        <x:v>82.9</x:v>
      </x:c>
      <x:c r="D5200" s="2" t="n">
        <x:v>2024</x:v>
      </x:c>
      <x:c r="E5200" s="2" t="str">
        <x:v>WB_electricity_access</x:v>
      </x:c>
      <x:c r="F5200" s="2" t="str">
        <x:v>Access to electricity (% of population)</x:v>
      </x:c>
    </x:row>
    <x:row r="5201" ht="44" customHeight="1">
      <x:c r="A5201" s="2" t="str">
        <x:v>SEN</x:v>
      </x:c>
      <x:c r="B5201" s="2" t="str">
        <x:v>irrigated_land</x:v>
      </x:c>
      <x:c r="C5201" s="2" t="n">
        <x:v>0.742049469964664</x:v>
      </x:c>
      <x:c r="D5201" s="2" t="n">
        <x:v>2006</x:v>
      </x:c>
      <x:c r="E5201" s="2" t="str">
        <x:v>WB_irrigated_land</x:v>
      </x:c>
      <x:c r="F5201" s="2" t="str">
        <x:v>Agricultural irrigated land (% of total agricultural land)</x:v>
      </x:c>
    </x:row>
    <x:row r="5202" ht="44" customHeight="1">
      <x:c r="A5202" s="2" t="str">
        <x:v>SEN</x:v>
      </x:c>
      <x:c r="B5202" s="2" t="str">
        <x:v>cereal_area</x:v>
      </x:c>
      <x:c r="C5202" s="2" t="n">
        <x:v>1940235</x:v>
      </x:c>
      <x:c r="D5202" s="2" t="n">
        <x:v>2023</x:v>
      </x:c>
      <x:c r="E5202" s="2" t="str">
        <x:v>WB_cereal_area</x:v>
      </x:c>
      <x:c r="F5202" s="2" t="str">
        <x:v>Land under cereal production (hectares)</x:v>
      </x:c>
    </x:row>
    <x:row r="5203" ht="44" customHeight="1">
      <x:c r="A5203" s="2" t="str">
        <x:v>SEN</x:v>
      </x:c>
      <x:c r="B5203" s="2" t="str">
        <x:v>undernourishment</x:v>
      </x:c>
      <x:c r="C5203" s="2" t="n">
        <x:v>5.1</x:v>
      </x:c>
      <x:c r="D5203" s="2" t="n">
        <x:v>2023</x:v>
      </x:c>
      <x:c r="E5203" s="2" t="str">
        <x:v>WB_undernourishment</x:v>
      </x:c>
      <x:c r="F5203" s="2" t="str">
        <x:v>Prevalence of undernourishment (% of population)</x:v>
      </x:c>
    </x:row>
    <x:row r="5204" ht="44" customHeight="1">
      <x:c r="A5204" s="2" t="str">
        <x:v>SEN</x:v>
      </x:c>
      <x:c r="B5204" s="2" t="str">
        <x:v>agriculture_employment</x:v>
      </x:c>
      <x:c r="C5204" s="2" t="n">
        <x:v>29.5764060033702</x:v>
      </x:c>
      <x:c r="D5204" s="2" t="n">
        <x:v>2025</x:v>
      </x:c>
      <x:c r="E5204" s="2" t="str">
        <x:v>WB_agriculture_employment</x:v>
      </x:c>
      <x:c r="F5204" s="2" t="str">
        <x:v>Employment in agriculture (% of total employment) (modeled ILO estimate)</x:v>
      </x:c>
    </x:row>
    <x:row r="5205" ht="44" customHeight="1">
      <x:c r="A5205" s="2" t="str">
        <x:v>SEN</x:v>
      </x:c>
      <x:c r="B5205" s="2" t="str">
        <x:v>water_withdrawal</x:v>
      </x:c>
      <x:c r="C5205" s="2" t="n">
        <x:v>11.8666666666667</x:v>
      </x:c>
      <x:c r="D5205" s="2" t="n">
        <x:v>2022</x:v>
      </x:c>
      <x:c r="E5205" s="2" t="str">
        <x:v>WB_water_withdrawal</x:v>
      </x:c>
      <x:c r="F5205" s="2" t="str">
        <x:v>Annual freshwater withdrawals, total (% of internal resources)</x:v>
      </x:c>
    </x:row>
    <x:row r="5206" ht="44" customHeight="1">
      <x:c r="A5206" s="2" t="str">
        <x:v>SRB</x:v>
      </x:c>
      <x:c r="B5206" s="2" t="str">
        <x:v>population</x:v>
      </x:c>
      <x:c r="C5206" s="2" t="n">
        <x:v>6549143</x:v>
      </x:c>
      <x:c r="D5206" s="2" t="n">
        <x:v>2025</x:v>
      </x:c>
      <x:c r="E5206" s="2" t="str">
        <x:v>WB_population</x:v>
      </x:c>
      <x:c r="F5206" s="2" t="str">
        <x:v>Population, total</x:v>
      </x:c>
    </x:row>
    <x:row r="5207" ht="44" customHeight="1">
      <x:c r="A5207" s="2" t="str">
        <x:v>SRB</x:v>
      </x:c>
      <x:c r="B5207" s="2" t="str">
        <x:v>income_ppp</x:v>
      </x:c>
      <x:c r="C5207" s="2" t="n">
        <x:v>27603.3916309287</x:v>
      </x:c>
      <x:c r="D5207" s="2" t="n">
        <x:v>2025</x:v>
      </x:c>
      <x:c r="E5207" s="2" t="str">
        <x:v>WB_income_ppp</x:v>
      </x:c>
      <x:c r="F5207" s="2" t="str">
        <x:v>GDP per capita, PPP (constant 2021 international $)</x:v>
      </x:c>
    </x:row>
    <x:row r="5208" ht="44" customHeight="1">
      <x:c r="A5208" s="2" t="str">
        <x:v>SRB</x:v>
      </x:c>
      <x:c r="B5208" s="2" t="str">
        <x:v>urban</x:v>
      </x:c>
      <x:c r="C5208" s="2" t="n">
        <x:v>62.6379872799333</x:v>
      </x:c>
      <x:c r="D5208" s="2" t="n">
        <x:v>2025</x:v>
      </x:c>
      <x:c r="E5208" s="2" t="str">
        <x:v>WB_urban</x:v>
      </x:c>
      <x:c r="F5208" s="2" t="str">
        <x:v>Urban population (% of total population)</x:v>
      </x:c>
    </x:row>
    <x:row r="5209" ht="44" customHeight="1">
      <x:c r="A5209" s="2" t="str">
        <x:v>SRB</x:v>
      </x:c>
      <x:c r="B5209" s="2" t="str">
        <x:v>inflation</x:v>
      </x:c>
      <x:c r="C5209" s="2" t="n">
        <x:v>3.8903678606001</x:v>
      </x:c>
      <x:c r="D5209" s="2" t="n">
        <x:v>2025</x:v>
      </x:c>
      <x:c r="E5209" s="2" t="str">
        <x:v>WB_inflation</x:v>
      </x:c>
      <x:c r="F5209" s="2" t="str">
        <x:v>Inflation, consumer prices (annual %)</x:v>
      </x:c>
    </x:row>
    <x:row r="5210" ht="44" customHeight="1">
      <x:c r="A5210" s="2" t="str">
        <x:v>SRB</x:v>
      </x:c>
      <x:c r="B5210" s="2" t="str">
        <x:v>food_index</x:v>
      </x:c>
      <x:c r="C5210" s="2" t="n">
        <x:v>98.37</x:v>
      </x:c>
      <x:c r="D5210" s="2" t="n">
        <x:v>2022</x:v>
      </x:c>
      <x:c r="E5210" s="2" t="str">
        <x:v>WB_food_index</x:v>
      </x:c>
      <x:c r="F5210" s="2" t="str">
        <x:v>Food production index (2014-2016 = 100)</x:v>
      </x:c>
    </x:row>
    <x:row r="5211" ht="44" customHeight="1">
      <x:c r="A5211" s="2" t="str">
        <x:v>SRB</x:v>
      </x:c>
      <x:c r="B5211" s="2" t="str">
        <x:v>food_import_share</x:v>
      </x:c>
      <x:c r="C5211" s="2" t="n">
        <x:v>5.77715621044371</x:v>
      </x:c>
      <x:c r="D5211" s="2" t="n">
        <x:v>2007</x:v>
      </x:c>
      <x:c r="E5211" s="2" t="str">
        <x:v>WB_food_import_share</x:v>
      </x:c>
      <x:c r="F5211" s="2" t="str">
        <x:v>Food imports (% of merchandise imports)</x:v>
      </x:c>
    </x:row>
    <x:row r="5212" ht="44" customHeight="1">
      <x:c r="A5212" s="2" t="str">
        <x:v>SRB</x:v>
      </x:c>
      <x:c r="B5212" s="2" t="str">
        <x:v>food_export_share</x:v>
      </x:c>
      <x:c r="C5212" s="2" t="n">
        <x:v>18.6105131134643</x:v>
      </x:c>
      <x:c r="D5212" s="2" t="n">
        <x:v>2007</x:v>
      </x:c>
      <x:c r="E5212" s="2" t="str">
        <x:v>WB_food_export_share</x:v>
      </x:c>
      <x:c r="F5212" s="2" t="str">
        <x:v>Food exports (% of merchandise exports)</x:v>
      </x:c>
    </x:row>
    <x:row r="5213" ht="44" customHeight="1">
      <x:c r="A5213" s="2" t="str">
        <x:v>SRB</x:v>
      </x:c>
      <x:c r="B5213" s="2" t="str">
        <x:v>imports_usd</x:v>
      </x:c>
      <x:c r="C5213" s="2" t="n">
        <x:v>47227000000</x:v>
      </x:c>
      <x:c r="D5213" s="2" t="n">
        <x:v>2025</x:v>
      </x:c>
      <x:c r="E5213" s="2" t="str">
        <x:v>WB_imports_usd</x:v>
      </x:c>
      <x:c r="F5213" s="2" t="str">
        <x:v>Merchandise imports (current US$)</x:v>
      </x:c>
    </x:row>
    <x:row r="5214" ht="44" customHeight="1">
      <x:c r="A5214" s="2" t="str">
        <x:v>SRB</x:v>
      </x:c>
      <x:c r="B5214" s="2" t="str">
        <x:v>exports_usd</x:v>
      </x:c>
      <x:c r="C5214" s="2" t="n">
        <x:v>37314000000</x:v>
      </x:c>
      <x:c r="D5214" s="2" t="n">
        <x:v>2025</x:v>
      </x:c>
      <x:c r="E5214" s="2" t="str">
        <x:v>WB_exports_usd</x:v>
      </x:c>
      <x:c r="F5214" s="2" t="str">
        <x:v>Merchandise exports (current US$)</x:v>
      </x:c>
    </x:row>
    <x:row r="5215" ht="44" customHeight="1">
      <x:c r="A5215" s="2" t="str">
        <x:v>SRB</x:v>
      </x:c>
      <x:c r="B5215" s="2" t="str">
        <x:v>cereal_yield</x:v>
      </x:c>
      <x:c r="C5215" s="2" t="n">
        <x:v>6105.8</x:v>
      </x:c>
      <x:c r="D5215" s="2" t="n">
        <x:v>2023</x:v>
      </x:c>
      <x:c r="E5215" s="2" t="str">
        <x:v>WB_cereal_yield</x:v>
      </x:c>
      <x:c r="F5215" s="2" t="str">
        <x:v>Cereal yield (kg per hectare)</x:v>
      </x:c>
    </x:row>
    <x:row r="5216" ht="44" customHeight="1">
      <x:c r="A5216" s="2" t="str">
        <x:v>SRB</x:v>
      </x:c>
      <x:c r="B5216" s="2" t="str">
        <x:v>water_stress</x:v>
      </x:c>
      <x:c r="C5216" s="2" t="n">
        <x:v>5.737631015</x:v>
      </x:c>
      <x:c r="D5216" s="2" t="n">
        <x:v>2022</x:v>
      </x:c>
      <x:c r="E5216" s="2" t="str">
        <x:v>WB_water_stress</x:v>
      </x:c>
      <x:c r="F5216" s="2" t="str">
        <x:v>Level of water stress: freshwater withdrawal as a proportion of available freshwater resources</x:v>
      </x:c>
    </x:row>
    <x:row r="5217" ht="44" customHeight="1">
      <x:c r="A5217" s="2" t="str">
        <x:v>SRB</x:v>
      </x:c>
      <x:c r="B5217" s="2" t="str">
        <x:v>fertility</x:v>
      </x:c>
      <x:c r="C5217" s="2" t="n">
        <x:v>1.64</x:v>
      </x:c>
      <x:c r="D5217" s="2" t="n">
        <x:v>2024</x:v>
      </x:c>
      <x:c r="E5217" s="2" t="str">
        <x:v>WB_fertility</x:v>
      </x:c>
      <x:c r="F5217" s="2" t="str">
        <x:v>Fertility rate, total (births per woman)</x:v>
      </x:c>
    </x:row>
    <x:row r="5218" ht="44" customHeight="1">
      <x:c r="A5218" s="2" t="str">
        <x:v>SRB</x:v>
      </x:c>
      <x:c r="B5218" s="2" t="str">
        <x:v>life_expectancy</x:v>
      </x:c>
      <x:c r="C5218" s="2" t="n">
        <x:v>75.9682926829268</x:v>
      </x:c>
      <x:c r="D5218" s="2" t="n">
        <x:v>2024</x:v>
      </x:c>
      <x:c r="E5218" s="2" t="str">
        <x:v>WB_life_expectancy</x:v>
      </x:c>
      <x:c r="F5218" s="2" t="str">
        <x:v>Life expectancy at birth, total (years)</x:v>
      </x:c>
    </x:row>
    <x:row r="5219" ht="44" customHeight="1">
      <x:c r="A5219" s="2" t="str">
        <x:v>SRB</x:v>
      </x:c>
      <x:c r="B5219" s="2" t="str">
        <x:v>age_under15</x:v>
      </x:c>
      <x:c r="C5219" s="2" t="n">
        <x:v>14.2579001258626</x:v>
      </x:c>
      <x:c r="D5219" s="2" t="n">
        <x:v>2025</x:v>
      </x:c>
      <x:c r="E5219" s="2" t="str">
        <x:v>WB_age_under15</x:v>
      </x:c>
      <x:c r="F5219" s="2" t="str">
        <x:v>Population ages 0-14 (% of total population)</x:v>
      </x:c>
    </x:row>
    <x:row r="5220" ht="44" customHeight="1">
      <x:c r="A5220" s="2" t="str">
        <x:v>SRB</x:v>
      </x:c>
      <x:c r="B5220" s="2" t="str">
        <x:v>age_over65</x:v>
      </x:c>
      <x:c r="C5220" s="2" t="n">
        <x:v>23.050411277315</x:v>
      </x:c>
      <x:c r="D5220" s="2" t="n">
        <x:v>2025</x:v>
      </x:c>
      <x:c r="E5220" s="2" t="str">
        <x:v>WB_age_over65</x:v>
      </x:c>
      <x:c r="F5220" s="2" t="str">
        <x:v>Population ages 65 and above (% of total population)</x:v>
      </x:c>
    </x:row>
    <x:row r="5221" ht="44" customHeight="1">
      <x:c r="A5221" s="2" t="str">
        <x:v>SRB</x:v>
      </x:c>
      <x:c r="B5221" s="2" t="str">
        <x:v>dependency_ratio</x:v>
      </x:c>
      <x:c r="C5221" s="2" t="n">
        <x:v>59.5107663170447</x:v>
      </x:c>
      <x:c r="D5221" s="2" t="n">
        <x:v>2025</x:v>
      </x:c>
      <x:c r="E5221" s="2" t="str">
        <x:v>WB_dependency_ratio</x:v>
      </x:c>
      <x:c r="F5221" s="2" t="str">
        <x:v>Age dependency ratio (% of working-age population)</x:v>
      </x:c>
    </x:row>
    <x:row r="5222" ht="44" customHeight="1">
      <x:c r="A5222" s="2" t="str">
        <x:v>SRB</x:v>
      </x:c>
      <x:c r="B5222" s="2" t="str">
        <x:v>net_migration</x:v>
      </x:c>
      <x:c r="C5222" s="2" t="n">
        <x:v>-13086</x:v>
      </x:c>
      <x:c r="D5222" s="2" t="n">
        <x:v>2025</x:v>
      </x:c>
      <x:c r="E5222" s="2" t="str">
        <x:v>WB_net_migration</x:v>
      </x:c>
      <x:c r="F5222" s="2" t="str">
        <x:v>Net migration</x:v>
      </x:c>
    </x:row>
    <x:row r="5223" ht="44" customHeight="1">
      <x:c r="A5223" s="2" t="str">
        <x:v>SRB</x:v>
      </x:c>
      <x:c r="B5223" s="2" t="str">
        <x:v>real_gdp</x:v>
      </x:c>
      <x:c r="C5223" s="2" t="n">
        <x:v>57661132821.882</x:v>
      </x:c>
      <x:c r="D5223" s="2" t="n">
        <x:v>2025</x:v>
      </x:c>
      <x:c r="E5223" s="2" t="str">
        <x:v>WB_real_gdp</x:v>
      </x:c>
      <x:c r="F5223" s="2" t="str">
        <x:v>GDP (constant 2015 US$)</x:v>
      </x:c>
    </x:row>
    <x:row r="5224" ht="44" customHeight="1">
      <x:c r="A5224" s="2" t="str">
        <x:v>SRB</x:v>
      </x:c>
      <x:c r="B5224" s="2" t="str">
        <x:v>gdp_growth</x:v>
      </x:c>
      <x:c r="C5224" s="2" t="n">
        <x:v>2.03039196235113</x:v>
      </x:c>
      <x:c r="D5224" s="2" t="n">
        <x:v>2025</x:v>
      </x:c>
      <x:c r="E5224" s="2" t="str">
        <x:v>WB_gdp_growth</x:v>
      </x:c>
      <x:c r="F5224" s="2" t="str">
        <x:v>GDP growth (annual %)</x:v>
      </x:c>
    </x:row>
    <x:row r="5225" ht="44" customHeight="1">
      <x:c r="A5225" s="2" t="str">
        <x:v>SRB</x:v>
      </x:c>
      <x:c r="B5225" s="2" t="str">
        <x:v>real_income</x:v>
      </x:c>
      <x:c r="C5225" s="2" t="n">
        <x:v>8804.37834719475</x:v>
      </x:c>
      <x:c r="D5225" s="2" t="n">
        <x:v>2025</x:v>
      </x:c>
      <x:c r="E5225" s="2" t="str">
        <x:v>WB_real_income</x:v>
      </x:c>
      <x:c r="F5225" s="2" t="str">
        <x:v>GDP per capita (constant 2015 US$)</x:v>
      </x:c>
    </x:row>
    <x:row r="5226" ht="44" customHeight="1">
      <x:c r="A5226" s="2" t="str">
        <x:v>SRB</x:v>
      </x:c>
      <x:c r="B5226" s="2" t="str">
        <x:v>agriculture_gdp</x:v>
      </x:c>
      <x:c r="C5226" s="2" t="n">
        <x:v>3.28500130429995</x:v>
      </x:c>
      <x:c r="D5226" s="2" t="n">
        <x:v>2025</x:v>
      </x:c>
      <x:c r="E5226" s="2" t="str">
        <x:v>WB_agriculture_gdp</x:v>
      </x:c>
      <x:c r="F5226" s="2" t="str">
        <x:v>Agriculture, forestry, and fishing, value added (% of GDP)</x:v>
      </x:c>
    </x:row>
    <x:row r="5227" ht="44" customHeight="1">
      <x:c r="A5227" s="2" t="str">
        <x:v>SRB</x:v>
      </x:c>
      <x:c r="B5227" s="2" t="str">
        <x:v>poverty</x:v>
      </x:c>
      <x:c r="C5227" s="2" t="n">
        <x:v>1.1</x:v>
      </x:c>
      <x:c r="D5227" s="2" t="n">
        <x:v>2023</x:v>
      </x:c>
      <x:c r="E5227" s="2" t="str">
        <x:v>WB_poverty</x:v>
      </x:c>
      <x:c r="F5227" s="2" t="str">
        <x:v>Poverty headcount ratio at $3.00 a day (2021 PPP) (% of population)</x:v>
      </x:c>
    </x:row>
    <x:row r="5228" ht="44" customHeight="1">
      <x:c r="A5228" s="2" t="str">
        <x:v>SRB</x:v>
      </x:c>
      <x:c r="B5228" s="2" t="str">
        <x:v>gini</x:v>
      </x:c>
      <x:c r="C5228" s="2" t="n">
        <x:v>32.8</x:v>
      </x:c>
      <x:c r="D5228" s="2" t="n">
        <x:v>2023</x:v>
      </x:c>
      <x:c r="E5228" s="2" t="str">
        <x:v>WB_gini</x:v>
      </x:c>
      <x:c r="F5228" s="2" t="str">
        <x:v>Gini index</x:v>
      </x:c>
    </x:row>
    <x:row r="5229" ht="44" customHeight="1">
      <x:c r="A5229" s="2" t="str">
        <x:v>SRB</x:v>
      </x:c>
      <x:c r="B5229" s="2" t="str">
        <x:v>unemployment</x:v>
      </x:c>
      <x:c r="C5229" s="2" t="n">
        <x:v>7.123</x:v>
      </x:c>
      <x:c r="D5229" s="2" t="n">
        <x:v>2025</x:v>
      </x:c>
      <x:c r="E5229" s="2" t="str">
        <x:v>WB_unemployment</x:v>
      </x:c>
      <x:c r="F5229" s="2" t="str">
        <x:v>Unemployment, total (% of total labor force) (modeled ILO estimate)</x:v>
      </x:c>
    </x:row>
    <x:row r="5230" ht="44" customHeight="1">
      <x:c r="A5230" s="2" t="str">
        <x:v>SRB</x:v>
      </x:c>
      <x:c r="B5230" s="2" t="str">
        <x:v>private_credit</x:v>
      </x:c>
      <x:c r="C5230" s="2" t="n">
        <x:v>35.3619044689385</x:v>
      </x:c>
      <x:c r="D5230" s="2" t="n">
        <x:v>2025</x:v>
      </x:c>
      <x:c r="E5230" s="2" t="str">
        <x:v>WB_private_credit</x:v>
      </x:c>
      <x:c r="F5230" s="2" t="str">
        <x:v>Domestic credit to private sector (% of GDP)</x:v>
      </x:c>
    </x:row>
    <x:row r="5231" ht="44" customHeight="1">
      <x:c r="A5231" s="2" t="str">
        <x:v>SRB</x:v>
      </x:c>
      <x:c r="B5231" s="2" t="str">
        <x:v>lending_rate</x:v>
      </x:c>
      <x:c r="C5231" s="2" t="n">
        <x:v>4.75888888888889</x:v>
      </x:c>
      <x:c r="D5231" s="2" t="n">
        <x:v>2010</x:v>
      </x:c>
      <x:c r="E5231" s="2" t="str">
        <x:v>WB_lending_rate</x:v>
      </x:c>
      <x:c r="F5231" s="2" t="str">
        <x:v>Lending interest rate (%)</x:v>
      </x:c>
    </x:row>
    <x:row r="5232" ht="44" customHeight="1">
      <x:c r="A5232" s="2" t="str">
        <x:v>SRB</x:v>
      </x:c>
      <x:c r="B5232" s="2" t="str">
        <x:v>real_interest</x:v>
      </x:c>
      <x:c r="C5232" s="2" t="n">
        <x:v>-0.182390992803134</x:v>
      </x:c>
      <x:c r="D5232" s="2" t="n">
        <x:v>2010</x:v>
      </x:c>
      <x:c r="E5232" s="2" t="str">
        <x:v>WB_real_interest</x:v>
      </x:c>
      <x:c r="F5232" s="2" t="str">
        <x:v>Real interest rate (%)</x:v>
      </x:c>
    </x:row>
    <x:row r="5233" ht="44" customHeight="1">
      <x:c r="A5233" s="2" t="str">
        <x:v>SRB</x:v>
      </x:c>
      <x:c r="B5233" s="2" t="str">
        <x:v>government_debt</x:v>
      </x:c>
      <x:c r="C5233" s="2"/>
      <x:c r="D5233" s="2"/>
      <x:c r="E5233" s="2" t="str">
        <x:v>Missing</x:v>
      </x:c>
      <x:c r="F5233" s="2" t="str">
        <x:v>Central government debt, total (% of GDP)</x:v>
      </x:c>
    </x:row>
    <x:row r="5234" ht="44" customHeight="1">
      <x:c r="A5234" s="2" t="str">
        <x:v>SRB</x:v>
      </x:c>
      <x:c r="B5234" s="2" t="str">
        <x:v>electricity_access</x:v>
      </x:c>
      <x:c r="C5234" s="2" t="n">
        <x:v>100</x:v>
      </x:c>
      <x:c r="D5234" s="2" t="n">
        <x:v>2024</x:v>
      </x:c>
      <x:c r="E5234" s="2" t="str">
        <x:v>WB_electricity_access</x:v>
      </x:c>
      <x:c r="F5234" s="2" t="str">
        <x:v>Access to electricity (% of population)</x:v>
      </x:c>
    </x:row>
    <x:row r="5235" ht="44" customHeight="1">
      <x:c r="A5235" s="2" t="str">
        <x:v>SRB</x:v>
      </x:c>
      <x:c r="B5235" s="2" t="str">
        <x:v>irrigated_land</x:v>
      </x:c>
      <x:c r="C5235" s="2" t="n">
        <x:v>1.41342756183746</x:v>
      </x:c>
      <x:c r="D5235" s="2" t="n">
        <x:v>2023</x:v>
      </x:c>
      <x:c r="E5235" s="2" t="str">
        <x:v>WB_irrigated_land</x:v>
      </x:c>
      <x:c r="F5235" s="2" t="str">
        <x:v>Agricultural irrigated land (% of total agricultural land)</x:v>
      </x:c>
    </x:row>
    <x:row r="5236" ht="44" customHeight="1">
      <x:c r="A5236" s="2" t="str">
        <x:v>SRB</x:v>
      </x:c>
      <x:c r="B5236" s="2" t="str">
        <x:v>cereal_area</x:v>
      </x:c>
      <x:c r="C5236" s="2" t="n">
        <x:v>1774288</x:v>
      </x:c>
      <x:c r="D5236" s="2" t="n">
        <x:v>2023</x:v>
      </x:c>
      <x:c r="E5236" s="2" t="str">
        <x:v>WB_cereal_area</x:v>
      </x:c>
      <x:c r="F5236" s="2" t="str">
        <x:v>Land under cereal production (hectares)</x:v>
      </x:c>
    </x:row>
    <x:row r="5237" ht="44" customHeight="1">
      <x:c r="A5237" s="2" t="str">
        <x:v>SRB</x:v>
      </x:c>
      <x:c r="B5237" s="2" t="str">
        <x:v>undernourishment</x:v>
      </x:c>
      <x:c r="C5237" s="2" t="n">
        <x:v>2.5</x:v>
      </x:c>
      <x:c r="D5237" s="2" t="n">
        <x:v>2023</x:v>
      </x:c>
      <x:c r="E5237" s="2" t="str">
        <x:v>WB_undernourishment</x:v>
      </x:c>
      <x:c r="F5237" s="2" t="str">
        <x:v>Prevalence of undernourishment (% of population)</x:v>
      </x:c>
    </x:row>
    <x:row r="5238" ht="44" customHeight="1">
      <x:c r="A5238" s="2" t="str">
        <x:v>SRB</x:v>
      </x:c>
      <x:c r="B5238" s="2" t="str">
        <x:v>agriculture_employment</x:v>
      </x:c>
      <x:c r="C5238" s="2" t="n">
        <x:v>18.0274369688682</x:v>
      </x:c>
      <x:c r="D5238" s="2" t="n">
        <x:v>2025</x:v>
      </x:c>
      <x:c r="E5238" s="2" t="str">
        <x:v>WB_agriculture_employment</x:v>
      </x:c>
      <x:c r="F5238" s="2" t="str">
        <x:v>Employment in agriculture (% of total employment) (modeled ILO estimate)</x:v>
      </x:c>
    </x:row>
    <x:row r="5239" ht="44" customHeight="1">
      <x:c r="A5239" s="2" t="str">
        <x:v>SRB</x:v>
      </x:c>
      <x:c r="B5239" s="2" t="str">
        <x:v>water_withdrawal</x:v>
      </x:c>
      <x:c r="C5239" s="2" t="n">
        <x:v>60.5566789580112</x:v>
      </x:c>
      <x:c r="D5239" s="2" t="n">
        <x:v>2022</x:v>
      </x:c>
      <x:c r="E5239" s="2" t="str">
        <x:v>WB_water_withdrawal</x:v>
      </x:c>
      <x:c r="F5239" s="2" t="str">
        <x:v>Annual freshwater withdrawals, total (% of internal resources)</x:v>
      </x:c>
    </x:row>
    <x:row r="5240" ht="44" customHeight="1">
      <x:c r="A5240" s="2" t="str">
        <x:v>SYC</x:v>
      </x:c>
      <x:c r="B5240" s="2" t="str">
        <x:v>population</x:v>
      </x:c>
      <x:c r="C5240" s="2" t="n">
        <x:v>122730</x:v>
      </x:c>
      <x:c r="D5240" s="2" t="n">
        <x:v>2025</x:v>
      </x:c>
      <x:c r="E5240" s="2" t="str">
        <x:v>WB_population</x:v>
      </x:c>
      <x:c r="F5240" s="2" t="str">
        <x:v>Population, total</x:v>
      </x:c>
    </x:row>
    <x:row r="5241" ht="44" customHeight="1">
      <x:c r="A5241" s="2" t="str">
        <x:v>SYC</x:v>
      </x:c>
      <x:c r="B5241" s="2" t="str">
        <x:v>income_ppp</x:v>
      </x:c>
      <x:c r="C5241" s="2" t="n">
        <x:v>30638.7217194523</x:v>
      </x:c>
      <x:c r="D5241" s="2" t="n">
        <x:v>2025</x:v>
      </x:c>
      <x:c r="E5241" s="2" t="str">
        <x:v>WB_income_ppp</x:v>
      </x:c>
      <x:c r="F5241" s="2" t="str">
        <x:v>GDP per capita, PPP (constant 2021 international $)</x:v>
      </x:c>
    </x:row>
    <x:row r="5242" ht="44" customHeight="1">
      <x:c r="A5242" s="2" t="str">
        <x:v>SYC</x:v>
      </x:c>
      <x:c r="B5242" s="2" t="str">
        <x:v>urban</x:v>
      </x:c>
      <x:c r="C5242" s="2" t="n">
        <x:v>45.4828390704609</x:v>
      </x:c>
      <x:c r="D5242" s="2" t="n">
        <x:v>2025</x:v>
      </x:c>
      <x:c r="E5242" s="2" t="str">
        <x:v>WB_urban</x:v>
      </x:c>
      <x:c r="F5242" s="2" t="str">
        <x:v>Urban population (% of total population)</x:v>
      </x:c>
    </x:row>
    <x:row r="5243" ht="44" customHeight="1">
      <x:c r="A5243" s="2" t="str">
        <x:v>SYC</x:v>
      </x:c>
      <x:c r="B5243" s="2" t="str">
        <x:v>inflation</x:v>
      </x:c>
      <x:c r="C5243" s="2" t="n">
        <x:v>0.297589655467556</x:v>
      </x:c>
      <x:c r="D5243" s="2" t="n">
        <x:v>2025</x:v>
      </x:c>
      <x:c r="E5243" s="2" t="str">
        <x:v>WB_inflation</x:v>
      </x:c>
      <x:c r="F5243" s="2" t="str">
        <x:v>Inflation, consumer prices (annual %)</x:v>
      </x:c>
    </x:row>
    <x:row r="5244" ht="44" customHeight="1">
      <x:c r="A5244" s="2" t="str">
        <x:v>SYC</x:v>
      </x:c>
      <x:c r="B5244" s="2" t="str">
        <x:v>food_index</x:v>
      </x:c>
      <x:c r="C5244" s="2" t="n">
        <x:v>149.83</x:v>
      </x:c>
      <x:c r="D5244" s="2" t="n">
        <x:v>2022</x:v>
      </x:c>
      <x:c r="E5244" s="2" t="str">
        <x:v>WB_food_index</x:v>
      </x:c>
      <x:c r="F5244" s="2" t="str">
        <x:v>Food production index (2014-2016 = 100)</x:v>
      </x:c>
    </x:row>
    <x:row r="5245" ht="44" customHeight="1">
      <x:c r="A5245" s="2" t="str">
        <x:v>SYC</x:v>
      </x:c>
      <x:c r="B5245" s="2" t="str">
        <x:v>food_import_share</x:v>
      </x:c>
      <x:c r="C5245" s="2" t="n">
        <x:v>26.1077593682817</x:v>
      </x:c>
      <x:c r="D5245" s="2" t="n">
        <x:v>2024</x:v>
      </x:c>
      <x:c r="E5245" s="2" t="str">
        <x:v>WB_food_import_share</x:v>
      </x:c>
      <x:c r="F5245" s="2" t="str">
        <x:v>Food imports (% of merchandise imports)</x:v>
      </x:c>
    </x:row>
    <x:row r="5246" ht="44" customHeight="1">
      <x:c r="A5246" s="2" t="str">
        <x:v>SYC</x:v>
      </x:c>
      <x:c r="B5246" s="2" t="str">
        <x:v>food_export_share</x:v>
      </x:c>
      <x:c r="C5246" s="2" t="n">
        <x:v>85.8752553608626</x:v>
      </x:c>
      <x:c r="D5246" s="2" t="n">
        <x:v>2024</x:v>
      </x:c>
      <x:c r="E5246" s="2" t="str">
        <x:v>WB_food_export_share</x:v>
      </x:c>
      <x:c r="F5246" s="2" t="str">
        <x:v>Food exports (% of merchandise exports)</x:v>
      </x:c>
    </x:row>
    <x:row r="5247" ht="44" customHeight="1">
      <x:c r="A5247" s="2" t="str">
        <x:v>SYC</x:v>
      </x:c>
      <x:c r="B5247" s="2" t="str">
        <x:v>imports_usd</x:v>
      </x:c>
      <x:c r="C5247" s="2" t="n">
        <x:v>1520000000</x:v>
      </x:c>
      <x:c r="D5247" s="2" t="n">
        <x:v>2025</x:v>
      </x:c>
      <x:c r="E5247" s="2" t="str">
        <x:v>WB_imports_usd</x:v>
      </x:c>
      <x:c r="F5247" s="2" t="str">
        <x:v>Merchandise imports (current US$)</x:v>
      </x:c>
    </x:row>
    <x:row r="5248" ht="44" customHeight="1">
      <x:c r="A5248" s="2" t="str">
        <x:v>SYC</x:v>
      </x:c>
      <x:c r="B5248" s="2" t="str">
        <x:v>exports_usd</x:v>
      </x:c>
      <x:c r="C5248" s="2" t="n">
        <x:v>550000000</x:v>
      </x:c>
      <x:c r="D5248" s="2" t="n">
        <x:v>2025</x:v>
      </x:c>
      <x:c r="E5248" s="2" t="str">
        <x:v>WB_exports_usd</x:v>
      </x:c>
      <x:c r="F5248" s="2" t="str">
        <x:v>Merchandise exports (current US$)</x:v>
      </x:c>
    </x:row>
    <x:row r="5249" ht="44" customHeight="1">
      <x:c r="A5249" s="2" t="str">
        <x:v>SYC</x:v>
      </x:c>
      <x:c r="B5249" s="2" t="str">
        <x:v>cereal_yield</x:v>
      </x:c>
      <x:c r="C5249" s="2"/>
      <x:c r="D5249" s="2"/>
      <x:c r="E5249" s="2" t="str">
        <x:v>Missing</x:v>
      </x:c>
      <x:c r="F5249" s="2" t="str">
        <x:v>Cereal yield (kg per hectare)</x:v>
      </x:c>
    </x:row>
    <x:row r="5250" ht="44" customHeight="1">
      <x:c r="A5250" s="2" t="str">
        <x:v>SYC</x:v>
      </x:c>
      <x:c r="B5250" s="2" t="str">
        <x:v>water_stress</x:v>
      </x:c>
      <x:c r="C5250" s="2"/>
      <x:c r="D5250" s="2"/>
      <x:c r="E5250" s="2" t="str">
        <x:v>Missing</x:v>
      </x:c>
      <x:c r="F5250" s="2" t="str">
        <x:v>Level of water stress: freshwater withdrawal as a proportion of available freshwater resources</x:v>
      </x:c>
    </x:row>
    <x:row r="5251" ht="44" customHeight="1">
      <x:c r="A5251" s="2" t="str">
        <x:v>SYC</x:v>
      </x:c>
      <x:c r="B5251" s="2" t="str">
        <x:v>fertility</x:v>
      </x:c>
      <x:c r="C5251" s="2" t="n">
        <x:v>1.85</x:v>
      </x:c>
      <x:c r="D5251" s="2" t="n">
        <x:v>2024</x:v>
      </x:c>
      <x:c r="E5251" s="2" t="str">
        <x:v>WB_fertility</x:v>
      </x:c>
      <x:c r="F5251" s="2" t="str">
        <x:v>Fertility rate, total (births per woman)</x:v>
      </x:c>
    </x:row>
    <x:row r="5252" ht="44" customHeight="1">
      <x:c r="A5252" s="2" t="str">
        <x:v>SYC</x:v>
      </x:c>
      <x:c r="B5252" s="2" t="str">
        <x:v>life_expectancy</x:v>
      </x:c>
      <x:c r="C5252" s="2" t="n">
        <x:v>76.2951219512195</x:v>
      </x:c>
      <x:c r="D5252" s="2" t="n">
        <x:v>2024</x:v>
      </x:c>
      <x:c r="E5252" s="2" t="str">
        <x:v>WB_life_expectancy</x:v>
      </x:c>
      <x:c r="F5252" s="2" t="str">
        <x:v>Life expectancy at birth, total (years)</x:v>
      </x:c>
    </x:row>
    <x:row r="5253" ht="44" customHeight="1">
      <x:c r="A5253" s="2" t="str">
        <x:v>SYC</x:v>
      </x:c>
      <x:c r="B5253" s="2" t="str">
        <x:v>age_under15</x:v>
      </x:c>
      <x:c r="C5253" s="2" t="n">
        <x:v>19.7660012727964</x:v>
      </x:c>
      <x:c r="D5253" s="2" t="n">
        <x:v>2025</x:v>
      </x:c>
      <x:c r="E5253" s="2" t="str">
        <x:v>WB_age_under15</x:v>
      </x:c>
      <x:c r="F5253" s="2" t="str">
        <x:v>Population ages 0-14 (% of total population)</x:v>
      </x:c>
    </x:row>
    <x:row r="5254" ht="44" customHeight="1">
      <x:c r="A5254" s="2" t="str">
        <x:v>SYC</x:v>
      </x:c>
      <x:c r="B5254" s="2" t="str">
        <x:v>age_over65</x:v>
      </x:c>
      <x:c r="C5254" s="2" t="n">
        <x:v>8.74539176146741</x:v>
      </x:c>
      <x:c r="D5254" s="2" t="n">
        <x:v>2025</x:v>
      </x:c>
      <x:c r="E5254" s="2" t="str">
        <x:v>WB_age_over65</x:v>
      </x:c>
      <x:c r="F5254" s="2" t="str">
        <x:v>Population ages 65 and above (% of total population)</x:v>
      </x:c>
    </x:row>
    <x:row r="5255" ht="44" customHeight="1">
      <x:c r="A5255" s="2" t="str">
        <x:v>SYC</x:v>
      </x:c>
      <x:c r="B5255" s="2" t="str">
        <x:v>dependency_ratio</x:v>
      </x:c>
      <x:c r="C5255" s="2" t="n">
        <x:v>39.8823770772071</x:v>
      </x:c>
      <x:c r="D5255" s="2" t="n">
        <x:v>2025</x:v>
      </x:c>
      <x:c r="E5255" s="2" t="str">
        <x:v>WB_dependency_ratio</x:v>
      </x:c>
      <x:c r="F5255" s="2" t="str">
        <x:v>Age dependency ratio (% of working-age population)</x:v>
      </x:c>
    </x:row>
    <x:row r="5256" ht="44" customHeight="1">
      <x:c r="A5256" s="2" t="str">
        <x:v>SYC</x:v>
      </x:c>
      <x:c r="B5256" s="2" t="str">
        <x:v>net_migration</x:v>
      </x:c>
      <x:c r="C5256" s="2" t="n">
        <x:v>1590</x:v>
      </x:c>
      <x:c r="D5256" s="2" t="n">
        <x:v>2025</x:v>
      </x:c>
      <x:c r="E5256" s="2" t="str">
        <x:v>WB_net_migration</x:v>
      </x:c>
      <x:c r="F5256" s="2" t="str">
        <x:v>Net migration</x:v>
      </x:c>
    </x:row>
    <x:row r="5257" ht="44" customHeight="1">
      <x:c r="A5257" s="2" t="str">
        <x:v>SYC</x:v>
      </x:c>
      <x:c r="B5257" s="2" t="str">
        <x:v>real_gdp</x:v>
      </x:c>
      <x:c r="C5257" s="2" t="n">
        <x:v>2132897396.95785</x:v>
      </x:c>
      <x:c r="D5257" s="2" t="n">
        <x:v>2025</x:v>
      </x:c>
      <x:c r="E5257" s="2" t="str">
        <x:v>WB_real_gdp</x:v>
      </x:c>
      <x:c r="F5257" s="2" t="str">
        <x:v>GDP (constant 2015 US$)</x:v>
      </x:c>
    </x:row>
    <x:row r="5258" ht="44" customHeight="1">
      <x:c r="A5258" s="2" t="str">
        <x:v>SYC</x:v>
      </x:c>
      <x:c r="B5258" s="2" t="str">
        <x:v>gdp_growth</x:v>
      </x:c>
      <x:c r="C5258" s="2" t="n">
        <x:v>5.79795669973812</x:v>
      </x:c>
      <x:c r="D5258" s="2" t="n">
        <x:v>2025</x:v>
      </x:c>
      <x:c r="E5258" s="2" t="str">
        <x:v>WB_gdp_growth</x:v>
      </x:c>
      <x:c r="F5258" s="2" t="str">
        <x:v>GDP growth (annual %)</x:v>
      </x:c>
    </x:row>
    <x:row r="5259" ht="44" customHeight="1">
      <x:c r="A5259" s="2" t="str">
        <x:v>SYC</x:v>
      </x:c>
      <x:c r="B5259" s="2" t="str">
        <x:v>real_income</x:v>
      </x:c>
      <x:c r="C5259" s="2" t="n">
        <x:v>17378.7777801503</x:v>
      </x:c>
      <x:c r="D5259" s="2" t="n">
        <x:v>2025</x:v>
      </x:c>
      <x:c r="E5259" s="2" t="str">
        <x:v>WB_real_income</x:v>
      </x:c>
      <x:c r="F5259" s="2" t="str">
        <x:v>GDP per capita (constant 2015 US$)</x:v>
      </x:c>
    </x:row>
    <x:row r="5260" ht="44" customHeight="1">
      <x:c r="A5260" s="2" t="str">
        <x:v>SYC</x:v>
      </x:c>
      <x:c r="B5260" s="2" t="str">
        <x:v>agriculture_gdp</x:v>
      </x:c>
      <x:c r="C5260" s="2" t="n">
        <x:v>2.60597439544808</x:v>
      </x:c>
      <x:c r="D5260" s="2" t="n">
        <x:v>2025</x:v>
      </x:c>
      <x:c r="E5260" s="2" t="str">
        <x:v>WB_agriculture_gdp</x:v>
      </x:c>
      <x:c r="F5260" s="2" t="str">
        <x:v>Agriculture, forestry, and fishing, value added (% of GDP)</x:v>
      </x:c>
    </x:row>
    <x:row r="5261" ht="44" customHeight="1">
      <x:c r="A5261" s="2" t="str">
        <x:v>SYC</x:v>
      </x:c>
      <x:c r="B5261" s="2" t="str">
        <x:v>poverty</x:v>
      </x:c>
      <x:c r="C5261" s="2" t="n">
        <x:v>0.7</x:v>
      </x:c>
      <x:c r="D5261" s="2" t="n">
        <x:v>2018</x:v>
      </x:c>
      <x:c r="E5261" s="2" t="str">
        <x:v>WB_poverty</x:v>
      </x:c>
      <x:c r="F5261" s="2" t="str">
        <x:v>Poverty headcount ratio at $3.00 a day (2021 PPP) (% of population)</x:v>
      </x:c>
    </x:row>
    <x:row r="5262" ht="44" customHeight="1">
      <x:c r="A5262" s="2" t="str">
        <x:v>SYC</x:v>
      </x:c>
      <x:c r="B5262" s="2" t="str">
        <x:v>gini</x:v>
      </x:c>
      <x:c r="C5262" s="2" t="n">
        <x:v>32.1</x:v>
      </x:c>
      <x:c r="D5262" s="2" t="n">
        <x:v>2018</x:v>
      </x:c>
      <x:c r="E5262" s="2" t="str">
        <x:v>WB_gini</x:v>
      </x:c>
      <x:c r="F5262" s="2" t="str">
        <x:v>Gini index</x:v>
      </x:c>
    </x:row>
    <x:row r="5263" ht="44" customHeight="1">
      <x:c r="A5263" s="2" t="str">
        <x:v>SYC</x:v>
      </x:c>
      <x:c r="B5263" s="2" t="str">
        <x:v>unemployment</x:v>
      </x:c>
      <x:c r="C5263" s="2"/>
      <x:c r="D5263" s="2"/>
      <x:c r="E5263" s="2" t="str">
        <x:v>Missing</x:v>
      </x:c>
      <x:c r="F5263" s="2" t="str">
        <x:v>Unemployment, total (% of total labor force) (modeled ILO estimate)</x:v>
      </x:c>
    </x:row>
    <x:row r="5264" ht="44" customHeight="1">
      <x:c r="A5264" s="2" t="str">
        <x:v>SYC</x:v>
      </x:c>
      <x:c r="B5264" s="2" t="str">
        <x:v>private_credit</x:v>
      </x:c>
      <x:c r="C5264" s="2" t="n">
        <x:v>24.5166106524244</x:v>
      </x:c>
      <x:c r="D5264" s="2" t="n">
        <x:v>2016</x:v>
      </x:c>
      <x:c r="E5264" s="2" t="str">
        <x:v>WB_private_credit</x:v>
      </x:c>
      <x:c r="F5264" s="2" t="str">
        <x:v>Domestic credit to private sector (% of GDP)</x:v>
      </x:c>
    </x:row>
    <x:row r="5265" ht="44" customHeight="1">
      <x:c r="A5265" s="2" t="str">
        <x:v>SYC</x:v>
      </x:c>
      <x:c r="B5265" s="2" t="str">
        <x:v>lending_rate</x:v>
      </x:c>
      <x:c r="C5265" s="2" t="n">
        <x:v>9.85217092419298</x:v>
      </x:c>
      <x:c r="D5265" s="2" t="n">
        <x:v>2025</x:v>
      </x:c>
      <x:c r="E5265" s="2" t="str">
        <x:v>WB_lending_rate</x:v>
      </x:c>
      <x:c r="F5265" s="2" t="str">
        <x:v>Lending interest rate (%)</x:v>
      </x:c>
    </x:row>
    <x:row r="5266" ht="44" customHeight="1">
      <x:c r="A5266" s="2" t="str">
        <x:v>SYC</x:v>
      </x:c>
      <x:c r="B5266" s="2" t="str">
        <x:v>real_interest</x:v>
      </x:c>
      <x:c r="C5266" s="2" t="n">
        <x:v>7.06582095300446</x:v>
      </x:c>
      <x:c r="D5266" s="2" t="n">
        <x:v>2025</x:v>
      </x:c>
      <x:c r="E5266" s="2" t="str">
        <x:v>WB_real_interest</x:v>
      </x:c>
      <x:c r="F5266" s="2" t="str">
        <x:v>Real interest rate (%)</x:v>
      </x:c>
    </x:row>
    <x:row r="5267" ht="44" customHeight="1">
      <x:c r="A5267" s="2" t="str">
        <x:v>SYC</x:v>
      </x:c>
      <x:c r="B5267" s="2" t="str">
        <x:v>government_debt</x:v>
      </x:c>
      <x:c r="C5267" s="2" t="n">
        <x:v>174.684386535722</x:v>
      </x:c>
      <x:c r="D5267" s="2" t="n">
        <x:v>2008</x:v>
      </x:c>
      <x:c r="E5267" s="2" t="str">
        <x:v>WB_government_debt</x:v>
      </x:c>
      <x:c r="F5267" s="2" t="str">
        <x:v>Central government debt, total (% of GDP)</x:v>
      </x:c>
    </x:row>
    <x:row r="5268" ht="44" customHeight="1">
      <x:c r="A5268" s="2" t="str">
        <x:v>SYC</x:v>
      </x:c>
      <x:c r="B5268" s="2" t="str">
        <x:v>electricity_access</x:v>
      </x:c>
      <x:c r="C5268" s="2" t="n">
        <x:v>100</x:v>
      </x:c>
      <x:c r="D5268" s="2" t="n">
        <x:v>2024</x:v>
      </x:c>
      <x:c r="E5268" s="2" t="str">
        <x:v>WB_electricity_access</x:v>
      </x:c>
      <x:c r="F5268" s="2" t="str">
        <x:v>Access to electricity (% of population)</x:v>
      </x:c>
    </x:row>
    <x:row r="5269" ht="44" customHeight="1">
      <x:c r="A5269" s="2" t="str">
        <x:v>SYC</x:v>
      </x:c>
      <x:c r="B5269" s="2" t="str">
        <x:v>irrigated_land</x:v>
      </x:c>
      <x:c r="C5269" s="2" t="n">
        <x:v>5</x:v>
      </x:c>
      <x:c r="D5269" s="2" t="n">
        <x:v>2003</x:v>
      </x:c>
      <x:c r="E5269" s="2" t="str">
        <x:v>WB_irrigated_land</x:v>
      </x:c>
      <x:c r="F5269" s="2" t="str">
        <x:v>Agricultural irrigated land (% of total agricultural land)</x:v>
      </x:c>
    </x:row>
    <x:row r="5270" ht="44" customHeight="1">
      <x:c r="A5270" s="2" t="str">
        <x:v>SYC</x:v>
      </x:c>
      <x:c r="B5270" s="2" t="str">
        <x:v>cereal_area</x:v>
      </x:c>
      <x:c r="C5270" s="2"/>
      <x:c r="D5270" s="2"/>
      <x:c r="E5270" s="2" t="str">
        <x:v>Missing</x:v>
      </x:c>
      <x:c r="F5270" s="2" t="str">
        <x:v>Land under cereal production (hectares)</x:v>
      </x:c>
    </x:row>
    <x:row r="5271" ht="44" customHeight="1">
      <x:c r="A5271" s="2" t="str">
        <x:v>SYC</x:v>
      </x:c>
      <x:c r="B5271" s="2" t="str">
        <x:v>undernourishment</x:v>
      </x:c>
      <x:c r="C5271" s="2" t="n">
        <x:v>2.5</x:v>
      </x:c>
      <x:c r="D5271" s="2" t="n">
        <x:v>2023</x:v>
      </x:c>
      <x:c r="E5271" s="2" t="str">
        <x:v>WB_undernourishment</x:v>
      </x:c>
      <x:c r="F5271" s="2" t="str">
        <x:v>Prevalence of undernourishment (% of population)</x:v>
      </x:c>
    </x:row>
    <x:row r="5272" ht="44" customHeight="1">
      <x:c r="A5272" s="2" t="str">
        <x:v>SYC</x:v>
      </x:c>
      <x:c r="B5272" s="2" t="str">
        <x:v>agriculture_employment</x:v>
      </x:c>
      <x:c r="C5272" s="2"/>
      <x:c r="D5272" s="2"/>
      <x:c r="E5272" s="2" t="str">
        <x:v>Missing</x:v>
      </x:c>
      <x:c r="F5272" s="2" t="str">
        <x:v>Employment in agriculture (% of total employment) (modeled ILO estimate)</x:v>
      </x:c>
    </x:row>
    <x:row r="5273" ht="44" customHeight="1">
      <x:c r="A5273" s="2" t="str">
        <x:v>SYC</x:v>
      </x:c>
      <x:c r="B5273" s="2" t="str">
        <x:v>water_withdrawal</x:v>
      </x:c>
      <x:c r="C5273" s="2"/>
      <x:c r="D5273" s="2"/>
      <x:c r="E5273" s="2" t="str">
        <x:v>Missing</x:v>
      </x:c>
      <x:c r="F5273" s="2" t="str">
        <x:v>Annual freshwater withdrawals, total (% of internal resources)</x:v>
      </x:c>
    </x:row>
    <x:row r="5274" ht="44" customHeight="1">
      <x:c r="A5274" s="2" t="str">
        <x:v>SLE</x:v>
      </x:c>
      <x:c r="B5274" s="2" t="str">
        <x:v>population</x:v>
      </x:c>
      <x:c r="C5274" s="2" t="n">
        <x:v>8819794</x:v>
      </x:c>
      <x:c r="D5274" s="2" t="n">
        <x:v>2025</x:v>
      </x:c>
      <x:c r="E5274" s="2" t="str">
        <x:v>WB_population</x:v>
      </x:c>
      <x:c r="F5274" s="2" t="str">
        <x:v>Population, total</x:v>
      </x:c>
    </x:row>
    <x:row r="5275" ht="44" customHeight="1">
      <x:c r="A5275" s="2" t="str">
        <x:v>SLE</x:v>
      </x:c>
      <x:c r="B5275" s="2" t="str">
        <x:v>income_ppp</x:v>
      </x:c>
      <x:c r="C5275" s="2" t="n">
        <x:v>3176.23681292996</x:v>
      </x:c>
      <x:c r="D5275" s="2" t="n">
        <x:v>2025</x:v>
      </x:c>
      <x:c r="E5275" s="2" t="str">
        <x:v>WB_income_ppp</x:v>
      </x:c>
      <x:c r="F5275" s="2" t="str">
        <x:v>GDP per capita, PPP (constant 2021 international $)</x:v>
      </x:c>
    </x:row>
    <x:row r="5276" ht="44" customHeight="1">
      <x:c r="A5276" s="2" t="str">
        <x:v>SLE</x:v>
      </x:c>
      <x:c r="B5276" s="2" t="str">
        <x:v>urban</x:v>
      </x:c>
      <x:c r="C5276" s="2" t="n">
        <x:v>45.9267781356681</x:v>
      </x:c>
      <x:c r="D5276" s="2" t="n">
        <x:v>2025</x:v>
      </x:c>
      <x:c r="E5276" s="2" t="str">
        <x:v>WB_urban</x:v>
      </x:c>
      <x:c r="F5276" s="2" t="str">
        <x:v>Urban population (% of total population)</x:v>
      </x:c>
    </x:row>
    <x:row r="5277" ht="44" customHeight="1">
      <x:c r="A5277" s="2" t="str">
        <x:v>SLE</x:v>
      </x:c>
      <x:c r="B5277" s="2" t="str">
        <x:v>inflation</x:v>
      </x:c>
      <x:c r="C5277" s="2" t="n">
        <x:v>7.48750166612986</x:v>
      </x:c>
      <x:c r="D5277" s="2" t="n">
        <x:v>2025</x:v>
      </x:c>
      <x:c r="E5277" s="2" t="str">
        <x:v>WB_inflation</x:v>
      </x:c>
      <x:c r="F5277" s="2" t="str">
        <x:v>Inflation, consumer prices (annual %)</x:v>
      </x:c>
    </x:row>
    <x:row r="5278" ht="44" customHeight="1">
      <x:c r="A5278" s="2" t="str">
        <x:v>SLE</x:v>
      </x:c>
      <x:c r="B5278" s="2" t="str">
        <x:v>food_index</x:v>
      </x:c>
      <x:c r="C5278" s="2" t="n">
        <x:v>104.72</x:v>
      </x:c>
      <x:c r="D5278" s="2" t="n">
        <x:v>2022</x:v>
      </x:c>
      <x:c r="E5278" s="2" t="str">
        <x:v>WB_food_index</x:v>
      </x:c>
      <x:c r="F5278" s="2" t="str">
        <x:v>Food production index (2014-2016 = 100)</x:v>
      </x:c>
    </x:row>
    <x:row r="5279" ht="44" customHeight="1">
      <x:c r="A5279" s="2" t="str">
        <x:v>SLE</x:v>
      </x:c>
      <x:c r="B5279" s="2" t="str">
        <x:v>food_import_share</x:v>
      </x:c>
      <x:c r="C5279" s="2" t="n">
        <x:v>32.2868033846246</x:v>
      </x:c>
      <x:c r="D5279" s="2" t="n">
        <x:v>2018</x:v>
      </x:c>
      <x:c r="E5279" s="2" t="str">
        <x:v>WB_food_import_share</x:v>
      </x:c>
      <x:c r="F5279" s="2" t="str">
        <x:v>Food imports (% of merchandise imports)</x:v>
      </x:c>
    </x:row>
    <x:row r="5280" ht="44" customHeight="1">
      <x:c r="A5280" s="2" t="str">
        <x:v>SLE</x:v>
      </x:c>
      <x:c r="B5280" s="2" t="str">
        <x:v>food_export_share</x:v>
      </x:c>
      <x:c r="C5280" s="2" t="n">
        <x:v>45.6396884535491</x:v>
      </x:c>
      <x:c r="D5280" s="2" t="n">
        <x:v>2018</x:v>
      </x:c>
      <x:c r="E5280" s="2" t="str">
        <x:v>WB_food_export_share</x:v>
      </x:c>
      <x:c r="F5280" s="2" t="str">
        <x:v>Food exports (% of merchandise exports)</x:v>
      </x:c>
    </x:row>
    <x:row r="5281" ht="44" customHeight="1">
      <x:c r="A5281" s="2" t="str">
        <x:v>SLE</x:v>
      </x:c>
      <x:c r="B5281" s="2" t="str">
        <x:v>imports_usd</x:v>
      </x:c>
      <x:c r="C5281" s="2" t="n">
        <x:v>1893000000</x:v>
      </x:c>
      <x:c r="D5281" s="2" t="n">
        <x:v>2025</x:v>
      </x:c>
      <x:c r="E5281" s="2" t="str">
        <x:v>WB_imports_usd</x:v>
      </x:c>
      <x:c r="F5281" s="2" t="str">
        <x:v>Merchandise imports (current US$)</x:v>
      </x:c>
    </x:row>
    <x:row r="5282" ht="44" customHeight="1">
      <x:c r="A5282" s="2" t="str">
        <x:v>SLE</x:v>
      </x:c>
      <x:c r="B5282" s="2" t="str">
        <x:v>exports_usd</x:v>
      </x:c>
      <x:c r="C5282" s="2" t="n">
        <x:v>1534000000</x:v>
      </x:c>
      <x:c r="D5282" s="2" t="n">
        <x:v>2025</x:v>
      </x:c>
      <x:c r="E5282" s="2" t="str">
        <x:v>WB_exports_usd</x:v>
      </x:c>
      <x:c r="F5282" s="2" t="str">
        <x:v>Merchandise exports (current US$)</x:v>
      </x:c>
    </x:row>
    <x:row r="5283" ht="44" customHeight="1">
      <x:c r="A5283" s="2" t="str">
        <x:v>SLE</x:v>
      </x:c>
      <x:c r="B5283" s="2" t="str">
        <x:v>cereal_yield</x:v>
      </x:c>
      <x:c r="C5283" s="2" t="n">
        <x:v>1469.7</x:v>
      </x:c>
      <x:c r="D5283" s="2" t="n">
        <x:v>2023</x:v>
      </x:c>
      <x:c r="E5283" s="2" t="str">
        <x:v>WB_cereal_yield</x:v>
      </x:c>
      <x:c r="F5283" s="2" t="str">
        <x:v>Cereal yield (kg per hectare)</x:v>
      </x:c>
    </x:row>
    <x:row r="5284" ht="44" customHeight="1">
      <x:c r="A5284" s="2" t="str">
        <x:v>SLE</x:v>
      </x:c>
      <x:c r="B5284" s="2" t="str">
        <x:v>water_stress</x:v>
      </x:c>
      <x:c r="C5284" s="2" t="n">
        <x:v>0.495794393</x:v>
      </x:c>
      <x:c r="D5284" s="2" t="n">
        <x:v>2022</x:v>
      </x:c>
      <x:c r="E5284" s="2" t="str">
        <x:v>WB_water_stress</x:v>
      </x:c>
      <x:c r="F5284" s="2" t="str">
        <x:v>Level of water stress: freshwater withdrawal as a proportion of available freshwater resources</x:v>
      </x:c>
    </x:row>
    <x:row r="5285" ht="44" customHeight="1">
      <x:c r="A5285" s="2" t="str">
        <x:v>SLE</x:v>
      </x:c>
      <x:c r="B5285" s="2" t="str">
        <x:v>fertility</x:v>
      </x:c>
      <x:c r="C5285" s="2" t="n">
        <x:v>3.703</x:v>
      </x:c>
      <x:c r="D5285" s="2" t="n">
        <x:v>2024</x:v>
      </x:c>
      <x:c r="E5285" s="2" t="str">
        <x:v>WB_fertility</x:v>
      </x:c>
      <x:c r="F5285" s="2" t="str">
        <x:v>Fertility rate, total (births per woman)</x:v>
      </x:c>
    </x:row>
    <x:row r="5286" ht="44" customHeight="1">
      <x:c r="A5286" s="2" t="str">
        <x:v>SLE</x:v>
      </x:c>
      <x:c r="B5286" s="2" t="str">
        <x:v>life_expectancy</x:v>
      </x:c>
      <x:c r="C5286" s="2" t="n">
        <x:v>61.964</x:v>
      </x:c>
      <x:c r="D5286" s="2" t="n">
        <x:v>2024</x:v>
      </x:c>
      <x:c r="E5286" s="2" t="str">
        <x:v>WB_life_expectancy</x:v>
      </x:c>
      <x:c r="F5286" s="2" t="str">
        <x:v>Life expectancy at birth, total (years)</x:v>
      </x:c>
    </x:row>
    <x:row r="5287" ht="44" customHeight="1">
      <x:c r="A5287" s="2" t="str">
        <x:v>SLE</x:v>
      </x:c>
      <x:c r="B5287" s="2" t="str">
        <x:v>age_under15</x:v>
      </x:c>
      <x:c r="C5287" s="2" t="n">
        <x:v>37.6507206404141</x:v>
      </x:c>
      <x:c r="D5287" s="2" t="n">
        <x:v>2025</x:v>
      </x:c>
      <x:c r="E5287" s="2" t="str">
        <x:v>WB_age_under15</x:v>
      </x:c>
      <x:c r="F5287" s="2" t="str">
        <x:v>Population ages 0-14 (% of total population)</x:v>
      </x:c>
    </x:row>
    <x:row r="5288" ht="44" customHeight="1">
      <x:c r="A5288" s="2" t="str">
        <x:v>SLE</x:v>
      </x:c>
      <x:c r="B5288" s="2" t="str">
        <x:v>age_over65</x:v>
      </x:c>
      <x:c r="C5288" s="2" t="n">
        <x:v>3.28364812148674</x:v>
      </x:c>
      <x:c r="D5288" s="2" t="n">
        <x:v>2025</x:v>
      </x:c>
      <x:c r="E5288" s="2" t="str">
        <x:v>WB_age_over65</x:v>
      </x:c>
      <x:c r="F5288" s="2" t="str">
        <x:v>Population ages 65 and above (% of total population)</x:v>
      </x:c>
    </x:row>
    <x:row r="5289" ht="44" customHeight="1">
      <x:c r="A5289" s="2" t="str">
        <x:v>SLE</x:v>
      </x:c>
      <x:c r="B5289" s="2" t="str">
        <x:v>dependency_ratio</x:v>
      </x:c>
      <x:c r="C5289" s="2" t="n">
        <x:v>69.3031935896705</x:v>
      </x:c>
      <x:c r="D5289" s="2" t="n">
        <x:v>2025</x:v>
      </x:c>
      <x:c r="E5289" s="2" t="str">
        <x:v>WB_dependency_ratio</x:v>
      </x:c>
      <x:c r="F5289" s="2" t="str">
        <x:v>Age dependency ratio (% of working-age population)</x:v>
      </x:c>
    </x:row>
    <x:row r="5290" ht="44" customHeight="1">
      <x:c r="A5290" s="2" t="str">
        <x:v>SLE</x:v>
      </x:c>
      <x:c r="B5290" s="2" t="str">
        <x:v>net_migration</x:v>
      </x:c>
      <x:c r="C5290" s="2" t="n">
        <x:v>-11309</x:v>
      </x:c>
      <x:c r="D5290" s="2" t="n">
        <x:v>2025</x:v>
      </x:c>
      <x:c r="E5290" s="2" t="str">
        <x:v>WB_net_migration</x:v>
      </x:c>
      <x:c r="F5290" s="2" t="str">
        <x:v>Net migration</x:v>
      </x:c>
    </x:row>
    <x:row r="5291" ht="44" customHeight="1">
      <x:c r="A5291" s="2" t="str">
        <x:v>SLE</x:v>
      </x:c>
      <x:c r="B5291" s="2" t="str">
        <x:v>real_gdp</x:v>
      </x:c>
      <x:c r="C5291" s="2" t="n">
        <x:v>10281446270.4261</x:v>
      </x:c>
      <x:c r="D5291" s="2" t="n">
        <x:v>2025</x:v>
      </x:c>
      <x:c r="E5291" s="2" t="str">
        <x:v>WB_real_gdp</x:v>
      </x:c>
      <x:c r="F5291" s="2" t="str">
        <x:v>GDP (constant 2015 US$)</x:v>
      </x:c>
    </x:row>
    <x:row r="5292" ht="44" customHeight="1">
      <x:c r="A5292" s="2" t="str">
        <x:v>SLE</x:v>
      </x:c>
      <x:c r="B5292" s="2" t="str">
        <x:v>gdp_growth</x:v>
      </x:c>
      <x:c r="C5292" s="2" t="n">
        <x:v>4.60865077581276</x:v>
      </x:c>
      <x:c r="D5292" s="2" t="n">
        <x:v>2025</x:v>
      </x:c>
      <x:c r="E5292" s="2" t="str">
        <x:v>WB_gdp_growth</x:v>
      </x:c>
      <x:c r="F5292" s="2" t="str">
        <x:v>GDP growth (annual %)</x:v>
      </x:c>
    </x:row>
    <x:row r="5293" ht="44" customHeight="1">
      <x:c r="A5293" s="2" t="str">
        <x:v>SLE</x:v>
      </x:c>
      <x:c r="B5293" s="2" t="str">
        <x:v>real_income</x:v>
      </x:c>
      <x:c r="C5293" s="2" t="n">
        <x:v>1165.72408271963</x:v>
      </x:c>
      <x:c r="D5293" s="2" t="n">
        <x:v>2025</x:v>
      </x:c>
      <x:c r="E5293" s="2" t="str">
        <x:v>WB_real_income</x:v>
      </x:c>
      <x:c r="F5293" s="2" t="str">
        <x:v>GDP per capita (constant 2015 US$)</x:v>
      </x:c>
    </x:row>
    <x:row r="5294" ht="44" customHeight="1">
      <x:c r="A5294" s="2" t="str">
        <x:v>SLE</x:v>
      </x:c>
      <x:c r="B5294" s="2" t="str">
        <x:v>agriculture_gdp</x:v>
      </x:c>
      <x:c r="C5294" s="2" t="n">
        <x:v>29.5399786679525</x:v>
      </x:c>
      <x:c r="D5294" s="2" t="n">
        <x:v>2025</x:v>
      </x:c>
      <x:c r="E5294" s="2" t="str">
        <x:v>WB_agriculture_gdp</x:v>
      </x:c>
      <x:c r="F5294" s="2" t="str">
        <x:v>Agriculture, forestry, and fishing, value added (% of GDP)</x:v>
      </x:c>
    </x:row>
    <x:row r="5295" ht="44" customHeight="1">
      <x:c r="A5295" s="2" t="str">
        <x:v>SLE</x:v>
      </x:c>
      <x:c r="B5295" s="2" t="str">
        <x:v>poverty</x:v>
      </x:c>
      <x:c r="C5295" s="2" t="n">
        <x:v>41.5</x:v>
      </x:c>
      <x:c r="D5295" s="2" t="n">
        <x:v>2018</x:v>
      </x:c>
      <x:c r="E5295" s="2" t="str">
        <x:v>WB_poverty</x:v>
      </x:c>
      <x:c r="F5295" s="2" t="str">
        <x:v>Poverty headcount ratio at $3.00 a day (2021 PPP) (% of population)</x:v>
      </x:c>
    </x:row>
    <x:row r="5296" ht="44" customHeight="1">
      <x:c r="A5296" s="2" t="str">
        <x:v>SLE</x:v>
      </x:c>
      <x:c r="B5296" s="2" t="str">
        <x:v>gini</x:v>
      </x:c>
      <x:c r="C5296" s="2" t="n">
        <x:v>35.7</x:v>
      </x:c>
      <x:c r="D5296" s="2" t="n">
        <x:v>2018</x:v>
      </x:c>
      <x:c r="E5296" s="2" t="str">
        <x:v>WB_gini</x:v>
      </x:c>
      <x:c r="F5296" s="2" t="str">
        <x:v>Gini index</x:v>
      </x:c>
    </x:row>
    <x:row r="5297" ht="44" customHeight="1">
      <x:c r="A5297" s="2" t="str">
        <x:v>SLE</x:v>
      </x:c>
      <x:c r="B5297" s="2" t="str">
        <x:v>unemployment</x:v>
      </x:c>
      <x:c r="C5297" s="2" t="n">
        <x:v>3.15</x:v>
      </x:c>
      <x:c r="D5297" s="2" t="n">
        <x:v>2025</x:v>
      </x:c>
      <x:c r="E5297" s="2" t="str">
        <x:v>WB_unemployment</x:v>
      </x:c>
      <x:c r="F5297" s="2" t="str">
        <x:v>Unemployment, total (% of total labor force) (modeled ILO estimate)</x:v>
      </x:c>
    </x:row>
    <x:row r="5298" ht="44" customHeight="1">
      <x:c r="A5298" s="2" t="str">
        <x:v>SLE</x:v>
      </x:c>
      <x:c r="B5298" s="2" t="str">
        <x:v>private_credit</x:v>
      </x:c>
      <x:c r="C5298" s="2" t="n">
        <x:v>5.50423771694193</x:v>
      </x:c>
      <x:c r="D5298" s="2" t="n">
        <x:v>2025</x:v>
      </x:c>
      <x:c r="E5298" s="2" t="str">
        <x:v>WB_private_credit</x:v>
      </x:c>
      <x:c r="F5298" s="2" t="str">
        <x:v>Domestic credit to private sector (% of GDP)</x:v>
      </x:c>
    </x:row>
    <x:row r="5299" ht="44" customHeight="1">
      <x:c r="A5299" s="2" t="str">
        <x:v>SLE</x:v>
      </x:c>
      <x:c r="B5299" s="2" t="str">
        <x:v>lending_rate</x:v>
      </x:c>
      <x:c r="C5299" s="2" t="n">
        <x:v>21.4352243589744</x:v>
      </x:c>
      <x:c r="D5299" s="2" t="n">
        <x:v>2025</x:v>
      </x:c>
      <x:c r="E5299" s="2" t="str">
        <x:v>WB_lending_rate</x:v>
      </x:c>
      <x:c r="F5299" s="2" t="str">
        <x:v>Lending interest rate (%)</x:v>
      </x:c>
    </x:row>
    <x:row r="5300" ht="44" customHeight="1">
      <x:c r="A5300" s="2" t="str">
        <x:v>SLE</x:v>
      </x:c>
      <x:c r="B5300" s="2" t="str">
        <x:v>real_interest</x:v>
      </x:c>
      <x:c r="C5300" s="2" t="n">
        <x:v>18.2715416610196</x:v>
      </x:c>
      <x:c r="D5300" s="2" t="n">
        <x:v>2025</x:v>
      </x:c>
      <x:c r="E5300" s="2" t="str">
        <x:v>WB_real_interest</x:v>
      </x:c>
      <x:c r="F5300" s="2" t="str">
        <x:v>Real interest rate (%)</x:v>
      </x:c>
    </x:row>
    <x:row r="5301" ht="44" customHeight="1">
      <x:c r="A5301" s="2" t="str">
        <x:v>SLE</x:v>
      </x:c>
      <x:c r="B5301" s="2" t="str">
        <x:v>government_debt</x:v>
      </x:c>
      <x:c r="C5301" s="2"/>
      <x:c r="D5301" s="2"/>
      <x:c r="E5301" s="2" t="str">
        <x:v>Missing</x:v>
      </x:c>
      <x:c r="F5301" s="2" t="str">
        <x:v>Central government debt, total (% of GDP)</x:v>
      </x:c>
    </x:row>
    <x:row r="5302" ht="44" customHeight="1">
      <x:c r="A5302" s="2" t="str">
        <x:v>SLE</x:v>
      </x:c>
      <x:c r="B5302" s="2" t="str">
        <x:v>electricity_access</x:v>
      </x:c>
      <x:c r="C5302" s="2" t="n">
        <x:v>39.2</x:v>
      </x:c>
      <x:c r="D5302" s="2" t="n">
        <x:v>2024</x:v>
      </x:c>
      <x:c r="E5302" s="2" t="str">
        <x:v>WB_electricity_access</x:v>
      </x:c>
      <x:c r="F5302" s="2" t="str">
        <x:v>Access to electricity (% of population)</x:v>
      </x:c>
    </x:row>
    <x:row r="5303" ht="44" customHeight="1">
      <x:c r="A5303" s="2" t="str">
        <x:v>SLE</x:v>
      </x:c>
      <x:c r="B5303" s="2" t="str">
        <x:v>irrigated_land</x:v>
      </x:c>
      <x:c r="C5303" s="2"/>
      <x:c r="D5303" s="2"/>
      <x:c r="E5303" s="2" t="str">
        <x:v>Missing</x:v>
      </x:c>
      <x:c r="F5303" s="2" t="str">
        <x:v>Agricultural irrigated land (% of total agricultural land)</x:v>
      </x:c>
    </x:row>
    <x:row r="5304" ht="44" customHeight="1">
      <x:c r="A5304" s="2" t="str">
        <x:v>SLE</x:v>
      </x:c>
      <x:c r="B5304" s="2" t="str">
        <x:v>cereal_area</x:v>
      </x:c>
      <x:c r="C5304" s="2" t="n">
        <x:v>1045605</x:v>
      </x:c>
      <x:c r="D5304" s="2" t="n">
        <x:v>2023</x:v>
      </x:c>
      <x:c r="E5304" s="2" t="str">
        <x:v>WB_cereal_area</x:v>
      </x:c>
      <x:c r="F5304" s="2" t="str">
        <x:v>Land under cereal production (hectares)</x:v>
      </x:c>
    </x:row>
    <x:row r="5305" ht="44" customHeight="1">
      <x:c r="A5305" s="2" t="str">
        <x:v>SLE</x:v>
      </x:c>
      <x:c r="B5305" s="2" t="str">
        <x:v>undernourishment</x:v>
      </x:c>
      <x:c r="C5305" s="2" t="n">
        <x:v>24.1</x:v>
      </x:c>
      <x:c r="D5305" s="2" t="n">
        <x:v>2023</x:v>
      </x:c>
      <x:c r="E5305" s="2" t="str">
        <x:v>WB_undernourishment</x:v>
      </x:c>
      <x:c r="F5305" s="2" t="str">
        <x:v>Prevalence of undernourishment (% of population)</x:v>
      </x:c>
    </x:row>
    <x:row r="5306" ht="44" customHeight="1">
      <x:c r="A5306" s="2" t="str">
        <x:v>SLE</x:v>
      </x:c>
      <x:c r="B5306" s="2" t="str">
        <x:v>agriculture_employment</x:v>
      </x:c>
      <x:c r="C5306" s="2" t="n">
        <x:v>44.4935124877838</x:v>
      </x:c>
      <x:c r="D5306" s="2" t="n">
        <x:v>2025</x:v>
      </x:c>
      <x:c r="E5306" s="2" t="str">
        <x:v>WB_agriculture_employment</x:v>
      </x:c>
      <x:c r="F5306" s="2" t="str">
        <x:v>Employment in agriculture (% of total employment) (modeled ILO estimate)</x:v>
      </x:c>
    </x:row>
    <x:row r="5307" ht="44" customHeight="1">
      <x:c r="A5307" s="2" t="str">
        <x:v>SLE</x:v>
      </x:c>
      <x:c r="B5307" s="2" t="str">
        <x:v>water_withdrawal</x:v>
      </x:c>
      <x:c r="C5307" s="2" t="n">
        <x:v>0.132625</x:v>
      </x:c>
      <x:c r="D5307" s="2" t="n">
        <x:v>2022</x:v>
      </x:c>
      <x:c r="E5307" s="2" t="str">
        <x:v>WB_water_withdrawal</x:v>
      </x:c>
      <x:c r="F5307" s="2" t="str">
        <x:v>Annual freshwater withdrawals, total (% of internal resources)</x:v>
      </x:c>
    </x:row>
    <x:row r="5308" ht="44" customHeight="1">
      <x:c r="A5308" s="2" t="str">
        <x:v>SGP</x:v>
      </x:c>
      <x:c r="B5308" s="2" t="str">
        <x:v>population</x:v>
      </x:c>
      <x:c r="C5308" s="2" t="n">
        <x:v>6111175</x:v>
      </x:c>
      <x:c r="D5308" s="2" t="n">
        <x:v>2025</x:v>
      </x:c>
      <x:c r="E5308" s="2" t="str">
        <x:v>WB_population</x:v>
      </x:c>
      <x:c r="F5308" s="2" t="str">
        <x:v>Population, total</x:v>
      </x:c>
    </x:row>
    <x:row r="5309" ht="44" customHeight="1">
      <x:c r="A5309" s="2" t="str">
        <x:v>SGP</x:v>
      </x:c>
      <x:c r="B5309" s="2" t="str">
        <x:v>income_ppp</x:v>
      </x:c>
      <x:c r="C5309" s="2" t="n">
        <x:v>139592.612210761</x:v>
      </x:c>
      <x:c r="D5309" s="2" t="n">
        <x:v>2025</x:v>
      </x:c>
      <x:c r="E5309" s="2" t="str">
        <x:v>WB_income_ppp</x:v>
      </x:c>
      <x:c r="F5309" s="2" t="str">
        <x:v>GDP per capita, PPP (constant 2021 international $)</x:v>
      </x:c>
    </x:row>
    <x:row r="5310" ht="44" customHeight="1">
      <x:c r="A5310" s="2" t="str">
        <x:v>SGP</x:v>
      </x:c>
      <x:c r="B5310" s="2" t="str">
        <x:v>urban</x:v>
      </x:c>
      <x:c r="C5310" s="2" t="n">
        <x:v>100</x:v>
      </x:c>
      <x:c r="D5310" s="2" t="n">
        <x:v>2025</x:v>
      </x:c>
      <x:c r="E5310" s="2" t="str">
        <x:v>WB_urban</x:v>
      </x:c>
      <x:c r="F5310" s="2" t="str">
        <x:v>Urban population (% of total population)</x:v>
      </x:c>
    </x:row>
    <x:row r="5311" ht="44" customHeight="1">
      <x:c r="A5311" s="2" t="str">
        <x:v>SGP</x:v>
      </x:c>
      <x:c r="B5311" s="2" t="str">
        <x:v>inflation</x:v>
      </x:c>
      <x:c r="C5311" s="2" t="n">
        <x:v>0.902998495002676</x:v>
      </x:c>
      <x:c r="D5311" s="2" t="n">
        <x:v>2025</x:v>
      </x:c>
      <x:c r="E5311" s="2" t="str">
        <x:v>WB_inflation</x:v>
      </x:c>
      <x:c r="F5311" s="2" t="str">
        <x:v>Inflation, consumer prices (annual %)</x:v>
      </x:c>
    </x:row>
    <x:row r="5312" ht="44" customHeight="1">
      <x:c r="A5312" s="2" t="str">
        <x:v>SGP</x:v>
      </x:c>
      <x:c r="B5312" s="2" t="str">
        <x:v>food_index</x:v>
      </x:c>
      <x:c r="C5312" s="2" t="n">
        <x:v>131.01</x:v>
      </x:c>
      <x:c r="D5312" s="2" t="n">
        <x:v>2022</x:v>
      </x:c>
      <x:c r="E5312" s="2" t="str">
        <x:v>WB_food_index</x:v>
      </x:c>
      <x:c r="F5312" s="2" t="str">
        <x:v>Food production index (2014-2016 = 100)</x:v>
      </x:c>
    </x:row>
    <x:row r="5313" ht="44" customHeight="1">
      <x:c r="A5313" s="2" t="str">
        <x:v>SGP</x:v>
      </x:c>
      <x:c r="B5313" s="2" t="str">
        <x:v>food_import_share</x:v>
      </x:c>
      <x:c r="C5313" s="2" t="n">
        <x:v>3.65311168634742</x:v>
      </x:c>
      <x:c r="D5313" s="2" t="n">
        <x:v>2024</x:v>
      </x:c>
      <x:c r="E5313" s="2" t="str">
        <x:v>WB_food_import_share</x:v>
      </x:c>
      <x:c r="F5313" s="2" t="str">
        <x:v>Food imports (% of merchandise imports)</x:v>
      </x:c>
    </x:row>
    <x:row r="5314" ht="44" customHeight="1">
      <x:c r="A5314" s="2" t="str">
        <x:v>SGP</x:v>
      </x:c>
      <x:c r="B5314" s="2" t="str">
        <x:v>food_export_share</x:v>
      </x:c>
      <x:c r="C5314" s="2" t="n">
        <x:v>2.78280702472232</x:v>
      </x:c>
      <x:c r="D5314" s="2" t="n">
        <x:v>2024</x:v>
      </x:c>
      <x:c r="E5314" s="2" t="str">
        <x:v>WB_food_export_share</x:v>
      </x:c>
      <x:c r="F5314" s="2" t="str">
        <x:v>Food exports (% of merchandise exports)</x:v>
      </x:c>
    </x:row>
    <x:row r="5315" ht="44" customHeight="1">
      <x:c r="A5315" s="2" t="str">
        <x:v>SGP</x:v>
      </x:c>
      <x:c r="B5315" s="2" t="str">
        <x:v>imports_usd</x:v>
      </x:c>
      <x:c r="C5315" s="2" t="n">
        <x:v>505838000000</x:v>
      </x:c>
      <x:c r="D5315" s="2" t="n">
        <x:v>2025</x:v>
      </x:c>
      <x:c r="E5315" s="2" t="str">
        <x:v>WB_imports_usd</x:v>
      </x:c>
      <x:c r="F5315" s="2" t="str">
        <x:v>Merchandise imports (current US$)</x:v>
      </x:c>
    </x:row>
    <x:row r="5316" ht="44" customHeight="1">
      <x:c r="A5316" s="2" t="str">
        <x:v>SGP</x:v>
      </x:c>
      <x:c r="B5316" s="2" t="str">
        <x:v>exports_usd</x:v>
      </x:c>
      <x:c r="C5316" s="2" t="n">
        <x:v>566872000000</x:v>
      </x:c>
      <x:c r="D5316" s="2" t="n">
        <x:v>2025</x:v>
      </x:c>
      <x:c r="E5316" s="2" t="str">
        <x:v>WB_exports_usd</x:v>
      </x:c>
      <x:c r="F5316" s="2" t="str">
        <x:v>Merchandise exports (current US$)</x:v>
      </x:c>
    </x:row>
    <x:row r="5317" ht="44" customHeight="1">
      <x:c r="A5317" s="2" t="str">
        <x:v>SGP</x:v>
      </x:c>
      <x:c r="B5317" s="2" t="str">
        <x:v>cereal_yield</x:v>
      </x:c>
      <x:c r="C5317" s="2"/>
      <x:c r="D5317" s="2"/>
      <x:c r="E5317" s="2" t="str">
        <x:v>Missing</x:v>
      </x:c>
      <x:c r="F5317" s="2" t="str">
        <x:v>Cereal yield (kg per hectare)</x:v>
      </x:c>
    </x:row>
    <x:row r="5318" ht="44" customHeight="1">
      <x:c r="A5318" s="2" t="str">
        <x:v>SGP</x:v>
      </x:c>
      <x:c r="B5318" s="2" t="str">
        <x:v>water_stress</x:v>
      </x:c>
      <x:c r="C5318" s="2" t="n">
        <x:v>33.25522267</x:v>
      </x:c>
      <x:c r="D5318" s="2" t="n">
        <x:v>2022</x:v>
      </x:c>
      <x:c r="E5318" s="2" t="str">
        <x:v>WB_water_stress</x:v>
      </x:c>
      <x:c r="F5318" s="2" t="str">
        <x:v>Level of water stress: freshwater withdrawal as a proportion of available freshwater resources</x:v>
      </x:c>
    </x:row>
    <x:row r="5319" ht="44" customHeight="1">
      <x:c r="A5319" s="2" t="str">
        <x:v>SGP</x:v>
      </x:c>
      <x:c r="B5319" s="2" t="str">
        <x:v>fertility</x:v>
      </x:c>
      <x:c r="C5319" s="2" t="n">
        <x:v>0.97</x:v>
      </x:c>
      <x:c r="D5319" s="2" t="n">
        <x:v>2024</x:v>
      </x:c>
      <x:c r="E5319" s="2" t="str">
        <x:v>WB_fertility</x:v>
      </x:c>
      <x:c r="F5319" s="2" t="str">
        <x:v>Fertility rate, total (births per woman)</x:v>
      </x:c>
    </x:row>
    <x:row r="5320" ht="44" customHeight="1">
      <x:c r="A5320" s="2" t="str">
        <x:v>SGP</x:v>
      </x:c>
      <x:c r="B5320" s="2" t="str">
        <x:v>life_expectancy</x:v>
      </x:c>
      <x:c r="C5320" s="2" t="n">
        <x:v>83.3463414634146</x:v>
      </x:c>
      <x:c r="D5320" s="2" t="n">
        <x:v>2024</x:v>
      </x:c>
      <x:c r="E5320" s="2" t="str">
        <x:v>WB_life_expectancy</x:v>
      </x:c>
      <x:c r="F5320" s="2" t="str">
        <x:v>Life expectancy at birth, total (years)</x:v>
      </x:c>
    </x:row>
    <x:row r="5321" ht="44" customHeight="1">
      <x:c r="A5321" s="2" t="str">
        <x:v>SGP</x:v>
      </x:c>
      <x:c r="B5321" s="2" t="str">
        <x:v>age_under15</x:v>
      </x:c>
      <x:c r="C5321" s="2" t="n">
        <x:v>11.6891623727803</x:v>
      </x:c>
      <x:c r="D5321" s="2" t="n">
        <x:v>2025</x:v>
      </x:c>
      <x:c r="E5321" s="2" t="str">
        <x:v>WB_age_under15</x:v>
      </x:c>
      <x:c r="F5321" s="2" t="str">
        <x:v>Population ages 0-14 (% of total population)</x:v>
      </x:c>
    </x:row>
    <x:row r="5322" ht="44" customHeight="1">
      <x:c r="A5322" s="2" t="str">
        <x:v>SGP</x:v>
      </x:c>
      <x:c r="B5322" s="2" t="str">
        <x:v>age_over65</x:v>
      </x:c>
      <x:c r="C5322" s="2" t="n">
        <x:v>14.2110377720053</x:v>
      </x:c>
      <x:c r="D5322" s="2" t="n">
        <x:v>2025</x:v>
      </x:c>
      <x:c r="E5322" s="2" t="str">
        <x:v>WB_age_over65</x:v>
      </x:c>
      <x:c r="F5322" s="2" t="str">
        <x:v>Population ages 65 and above (% of total population)</x:v>
      </x:c>
    </x:row>
    <x:row r="5323" ht="44" customHeight="1">
      <x:c r="A5323" s="2" t="str">
        <x:v>SGP</x:v>
      </x:c>
      <x:c r="B5323" s="2" t="str">
        <x:v>dependency_ratio</x:v>
      </x:c>
      <x:c r="C5323" s="2" t="n">
        <x:v>34.9531221844161</x:v>
      </x:c>
      <x:c r="D5323" s="2" t="n">
        <x:v>2025</x:v>
      </x:c>
      <x:c r="E5323" s="2" t="str">
        <x:v>WB_dependency_ratio</x:v>
      </x:c>
      <x:c r="F5323" s="2" t="str">
        <x:v>Age dependency ratio (% of working-age population)</x:v>
      </x:c>
    </x:row>
    <x:row r="5324" ht="44" customHeight="1">
      <x:c r="A5324" s="2" t="str">
        <x:v>SGP</x:v>
      </x:c>
      <x:c r="B5324" s="2" t="str">
        <x:v>net_migration</x:v>
      </x:c>
      <x:c r="C5324" s="2" t="n">
        <x:v>16892</x:v>
      </x:c>
      <x:c r="D5324" s="2" t="n">
        <x:v>2025</x:v>
      </x:c>
      <x:c r="E5324" s="2" t="str">
        <x:v>WB_net_migration</x:v>
      </x:c>
      <x:c r="F5324" s="2" t="str">
        <x:v>Net migration</x:v>
      </x:c>
    </x:row>
    <x:row r="5325" ht="44" customHeight="1">
      <x:c r="A5325" s="2" t="str">
        <x:v>SGP</x:v>
      </x:c>
      <x:c r="B5325" s="2" t="str">
        <x:v>real_gdp</x:v>
      </x:c>
      <x:c r="C5325" s="2" t="n">
        <x:v>431960358591.093</x:v>
      </x:c>
      <x:c r="D5325" s="2" t="n">
        <x:v>2025</x:v>
      </x:c>
      <x:c r="E5325" s="2" t="str">
        <x:v>WB_real_gdp</x:v>
      </x:c>
      <x:c r="F5325" s="2" t="str">
        <x:v>GDP (constant 2015 US$)</x:v>
      </x:c>
    </x:row>
    <x:row r="5326" ht="44" customHeight="1">
      <x:c r="A5326" s="2" t="str">
        <x:v>SGP</x:v>
      </x:c>
      <x:c r="B5326" s="2" t="str">
        <x:v>gdp_growth</x:v>
      </x:c>
      <x:c r="C5326" s="2" t="n">
        <x:v>5.02588199508003</x:v>
      </x:c>
      <x:c r="D5326" s="2" t="n">
        <x:v>2025</x:v>
      </x:c>
      <x:c r="E5326" s="2" t="str">
        <x:v>WB_gdp_growth</x:v>
      </x:c>
      <x:c r="F5326" s="2" t="str">
        <x:v>GDP growth (annual %)</x:v>
      </x:c>
    </x:row>
    <x:row r="5327" ht="44" customHeight="1">
      <x:c r="A5327" s="2" t="str">
        <x:v>SGP</x:v>
      </x:c>
      <x:c r="B5327" s="2" t="str">
        <x:v>real_income</x:v>
      </x:c>
      <x:c r="C5327" s="2" t="n">
        <x:v>70683.6833491257</x:v>
      </x:c>
      <x:c r="D5327" s="2" t="n">
        <x:v>2025</x:v>
      </x:c>
      <x:c r="E5327" s="2" t="str">
        <x:v>WB_real_income</x:v>
      </x:c>
      <x:c r="F5327" s="2" t="str">
        <x:v>GDP per capita (constant 2015 US$)</x:v>
      </x:c>
    </x:row>
    <x:row r="5328" ht="44" customHeight="1">
      <x:c r="A5328" s="2" t="str">
        <x:v>SGP</x:v>
      </x:c>
      <x:c r="B5328" s="2" t="str">
        <x:v>agriculture_gdp</x:v>
      </x:c>
      <x:c r="C5328" s="2" t="n">
        <x:v>0.0246222685620747</x:v>
      </x:c>
      <x:c r="D5328" s="2" t="n">
        <x:v>2025</x:v>
      </x:c>
      <x:c r="E5328" s="2" t="str">
        <x:v>WB_agriculture_gdp</x:v>
      </x:c>
      <x:c r="F5328" s="2" t="str">
        <x:v>Agriculture, forestry, and fishing, value added (% of GDP)</x:v>
      </x:c>
    </x:row>
    <x:row r="5329" ht="44" customHeight="1">
      <x:c r="A5329" s="2" t="str">
        <x:v>SGP</x:v>
      </x:c>
      <x:c r="B5329" s="2" t="str">
        <x:v>poverty</x:v>
      </x:c>
      <x:c r="C5329" s="2"/>
      <x:c r="D5329" s="2"/>
      <x:c r="E5329" s="2" t="str">
        <x:v>Missing</x:v>
      </x:c>
      <x:c r="F5329" s="2" t="str">
        <x:v>Poverty headcount ratio at $3.00 a day (2021 PPP) (% of population)</x:v>
      </x:c>
    </x:row>
    <x:row r="5330" ht="44" customHeight="1">
      <x:c r="A5330" s="2" t="str">
        <x:v>SGP</x:v>
      </x:c>
      <x:c r="B5330" s="2" t="str">
        <x:v>gini</x:v>
      </x:c>
      <x:c r="C5330" s="2"/>
      <x:c r="D5330" s="2"/>
      <x:c r="E5330" s="2" t="str">
        <x:v>Missing</x:v>
      </x:c>
      <x:c r="F5330" s="2" t="str">
        <x:v>Gini index</x:v>
      </x:c>
    </x:row>
    <x:row r="5331" ht="44" customHeight="1">
      <x:c r="A5331" s="2" t="str">
        <x:v>SGP</x:v>
      </x:c>
      <x:c r="B5331" s="2" t="str">
        <x:v>unemployment</x:v>
      </x:c>
      <x:c r="C5331" s="2" t="n">
        <x:v>2.818</x:v>
      </x:c>
      <x:c r="D5331" s="2" t="n">
        <x:v>2025</x:v>
      </x:c>
      <x:c r="E5331" s="2" t="str">
        <x:v>WB_unemployment</x:v>
      </x:c>
      <x:c r="F5331" s="2" t="str">
        <x:v>Unemployment, total (% of total labor force) (modeled ILO estimate)</x:v>
      </x:c>
    </x:row>
    <x:row r="5332" ht="44" customHeight="1">
      <x:c r="A5332" s="2" t="str">
        <x:v>SGP</x:v>
      </x:c>
      <x:c r="B5332" s="2" t="str">
        <x:v>private_credit</x:v>
      </x:c>
      <x:c r="C5332" s="2" t="n">
        <x:v>128.43285830434</x:v>
      </x:c>
      <x:c r="D5332" s="2" t="n">
        <x:v>2020</x:v>
      </x:c>
      <x:c r="E5332" s="2" t="str">
        <x:v>WB_private_credit</x:v>
      </x:c>
      <x:c r="F5332" s="2" t="str">
        <x:v>Domestic credit to private sector (% of GDP)</x:v>
      </x:c>
    </x:row>
    <x:row r="5333" ht="44" customHeight="1">
      <x:c r="A5333" s="2" t="str">
        <x:v>SGP</x:v>
      </x:c>
      <x:c r="B5333" s="2" t="str">
        <x:v>lending_rate</x:v>
      </x:c>
      <x:c r="C5333" s="2" t="n">
        <x:v>5.25</x:v>
      </x:c>
      <x:c r="D5333" s="2" t="n">
        <x:v>2021</x:v>
      </x:c>
      <x:c r="E5333" s="2" t="str">
        <x:v>WB_lending_rate</x:v>
      </x:c>
      <x:c r="F5333" s="2" t="str">
        <x:v>Lending interest rate (%)</x:v>
      </x:c>
    </x:row>
    <x:row r="5334" ht="44" customHeight="1">
      <x:c r="A5334" s="2" t="str">
        <x:v>SGP</x:v>
      </x:c>
      <x:c r="B5334" s="2" t="str">
        <x:v>real_interest</x:v>
      </x:c>
      <x:c r="C5334" s="2" t="n">
        <x:v>-5.20690857279518</x:v>
      </x:c>
      <x:c r="D5334" s="2" t="n">
        <x:v>2021</x:v>
      </x:c>
      <x:c r="E5334" s="2" t="str">
        <x:v>WB_real_interest</x:v>
      </x:c>
      <x:c r="F5334" s="2" t="str">
        <x:v>Real interest rate (%)</x:v>
      </x:c>
    </x:row>
    <x:row r="5335" ht="44" customHeight="1">
      <x:c r="A5335" s="2" t="str">
        <x:v>SGP</x:v>
      </x:c>
      <x:c r="B5335" s="2" t="str">
        <x:v>government_debt</x:v>
      </x:c>
      <x:c r="C5335" s="2" t="n">
        <x:v>167.799832036767</x:v>
      </x:c>
      <x:c r="D5335" s="2" t="n">
        <x:v>2024</x:v>
      </x:c>
      <x:c r="E5335" s="2" t="str">
        <x:v>WB_government_debt</x:v>
      </x:c>
      <x:c r="F5335" s="2" t="str">
        <x:v>Central government debt, total (% of GDP)</x:v>
      </x:c>
    </x:row>
    <x:row r="5336" ht="44" customHeight="1">
      <x:c r="A5336" s="2" t="str">
        <x:v>SGP</x:v>
      </x:c>
      <x:c r="B5336" s="2" t="str">
        <x:v>electricity_access</x:v>
      </x:c>
      <x:c r="C5336" s="2" t="n">
        <x:v>100</x:v>
      </x:c>
      <x:c r="D5336" s="2" t="n">
        <x:v>2024</x:v>
      </x:c>
      <x:c r="E5336" s="2" t="str">
        <x:v>WB_electricity_access</x:v>
      </x:c>
      <x:c r="F5336" s="2" t="str">
        <x:v>Access to electricity (% of population)</x:v>
      </x:c>
    </x:row>
    <x:row r="5337" ht="44" customHeight="1">
      <x:c r="A5337" s="2" t="str">
        <x:v>SGP</x:v>
      </x:c>
      <x:c r="B5337" s="2" t="str">
        <x:v>irrigated_land</x:v>
      </x:c>
      <x:c r="C5337" s="2"/>
      <x:c r="D5337" s="2"/>
      <x:c r="E5337" s="2" t="str">
        <x:v>Missing</x:v>
      </x:c>
      <x:c r="F5337" s="2" t="str">
        <x:v>Agricultural irrigated land (% of total agricultural land)</x:v>
      </x:c>
    </x:row>
    <x:row r="5338" ht="44" customHeight="1">
      <x:c r="A5338" s="2" t="str">
        <x:v>SGP</x:v>
      </x:c>
      <x:c r="B5338" s="2" t="str">
        <x:v>cereal_area</x:v>
      </x:c>
      <x:c r="C5338" s="2"/>
      <x:c r="D5338" s="2"/>
      <x:c r="E5338" s="2" t="str">
        <x:v>Missing</x:v>
      </x:c>
      <x:c r="F5338" s="2" t="str">
        <x:v>Land under cereal production (hectares)</x:v>
      </x:c>
    </x:row>
    <x:row r="5339" ht="44" customHeight="1">
      <x:c r="A5339" s="2" t="str">
        <x:v>SGP</x:v>
      </x:c>
      <x:c r="B5339" s="2" t="str">
        <x:v>undernourishment</x:v>
      </x:c>
      <x:c r="C5339" s="2"/>
      <x:c r="D5339" s="2"/>
      <x:c r="E5339" s="2" t="str">
        <x:v>Missing</x:v>
      </x:c>
      <x:c r="F5339" s="2" t="str">
        <x:v>Prevalence of undernourishment (% of population)</x:v>
      </x:c>
    </x:row>
    <x:row r="5340" ht="44" customHeight="1">
      <x:c r="A5340" s="2" t="str">
        <x:v>SGP</x:v>
      </x:c>
      <x:c r="B5340" s="2" t="str">
        <x:v>agriculture_employment</x:v>
      </x:c>
      <x:c r="C5340" s="2" t="n">
        <x:v>0.0954026681981231</x:v>
      </x:c>
      <x:c r="D5340" s="2" t="n">
        <x:v>2025</x:v>
      </x:c>
      <x:c r="E5340" s="2" t="str">
        <x:v>WB_agriculture_employment</x:v>
      </x:c>
      <x:c r="F5340" s="2" t="str">
        <x:v>Employment in agriculture (% of total employment) (modeled ILO estimate)</x:v>
      </x:c>
    </x:row>
    <x:row r="5341" ht="44" customHeight="1">
      <x:c r="A5341" s="2" t="str">
        <x:v>SGP</x:v>
      </x:c>
      <x:c r="B5341" s="2" t="str">
        <x:v>water_withdrawal</x:v>
      </x:c>
      <x:c r="C5341" s="2" t="n">
        <x:v>33.2552226666667</x:v>
      </x:c>
      <x:c r="D5341" s="2" t="n">
        <x:v>2022</x:v>
      </x:c>
      <x:c r="E5341" s="2" t="str">
        <x:v>WB_water_withdrawal</x:v>
      </x:c>
      <x:c r="F5341" s="2" t="str">
        <x:v>Annual freshwater withdrawals, total (% of internal resources)</x:v>
      </x:c>
    </x:row>
    <x:row r="5342" ht="44" customHeight="1">
      <x:c r="A5342" s="2" t="str">
        <x:v>SVK</x:v>
      </x:c>
      <x:c r="B5342" s="2" t="str">
        <x:v>population</x:v>
      </x:c>
      <x:c r="C5342" s="2" t="n">
        <x:v>5413813</x:v>
      </x:c>
      <x:c r="D5342" s="2" t="n">
        <x:v>2025</x:v>
      </x:c>
      <x:c r="E5342" s="2" t="str">
        <x:v>WB_population</x:v>
      </x:c>
      <x:c r="F5342" s="2" t="str">
        <x:v>Population, total</x:v>
      </x:c>
    </x:row>
    <x:row r="5343" ht="44" customHeight="1">
      <x:c r="A5343" s="2" t="str">
        <x:v>SVK</x:v>
      </x:c>
      <x:c r="B5343" s="2" t="str">
        <x:v>income_ppp</x:v>
      </x:c>
      <x:c r="C5343" s="2" t="n">
        <x:v>40689.8179557427</x:v>
      </x:c>
      <x:c r="D5343" s="2" t="n">
        <x:v>2025</x:v>
      </x:c>
      <x:c r="E5343" s="2" t="str">
        <x:v>WB_income_ppp</x:v>
      </x:c>
      <x:c r="F5343" s="2" t="str">
        <x:v>GDP per capita, PPP (constant 2021 international $)</x:v>
      </x:c>
    </x:row>
    <x:row r="5344" ht="44" customHeight="1">
      <x:c r="A5344" s="2" t="str">
        <x:v>SVK</x:v>
      </x:c>
      <x:c r="B5344" s="2" t="str">
        <x:v>urban</x:v>
      </x:c>
      <x:c r="C5344" s="2" t="n">
        <x:v>53.1940341971169</x:v>
      </x:c>
      <x:c r="D5344" s="2" t="n">
        <x:v>2025</x:v>
      </x:c>
      <x:c r="E5344" s="2" t="str">
        <x:v>WB_urban</x:v>
      </x:c>
      <x:c r="F5344" s="2" t="str">
        <x:v>Urban population (% of total population)</x:v>
      </x:c>
    </x:row>
    <x:row r="5345" ht="44" customHeight="1">
      <x:c r="A5345" s="2" t="str">
        <x:v>SVK</x:v>
      </x:c>
      <x:c r="B5345" s="2" t="str">
        <x:v>inflation</x:v>
      </x:c>
      <x:c r="C5345" s="2" t="n">
        <x:v>4.00042823495829</x:v>
      </x:c>
      <x:c r="D5345" s="2" t="n">
        <x:v>2025</x:v>
      </x:c>
      <x:c r="E5345" s="2" t="str">
        <x:v>WB_inflation</x:v>
      </x:c>
      <x:c r="F5345" s="2" t="str">
        <x:v>Inflation, consumer prices (annual %)</x:v>
      </x:c>
    </x:row>
    <x:row r="5346" ht="44" customHeight="1">
      <x:c r="A5346" s="2" t="str">
        <x:v>SVK</x:v>
      </x:c>
      <x:c r="B5346" s="2" t="str">
        <x:v>food_index</x:v>
      </x:c>
      <x:c r="C5346" s="2" t="n">
        <x:v>86.15</x:v>
      </x:c>
      <x:c r="D5346" s="2" t="n">
        <x:v>2022</x:v>
      </x:c>
      <x:c r="E5346" s="2" t="str">
        <x:v>WB_food_index</x:v>
      </x:c>
      <x:c r="F5346" s="2" t="str">
        <x:v>Food production index (2014-2016 = 100)</x:v>
      </x:c>
    </x:row>
    <x:row r="5347" ht="44" customHeight="1">
      <x:c r="A5347" s="2" t="str">
        <x:v>SVK</x:v>
      </x:c>
      <x:c r="B5347" s="2" t="str">
        <x:v>food_import_share</x:v>
      </x:c>
      <x:c r="C5347" s="2" t="n">
        <x:v>7.25583393520872</x:v>
      </x:c>
      <x:c r="D5347" s="2" t="n">
        <x:v>2024</x:v>
      </x:c>
      <x:c r="E5347" s="2" t="str">
        <x:v>WB_food_import_share</x:v>
      </x:c>
      <x:c r="F5347" s="2" t="str">
        <x:v>Food imports (% of merchandise imports)</x:v>
      </x:c>
    </x:row>
    <x:row r="5348" ht="44" customHeight="1">
      <x:c r="A5348" s="2" t="str">
        <x:v>SVK</x:v>
      </x:c>
      <x:c r="B5348" s="2" t="str">
        <x:v>food_export_share</x:v>
      </x:c>
      <x:c r="C5348" s="2" t="n">
        <x:v>4.67261365790365</x:v>
      </x:c>
      <x:c r="D5348" s="2" t="n">
        <x:v>2024</x:v>
      </x:c>
      <x:c r="E5348" s="2" t="str">
        <x:v>WB_food_export_share</x:v>
      </x:c>
      <x:c r="F5348" s="2" t="str">
        <x:v>Food exports (% of merchandise exports)</x:v>
      </x:c>
    </x:row>
    <x:row r="5349" ht="44" customHeight="1">
      <x:c r="A5349" s="2" t="str">
        <x:v>SVK</x:v>
      </x:c>
      <x:c r="B5349" s="2" t="str">
        <x:v>imports_usd</x:v>
      </x:c>
      <x:c r="C5349" s="2" t="n">
        <x:v>122602000000</x:v>
      </x:c>
      <x:c r="D5349" s="2" t="n">
        <x:v>2025</x:v>
      </x:c>
      <x:c r="E5349" s="2" t="str">
        <x:v>WB_imports_usd</x:v>
      </x:c>
      <x:c r="F5349" s="2" t="str">
        <x:v>Merchandise imports (current US$)</x:v>
      </x:c>
    </x:row>
    <x:row r="5350" ht="44" customHeight="1">
      <x:c r="A5350" s="2" t="str">
        <x:v>SVK</x:v>
      </x:c>
      <x:c r="B5350" s="2" t="str">
        <x:v>exports_usd</x:v>
      </x:c>
      <x:c r="C5350" s="2" t="n">
        <x:v>125443000000</x:v>
      </x:c>
      <x:c r="D5350" s="2" t="n">
        <x:v>2025</x:v>
      </x:c>
      <x:c r="E5350" s="2" t="str">
        <x:v>WB_exports_usd</x:v>
      </x:c>
      <x:c r="F5350" s="2" t="str">
        <x:v>Merchandise exports (current US$)</x:v>
      </x:c>
    </x:row>
    <x:row r="5351" ht="44" customHeight="1">
      <x:c r="A5351" s="2" t="str">
        <x:v>SVK</x:v>
      </x:c>
      <x:c r="B5351" s="2" t="str">
        <x:v>cereal_yield</x:v>
      </x:c>
      <x:c r="C5351" s="2" t="n">
        <x:v>5560.2</x:v>
      </x:c>
      <x:c r="D5351" s="2" t="n">
        <x:v>2024</x:v>
      </x:c>
      <x:c r="E5351" s="2" t="str">
        <x:v>WB_cereal_yield</x:v>
      </x:c>
      <x:c r="F5351" s="2" t="str">
        <x:v>Cereal yield (kg per hectare)</x:v>
      </x:c>
    </x:row>
    <x:row r="5352" ht="44" customHeight="1">
      <x:c r="A5352" s="2" t="str">
        <x:v>SVK</x:v>
      </x:c>
      <x:c r="B5352" s="2" t="str">
        <x:v>water_stress</x:v>
      </x:c>
      <x:c r="C5352" s="2" t="n">
        <x:v>2.425230293</x:v>
      </x:c>
      <x:c r="D5352" s="2" t="n">
        <x:v>2022</x:v>
      </x:c>
      <x:c r="E5352" s="2" t="str">
        <x:v>WB_water_stress</x:v>
      </x:c>
      <x:c r="F5352" s="2" t="str">
        <x:v>Level of water stress: freshwater withdrawal as a proportion of available freshwater resources</x:v>
      </x:c>
    </x:row>
    <x:row r="5353" ht="44" customHeight="1">
      <x:c r="A5353" s="2" t="str">
        <x:v>SVK</x:v>
      </x:c>
      <x:c r="B5353" s="2" t="str">
        <x:v>fertility</x:v>
      </x:c>
      <x:c r="C5353" s="2" t="n">
        <x:v>1.46</x:v>
      </x:c>
      <x:c r="D5353" s="2" t="n">
        <x:v>2024</x:v>
      </x:c>
      <x:c r="E5353" s="2" t="str">
        <x:v>WB_fertility</x:v>
      </x:c>
      <x:c r="F5353" s="2" t="str">
        <x:v>Fertility rate, total (births per woman)</x:v>
      </x:c>
    </x:row>
    <x:row r="5354" ht="44" customHeight="1">
      <x:c r="A5354" s="2" t="str">
        <x:v>SVK</x:v>
      </x:c>
      <x:c r="B5354" s="2" t="str">
        <x:v>life_expectancy</x:v>
      </x:c>
      <x:c r="C5354" s="2" t="n">
        <x:v>78.3707317073171</x:v>
      </x:c>
      <x:c r="D5354" s="2" t="n">
        <x:v>2024</x:v>
      </x:c>
      <x:c r="E5354" s="2" t="str">
        <x:v>WB_life_expectancy</x:v>
      </x:c>
      <x:c r="F5354" s="2" t="str">
        <x:v>Life expectancy at birth, total (years)</x:v>
      </x:c>
    </x:row>
    <x:row r="5355" ht="44" customHeight="1">
      <x:c r="A5355" s="2" t="str">
        <x:v>SVK</x:v>
      </x:c>
      <x:c r="B5355" s="2" t="str">
        <x:v>age_under15</x:v>
      </x:c>
      <x:c r="C5355" s="2" t="n">
        <x:v>15.5700735778549</x:v>
      </x:c>
      <x:c r="D5355" s="2" t="n">
        <x:v>2025</x:v>
      </x:c>
      <x:c r="E5355" s="2" t="str">
        <x:v>WB_age_under15</x:v>
      </x:c>
      <x:c r="F5355" s="2" t="str">
        <x:v>Population ages 0-14 (% of total population)</x:v>
      </x:c>
    </x:row>
    <x:row r="5356" ht="44" customHeight="1">
      <x:c r="A5356" s="2" t="str">
        <x:v>SVK</x:v>
      </x:c>
      <x:c r="B5356" s="2" t="str">
        <x:v>age_over65</x:v>
      </x:c>
      <x:c r="C5356" s="2" t="n">
        <x:v>19.0363041680723</x:v>
      </x:c>
      <x:c r="D5356" s="2" t="n">
        <x:v>2025</x:v>
      </x:c>
      <x:c r="E5356" s="2" t="str">
        <x:v>WB_age_over65</x:v>
      </x:c>
      <x:c r="F5356" s="2" t="str">
        <x:v>Population ages 65 and above (% of total population)</x:v>
      </x:c>
    </x:row>
    <x:row r="5357" ht="44" customHeight="1">
      <x:c r="A5357" s="2" t="str">
        <x:v>SVK</x:v>
      </x:c>
      <x:c r="B5357" s="2" t="str">
        <x:v>dependency_ratio</x:v>
      </x:c>
      <x:c r="C5357" s="2" t="n">
        <x:v>52.9201296617676</x:v>
      </x:c>
      <x:c r="D5357" s="2" t="n">
        <x:v>2025</x:v>
      </x:c>
      <x:c r="E5357" s="2" t="str">
        <x:v>WB_dependency_ratio</x:v>
      </x:c>
      <x:c r="F5357" s="2" t="str">
        <x:v>Age dependency ratio (% of working-age population)</x:v>
      </x:c>
    </x:row>
    <x:row r="5358" ht="44" customHeight="1">
      <x:c r="A5358" s="2" t="str">
        <x:v>SVK</x:v>
      </x:c>
      <x:c r="B5358" s="2" t="str">
        <x:v>net_migration</x:v>
      </x:c>
      <x:c r="C5358" s="2" t="n">
        <x:v>-31377</x:v>
      </x:c>
      <x:c r="D5358" s="2" t="n">
        <x:v>2025</x:v>
      </x:c>
      <x:c r="E5358" s="2" t="str">
        <x:v>WB_net_migration</x:v>
      </x:c>
      <x:c r="F5358" s="2" t="str">
        <x:v>Net migration</x:v>
      </x:c>
    </x:row>
    <x:row r="5359" ht="44" customHeight="1">
      <x:c r="A5359" s="2" t="str">
        <x:v>SVK</x:v>
      </x:c>
      <x:c r="B5359" s="2" t="str">
        <x:v>real_gdp</x:v>
      </x:c>
      <x:c r="C5359" s="2" t="n">
        <x:v>108093566997.137</x:v>
      </x:c>
      <x:c r="D5359" s="2" t="n">
        <x:v>2025</x:v>
      </x:c>
      <x:c r="E5359" s="2" t="str">
        <x:v>WB_real_gdp</x:v>
      </x:c>
      <x:c r="F5359" s="2" t="str">
        <x:v>GDP (constant 2015 US$)</x:v>
      </x:c>
    </x:row>
    <x:row r="5360" ht="44" customHeight="1">
      <x:c r="A5360" s="2" t="str">
        <x:v>SVK</x:v>
      </x:c>
      <x:c r="B5360" s="2" t="str">
        <x:v>gdp_growth</x:v>
      </x:c>
      <x:c r="C5360" s="2" t="n">
        <x:v>0.807418690144758</x:v>
      </x:c>
      <x:c r="D5360" s="2" t="n">
        <x:v>2025</x:v>
      </x:c>
      <x:c r="E5360" s="2" t="str">
        <x:v>WB_gdp_growth</x:v>
      </x:c>
      <x:c r="F5360" s="2" t="str">
        <x:v>GDP growth (annual %)</x:v>
      </x:c>
    </x:row>
    <x:row r="5361" ht="44" customHeight="1">
      <x:c r="A5361" s="2" t="str">
        <x:v>SVK</x:v>
      </x:c>
      <x:c r="B5361" s="2" t="str">
        <x:v>real_income</x:v>
      </x:c>
      <x:c r="C5361" s="2" t="n">
        <x:v>19966.2542827277</x:v>
      </x:c>
      <x:c r="D5361" s="2" t="n">
        <x:v>2025</x:v>
      </x:c>
      <x:c r="E5361" s="2" t="str">
        <x:v>WB_real_income</x:v>
      </x:c>
      <x:c r="F5361" s="2" t="str">
        <x:v>GDP per capita (constant 2015 US$)</x:v>
      </x:c>
    </x:row>
    <x:row r="5362" ht="44" customHeight="1">
      <x:c r="A5362" s="2" t="str">
        <x:v>SVK</x:v>
      </x:c>
      <x:c r="B5362" s="2" t="str">
        <x:v>agriculture_gdp</x:v>
      </x:c>
      <x:c r="C5362" s="2" t="n">
        <x:v>1.59299327980239</x:v>
      </x:c>
      <x:c r="D5362" s="2" t="n">
        <x:v>2025</x:v>
      </x:c>
      <x:c r="E5362" s="2" t="str">
        <x:v>WB_agriculture_gdp</x:v>
      </x:c>
      <x:c r="F5362" s="2" t="str">
        <x:v>Agriculture, forestry, and fishing, value added (% of GDP)</x:v>
      </x:c>
    </x:row>
    <x:row r="5363" ht="44" customHeight="1">
      <x:c r="A5363" s="2" t="str">
        <x:v>SVK</x:v>
      </x:c>
      <x:c r="B5363" s="2" t="str">
        <x:v>poverty</x:v>
      </x:c>
      <x:c r="C5363" s="2" t="n">
        <x:v>0.5</x:v>
      </x:c>
      <x:c r="D5363" s="2" t="n">
        <x:v>2023</x:v>
      </x:c>
      <x:c r="E5363" s="2" t="str">
        <x:v>WB_poverty</x:v>
      </x:c>
      <x:c r="F5363" s="2" t="str">
        <x:v>Poverty headcount ratio at $3.00 a day (2021 PPP) (% of population)</x:v>
      </x:c>
    </x:row>
    <x:row r="5364" ht="44" customHeight="1">
      <x:c r="A5364" s="2" t="str">
        <x:v>SVK</x:v>
      </x:c>
      <x:c r="B5364" s="2" t="str">
        <x:v>gini</x:v>
      </x:c>
      <x:c r="C5364" s="2" t="n">
        <x:v>23.8</x:v>
      </x:c>
      <x:c r="D5364" s="2" t="n">
        <x:v>2023</x:v>
      </x:c>
      <x:c r="E5364" s="2" t="str">
        <x:v>WB_gini</x:v>
      </x:c>
      <x:c r="F5364" s="2" t="str">
        <x:v>Gini index</x:v>
      </x:c>
    </x:row>
    <x:row r="5365" ht="44" customHeight="1">
      <x:c r="A5365" s="2" t="str">
        <x:v>SVK</x:v>
      </x:c>
      <x:c r="B5365" s="2" t="str">
        <x:v>unemployment</x:v>
      </x:c>
      <x:c r="C5365" s="2" t="n">
        <x:v>5.359</x:v>
      </x:c>
      <x:c r="D5365" s="2" t="n">
        <x:v>2025</x:v>
      </x:c>
      <x:c r="E5365" s="2" t="str">
        <x:v>WB_unemployment</x:v>
      </x:c>
      <x:c r="F5365" s="2" t="str">
        <x:v>Unemployment, total (% of total labor force) (modeled ILO estimate)</x:v>
      </x:c>
    </x:row>
    <x:row r="5366" ht="44" customHeight="1">
      <x:c r="A5366" s="2" t="str">
        <x:v>SVK</x:v>
      </x:c>
      <x:c r="B5366" s="2" t="str">
        <x:v>private_credit</x:v>
      </x:c>
      <x:c r="C5366" s="2" t="n">
        <x:v>59.6509018833935</x:v>
      </x:c>
      <x:c r="D5366" s="2" t="n">
        <x:v>2024</x:v>
      </x:c>
      <x:c r="E5366" s="2" t="str">
        <x:v>WB_private_credit</x:v>
      </x:c>
      <x:c r="F5366" s="2" t="str">
        <x:v>Domestic credit to private sector (% of GDP)</x:v>
      </x:c>
    </x:row>
    <x:row r="5367" ht="44" customHeight="1">
      <x:c r="A5367" s="2" t="str">
        <x:v>SVK</x:v>
      </x:c>
      <x:c r="B5367" s="2" t="str">
        <x:v>lending_rate</x:v>
      </x:c>
      <x:c r="C5367" s="2"/>
      <x:c r="D5367" s="2"/>
      <x:c r="E5367" s="2" t="str">
        <x:v>Missing</x:v>
      </x:c>
      <x:c r="F5367" s="2" t="str">
        <x:v>Lending interest rate (%)</x:v>
      </x:c>
    </x:row>
    <x:row r="5368" ht="44" customHeight="1">
      <x:c r="A5368" s="2" t="str">
        <x:v>SVK</x:v>
      </x:c>
      <x:c r="B5368" s="2" t="str">
        <x:v>real_interest</x:v>
      </x:c>
      <x:c r="C5368" s="2"/>
      <x:c r="D5368" s="2"/>
      <x:c r="E5368" s="2" t="str">
        <x:v>Missing</x:v>
      </x:c>
      <x:c r="F5368" s="2" t="str">
        <x:v>Real interest rate (%)</x:v>
      </x:c>
    </x:row>
    <x:row r="5369" ht="44" customHeight="1">
      <x:c r="A5369" s="2" t="str">
        <x:v>SVK</x:v>
      </x:c>
      <x:c r="B5369" s="2" t="str">
        <x:v>government_debt</x:v>
      </x:c>
      <x:c r="C5369" s="2"/>
      <x:c r="D5369" s="2"/>
      <x:c r="E5369" s="2" t="str">
        <x:v>Missing</x:v>
      </x:c>
      <x:c r="F5369" s="2" t="str">
        <x:v>Central government debt, total (% of GDP)</x:v>
      </x:c>
    </x:row>
    <x:row r="5370" ht="44" customHeight="1">
      <x:c r="A5370" s="2" t="str">
        <x:v>SVK</x:v>
      </x:c>
      <x:c r="B5370" s="2" t="str">
        <x:v>electricity_access</x:v>
      </x:c>
      <x:c r="C5370" s="2" t="n">
        <x:v>100</x:v>
      </x:c>
      <x:c r="D5370" s="2" t="n">
        <x:v>2024</x:v>
      </x:c>
      <x:c r="E5370" s="2" t="str">
        <x:v>WB_electricity_access</x:v>
      </x:c>
      <x:c r="F5370" s="2" t="str">
        <x:v>Access to electricity (% of population)</x:v>
      </x:c>
    </x:row>
    <x:row r="5371" ht="44" customHeight="1">
      <x:c r="A5371" s="2" t="str">
        <x:v>SVK</x:v>
      </x:c>
      <x:c r="B5371" s="2" t="str">
        <x:v>irrigated_land</x:v>
      </x:c>
      <x:c r="C5371" s="2" t="n">
        <x:v>1.27671232876712</x:v>
      </x:c>
      <x:c r="D5371" s="2" t="n">
        <x:v>2023</x:v>
      </x:c>
      <x:c r="E5371" s="2" t="str">
        <x:v>WB_irrigated_land</x:v>
      </x:c>
      <x:c r="F5371" s="2" t="str">
        <x:v>Agricultural irrigated land (% of total agricultural land)</x:v>
      </x:c>
    </x:row>
    <x:row r="5372" ht="44" customHeight="1">
      <x:c r="A5372" s="2" t="str">
        <x:v>SVK</x:v>
      </x:c>
      <x:c r="B5372" s="2" t="str">
        <x:v>cereal_area</x:v>
      </x:c>
      <x:c r="C5372" s="2" t="n">
        <x:v>663130</x:v>
      </x:c>
      <x:c r="D5372" s="2" t="n">
        <x:v>2024</x:v>
      </x:c>
      <x:c r="E5372" s="2" t="str">
        <x:v>WB_cereal_area</x:v>
      </x:c>
      <x:c r="F5372" s="2" t="str">
        <x:v>Land under cereal production (hectares)</x:v>
      </x:c>
    </x:row>
    <x:row r="5373" ht="44" customHeight="1">
      <x:c r="A5373" s="2" t="str">
        <x:v>SVK</x:v>
      </x:c>
      <x:c r="B5373" s="2" t="str">
        <x:v>undernourishment</x:v>
      </x:c>
      <x:c r="C5373" s="2" t="n">
        <x:v>3.1</x:v>
      </x:c>
      <x:c r="D5373" s="2" t="n">
        <x:v>2023</x:v>
      </x:c>
      <x:c r="E5373" s="2" t="str">
        <x:v>WB_undernourishment</x:v>
      </x:c>
      <x:c r="F5373" s="2" t="str">
        <x:v>Prevalence of undernourishment (% of population)</x:v>
      </x:c>
    </x:row>
    <x:row r="5374" ht="44" customHeight="1">
      <x:c r="A5374" s="2" t="str">
        <x:v>SVK</x:v>
      </x:c>
      <x:c r="B5374" s="2" t="str">
        <x:v>agriculture_employment</x:v>
      </x:c>
      <x:c r="C5374" s="2" t="n">
        <x:v>2.16304803036499</x:v>
      </x:c>
      <x:c r="D5374" s="2" t="n">
        <x:v>2025</x:v>
      </x:c>
      <x:c r="E5374" s="2" t="str">
        <x:v>WB_agriculture_employment</x:v>
      </x:c>
      <x:c r="F5374" s="2" t="str">
        <x:v>Employment in agriculture (% of total employment) (modeled ILO estimate)</x:v>
      </x:c>
    </x:row>
    <x:row r="5375" ht="44" customHeight="1">
      <x:c r="A5375" s="2" t="str">
        <x:v>SVK</x:v>
      </x:c>
      <x:c r="B5375" s="2" t="str">
        <x:v>water_withdrawal</x:v>
      </x:c>
      <x:c r="C5375" s="2" t="n">
        <x:v>4.47320253968254</x:v>
      </x:c>
      <x:c r="D5375" s="2" t="n">
        <x:v>2022</x:v>
      </x:c>
      <x:c r="E5375" s="2" t="str">
        <x:v>WB_water_withdrawal</x:v>
      </x:c>
      <x:c r="F5375" s="2" t="str">
        <x:v>Annual freshwater withdrawals, total (% of internal resources)</x:v>
      </x:c>
    </x:row>
    <x:row r="5376" ht="44" customHeight="1">
      <x:c r="A5376" s="2" t="str">
        <x:v>SVN</x:v>
      </x:c>
      <x:c r="B5376" s="2" t="str">
        <x:v>population</x:v>
      </x:c>
      <x:c r="C5376" s="2" t="n">
        <x:v>2130986</x:v>
      </x:c>
      <x:c r="D5376" s="2" t="n">
        <x:v>2025</x:v>
      </x:c>
      <x:c r="E5376" s="2" t="str">
        <x:v>WB_population</x:v>
      </x:c>
      <x:c r="F5376" s="2" t="str">
        <x:v>Population, total</x:v>
      </x:c>
    </x:row>
    <x:row r="5377" ht="44" customHeight="1">
      <x:c r="A5377" s="2" t="str">
        <x:v>SVN</x:v>
      </x:c>
      <x:c r="B5377" s="2" t="str">
        <x:v>income_ppp</x:v>
      </x:c>
      <x:c r="C5377" s="2" t="n">
        <x:v>49091.0184405902</x:v>
      </x:c>
      <x:c r="D5377" s="2" t="n">
        <x:v>2025</x:v>
      </x:c>
      <x:c r="E5377" s="2" t="str">
        <x:v>WB_income_ppp</x:v>
      </x:c>
      <x:c r="F5377" s="2" t="str">
        <x:v>GDP per capita, PPP (constant 2021 international $)</x:v>
      </x:c>
    </x:row>
    <x:row r="5378" ht="44" customHeight="1">
      <x:c r="A5378" s="2" t="str">
        <x:v>SVN</x:v>
      </x:c>
      <x:c r="B5378" s="2" t="str">
        <x:v>urban</x:v>
      </x:c>
      <x:c r="C5378" s="2" t="n">
        <x:v>55.9906997845822</x:v>
      </x:c>
      <x:c r="D5378" s="2" t="n">
        <x:v>2025</x:v>
      </x:c>
      <x:c r="E5378" s="2" t="str">
        <x:v>WB_urban</x:v>
      </x:c>
      <x:c r="F5378" s="2" t="str">
        <x:v>Urban population (% of total population)</x:v>
      </x:c>
    </x:row>
    <x:row r="5379" ht="44" customHeight="1">
      <x:c r="A5379" s="2" t="str">
        <x:v>SVN</x:v>
      </x:c>
      <x:c r="B5379" s="2" t="str">
        <x:v>inflation</x:v>
      </x:c>
      <x:c r="C5379" s="2" t="n">
        <x:v>2.37284807226549</x:v>
      </x:c>
      <x:c r="D5379" s="2" t="n">
        <x:v>2025</x:v>
      </x:c>
      <x:c r="E5379" s="2" t="str">
        <x:v>WB_inflation</x:v>
      </x:c>
      <x:c r="F5379" s="2" t="str">
        <x:v>Inflation, consumer prices (annual %)</x:v>
      </x:c>
    </x:row>
    <x:row r="5380" ht="44" customHeight="1">
      <x:c r="A5380" s="2" t="str">
        <x:v>SVN</x:v>
      </x:c>
      <x:c r="B5380" s="2" t="str">
        <x:v>food_index</x:v>
      </x:c>
      <x:c r="C5380" s="2" t="n">
        <x:v>94</x:v>
      </x:c>
      <x:c r="D5380" s="2" t="n">
        <x:v>2022</x:v>
      </x:c>
      <x:c r="E5380" s="2" t="str">
        <x:v>WB_food_index</x:v>
      </x:c>
      <x:c r="F5380" s="2" t="str">
        <x:v>Food production index (2014-2016 = 100)</x:v>
      </x:c>
    </x:row>
    <x:row r="5381" ht="44" customHeight="1">
      <x:c r="A5381" s="2" t="str">
        <x:v>SVN</x:v>
      </x:c>
      <x:c r="B5381" s="2" t="str">
        <x:v>food_import_share</x:v>
      </x:c>
      <x:c r="C5381" s="2" t="n">
        <x:v>5.34858419236662</x:v>
      </x:c>
      <x:c r="D5381" s="2" t="n">
        <x:v>2024</x:v>
      </x:c>
      <x:c r="E5381" s="2" t="str">
        <x:v>WB_food_import_share</x:v>
      </x:c>
      <x:c r="F5381" s="2" t="str">
        <x:v>Food imports (% of merchandise imports)</x:v>
      </x:c>
    </x:row>
    <x:row r="5382" ht="44" customHeight="1">
      <x:c r="A5382" s="2" t="str">
        <x:v>SVN</x:v>
      </x:c>
      <x:c r="B5382" s="2" t="str">
        <x:v>food_export_share</x:v>
      </x:c>
      <x:c r="C5382" s="2" t="n">
        <x:v>3.68360179773472</x:v>
      </x:c>
      <x:c r="D5382" s="2" t="n">
        <x:v>2024</x:v>
      </x:c>
      <x:c r="E5382" s="2" t="str">
        <x:v>WB_food_export_share</x:v>
      </x:c>
      <x:c r="F5382" s="2" t="str">
        <x:v>Food exports (% of merchandise exports)</x:v>
      </x:c>
    </x:row>
    <x:row r="5383" ht="44" customHeight="1">
      <x:c r="A5383" s="2" t="str">
        <x:v>SVN</x:v>
      </x:c>
      <x:c r="B5383" s="2" t="str">
        <x:v>imports_usd</x:v>
      </x:c>
      <x:c r="C5383" s="2" t="n">
        <x:v>92525000000</x:v>
      </x:c>
      <x:c r="D5383" s="2" t="n">
        <x:v>2025</x:v>
      </x:c>
      <x:c r="E5383" s="2" t="str">
        <x:v>WB_imports_usd</x:v>
      </x:c>
      <x:c r="F5383" s="2" t="str">
        <x:v>Merchandise imports (current US$)</x:v>
      </x:c>
    </x:row>
    <x:row r="5384" ht="44" customHeight="1">
      <x:c r="A5384" s="2" t="str">
        <x:v>SVN</x:v>
      </x:c>
      <x:c r="B5384" s="2" t="str">
        <x:v>exports_usd</x:v>
      </x:c>
      <x:c r="C5384" s="2" t="n">
        <x:v>96596000000</x:v>
      </x:c>
      <x:c r="D5384" s="2" t="n">
        <x:v>2025</x:v>
      </x:c>
      <x:c r="E5384" s="2" t="str">
        <x:v>WB_exports_usd</x:v>
      </x:c>
      <x:c r="F5384" s="2" t="str">
        <x:v>Merchandise exports (current US$)</x:v>
      </x:c>
    </x:row>
    <x:row r="5385" ht="44" customHeight="1">
      <x:c r="A5385" s="2" t="str">
        <x:v>SVN</x:v>
      </x:c>
      <x:c r="B5385" s="2" t="str">
        <x:v>cereal_yield</x:v>
      </x:c>
      <x:c r="C5385" s="2" t="n">
        <x:v>6586</x:v>
      </x:c>
      <x:c r="D5385" s="2" t="n">
        <x:v>2024</x:v>
      </x:c>
      <x:c r="E5385" s="2" t="str">
        <x:v>WB_cereal_yield</x:v>
      </x:c>
      <x:c r="F5385" s="2" t="str">
        <x:v>Cereal yield (kg per hectare)</x:v>
      </x:c>
    </x:row>
    <x:row r="5386" ht="44" customHeight="1">
      <x:c r="A5386" s="2" t="str">
        <x:v>SVN</x:v>
      </x:c>
      <x:c r="B5386" s="2" t="str">
        <x:v>water_stress</x:v>
      </x:c>
      <x:c r="C5386" s="2" t="n">
        <x:v>5.591615957</x:v>
      </x:c>
      <x:c r="D5386" s="2" t="n">
        <x:v>2022</x:v>
      </x:c>
      <x:c r="E5386" s="2" t="str">
        <x:v>WB_water_stress</x:v>
      </x:c>
      <x:c r="F5386" s="2" t="str">
        <x:v>Level of water stress: freshwater withdrawal as a proportion of available freshwater resources</x:v>
      </x:c>
    </x:row>
    <x:row r="5387" ht="44" customHeight="1">
      <x:c r="A5387" s="2" t="str">
        <x:v>SVN</x:v>
      </x:c>
      <x:c r="B5387" s="2" t="str">
        <x:v>fertility</x:v>
      </x:c>
      <x:c r="C5387" s="2" t="n">
        <x:v>1.52</x:v>
      </x:c>
      <x:c r="D5387" s="2" t="n">
        <x:v>2024</x:v>
      </x:c>
      <x:c r="E5387" s="2" t="str">
        <x:v>WB_fertility</x:v>
      </x:c>
      <x:c r="F5387" s="2" t="str">
        <x:v>Fertility rate, total (births per woman)</x:v>
      </x:c>
    </x:row>
    <x:row r="5388" ht="44" customHeight="1">
      <x:c r="A5388" s="2" t="str">
        <x:v>SVN</x:v>
      </x:c>
      <x:c r="B5388" s="2" t="str">
        <x:v>life_expectancy</x:v>
      </x:c>
      <x:c r="C5388" s="2" t="n">
        <x:v>82.2853658536585</x:v>
      </x:c>
      <x:c r="D5388" s="2" t="n">
        <x:v>2024</x:v>
      </x:c>
      <x:c r="E5388" s="2" t="str">
        <x:v>WB_life_expectancy</x:v>
      </x:c>
      <x:c r="F5388" s="2" t="str">
        <x:v>Life expectancy at birth, total (years)</x:v>
      </x:c>
    </x:row>
    <x:row r="5389" ht="44" customHeight="1">
      <x:c r="A5389" s="2" t="str">
        <x:v>SVN</x:v>
      </x:c>
      <x:c r="B5389" s="2" t="str">
        <x:v>age_under15</x:v>
      </x:c>
      <x:c r="C5389" s="2" t="n">
        <x:v>14.4822660731425</x:v>
      </x:c>
      <x:c r="D5389" s="2" t="n">
        <x:v>2025</x:v>
      </x:c>
      <x:c r="E5389" s="2" t="str">
        <x:v>WB_age_under15</x:v>
      </x:c>
      <x:c r="F5389" s="2" t="str">
        <x:v>Population ages 0-14 (% of total population)</x:v>
      </x:c>
    </x:row>
    <x:row r="5390" ht="44" customHeight="1">
      <x:c r="A5390" s="2" t="str">
        <x:v>SVN</x:v>
      </x:c>
      <x:c r="B5390" s="2" t="str">
        <x:v>age_over65</x:v>
      </x:c>
      <x:c r="C5390" s="2" t="n">
        <x:v>22.2111482273631</x:v>
      </x:c>
      <x:c r="D5390" s="2" t="n">
        <x:v>2025</x:v>
      </x:c>
      <x:c r="E5390" s="2" t="str">
        <x:v>WB_age_over65</x:v>
      </x:c>
      <x:c r="F5390" s="2" t="str">
        <x:v>Population ages 65 and above (% of total population)</x:v>
      </x:c>
    </x:row>
    <x:row r="5391" ht="44" customHeight="1">
      <x:c r="A5391" s="2" t="str">
        <x:v>SVN</x:v>
      </x:c>
      <x:c r="B5391" s="2" t="str">
        <x:v>dependency_ratio</x:v>
      </x:c>
      <x:c r="C5391" s="2" t="n">
        <x:v>57.9614307507335</x:v>
      </x:c>
      <x:c r="D5391" s="2" t="n">
        <x:v>2025</x:v>
      </x:c>
      <x:c r="E5391" s="2" t="str">
        <x:v>WB_dependency_ratio</x:v>
      </x:c>
      <x:c r="F5391" s="2" t="str">
        <x:v>Age dependency ratio (% of working-age population)</x:v>
      </x:c>
    </x:row>
    <x:row r="5392" ht="44" customHeight="1">
      <x:c r="A5392" s="2" t="str">
        <x:v>SVN</x:v>
      </x:c>
      <x:c r="B5392" s="2" t="str">
        <x:v>net_migration</x:v>
      </x:c>
      <x:c r="C5392" s="2" t="n">
        <x:v>2711</x:v>
      </x:c>
      <x:c r="D5392" s="2" t="n">
        <x:v>2025</x:v>
      </x:c>
      <x:c r="E5392" s="2" t="str">
        <x:v>WB_net_migration</x:v>
      </x:c>
      <x:c r="F5392" s="2" t="str">
        <x:v>Net migration</x:v>
      </x:c>
    </x:row>
    <x:row r="5393" ht="44" customHeight="1">
      <x:c r="A5393" s="2" t="str">
        <x:v>SVN</x:v>
      </x:c>
      <x:c r="B5393" s="2" t="str">
        <x:v>real_gdp</x:v>
      </x:c>
      <x:c r="C5393" s="2" t="n">
        <x:v>56188114316.4633</x:v>
      </x:c>
      <x:c r="D5393" s="2" t="n">
        <x:v>2025</x:v>
      </x:c>
      <x:c r="E5393" s="2" t="str">
        <x:v>WB_real_gdp</x:v>
      </x:c>
      <x:c r="F5393" s="2" t="str">
        <x:v>GDP (constant 2015 US$)</x:v>
      </x:c>
    </x:row>
    <x:row r="5394" ht="44" customHeight="1">
      <x:c r="A5394" s="2" t="str">
        <x:v>SVN</x:v>
      </x:c>
      <x:c r="B5394" s="2" t="str">
        <x:v>gdp_growth</x:v>
      </x:c>
      <x:c r="C5394" s="2" t="n">
        <x:v>1.05992996255246</x:v>
      </x:c>
      <x:c r="D5394" s="2" t="n">
        <x:v>2025</x:v>
      </x:c>
      <x:c r="E5394" s="2" t="str">
        <x:v>WB_gdp_growth</x:v>
      </x:c>
      <x:c r="F5394" s="2" t="str">
        <x:v>GDP growth (annual %)</x:v>
      </x:c>
    </x:row>
    <x:row r="5395" ht="44" customHeight="1">
      <x:c r="A5395" s="2" t="str">
        <x:v>SVN</x:v>
      </x:c>
      <x:c r="B5395" s="2" t="str">
        <x:v>real_income</x:v>
      </x:c>
      <x:c r="C5395" s="2" t="n">
        <x:v>26367.1907353982</x:v>
      </x:c>
      <x:c r="D5395" s="2" t="n">
        <x:v>2025</x:v>
      </x:c>
      <x:c r="E5395" s="2" t="str">
        <x:v>WB_real_income</x:v>
      </x:c>
      <x:c r="F5395" s="2" t="str">
        <x:v>GDP per capita (constant 2015 US$)</x:v>
      </x:c>
    </x:row>
    <x:row r="5396" ht="44" customHeight="1">
      <x:c r="A5396" s="2" t="str">
        <x:v>SVN</x:v>
      </x:c>
      <x:c r="B5396" s="2" t="str">
        <x:v>agriculture_gdp</x:v>
      </x:c>
      <x:c r="C5396" s="2" t="n">
        <x:v>1.63415417451495</x:v>
      </x:c>
      <x:c r="D5396" s="2" t="n">
        <x:v>2025</x:v>
      </x:c>
      <x:c r="E5396" s="2" t="str">
        <x:v>WB_agriculture_gdp</x:v>
      </x:c>
      <x:c r="F5396" s="2" t="str">
        <x:v>Agriculture, forestry, and fishing, value added (% of GDP)</x:v>
      </x:c>
    </x:row>
    <x:row r="5397" ht="44" customHeight="1">
      <x:c r="A5397" s="2" t="str">
        <x:v>SVN</x:v>
      </x:c>
      <x:c r="B5397" s="2" t="str">
        <x:v>poverty</x:v>
      </x:c>
      <x:c r="C5397" s="2" t="n">
        <x:v>0</x:v>
      </x:c>
      <x:c r="D5397" s="2" t="n">
        <x:v>2023</x:v>
      </x:c>
      <x:c r="E5397" s="2" t="str">
        <x:v>WB_poverty</x:v>
      </x:c>
      <x:c r="F5397" s="2" t="str">
        <x:v>Poverty headcount ratio at $3.00 a day (2021 PPP) (% of population)</x:v>
      </x:c>
    </x:row>
    <x:row r="5398" ht="44" customHeight="1">
      <x:c r="A5398" s="2" t="str">
        <x:v>SVN</x:v>
      </x:c>
      <x:c r="B5398" s="2" t="str">
        <x:v>gini</x:v>
      </x:c>
      <x:c r="C5398" s="2" t="n">
        <x:v>24.7</x:v>
      </x:c>
      <x:c r="D5398" s="2" t="n">
        <x:v>2023</x:v>
      </x:c>
      <x:c r="E5398" s="2" t="str">
        <x:v>WB_gini</x:v>
      </x:c>
      <x:c r="F5398" s="2" t="str">
        <x:v>Gini index</x:v>
      </x:c>
    </x:row>
    <x:row r="5399" ht="44" customHeight="1">
      <x:c r="A5399" s="2" t="str">
        <x:v>SVN</x:v>
      </x:c>
      <x:c r="B5399" s="2" t="str">
        <x:v>unemployment</x:v>
      </x:c>
      <x:c r="C5399" s="2" t="n">
        <x:v>3.175</x:v>
      </x:c>
      <x:c r="D5399" s="2" t="n">
        <x:v>2025</x:v>
      </x:c>
      <x:c r="E5399" s="2" t="str">
        <x:v>WB_unemployment</x:v>
      </x:c>
      <x:c r="F5399" s="2" t="str">
        <x:v>Unemployment, total (% of total labor force) (modeled ILO estimate)</x:v>
      </x:c>
    </x:row>
    <x:row r="5400" ht="44" customHeight="1">
      <x:c r="A5400" s="2" t="str">
        <x:v>SVN</x:v>
      </x:c>
      <x:c r="B5400" s="2" t="str">
        <x:v>private_credit</x:v>
      </x:c>
      <x:c r="C5400" s="2" t="n">
        <x:v>35.4165073993057</x:v>
      </x:c>
      <x:c r="D5400" s="2" t="n">
        <x:v>2024</x:v>
      </x:c>
      <x:c r="E5400" s="2" t="str">
        <x:v>WB_private_credit</x:v>
      </x:c>
      <x:c r="F5400" s="2" t="str">
        <x:v>Domestic credit to private sector (% of GDP)</x:v>
      </x:c>
    </x:row>
    <x:row r="5401" ht="44" customHeight="1">
      <x:c r="A5401" s="2" t="str">
        <x:v>SVN</x:v>
      </x:c>
      <x:c r="B5401" s="2" t="str">
        <x:v>lending_rate</x:v>
      </x:c>
      <x:c r="C5401" s="2"/>
      <x:c r="D5401" s="2"/>
      <x:c r="E5401" s="2" t="str">
        <x:v>Missing</x:v>
      </x:c>
      <x:c r="F5401" s="2" t="str">
        <x:v>Lending interest rate (%)</x:v>
      </x:c>
    </x:row>
    <x:row r="5402" ht="44" customHeight="1">
      <x:c r="A5402" s="2" t="str">
        <x:v>SVN</x:v>
      </x:c>
      <x:c r="B5402" s="2" t="str">
        <x:v>real_interest</x:v>
      </x:c>
      <x:c r="C5402" s="2"/>
      <x:c r="D5402" s="2"/>
      <x:c r="E5402" s="2" t="str">
        <x:v>Missing</x:v>
      </x:c>
      <x:c r="F5402" s="2" t="str">
        <x:v>Real interest rate (%)</x:v>
      </x:c>
    </x:row>
    <x:row r="5403" ht="44" customHeight="1">
      <x:c r="A5403" s="2" t="str">
        <x:v>SVN</x:v>
      </x:c>
      <x:c r="B5403" s="2" t="str">
        <x:v>government_debt</x:v>
      </x:c>
      <x:c r="C5403" s="2"/>
      <x:c r="D5403" s="2"/>
      <x:c r="E5403" s="2" t="str">
        <x:v>Missing</x:v>
      </x:c>
      <x:c r="F5403" s="2" t="str">
        <x:v>Central government debt, total (% of GDP)</x:v>
      </x:c>
    </x:row>
    <x:row r="5404" ht="44" customHeight="1">
      <x:c r="A5404" s="2" t="str">
        <x:v>SVN</x:v>
      </x:c>
      <x:c r="B5404" s="2" t="str">
        <x:v>electricity_access</x:v>
      </x:c>
      <x:c r="C5404" s="2" t="n">
        <x:v>100</x:v>
      </x:c>
      <x:c r="D5404" s="2" t="n">
        <x:v>2024</x:v>
      </x:c>
      <x:c r="E5404" s="2" t="str">
        <x:v>WB_electricity_access</x:v>
      </x:c>
      <x:c r="F5404" s="2" t="str">
        <x:v>Access to electricity (% of population)</x:v>
      </x:c>
    </x:row>
    <x:row r="5405" ht="44" customHeight="1">
      <x:c r="A5405" s="2" t="str">
        <x:v>SVN</x:v>
      </x:c>
      <x:c r="B5405" s="2" t="str">
        <x:v>irrigated_land</x:v>
      </x:c>
      <x:c r="C5405" s="2" t="n">
        <x:v>0.664267015706806</x:v>
      </x:c>
      <x:c r="D5405" s="2" t="n">
        <x:v>2023</x:v>
      </x:c>
      <x:c r="E5405" s="2" t="str">
        <x:v>WB_irrigated_land</x:v>
      </x:c>
      <x:c r="F5405" s="2" t="str">
        <x:v>Agricultural irrigated land (% of total agricultural land)</x:v>
      </x:c>
    </x:row>
    <x:row r="5406" ht="44" customHeight="1">
      <x:c r="A5406" s="2" t="str">
        <x:v>SVN</x:v>
      </x:c>
      <x:c r="B5406" s="2" t="str">
        <x:v>cereal_area</x:v>
      </x:c>
      <x:c r="C5406" s="2" t="n">
        <x:v>102180</x:v>
      </x:c>
      <x:c r="D5406" s="2" t="n">
        <x:v>2024</x:v>
      </x:c>
      <x:c r="E5406" s="2" t="str">
        <x:v>WB_cereal_area</x:v>
      </x:c>
      <x:c r="F5406" s="2" t="str">
        <x:v>Land under cereal production (hectares)</x:v>
      </x:c>
    </x:row>
    <x:row r="5407" ht="44" customHeight="1">
      <x:c r="A5407" s="2" t="str">
        <x:v>SVN</x:v>
      </x:c>
      <x:c r="B5407" s="2" t="str">
        <x:v>undernourishment</x:v>
      </x:c>
      <x:c r="C5407" s="2" t="n">
        <x:v>2.5</x:v>
      </x:c>
      <x:c r="D5407" s="2" t="n">
        <x:v>2023</x:v>
      </x:c>
      <x:c r="E5407" s="2" t="str">
        <x:v>WB_undernourishment</x:v>
      </x:c>
      <x:c r="F5407" s="2" t="str">
        <x:v>Prevalence of undernourishment (% of population)</x:v>
      </x:c>
    </x:row>
    <x:row r="5408" ht="44" customHeight="1">
      <x:c r="A5408" s="2" t="str">
        <x:v>SVN</x:v>
      </x:c>
      <x:c r="B5408" s="2" t="str">
        <x:v>agriculture_employment</x:v>
      </x:c>
      <x:c r="C5408" s="2" t="n">
        <x:v>3.65722292857291</x:v>
      </x:c>
      <x:c r="D5408" s="2" t="n">
        <x:v>2025</x:v>
      </x:c>
      <x:c r="E5408" s="2" t="str">
        <x:v>WB_agriculture_employment</x:v>
      </x:c>
      <x:c r="F5408" s="2" t="str">
        <x:v>Employment in agriculture (% of total employment) (modeled ILO estimate)</x:v>
      </x:c>
    </x:row>
    <x:row r="5409" ht="44" customHeight="1">
      <x:c r="A5409" s="2" t="str">
        <x:v>SVN</x:v>
      </x:c>
      <x:c r="B5409" s="2" t="str">
        <x:v>water_withdrawal</x:v>
      </x:c>
      <x:c r="C5409" s="2" t="n">
        <x:v>4.42956614890198</x:v>
      </x:c>
      <x:c r="D5409" s="2" t="n">
        <x:v>2022</x:v>
      </x:c>
      <x:c r="E5409" s="2" t="str">
        <x:v>WB_water_withdrawal</x:v>
      </x:c>
      <x:c r="F5409" s="2" t="str">
        <x:v>Annual freshwater withdrawals, total (% of internal resources)</x:v>
      </x:c>
    </x:row>
    <x:row r="5410" ht="44" customHeight="1">
      <x:c r="A5410" s="2" t="str">
        <x:v>SLB</x:v>
      </x:c>
      <x:c r="B5410" s="2" t="str">
        <x:v>population</x:v>
      </x:c>
      <x:c r="C5410" s="2" t="n">
        <x:v>838645</x:v>
      </x:c>
      <x:c r="D5410" s="2" t="n">
        <x:v>2025</x:v>
      </x:c>
      <x:c r="E5410" s="2" t="str">
        <x:v>WB_population</x:v>
      </x:c>
      <x:c r="F5410" s="2" t="str">
        <x:v>Population, total</x:v>
      </x:c>
    </x:row>
    <x:row r="5411" ht="44" customHeight="1">
      <x:c r="A5411" s="2" t="str">
        <x:v>SLB</x:v>
      </x:c>
      <x:c r="B5411" s="2" t="str">
        <x:v>income_ppp</x:v>
      </x:c>
      <x:c r="C5411" s="2" t="n">
        <x:v>2382.1314520674</x:v>
      </x:c>
      <x:c r="D5411" s="2" t="n">
        <x:v>2025</x:v>
      </x:c>
      <x:c r="E5411" s="2" t="str">
        <x:v>WB_income_ppp</x:v>
      </x:c>
      <x:c r="F5411" s="2" t="str">
        <x:v>GDP per capita, PPP (constant 2021 international $)</x:v>
      </x:c>
    </x:row>
    <x:row r="5412" ht="44" customHeight="1">
      <x:c r="A5412" s="2" t="str">
        <x:v>SLB</x:v>
      </x:c>
      <x:c r="B5412" s="2" t="str">
        <x:v>urban</x:v>
      </x:c>
      <x:c r="C5412" s="2" t="n">
        <x:v>31.3093190325418</x:v>
      </x:c>
      <x:c r="D5412" s="2" t="n">
        <x:v>2025</x:v>
      </x:c>
      <x:c r="E5412" s="2" t="str">
        <x:v>WB_urban</x:v>
      </x:c>
      <x:c r="F5412" s="2" t="str">
        <x:v>Urban population (% of total population)</x:v>
      </x:c>
    </x:row>
    <x:row r="5413" ht="44" customHeight="1">
      <x:c r="A5413" s="2" t="str">
        <x:v>SLB</x:v>
      </x:c>
      <x:c r="B5413" s="2" t="str">
        <x:v>inflation</x:v>
      </x:c>
      <x:c r="C5413" s="2" t="n">
        <x:v>3.36462189317825</x:v>
      </x:c>
      <x:c r="D5413" s="2" t="n">
        <x:v>2025</x:v>
      </x:c>
      <x:c r="E5413" s="2" t="str">
        <x:v>WB_inflation</x:v>
      </x:c>
      <x:c r="F5413" s="2" t="str">
        <x:v>Inflation, consumer prices (annual %)</x:v>
      </x:c>
    </x:row>
    <x:row r="5414" ht="44" customHeight="1">
      <x:c r="A5414" s="2" t="str">
        <x:v>SLB</x:v>
      </x:c>
      <x:c r="B5414" s="2" t="str">
        <x:v>food_index</x:v>
      </x:c>
      <x:c r="C5414" s="2" t="n">
        <x:v>100.49</x:v>
      </x:c>
      <x:c r="D5414" s="2" t="n">
        <x:v>2022</x:v>
      </x:c>
      <x:c r="E5414" s="2" t="str">
        <x:v>WB_food_index</x:v>
      </x:c>
      <x:c r="F5414" s="2" t="str">
        <x:v>Food production index (2014-2016 = 100)</x:v>
      </x:c>
    </x:row>
    <x:row r="5415" ht="44" customHeight="1">
      <x:c r="A5415" s="2" t="str">
        <x:v>SLB</x:v>
      </x:c>
      <x:c r="B5415" s="2" t="str">
        <x:v>food_import_share</x:v>
      </x:c>
      <x:c r="C5415" s="2" t="n">
        <x:v>22.1945814666512</x:v>
      </x:c>
      <x:c r="D5415" s="2" t="n">
        <x:v>2018</x:v>
      </x:c>
      <x:c r="E5415" s="2" t="str">
        <x:v>WB_food_import_share</x:v>
      </x:c>
      <x:c r="F5415" s="2" t="str">
        <x:v>Food imports (% of merchandise imports)</x:v>
      </x:c>
    </x:row>
    <x:row r="5416" ht="44" customHeight="1">
      <x:c r="A5416" s="2" t="str">
        <x:v>SLB</x:v>
      </x:c>
      <x:c r="B5416" s="2" t="str">
        <x:v>food_export_share</x:v>
      </x:c>
      <x:c r="C5416" s="2" t="n">
        <x:v>20.148573441407</x:v>
      </x:c>
      <x:c r="D5416" s="2" t="n">
        <x:v>2018</x:v>
      </x:c>
      <x:c r="E5416" s="2" t="str">
        <x:v>WB_food_export_share</x:v>
      </x:c>
      <x:c r="F5416" s="2" t="str">
        <x:v>Food exports (% of merchandise exports)</x:v>
      </x:c>
    </x:row>
    <x:row r="5417" ht="44" customHeight="1">
      <x:c r="A5417" s="2" t="str">
        <x:v>SLB</x:v>
      </x:c>
      <x:c r="B5417" s="2" t="str">
        <x:v>imports_usd</x:v>
      </x:c>
      <x:c r="C5417" s="2" t="n">
        <x:v>790000000</x:v>
      </x:c>
      <x:c r="D5417" s="2" t="n">
        <x:v>2025</x:v>
      </x:c>
      <x:c r="E5417" s="2" t="str">
        <x:v>WB_imports_usd</x:v>
      </x:c>
      <x:c r="F5417" s="2" t="str">
        <x:v>Merchandise imports (current US$)</x:v>
      </x:c>
    </x:row>
    <x:row r="5418" ht="44" customHeight="1">
      <x:c r="A5418" s="2" t="str">
        <x:v>SLB</x:v>
      </x:c>
      <x:c r="B5418" s="2" t="str">
        <x:v>exports_usd</x:v>
      </x:c>
      <x:c r="C5418" s="2" t="n">
        <x:v>677000000</x:v>
      </x:c>
      <x:c r="D5418" s="2" t="n">
        <x:v>2025</x:v>
      </x:c>
      <x:c r="E5418" s="2" t="str">
        <x:v>WB_exports_usd</x:v>
      </x:c>
      <x:c r="F5418" s="2" t="str">
        <x:v>Merchandise exports (current US$)</x:v>
      </x:c>
    </x:row>
    <x:row r="5419" ht="44" customHeight="1">
      <x:c r="A5419" s="2" t="str">
        <x:v>SLB</x:v>
      </x:c>
      <x:c r="B5419" s="2" t="str">
        <x:v>cereal_yield</x:v>
      </x:c>
      <x:c r="C5419" s="2" t="n">
        <x:v>1900.5</x:v>
      </x:c>
      <x:c r="D5419" s="2" t="n">
        <x:v>2023</x:v>
      </x:c>
      <x:c r="E5419" s="2" t="str">
        <x:v>WB_cereal_yield</x:v>
      </x:c>
      <x:c r="F5419" s="2" t="str">
        <x:v>Cereal yield (kg per hectare)</x:v>
      </x:c>
    </x:row>
    <x:row r="5420" ht="44" customHeight="1">
      <x:c r="A5420" s="2" t="str">
        <x:v>SLB</x:v>
      </x:c>
      <x:c r="B5420" s="2" t="str">
        <x:v>water_stress</x:v>
      </x:c>
      <x:c r="C5420" s="2"/>
      <x:c r="D5420" s="2"/>
      <x:c r="E5420" s="2" t="str">
        <x:v>Missing</x:v>
      </x:c>
      <x:c r="F5420" s="2" t="str">
        <x:v>Level of water stress: freshwater withdrawal as a proportion of available freshwater resources</x:v>
      </x:c>
    </x:row>
    <x:row r="5421" ht="44" customHeight="1">
      <x:c r="A5421" s="2" t="str">
        <x:v>SLB</x:v>
      </x:c>
      <x:c r="B5421" s="2" t="str">
        <x:v>fertility</x:v>
      </x:c>
      <x:c r="C5421" s="2" t="n">
        <x:v>3.513</x:v>
      </x:c>
      <x:c r="D5421" s="2" t="n">
        <x:v>2024</x:v>
      </x:c>
      <x:c r="E5421" s="2" t="str">
        <x:v>WB_fertility</x:v>
      </x:c>
      <x:c r="F5421" s="2" t="str">
        <x:v>Fertility rate, total (births per woman)</x:v>
      </x:c>
    </x:row>
    <x:row r="5422" ht="44" customHeight="1">
      <x:c r="A5422" s="2" t="str">
        <x:v>SLB</x:v>
      </x:c>
      <x:c r="B5422" s="2" t="str">
        <x:v>life_expectancy</x:v>
      </x:c>
      <x:c r="C5422" s="2" t="n">
        <x:v>70.694</x:v>
      </x:c>
      <x:c r="D5422" s="2" t="n">
        <x:v>2024</x:v>
      </x:c>
      <x:c r="E5422" s="2" t="str">
        <x:v>WB_life_expectancy</x:v>
      </x:c>
      <x:c r="F5422" s="2" t="str">
        <x:v>Life expectancy at birth, total (years)</x:v>
      </x:c>
    </x:row>
    <x:row r="5423" ht="44" customHeight="1">
      <x:c r="A5423" s="2" t="str">
        <x:v>SLB</x:v>
      </x:c>
      <x:c r="B5423" s="2" t="str">
        <x:v>age_under15</x:v>
      </x:c>
      <x:c r="C5423" s="2" t="n">
        <x:v>36.5575800502119</x:v>
      </x:c>
      <x:c r="D5423" s="2" t="n">
        <x:v>2025</x:v>
      </x:c>
      <x:c r="E5423" s="2" t="str">
        <x:v>WB_age_under15</x:v>
      </x:c>
      <x:c r="F5423" s="2" t="str">
        <x:v>Population ages 0-14 (% of total population)</x:v>
      </x:c>
    </x:row>
    <x:row r="5424" ht="44" customHeight="1">
      <x:c r="A5424" s="2" t="str">
        <x:v>SLB</x:v>
      </x:c>
      <x:c r="B5424" s="2" t="str">
        <x:v>age_over65</x:v>
      </x:c>
      <x:c r="C5424" s="2" t="n">
        <x:v>3.66871341943646</x:v>
      </x:c>
      <x:c r="D5424" s="2" t="n">
        <x:v>2025</x:v>
      </x:c>
      <x:c r="E5424" s="2" t="str">
        <x:v>WB_age_over65</x:v>
      </x:c>
      <x:c r="F5424" s="2" t="str">
        <x:v>Population ages 65 and above (% of total population)</x:v>
      </x:c>
    </x:row>
    <x:row r="5425" ht="44" customHeight="1">
      <x:c r="A5425" s="2" t="str">
        <x:v>SLB</x:v>
      </x:c>
      <x:c r="B5425" s="2" t="str">
        <x:v>dependency_ratio</x:v>
      </x:c>
      <x:c r="C5425" s="2" t="n">
        <x:v>67.2975070268847</x:v>
      </x:c>
      <x:c r="D5425" s="2" t="n">
        <x:v>2025</x:v>
      </x:c>
      <x:c r="E5425" s="2" t="str">
        <x:v>WB_dependency_ratio</x:v>
      </x:c>
      <x:c r="F5425" s="2" t="str">
        <x:v>Age dependency ratio (% of working-age population)</x:v>
      </x:c>
    </x:row>
    <x:row r="5426" ht="44" customHeight="1">
      <x:c r="A5426" s="2" t="str">
        <x:v>SLB</x:v>
      </x:c>
      <x:c r="B5426" s="2" t="str">
        <x:v>net_migration</x:v>
      </x:c>
      <x:c r="C5426" s="2" t="n">
        <x:v>1631</x:v>
      </x:c>
      <x:c r="D5426" s="2" t="n">
        <x:v>2025</x:v>
      </x:c>
      <x:c r="E5426" s="2" t="str">
        <x:v>WB_net_migration</x:v>
      </x:c>
      <x:c r="F5426" s="2" t="str">
        <x:v>Net migration</x:v>
      </x:c>
    </x:row>
    <x:row r="5427" ht="44" customHeight="1">
      <x:c r="A5427" s="2" t="str">
        <x:v>SLB</x:v>
      </x:c>
      <x:c r="B5427" s="2" t="str">
        <x:v>real_gdp</x:v>
      </x:c>
      <x:c r="C5427" s="2" t="n">
        <x:v>1533311980.79215</x:v>
      </x:c>
      <x:c r="D5427" s="2" t="n">
        <x:v>2025</x:v>
      </x:c>
      <x:c r="E5427" s="2" t="str">
        <x:v>WB_real_gdp</x:v>
      </x:c>
      <x:c r="F5427" s="2" t="str">
        <x:v>GDP (constant 2015 US$)</x:v>
      </x:c>
    </x:row>
    <x:row r="5428" ht="44" customHeight="1">
      <x:c r="A5428" s="2" t="str">
        <x:v>SLB</x:v>
      </x:c>
      <x:c r="B5428" s="2" t="str">
        <x:v>gdp_growth</x:v>
      </x:c>
      <x:c r="C5428" s="2" t="n">
        <x:v>3.61715088072386</x:v>
      </x:c>
      <x:c r="D5428" s="2" t="n">
        <x:v>2025</x:v>
      </x:c>
      <x:c r="E5428" s="2" t="str">
        <x:v>WB_gdp_growth</x:v>
      </x:c>
      <x:c r="F5428" s="2" t="str">
        <x:v>GDP growth (annual %)</x:v>
      </x:c>
    </x:row>
    <x:row r="5429" ht="44" customHeight="1">
      <x:c r="A5429" s="2" t="str">
        <x:v>SLB</x:v>
      </x:c>
      <x:c r="B5429" s="2" t="str">
        <x:v>real_income</x:v>
      </x:c>
      <x:c r="C5429" s="2" t="n">
        <x:v>1828.320661057</x:v>
      </x:c>
      <x:c r="D5429" s="2" t="n">
        <x:v>2025</x:v>
      </x:c>
      <x:c r="E5429" s="2" t="str">
        <x:v>WB_real_income</x:v>
      </x:c>
      <x:c r="F5429" s="2" t="str">
        <x:v>GDP per capita (constant 2015 US$)</x:v>
      </x:c>
    </x:row>
    <x:row r="5430" ht="44" customHeight="1">
      <x:c r="A5430" s="2" t="str">
        <x:v>SLB</x:v>
      </x:c>
      <x:c r="B5430" s="2" t="str">
        <x:v>agriculture_gdp</x:v>
      </x:c>
      <x:c r="C5430" s="2" t="n">
        <x:v>29.7259901683685</x:v>
      </x:c>
      <x:c r="D5430" s="2" t="n">
        <x:v>2024</x:v>
      </x:c>
      <x:c r="E5430" s="2" t="str">
        <x:v>WB_agriculture_gdp</x:v>
      </x:c>
      <x:c r="F5430" s="2" t="str">
        <x:v>Agriculture, forestry, and fishing, value added (% of GDP)</x:v>
      </x:c>
    </x:row>
    <x:row r="5431" ht="44" customHeight="1">
      <x:c r="A5431" s="2" t="str">
        <x:v>SLB</x:v>
      </x:c>
      <x:c r="B5431" s="2" t="str">
        <x:v>poverty</x:v>
      </x:c>
      <x:c r="C5431" s="2" t="n">
        <x:v>40.3</x:v>
      </x:c>
      <x:c r="D5431" s="2" t="n">
        <x:v>2012</x:v>
      </x:c>
      <x:c r="E5431" s="2" t="str">
        <x:v>WB_poverty</x:v>
      </x:c>
      <x:c r="F5431" s="2" t="str">
        <x:v>Poverty headcount ratio at $3.00 a day (2021 PPP) (% of population)</x:v>
      </x:c>
    </x:row>
    <x:row r="5432" ht="44" customHeight="1">
      <x:c r="A5432" s="2" t="str">
        <x:v>SLB</x:v>
      </x:c>
      <x:c r="B5432" s="2" t="str">
        <x:v>gini</x:v>
      </x:c>
      <x:c r="C5432" s="2" t="n">
        <x:v>37.1</x:v>
      </x:c>
      <x:c r="D5432" s="2" t="n">
        <x:v>2012</x:v>
      </x:c>
      <x:c r="E5432" s="2" t="str">
        <x:v>WB_gini</x:v>
      </x:c>
      <x:c r="F5432" s="2" t="str">
        <x:v>Gini index</x:v>
      </x:c>
    </x:row>
    <x:row r="5433" ht="44" customHeight="1">
      <x:c r="A5433" s="2" t="str">
        <x:v>SLB</x:v>
      </x:c>
      <x:c r="B5433" s="2" t="str">
        <x:v>unemployment</x:v>
      </x:c>
      <x:c r="C5433" s="2" t="n">
        <x:v>1.431</x:v>
      </x:c>
      <x:c r="D5433" s="2" t="n">
        <x:v>2025</x:v>
      </x:c>
      <x:c r="E5433" s="2" t="str">
        <x:v>WB_unemployment</x:v>
      </x:c>
      <x:c r="F5433" s="2" t="str">
        <x:v>Unemployment, total (% of total labor force) (modeled ILO estimate)</x:v>
      </x:c>
    </x:row>
    <x:row r="5434" ht="44" customHeight="1">
      <x:c r="A5434" s="2" t="str">
        <x:v>SLB</x:v>
      </x:c>
      <x:c r="B5434" s="2" t="str">
        <x:v>private_credit</x:v>
      </x:c>
      <x:c r="C5434" s="2" t="n">
        <x:v>33.6944114849329</x:v>
      </x:c>
      <x:c r="D5434" s="2" t="n">
        <x:v>2024</x:v>
      </x:c>
      <x:c r="E5434" s="2" t="str">
        <x:v>WB_private_credit</x:v>
      </x:c>
      <x:c r="F5434" s="2" t="str">
        <x:v>Domestic credit to private sector (% of GDP)</x:v>
      </x:c>
    </x:row>
    <x:row r="5435" ht="44" customHeight="1">
      <x:c r="A5435" s="2" t="str">
        <x:v>SLB</x:v>
      </x:c>
      <x:c r="B5435" s="2" t="str">
        <x:v>lending_rate</x:v>
      </x:c>
      <x:c r="C5435" s="2" t="n">
        <x:v>5.17570858864648</x:v>
      </x:c>
      <x:c r="D5435" s="2" t="n">
        <x:v>2021</x:v>
      </x:c>
      <x:c r="E5435" s="2" t="str">
        <x:v>WB_lending_rate</x:v>
      </x:c>
      <x:c r="F5435" s="2" t="str">
        <x:v>Lending interest rate (%)</x:v>
      </x:c>
    </x:row>
    <x:row r="5436" ht="44" customHeight="1">
      <x:c r="A5436" s="2" t="str">
        <x:v>SLB</x:v>
      </x:c>
      <x:c r="B5436" s="2" t="str">
        <x:v>real_interest</x:v>
      </x:c>
      <x:c r="C5436" s="2" t="n">
        <x:v>5.80449063618866</x:v>
      </x:c>
      <x:c r="D5436" s="2" t="n">
        <x:v>2021</x:v>
      </x:c>
      <x:c r="E5436" s="2" t="str">
        <x:v>WB_real_interest</x:v>
      </x:c>
      <x:c r="F5436" s="2" t="str">
        <x:v>Real interest rate (%)</x:v>
      </x:c>
    </x:row>
    <x:row r="5437" ht="44" customHeight="1">
      <x:c r="A5437" s="2" t="str">
        <x:v>SLB</x:v>
      </x:c>
      <x:c r="B5437" s="2" t="str">
        <x:v>government_debt</x:v>
      </x:c>
      <x:c r="C5437" s="2" t="n">
        <x:v>26.0369330663254</x:v>
      </x:c>
      <x:c r="D5437" s="2" t="n">
        <x:v>2024</x:v>
      </x:c>
      <x:c r="E5437" s="2" t="str">
        <x:v>WB_government_debt</x:v>
      </x:c>
      <x:c r="F5437" s="2" t="str">
        <x:v>Central government debt, total (% of GDP)</x:v>
      </x:c>
    </x:row>
    <x:row r="5438" ht="44" customHeight="1">
      <x:c r="A5438" s="2" t="str">
        <x:v>SLB</x:v>
      </x:c>
      <x:c r="B5438" s="2" t="str">
        <x:v>electricity_access</x:v>
      </x:c>
      <x:c r="C5438" s="2" t="n">
        <x:v>81.5</x:v>
      </x:c>
      <x:c r="D5438" s="2" t="n">
        <x:v>2024</x:v>
      </x:c>
      <x:c r="E5438" s="2" t="str">
        <x:v>WB_electricity_access</x:v>
      </x:c>
      <x:c r="F5438" s="2" t="str">
        <x:v>Access to electricity (% of population)</x:v>
      </x:c>
    </x:row>
    <x:row r="5439" ht="44" customHeight="1">
      <x:c r="A5439" s="2" t="str">
        <x:v>SLB</x:v>
      </x:c>
      <x:c r="B5439" s="2" t="str">
        <x:v>irrigated_land</x:v>
      </x:c>
      <x:c r="C5439" s="2"/>
      <x:c r="D5439" s="2"/>
      <x:c r="E5439" s="2" t="str">
        <x:v>Missing</x:v>
      </x:c>
      <x:c r="F5439" s="2" t="str">
        <x:v>Agricultural irrigated land (% of total agricultural land)</x:v>
      </x:c>
    </x:row>
    <x:row r="5440" ht="44" customHeight="1">
      <x:c r="A5440" s="2" t="str">
        <x:v>SLB</x:v>
      </x:c>
      <x:c r="B5440" s="2" t="str">
        <x:v>cereal_area</x:v>
      </x:c>
      <x:c r="C5440" s="2" t="n">
        <x:v>1448</x:v>
      </x:c>
      <x:c r="D5440" s="2" t="n">
        <x:v>2023</x:v>
      </x:c>
      <x:c r="E5440" s="2" t="str">
        <x:v>WB_cereal_area</x:v>
      </x:c>
      <x:c r="F5440" s="2" t="str">
        <x:v>Land under cereal production (hectares)</x:v>
      </x:c>
    </x:row>
    <x:row r="5441" ht="44" customHeight="1">
      <x:c r="A5441" s="2" t="str">
        <x:v>SLB</x:v>
      </x:c>
      <x:c r="B5441" s="2" t="str">
        <x:v>undernourishment</x:v>
      </x:c>
      <x:c r="C5441" s="2" t="n">
        <x:v>20</x:v>
      </x:c>
      <x:c r="D5441" s="2" t="n">
        <x:v>2023</x:v>
      </x:c>
      <x:c r="E5441" s="2" t="str">
        <x:v>WB_undernourishment</x:v>
      </x:c>
      <x:c r="F5441" s="2" t="str">
        <x:v>Prevalence of undernourishment (% of population)</x:v>
      </x:c>
    </x:row>
    <x:row r="5442" ht="44" customHeight="1">
      <x:c r="A5442" s="2" t="str">
        <x:v>SLB</x:v>
      </x:c>
      <x:c r="B5442" s="2" t="str">
        <x:v>agriculture_employment</x:v>
      </x:c>
      <x:c r="C5442" s="2" t="n">
        <x:v>42.4665559783027</x:v>
      </x:c>
      <x:c r="D5442" s="2" t="n">
        <x:v>2025</x:v>
      </x:c>
      <x:c r="E5442" s="2" t="str">
        <x:v>WB_agriculture_employment</x:v>
      </x:c>
      <x:c r="F5442" s="2" t="str">
        <x:v>Employment in agriculture (% of total employment) (modeled ILO estimate)</x:v>
      </x:c>
    </x:row>
    <x:row r="5443" ht="44" customHeight="1">
      <x:c r="A5443" s="2" t="str">
        <x:v>SLB</x:v>
      </x:c>
      <x:c r="B5443" s="2" t="str">
        <x:v>water_withdrawal</x:v>
      </x:c>
      <x:c r="C5443" s="2"/>
      <x:c r="D5443" s="2"/>
      <x:c r="E5443" s="2" t="str">
        <x:v>Missing</x:v>
      </x:c>
      <x:c r="F5443" s="2" t="str">
        <x:v>Annual freshwater withdrawals, total (% of internal resources)</x:v>
      </x:c>
    </x:row>
    <x:row r="5444" ht="44" customHeight="1">
      <x:c r="A5444" s="2" t="str">
        <x:v>SOM</x:v>
      </x:c>
      <x:c r="B5444" s="2" t="str">
        <x:v>population</x:v>
      </x:c>
      <x:c r="C5444" s="2" t="n">
        <x:v>19654739</x:v>
      </x:c>
      <x:c r="D5444" s="2" t="n">
        <x:v>2025</x:v>
      </x:c>
      <x:c r="E5444" s="2" t="str">
        <x:v>WB_population</x:v>
      </x:c>
      <x:c r="F5444" s="2" t="str">
        <x:v>Population, total</x:v>
      </x:c>
    </x:row>
    <x:row r="5445" ht="44" customHeight="1">
      <x:c r="A5445" s="2" t="str">
        <x:v>SOM</x:v>
      </x:c>
      <x:c r="B5445" s="2" t="str">
        <x:v>income_ppp</x:v>
      </x:c>
      <x:c r="C5445" s="2" t="n">
        <x:v>1403.81389064466</x:v>
      </x:c>
      <x:c r="D5445" s="2" t="n">
        <x:v>2025</x:v>
      </x:c>
      <x:c r="E5445" s="2" t="str">
        <x:v>WB_income_ppp</x:v>
      </x:c>
      <x:c r="F5445" s="2" t="str">
        <x:v>GDP per capita, PPP (constant 2021 international $)</x:v>
      </x:c>
    </x:row>
    <x:row r="5446" ht="44" customHeight="1">
      <x:c r="A5446" s="2" t="str">
        <x:v>SOM</x:v>
      </x:c>
      <x:c r="B5446" s="2" t="str">
        <x:v>urban</x:v>
      </x:c>
      <x:c r="C5446" s="2" t="n">
        <x:v>55.1399062872976</x:v>
      </x:c>
      <x:c r="D5446" s="2" t="n">
        <x:v>2025</x:v>
      </x:c>
      <x:c r="E5446" s="2" t="str">
        <x:v>WB_urban</x:v>
      </x:c>
      <x:c r="F5446" s="2" t="str">
        <x:v>Urban population (% of total population)</x:v>
      </x:c>
    </x:row>
    <x:row r="5447" ht="44" customHeight="1">
      <x:c r="A5447" s="2" t="str">
        <x:v>SOM</x:v>
      </x:c>
      <x:c r="B5447" s="2" t="str">
        <x:v>inflation</x:v>
      </x:c>
      <x:c r="C5447" s="2"/>
      <x:c r="D5447" s="2"/>
      <x:c r="E5447" s="2" t="str">
        <x:v>Missing</x:v>
      </x:c>
      <x:c r="F5447" s="2" t="str">
        <x:v>Inflation, consumer prices (annual %)</x:v>
      </x:c>
    </x:row>
    <x:row r="5448" ht="44" customHeight="1">
      <x:c r="A5448" s="2" t="str">
        <x:v>SOM</x:v>
      </x:c>
      <x:c r="B5448" s="2" t="str">
        <x:v>food_index</x:v>
      </x:c>
      <x:c r="C5448" s="2" t="n">
        <x:v>98.94</x:v>
      </x:c>
      <x:c r="D5448" s="2" t="n">
        <x:v>2022</x:v>
      </x:c>
      <x:c r="E5448" s="2" t="str">
        <x:v>WB_food_index</x:v>
      </x:c>
      <x:c r="F5448" s="2" t="str">
        <x:v>Food production index (2014-2016 = 100)</x:v>
      </x:c>
    </x:row>
    <x:row r="5449" ht="44" customHeight="1">
      <x:c r="A5449" s="2" t="str">
        <x:v>SOM</x:v>
      </x:c>
      <x:c r="B5449" s="2" t="str">
        <x:v>food_import_share</x:v>
      </x:c>
      <x:c r="C5449" s="2"/>
      <x:c r="D5449" s="2"/>
      <x:c r="E5449" s="2" t="str">
        <x:v>Missing</x:v>
      </x:c>
      <x:c r="F5449" s="2" t="str">
        <x:v>Food imports (% of merchandise imports)</x:v>
      </x:c>
    </x:row>
    <x:row r="5450" ht="44" customHeight="1">
      <x:c r="A5450" s="2" t="str">
        <x:v>SOM</x:v>
      </x:c>
      <x:c r="B5450" s="2" t="str">
        <x:v>food_export_share</x:v>
      </x:c>
      <x:c r="C5450" s="2"/>
      <x:c r="D5450" s="2"/>
      <x:c r="E5450" s="2" t="str">
        <x:v>Missing</x:v>
      </x:c>
      <x:c r="F5450" s="2" t="str">
        <x:v>Food exports (% of merchandise exports)</x:v>
      </x:c>
    </x:row>
    <x:row r="5451" ht="44" customHeight="1">
      <x:c r="A5451" s="2" t="str">
        <x:v>SOM</x:v>
      </x:c>
      <x:c r="B5451" s="2" t="str">
        <x:v>imports_usd</x:v>
      </x:c>
      <x:c r="C5451" s="2" t="n">
        <x:v>3930000000</x:v>
      </x:c>
      <x:c r="D5451" s="2" t="n">
        <x:v>2025</x:v>
      </x:c>
      <x:c r="E5451" s="2" t="str">
        <x:v>WB_imports_usd</x:v>
      </x:c>
      <x:c r="F5451" s="2" t="str">
        <x:v>Merchandise imports (current US$)</x:v>
      </x:c>
    </x:row>
    <x:row r="5452" ht="44" customHeight="1">
      <x:c r="A5452" s="2" t="str">
        <x:v>SOM</x:v>
      </x:c>
      <x:c r="B5452" s="2" t="str">
        <x:v>exports_usd</x:v>
      </x:c>
      <x:c r="C5452" s="2" t="n">
        <x:v>1300000000</x:v>
      </x:c>
      <x:c r="D5452" s="2" t="n">
        <x:v>2025</x:v>
      </x:c>
      <x:c r="E5452" s="2" t="str">
        <x:v>WB_exports_usd</x:v>
      </x:c>
      <x:c r="F5452" s="2" t="str">
        <x:v>Merchandise exports (current US$)</x:v>
      </x:c>
    </x:row>
    <x:row r="5453" ht="44" customHeight="1">
      <x:c r="A5453" s="2" t="str">
        <x:v>SOM</x:v>
      </x:c>
      <x:c r="B5453" s="2" t="str">
        <x:v>cereal_yield</x:v>
      </x:c>
      <x:c r="C5453" s="2" t="n">
        <x:v>503.5</x:v>
      </x:c>
      <x:c r="D5453" s="2" t="n">
        <x:v>2023</x:v>
      </x:c>
      <x:c r="E5453" s="2" t="str">
        <x:v>WB_cereal_yield</x:v>
      </x:c>
      <x:c r="F5453" s="2" t="str">
        <x:v>Cereal yield (kg per hectare)</x:v>
      </x:c>
    </x:row>
    <x:row r="5454" ht="44" customHeight="1">
      <x:c r="A5454" s="2" t="str">
        <x:v>SOM</x:v>
      </x:c>
      <x:c r="B5454" s="2" t="str">
        <x:v>water_stress</x:v>
      </x:c>
      <x:c r="C5454" s="2" t="n">
        <x:v>24.52774059</x:v>
      </x:c>
      <x:c r="D5454" s="2" t="n">
        <x:v>2022</x:v>
      </x:c>
      <x:c r="E5454" s="2" t="str">
        <x:v>WB_water_stress</x:v>
      </x:c>
      <x:c r="F5454" s="2" t="str">
        <x:v>Level of water stress: freshwater withdrawal as a proportion of available freshwater resources</x:v>
      </x:c>
    </x:row>
    <x:row r="5455" ht="44" customHeight="1">
      <x:c r="A5455" s="2" t="str">
        <x:v>SOM</x:v>
      </x:c>
      <x:c r="B5455" s="2" t="str">
        <x:v>fertility</x:v>
      </x:c>
      <x:c r="C5455" s="2" t="n">
        <x:v>6.013</x:v>
      </x:c>
      <x:c r="D5455" s="2" t="n">
        <x:v>2024</x:v>
      </x:c>
      <x:c r="E5455" s="2" t="str">
        <x:v>WB_fertility</x:v>
      </x:c>
      <x:c r="F5455" s="2" t="str">
        <x:v>Fertility rate, total (births per woman)</x:v>
      </x:c>
    </x:row>
    <x:row r="5456" ht="44" customHeight="1">
      <x:c r="A5456" s="2" t="str">
        <x:v>SOM</x:v>
      </x:c>
      <x:c r="B5456" s="2" t="str">
        <x:v>life_expectancy</x:v>
      </x:c>
      <x:c r="C5456" s="2" t="n">
        <x:v>58.967</x:v>
      </x:c>
      <x:c r="D5456" s="2" t="n">
        <x:v>2024</x:v>
      </x:c>
      <x:c r="E5456" s="2" t="str">
        <x:v>WB_life_expectancy</x:v>
      </x:c>
      <x:c r="F5456" s="2" t="str">
        <x:v>Life expectancy at birth, total (years)</x:v>
      </x:c>
    </x:row>
    <x:row r="5457" ht="44" customHeight="1">
      <x:c r="A5457" s="2" t="str">
        <x:v>SOM</x:v>
      </x:c>
      <x:c r="B5457" s="2" t="str">
        <x:v>age_under15</x:v>
      </x:c>
      <x:c r="C5457" s="2" t="n">
        <x:v>46.5538794486154</x:v>
      </x:c>
      <x:c r="D5457" s="2" t="n">
        <x:v>2025</x:v>
      </x:c>
      <x:c r="E5457" s="2" t="str">
        <x:v>WB_age_under15</x:v>
      </x:c>
      <x:c r="F5457" s="2" t="str">
        <x:v>Population ages 0-14 (% of total population)</x:v>
      </x:c>
    </x:row>
    <x:row r="5458" ht="44" customHeight="1">
      <x:c r="A5458" s="2" t="str">
        <x:v>SOM</x:v>
      </x:c>
      <x:c r="B5458" s="2" t="str">
        <x:v>age_over65</x:v>
      </x:c>
      <x:c r="C5458" s="2" t="n">
        <x:v>2.61747052453864</x:v>
      </x:c>
      <x:c r="D5458" s="2" t="n">
        <x:v>2025</x:v>
      </x:c>
      <x:c r="E5458" s="2" t="str">
        <x:v>WB_age_over65</x:v>
      </x:c>
      <x:c r="F5458" s="2" t="str">
        <x:v>Population ages 65 and above (% of total population)</x:v>
      </x:c>
    </x:row>
    <x:row r="5459" ht="44" customHeight="1">
      <x:c r="A5459" s="2" t="str">
        <x:v>SOM</x:v>
      </x:c>
      <x:c r="B5459" s="2" t="str">
        <x:v>dependency_ratio</x:v>
      </x:c>
      <x:c r="C5459" s="2" t="n">
        <x:v>96.7394370384369</x:v>
      </x:c>
      <x:c r="D5459" s="2" t="n">
        <x:v>2025</x:v>
      </x:c>
      <x:c r="E5459" s="2" t="str">
        <x:v>WB_dependency_ratio</x:v>
      </x:c>
      <x:c r="F5459" s="2" t="str">
        <x:v>Age dependency ratio (% of working-age population)</x:v>
      </x:c>
    </x:row>
    <x:row r="5460" ht="44" customHeight="1">
      <x:c r="A5460" s="2" t="str">
        <x:v>SOM</x:v>
      </x:c>
      <x:c r="B5460" s="2" t="str">
        <x:v>net_migration</x:v>
      </x:c>
      <x:c r="C5460" s="2" t="n">
        <x:v>12077</x:v>
      </x:c>
      <x:c r="D5460" s="2" t="n">
        <x:v>2025</x:v>
      </x:c>
      <x:c r="E5460" s="2" t="str">
        <x:v>WB_net_migration</x:v>
      </x:c>
      <x:c r="F5460" s="2" t="str">
        <x:v>Net migration</x:v>
      </x:c>
    </x:row>
    <x:row r="5461" ht="44" customHeight="1">
      <x:c r="A5461" s="2" t="str">
        <x:v>SOM</x:v>
      </x:c>
      <x:c r="B5461" s="2" t="str">
        <x:v>real_gdp</x:v>
      </x:c>
      <x:c r="C5461" s="2" t="n">
        <x:v>9148089787.32035</x:v>
      </x:c>
      <x:c r="D5461" s="2" t="n">
        <x:v>2025</x:v>
      </x:c>
      <x:c r="E5461" s="2" t="str">
        <x:v>WB_real_gdp</x:v>
      </x:c>
      <x:c r="F5461" s="2" t="str">
        <x:v>GDP (constant 2015 US$)</x:v>
      </x:c>
    </x:row>
    <x:row r="5462" ht="44" customHeight="1">
      <x:c r="A5462" s="2" t="str">
        <x:v>SOM</x:v>
      </x:c>
      <x:c r="B5462" s="2" t="str">
        <x:v>gdp_growth</x:v>
      </x:c>
      <x:c r="C5462" s="2" t="n">
        <x:v>2.99114404482197</x:v>
      </x:c>
      <x:c r="D5462" s="2" t="n">
        <x:v>2025</x:v>
      </x:c>
      <x:c r="E5462" s="2" t="str">
        <x:v>WB_gdp_growth</x:v>
      </x:c>
      <x:c r="F5462" s="2" t="str">
        <x:v>GDP growth (annual %)</x:v>
      </x:c>
    </x:row>
    <x:row r="5463" ht="44" customHeight="1">
      <x:c r="A5463" s="2" t="str">
        <x:v>SOM</x:v>
      </x:c>
      <x:c r="B5463" s="2" t="str">
        <x:v>real_income</x:v>
      </x:c>
      <x:c r="C5463" s="2" t="n">
        <x:v>465.439392877227</x:v>
      </x:c>
      <x:c r="D5463" s="2" t="n">
        <x:v>2025</x:v>
      </x:c>
      <x:c r="E5463" s="2" t="str">
        <x:v>WB_real_income</x:v>
      </x:c>
      <x:c r="F5463" s="2" t="str">
        <x:v>GDP per capita (constant 2015 US$)</x:v>
      </x:c>
    </x:row>
    <x:row r="5464" ht="44" customHeight="1">
      <x:c r="A5464" s="2" t="str">
        <x:v>SOM</x:v>
      </x:c>
      <x:c r="B5464" s="2" t="str">
        <x:v>agriculture_gdp</x:v>
      </x:c>
      <x:c r="C5464" s="2"/>
      <x:c r="D5464" s="2"/>
      <x:c r="E5464" s="2" t="str">
        <x:v>Missing</x:v>
      </x:c>
      <x:c r="F5464" s="2" t="str">
        <x:v>Agriculture, forestry, and fishing, value added (% of GDP)</x:v>
      </x:c>
    </x:row>
    <x:row r="5465" ht="44" customHeight="1">
      <x:c r="A5465" s="2" t="str">
        <x:v>SOM</x:v>
      </x:c>
      <x:c r="B5465" s="2" t="str">
        <x:v>poverty</x:v>
      </x:c>
      <x:c r="C5465" s="2"/>
      <x:c r="D5465" s="2"/>
      <x:c r="E5465" s="2" t="str">
        <x:v>Missing</x:v>
      </x:c>
      <x:c r="F5465" s="2" t="str">
        <x:v>Poverty headcount ratio at $3.00 a day (2021 PPP) (% of population)</x:v>
      </x:c>
    </x:row>
    <x:row r="5466" ht="44" customHeight="1">
      <x:c r="A5466" s="2" t="str">
        <x:v>SOM</x:v>
      </x:c>
      <x:c r="B5466" s="2" t="str">
        <x:v>gini</x:v>
      </x:c>
      <x:c r="C5466" s="2"/>
      <x:c r="D5466" s="2"/>
      <x:c r="E5466" s="2" t="str">
        <x:v>Missing</x:v>
      </x:c>
      <x:c r="F5466" s="2" t="str">
        <x:v>Gini index</x:v>
      </x:c>
    </x:row>
    <x:row r="5467" ht="44" customHeight="1">
      <x:c r="A5467" s="2" t="str">
        <x:v>SOM</x:v>
      </x:c>
      <x:c r="B5467" s="2" t="str">
        <x:v>unemployment</x:v>
      </x:c>
      <x:c r="C5467" s="2" t="n">
        <x:v>18.948</x:v>
      </x:c>
      <x:c r="D5467" s="2" t="n">
        <x:v>2025</x:v>
      </x:c>
      <x:c r="E5467" s="2" t="str">
        <x:v>WB_unemployment</x:v>
      </x:c>
      <x:c r="F5467" s="2" t="str">
        <x:v>Unemployment, total (% of total labor force) (modeled ILO estimate)</x:v>
      </x:c>
    </x:row>
    <x:row r="5468" ht="44" customHeight="1">
      <x:c r="A5468" s="2" t="str">
        <x:v>SOM</x:v>
      </x:c>
      <x:c r="B5468" s="2" t="str">
        <x:v>private_credit</x:v>
      </x:c>
      <x:c r="C5468" s="2" t="n">
        <x:v>5.43098050942767</x:v>
      </x:c>
      <x:c r="D5468" s="2" t="n">
        <x:v>2024</x:v>
      </x:c>
      <x:c r="E5468" s="2" t="str">
        <x:v>WB_private_credit</x:v>
      </x:c>
      <x:c r="F5468" s="2" t="str">
        <x:v>Domestic credit to private sector (% of GDP)</x:v>
      </x:c>
    </x:row>
    <x:row r="5469" ht="44" customHeight="1">
      <x:c r="A5469" s="2" t="str">
        <x:v>SOM</x:v>
      </x:c>
      <x:c r="B5469" s="2" t="str">
        <x:v>lending_rate</x:v>
      </x:c>
      <x:c r="C5469" s="2"/>
      <x:c r="D5469" s="2"/>
      <x:c r="E5469" s="2" t="str">
        <x:v>Missing</x:v>
      </x:c>
      <x:c r="F5469" s="2" t="str">
        <x:v>Lending interest rate (%)</x:v>
      </x:c>
    </x:row>
    <x:row r="5470" ht="44" customHeight="1">
      <x:c r="A5470" s="2" t="str">
        <x:v>SOM</x:v>
      </x:c>
      <x:c r="B5470" s="2" t="str">
        <x:v>real_interest</x:v>
      </x:c>
      <x:c r="C5470" s="2"/>
      <x:c r="D5470" s="2"/>
      <x:c r="E5470" s="2" t="str">
        <x:v>Missing</x:v>
      </x:c>
      <x:c r="F5470" s="2" t="str">
        <x:v>Real interest rate (%)</x:v>
      </x:c>
    </x:row>
    <x:row r="5471" ht="44" customHeight="1">
      <x:c r="A5471" s="2" t="str">
        <x:v>SOM</x:v>
      </x:c>
      <x:c r="B5471" s="2" t="str">
        <x:v>government_debt</x:v>
      </x:c>
      <x:c r="C5471" s="2" t="n">
        <x:v>12.6627391994652</x:v>
      </x:c>
      <x:c r="D5471" s="2" t="n">
        <x:v>2024</x:v>
      </x:c>
      <x:c r="E5471" s="2" t="str">
        <x:v>WB_government_debt</x:v>
      </x:c>
      <x:c r="F5471" s="2" t="str">
        <x:v>Central government debt, total (% of GDP)</x:v>
      </x:c>
    </x:row>
    <x:row r="5472" ht="44" customHeight="1">
      <x:c r="A5472" s="2" t="str">
        <x:v>SOM</x:v>
      </x:c>
      <x:c r="B5472" s="2" t="str">
        <x:v>electricity_access</x:v>
      </x:c>
      <x:c r="C5472" s="2" t="n">
        <x:v>54.4</x:v>
      </x:c>
      <x:c r="D5472" s="2" t="n">
        <x:v>2024</x:v>
      </x:c>
      <x:c r="E5472" s="2" t="str">
        <x:v>WB_electricity_access</x:v>
      </x:c>
      <x:c r="F5472" s="2" t="str">
        <x:v>Access to electricity (% of population)</x:v>
      </x:c>
    </x:row>
    <x:row r="5473" ht="44" customHeight="1">
      <x:c r="A5473" s="2" t="str">
        <x:v>SOM</x:v>
      </x:c>
      <x:c r="B5473" s="2" t="str">
        <x:v>irrigated_land</x:v>
      </x:c>
      <x:c r="C5473" s="2"/>
      <x:c r="D5473" s="2"/>
      <x:c r="E5473" s="2" t="str">
        <x:v>Missing</x:v>
      </x:c>
      <x:c r="F5473" s="2" t="str">
        <x:v>Agricultural irrigated land (% of total agricultural land)</x:v>
      </x:c>
    </x:row>
    <x:row r="5474" ht="44" customHeight="1">
      <x:c r="A5474" s="2" t="str">
        <x:v>SOM</x:v>
      </x:c>
      <x:c r="B5474" s="2" t="str">
        <x:v>cereal_area</x:v>
      </x:c>
      <x:c r="C5474" s="2" t="n">
        <x:v>353642</x:v>
      </x:c>
      <x:c r="D5474" s="2" t="n">
        <x:v>2023</x:v>
      </x:c>
      <x:c r="E5474" s="2" t="str">
        <x:v>WB_cereal_area</x:v>
      </x:c>
      <x:c r="F5474" s="2" t="str">
        <x:v>Land under cereal production (hectares)</x:v>
      </x:c>
    </x:row>
    <x:row r="5475" ht="44" customHeight="1">
      <x:c r="A5475" s="2" t="str">
        <x:v>SOM</x:v>
      </x:c>
      <x:c r="B5475" s="2" t="str">
        <x:v>undernourishment</x:v>
      </x:c>
      <x:c r="C5475" s="2" t="n">
        <x:v>53.2</x:v>
      </x:c>
      <x:c r="D5475" s="2" t="n">
        <x:v>2023</x:v>
      </x:c>
      <x:c r="E5475" s="2" t="str">
        <x:v>WB_undernourishment</x:v>
      </x:c>
      <x:c r="F5475" s="2" t="str">
        <x:v>Prevalence of undernourishment (% of population)</x:v>
      </x:c>
    </x:row>
    <x:row r="5476" ht="44" customHeight="1">
      <x:c r="A5476" s="2" t="str">
        <x:v>SOM</x:v>
      </x:c>
      <x:c r="B5476" s="2" t="str">
        <x:v>agriculture_employment</x:v>
      </x:c>
      <x:c r="C5476" s="2" t="n">
        <x:v>30.0285519563712</x:v>
      </x:c>
      <x:c r="D5476" s="2" t="n">
        <x:v>2025</x:v>
      </x:c>
      <x:c r="E5476" s="2" t="str">
        <x:v>WB_agriculture_employment</x:v>
      </x:c>
      <x:c r="F5476" s="2" t="str">
        <x:v>Employment in agriculture (% of total employment) (modeled ILO estimate)</x:v>
      </x:c>
    </x:row>
    <x:row r="5477" ht="44" customHeight="1">
      <x:c r="A5477" s="2" t="str">
        <x:v>SOM</x:v>
      </x:c>
      <x:c r="B5477" s="2" t="str">
        <x:v>water_withdrawal</x:v>
      </x:c>
      <x:c r="C5477" s="2" t="n">
        <x:v>54.9666666666667</x:v>
      </x:c>
      <x:c r="D5477" s="2" t="n">
        <x:v>2022</x:v>
      </x:c>
      <x:c r="E5477" s="2" t="str">
        <x:v>WB_water_withdrawal</x:v>
      </x:c>
      <x:c r="F5477" s="2" t="str">
        <x:v>Annual freshwater withdrawals, total (% of internal resources)</x:v>
      </x:c>
    </x:row>
    <x:row r="5478" ht="44" customHeight="1">
      <x:c r="A5478" s="2" t="str">
        <x:v>ZAF</x:v>
      </x:c>
      <x:c r="B5478" s="2" t="str">
        <x:v>population</x:v>
      </x:c>
      <x:c r="C5478" s="2" t="n">
        <x:v>64747319</x:v>
      </x:c>
      <x:c r="D5478" s="2" t="n">
        <x:v>2025</x:v>
      </x:c>
      <x:c r="E5478" s="2" t="str">
        <x:v>WB_population</x:v>
      </x:c>
      <x:c r="F5478" s="2" t="str">
        <x:v>Population, total</x:v>
      </x:c>
    </x:row>
    <x:row r="5479" ht="44" customHeight="1">
      <x:c r="A5479" s="2" t="str">
        <x:v>ZAF</x:v>
      </x:c>
      <x:c r="B5479" s="2" t="str">
        <x:v>income_ppp</x:v>
      </x:c>
      <x:c r="C5479" s="2" t="n">
        <x:v>13592.0484020929</x:v>
      </x:c>
      <x:c r="D5479" s="2" t="n">
        <x:v>2025</x:v>
      </x:c>
      <x:c r="E5479" s="2" t="str">
        <x:v>WB_income_ppp</x:v>
      </x:c>
      <x:c r="F5479" s="2" t="str">
        <x:v>GDP per capita, PPP (constant 2021 international $)</x:v>
      </x:c>
    </x:row>
    <x:row r="5480" ht="44" customHeight="1">
      <x:c r="A5480" s="2" t="str">
        <x:v>ZAF</x:v>
      </x:c>
      <x:c r="B5480" s="2" t="str">
        <x:v>urban</x:v>
      </x:c>
      <x:c r="C5480" s="2" t="n">
        <x:v>63.8154011002522</x:v>
      </x:c>
      <x:c r="D5480" s="2" t="n">
        <x:v>2025</x:v>
      </x:c>
      <x:c r="E5480" s="2" t="str">
        <x:v>WB_urban</x:v>
      </x:c>
      <x:c r="F5480" s="2" t="str">
        <x:v>Urban population (% of total population)</x:v>
      </x:c>
    </x:row>
    <x:row r="5481" ht="44" customHeight="1">
      <x:c r="A5481" s="2" t="str">
        <x:v>ZAF</x:v>
      </x:c>
      <x:c r="B5481" s="2" t="str">
        <x:v>inflation</x:v>
      </x:c>
      <x:c r="C5481" s="2" t="n">
        <x:v>3.20550474112603</x:v>
      </x:c>
      <x:c r="D5481" s="2" t="n">
        <x:v>2025</x:v>
      </x:c>
      <x:c r="E5481" s="2" t="str">
        <x:v>WB_inflation</x:v>
      </x:c>
      <x:c r="F5481" s="2" t="str">
        <x:v>Inflation, consumer prices (annual %)</x:v>
      </x:c>
    </x:row>
    <x:row r="5482" ht="44" customHeight="1">
      <x:c r="A5482" s="2" t="str">
        <x:v>ZAF</x:v>
      </x:c>
      <x:c r="B5482" s="2" t="str">
        <x:v>food_index</x:v>
      </x:c>
      <x:c r="C5482" s="2" t="n">
        <x:v>113.24</x:v>
      </x:c>
      <x:c r="D5482" s="2" t="n">
        <x:v>2022</x:v>
      </x:c>
      <x:c r="E5482" s="2" t="str">
        <x:v>WB_food_index</x:v>
      </x:c>
      <x:c r="F5482" s="2" t="str">
        <x:v>Food production index (2014-2016 = 100)</x:v>
      </x:c>
    </x:row>
    <x:row r="5483" ht="44" customHeight="1">
      <x:c r="A5483" s="2" t="str">
        <x:v>ZAF</x:v>
      </x:c>
      <x:c r="B5483" s="2" t="str">
        <x:v>food_import_share</x:v>
      </x:c>
      <x:c r="C5483" s="2" t="n">
        <x:v>7.16267028720718</x:v>
      </x:c>
      <x:c r="D5483" s="2" t="n">
        <x:v>2025</x:v>
      </x:c>
      <x:c r="E5483" s="2" t="str">
        <x:v>WB_food_import_share</x:v>
      </x:c>
      <x:c r="F5483" s="2" t="str">
        <x:v>Food imports (% of merchandise imports)</x:v>
      </x:c>
    </x:row>
    <x:row r="5484" ht="44" customHeight="1">
      <x:c r="A5484" s="2" t="str">
        <x:v>ZAF</x:v>
      </x:c>
      <x:c r="B5484" s="2" t="str">
        <x:v>food_export_share</x:v>
      </x:c>
      <x:c r="C5484" s="2" t="n">
        <x:v>12.767447715663</x:v>
      </x:c>
      <x:c r="D5484" s="2" t="n">
        <x:v>2025</x:v>
      </x:c>
      <x:c r="E5484" s="2" t="str">
        <x:v>WB_food_export_share</x:v>
      </x:c>
      <x:c r="F5484" s="2" t="str">
        <x:v>Food exports (% of merchandise exports)</x:v>
      </x:c>
    </x:row>
    <x:row r="5485" ht="44" customHeight="1">
      <x:c r="A5485" s="2" t="str">
        <x:v>ZAF</x:v>
      </x:c>
      <x:c r="B5485" s="2" t="str">
        <x:v>imports_usd</x:v>
      </x:c>
      <x:c r="C5485" s="2" t="n">
        <x:v>128080000000</x:v>
      </x:c>
      <x:c r="D5485" s="2" t="n">
        <x:v>2025</x:v>
      </x:c>
      <x:c r="E5485" s="2" t="str">
        <x:v>WB_imports_usd</x:v>
      </x:c>
      <x:c r="F5485" s="2" t="str">
        <x:v>Merchandise imports (current US$)</x:v>
      </x:c>
    </x:row>
    <x:row r="5486" ht="44" customHeight="1">
      <x:c r="A5486" s="2" t="str">
        <x:v>ZAF</x:v>
      </x:c>
      <x:c r="B5486" s="2" t="str">
        <x:v>exports_usd</x:v>
      </x:c>
      <x:c r="C5486" s="2" t="n">
        <x:v>116399000000</x:v>
      </x:c>
      <x:c r="D5486" s="2" t="n">
        <x:v>2025</x:v>
      </x:c>
      <x:c r="E5486" s="2" t="str">
        <x:v>WB_exports_usd</x:v>
      </x:c>
      <x:c r="F5486" s="2" t="str">
        <x:v>Merchandise exports (current US$)</x:v>
      </x:c>
    </x:row>
    <x:row r="5487" ht="44" customHeight="1">
      <x:c r="A5487" s="2" t="str">
        <x:v>ZAF</x:v>
      </x:c>
      <x:c r="B5487" s="2" t="str">
        <x:v>cereal_yield</x:v>
      </x:c>
      <x:c r="C5487" s="2" t="n">
        <x:v>4562</x:v>
      </x:c>
      <x:c r="D5487" s="2" t="n">
        <x:v>2024</x:v>
      </x:c>
      <x:c r="E5487" s="2" t="str">
        <x:v>WB_cereal_yield</x:v>
      </x:c>
      <x:c r="F5487" s="2" t="str">
        <x:v>Cereal yield (kg per hectare)</x:v>
      </x:c>
    </x:row>
    <x:row r="5488" ht="44" customHeight="1">
      <x:c r="A5488" s="2" t="str">
        <x:v>ZAF</x:v>
      </x:c>
      <x:c r="B5488" s="2" t="str">
        <x:v>water_stress</x:v>
      </x:c>
      <x:c r="C5488" s="2" t="n">
        <x:v>67.59526097</x:v>
      </x:c>
      <x:c r="D5488" s="2" t="n">
        <x:v>2022</x:v>
      </x:c>
      <x:c r="E5488" s="2" t="str">
        <x:v>WB_water_stress</x:v>
      </x:c>
      <x:c r="F5488" s="2" t="str">
        <x:v>Level of water stress: freshwater withdrawal as a proportion of available freshwater resources</x:v>
      </x:c>
    </x:row>
    <x:row r="5489" ht="44" customHeight="1">
      <x:c r="A5489" s="2" t="str">
        <x:v>ZAF</x:v>
      </x:c>
      <x:c r="B5489" s="2" t="str">
        <x:v>fertility</x:v>
      </x:c>
      <x:c r="C5489" s="2" t="n">
        <x:v>2.205</x:v>
      </x:c>
      <x:c r="D5489" s="2" t="n">
        <x:v>2024</x:v>
      </x:c>
      <x:c r="E5489" s="2" t="str">
        <x:v>WB_fertility</x:v>
      </x:c>
      <x:c r="F5489" s="2" t="str">
        <x:v>Fertility rate, total (births per woman)</x:v>
      </x:c>
    </x:row>
    <x:row r="5490" ht="44" customHeight="1">
      <x:c r="A5490" s="2" t="str">
        <x:v>ZAF</x:v>
      </x:c>
      <x:c r="B5490" s="2" t="str">
        <x:v>life_expectancy</x:v>
      </x:c>
      <x:c r="C5490" s="2" t="n">
        <x:v>66.312</x:v>
      </x:c>
      <x:c r="D5490" s="2" t="n">
        <x:v>2024</x:v>
      </x:c>
      <x:c r="E5490" s="2" t="str">
        <x:v>WB_life_expectancy</x:v>
      </x:c>
      <x:c r="F5490" s="2" t="str">
        <x:v>Life expectancy at birth, total (years)</x:v>
      </x:c>
    </x:row>
    <x:row r="5491" ht="44" customHeight="1">
      <x:c r="A5491" s="2" t="str">
        <x:v>ZAF</x:v>
      </x:c>
      <x:c r="B5491" s="2" t="str">
        <x:v>age_under15</x:v>
      </x:c>
      <x:c r="C5491" s="2" t="n">
        <x:v>25.7233845796504</x:v>
      </x:c>
      <x:c r="D5491" s="2" t="n">
        <x:v>2025</x:v>
      </x:c>
      <x:c r="E5491" s="2" t="str">
        <x:v>WB_age_under15</x:v>
      </x:c>
      <x:c r="F5491" s="2" t="str">
        <x:v>Population ages 0-14 (% of total population)</x:v>
      </x:c>
    </x:row>
    <x:row r="5492" ht="44" customHeight="1">
      <x:c r="A5492" s="2" t="str">
        <x:v>ZAF</x:v>
      </x:c>
      <x:c r="B5492" s="2" t="str">
        <x:v>age_over65</x:v>
      </x:c>
      <x:c r="C5492" s="2" t="n">
        <x:v>6.88503097027824</x:v>
      </x:c>
      <x:c r="D5492" s="2" t="n">
        <x:v>2025</x:v>
      </x:c>
      <x:c r="E5492" s="2" t="str">
        <x:v>WB_age_over65</x:v>
      </x:c>
      <x:c r="F5492" s="2" t="str">
        <x:v>Population ages 65 and above (% of total population)</x:v>
      </x:c>
    </x:row>
    <x:row r="5493" ht="44" customHeight="1">
      <x:c r="A5493" s="2" t="str">
        <x:v>ZAF</x:v>
      </x:c>
      <x:c r="B5493" s="2" t="str">
        <x:v>dependency_ratio</x:v>
      </x:c>
      <x:c r="C5493" s="2" t="n">
        <x:v>48.3864805816276</x:v>
      </x:c>
      <x:c r="D5493" s="2" t="n">
        <x:v>2025</x:v>
      </x:c>
      <x:c r="E5493" s="2" t="str">
        <x:v>WB_dependency_ratio</x:v>
      </x:c>
      <x:c r="F5493" s="2" t="str">
        <x:v>Age dependency ratio (% of working-age population)</x:v>
      </x:c>
    </x:row>
    <x:row r="5494" ht="44" customHeight="1">
      <x:c r="A5494" s="2" t="str">
        <x:v>ZAF</x:v>
      </x:c>
      <x:c r="B5494" s="2" t="str">
        <x:v>net_migration</x:v>
      </x:c>
      <x:c r="C5494" s="2" t="n">
        <x:v>146370</x:v>
      </x:c>
      <x:c r="D5494" s="2" t="n">
        <x:v>2025</x:v>
      </x:c>
      <x:c r="E5494" s="2" t="str">
        <x:v>WB_net_migration</x:v>
      </x:c>
      <x:c r="F5494" s="2" t="str">
        <x:v>Net migration</x:v>
      </x:c>
    </x:row>
    <x:row r="5495" ht="44" customHeight="1">
      <x:c r="A5495" s="2" t="str">
        <x:v>ZAF</x:v>
      </x:c>
      <x:c r="B5495" s="2" t="str">
        <x:v>real_gdp</x:v>
      </x:c>
      <x:c r="C5495" s="2" t="n">
        <x:v>369909150542.474</x:v>
      </x:c>
      <x:c r="D5495" s="2" t="n">
        <x:v>2025</x:v>
      </x:c>
      <x:c r="E5495" s="2" t="str">
        <x:v>WB_real_gdp</x:v>
      </x:c>
      <x:c r="F5495" s="2" t="str">
        <x:v>GDP (constant 2015 US$)</x:v>
      </x:c>
    </x:row>
    <x:row r="5496" ht="44" customHeight="1">
      <x:c r="A5496" s="2" t="str">
        <x:v>ZAF</x:v>
      </x:c>
      <x:c r="B5496" s="2" t="str">
        <x:v>gdp_growth</x:v>
      </x:c>
      <x:c r="C5496" s="2" t="n">
        <x:v>1.11462608103956</x:v>
      </x:c>
      <x:c r="D5496" s="2" t="n">
        <x:v>2025</x:v>
      </x:c>
      <x:c r="E5496" s="2" t="str">
        <x:v>WB_gdp_growth</x:v>
      </x:c>
      <x:c r="F5496" s="2" t="str">
        <x:v>GDP growth (annual %)</x:v>
      </x:c>
    </x:row>
    <x:row r="5497" ht="44" customHeight="1">
      <x:c r="A5497" s="2" t="str">
        <x:v>ZAF</x:v>
      </x:c>
      <x:c r="B5497" s="2" t="str">
        <x:v>real_income</x:v>
      </x:c>
      <x:c r="C5497" s="2" t="n">
        <x:v>5713.1191878767</x:v>
      </x:c>
      <x:c r="D5497" s="2" t="n">
        <x:v>2025</x:v>
      </x:c>
      <x:c r="E5497" s="2" t="str">
        <x:v>WB_real_income</x:v>
      </x:c>
      <x:c r="F5497" s="2" t="str">
        <x:v>GDP per capita (constant 2015 US$)</x:v>
      </x:c>
    </x:row>
    <x:row r="5498" ht="44" customHeight="1">
      <x:c r="A5498" s="2" t="str">
        <x:v>ZAF</x:v>
      </x:c>
      <x:c r="B5498" s="2" t="str">
        <x:v>agriculture_gdp</x:v>
      </x:c>
      <x:c r="C5498" s="2" t="n">
        <x:v>2.82763267053972</x:v>
      </x:c>
      <x:c r="D5498" s="2" t="n">
        <x:v>2025</x:v>
      </x:c>
      <x:c r="E5498" s="2" t="str">
        <x:v>WB_agriculture_gdp</x:v>
      </x:c>
      <x:c r="F5498" s="2" t="str">
        <x:v>Agriculture, forestry, and fishing, value added (% of GDP)</x:v>
      </x:c>
    </x:row>
    <x:row r="5499" ht="44" customHeight="1">
      <x:c r="A5499" s="2" t="str">
        <x:v>ZAF</x:v>
      </x:c>
      <x:c r="B5499" s="2" t="str">
        <x:v>poverty</x:v>
      </x:c>
      <x:c r="C5499" s="2" t="n">
        <x:v>17.4</x:v>
      </x:c>
      <x:c r="D5499" s="2" t="n">
        <x:v>2022</x:v>
      </x:c>
      <x:c r="E5499" s="2" t="str">
        <x:v>WB_poverty</x:v>
      </x:c>
      <x:c r="F5499" s="2" t="str">
        <x:v>Poverty headcount ratio at $3.00 a day (2021 PPP) (% of population)</x:v>
      </x:c>
    </x:row>
    <x:row r="5500" ht="44" customHeight="1">
      <x:c r="A5500" s="2" t="str">
        <x:v>ZAF</x:v>
      </x:c>
      <x:c r="B5500" s="2" t="str">
        <x:v>gini</x:v>
      </x:c>
      <x:c r="C5500" s="2" t="n">
        <x:v>54.1</x:v>
      </x:c>
      <x:c r="D5500" s="2" t="n">
        <x:v>2022</x:v>
      </x:c>
      <x:c r="E5500" s="2" t="str">
        <x:v>WB_gini</x:v>
      </x:c>
      <x:c r="F5500" s="2" t="str">
        <x:v>Gini index</x:v>
      </x:c>
    </x:row>
    <x:row r="5501" ht="44" customHeight="1">
      <x:c r="A5501" s="2" t="str">
        <x:v>ZAF</x:v>
      </x:c>
      <x:c r="B5501" s="2" t="str">
        <x:v>unemployment</x:v>
      </x:c>
      <x:c r="C5501" s="2" t="n">
        <x:v>32.391</x:v>
      </x:c>
      <x:c r="D5501" s="2" t="n">
        <x:v>2025</x:v>
      </x:c>
      <x:c r="E5501" s="2" t="str">
        <x:v>WB_unemployment</x:v>
      </x:c>
      <x:c r="F5501" s="2" t="str">
        <x:v>Unemployment, total (% of total labor force) (modeled ILO estimate)</x:v>
      </x:c>
    </x:row>
    <x:row r="5502" ht="44" customHeight="1">
      <x:c r="A5502" s="2" t="str">
        <x:v>ZAF</x:v>
      </x:c>
      <x:c r="B5502" s="2" t="str">
        <x:v>private_credit</x:v>
      </x:c>
      <x:c r="C5502" s="2" t="n">
        <x:v>89.4476360173443</x:v>
      </x:c>
      <x:c r="D5502" s="2" t="n">
        <x:v>2024</x:v>
      </x:c>
      <x:c r="E5502" s="2" t="str">
        <x:v>WB_private_credit</x:v>
      </x:c>
      <x:c r="F5502" s="2" t="str">
        <x:v>Domestic credit to private sector (% of GDP)</x:v>
      </x:c>
    </x:row>
    <x:row r="5503" ht="44" customHeight="1">
      <x:c r="A5503" s="2" t="str">
        <x:v>ZAF</x:v>
      </x:c>
      <x:c r="B5503" s="2" t="str">
        <x:v>lending_rate</x:v>
      </x:c>
      <x:c r="C5503" s="2" t="n">
        <x:v>10.6875</x:v>
      </x:c>
      <x:c r="D5503" s="2" t="n">
        <x:v>2025</x:v>
      </x:c>
      <x:c r="E5503" s="2" t="str">
        <x:v>WB_lending_rate</x:v>
      </x:c>
      <x:c r="F5503" s="2" t="str">
        <x:v>Lending interest rate (%)</x:v>
      </x:c>
    </x:row>
    <x:row r="5504" ht="44" customHeight="1">
      <x:c r="A5504" s="2" t="str">
        <x:v>ZAF</x:v>
      </x:c>
      <x:c r="B5504" s="2" t="str">
        <x:v>real_interest</x:v>
      </x:c>
      <x:c r="C5504" s="2" t="n">
        <x:v>7.6835409853926</x:v>
      </x:c>
      <x:c r="D5504" s="2" t="n">
        <x:v>2025</x:v>
      </x:c>
      <x:c r="E5504" s="2" t="str">
        <x:v>WB_real_interest</x:v>
      </x:c>
      <x:c r="F5504" s="2" t="str">
        <x:v>Real interest rate (%)</x:v>
      </x:c>
    </x:row>
    <x:row r="5505" ht="44" customHeight="1">
      <x:c r="A5505" s="2" t="str">
        <x:v>ZAF</x:v>
      </x:c>
      <x:c r="B5505" s="2" t="str">
        <x:v>government_debt</x:v>
      </x:c>
      <x:c r="C5505" s="2" t="n">
        <x:v>82.7627080034486</x:v>
      </x:c>
      <x:c r="D5505" s="2" t="n">
        <x:v>2024</x:v>
      </x:c>
      <x:c r="E5505" s="2" t="str">
        <x:v>WB_government_debt</x:v>
      </x:c>
      <x:c r="F5505" s="2" t="str">
        <x:v>Central government debt, total (% of GDP)</x:v>
      </x:c>
    </x:row>
    <x:row r="5506" ht="44" customHeight="1">
      <x:c r="A5506" s="2" t="str">
        <x:v>ZAF</x:v>
      </x:c>
      <x:c r="B5506" s="2" t="str">
        <x:v>electricity_access</x:v>
      </x:c>
      <x:c r="C5506" s="2" t="n">
        <x:v>90.2</x:v>
      </x:c>
      <x:c r="D5506" s="2" t="n">
        <x:v>2024</x:v>
      </x:c>
      <x:c r="E5506" s="2" t="str">
        <x:v>WB_electricity_access</x:v>
      </x:c>
      <x:c r="F5506" s="2" t="str">
        <x:v>Access to electricity (% of population)</x:v>
      </x:c>
    </x:row>
    <x:row r="5507" ht="44" customHeight="1">
      <x:c r="A5507" s="2" t="str">
        <x:v>ZAF</x:v>
      </x:c>
      <x:c r="B5507" s="2" t="str">
        <x:v>irrigated_land</x:v>
      </x:c>
      <x:c r="C5507" s="2" t="n">
        <x:v>1.66123643306286</x:v>
      </x:c>
      <x:c r="D5507" s="2" t="n">
        <x:v>2011</x:v>
      </x:c>
      <x:c r="E5507" s="2" t="str">
        <x:v>WB_irrigated_land</x:v>
      </x:c>
      <x:c r="F5507" s="2" t="str">
        <x:v>Agricultural irrigated land (% of total agricultural land)</x:v>
      </x:c>
    </x:row>
    <x:row r="5508" ht="44" customHeight="1">
      <x:c r="A5508" s="2" t="str">
        <x:v>ZAF</x:v>
      </x:c>
      <x:c r="B5508" s="2" t="str">
        <x:v>cereal_area</x:v>
      </x:c>
      <x:c r="C5508" s="2" t="n">
        <x:v>3356840</x:v>
      </x:c>
      <x:c r="D5508" s="2" t="n">
        <x:v>2024</x:v>
      </x:c>
      <x:c r="E5508" s="2" t="str">
        <x:v>WB_cereal_area</x:v>
      </x:c>
      <x:c r="F5508" s="2" t="str">
        <x:v>Land under cereal production (hectares)</x:v>
      </x:c>
    </x:row>
    <x:row r="5509" ht="44" customHeight="1">
      <x:c r="A5509" s="2" t="str">
        <x:v>ZAF</x:v>
      </x:c>
      <x:c r="B5509" s="2" t="str">
        <x:v>undernourishment</x:v>
      </x:c>
      <x:c r="C5509" s="2" t="n">
        <x:v>10</x:v>
      </x:c>
      <x:c r="D5509" s="2" t="n">
        <x:v>2023</x:v>
      </x:c>
      <x:c r="E5509" s="2" t="str">
        <x:v>WB_undernourishment</x:v>
      </x:c>
      <x:c r="F5509" s="2" t="str">
        <x:v>Prevalence of undernourishment (% of population)</x:v>
      </x:c>
    </x:row>
    <x:row r="5510" ht="44" customHeight="1">
      <x:c r="A5510" s="2" t="str">
        <x:v>ZAF</x:v>
      </x:c>
      <x:c r="B5510" s="2" t="str">
        <x:v>agriculture_employment</x:v>
      </x:c>
      <x:c r="C5510" s="2" t="n">
        <x:v>5.40709733328508</x:v>
      </x:c>
      <x:c r="D5510" s="2" t="n">
        <x:v>2025</x:v>
      </x:c>
      <x:c r="E5510" s="2" t="str">
        <x:v>WB_agriculture_employment</x:v>
      </x:c>
      <x:c r="F5510" s="2" t="str">
        <x:v>Employment in agriculture (% of total employment) (modeled ILO estimate)</x:v>
      </x:c>
    </x:row>
    <x:row r="5511" ht="44" customHeight="1">
      <x:c r="A5511" s="2" t="str">
        <x:v>ZAF</x:v>
      </x:c>
      <x:c r="B5511" s="2" t="str">
        <x:v>water_withdrawal</x:v>
      </x:c>
      <x:c r="C5511" s="2" t="n">
        <x:v>47.1205357142857</x:v>
      </x:c>
      <x:c r="D5511" s="2" t="n">
        <x:v>2022</x:v>
      </x:c>
      <x:c r="E5511" s="2" t="str">
        <x:v>WB_water_withdrawal</x:v>
      </x:c>
      <x:c r="F5511" s="2" t="str">
        <x:v>Annual freshwater withdrawals, total (% of internal resources)</x:v>
      </x:c>
    </x:row>
    <x:row r="5512" ht="44" customHeight="1">
      <x:c r="A5512" s="2" t="str">
        <x:v>SSD</x:v>
      </x:c>
      <x:c r="B5512" s="2" t="str">
        <x:v>population</x:v>
      </x:c>
      <x:c r="C5512" s="2" t="n">
        <x:v>12188788</x:v>
      </x:c>
      <x:c r="D5512" s="2" t="n">
        <x:v>2025</x:v>
      </x:c>
      <x:c r="E5512" s="2" t="str">
        <x:v>WB_population</x:v>
      </x:c>
      <x:c r="F5512" s="2" t="str">
        <x:v>Population, total</x:v>
      </x:c>
    </x:row>
    <x:row r="5513" ht="44" customHeight="1">
      <x:c r="A5513" s="2" t="str">
        <x:v>SSD</x:v>
      </x:c>
      <x:c r="B5513" s="2" t="str">
        <x:v>income_ppp</x:v>
      </x:c>
      <x:c r="C5513" s="2"/>
      <x:c r="D5513" s="2"/>
      <x:c r="E5513" s="2" t="str">
        <x:v>Missing</x:v>
      </x:c>
      <x:c r="F5513" s="2" t="str">
        <x:v>GDP per capita, PPP (constant 2021 international $)</x:v>
      </x:c>
    </x:row>
    <x:row r="5514" ht="44" customHeight="1">
      <x:c r="A5514" s="2" t="str">
        <x:v>SSD</x:v>
      </x:c>
      <x:c r="B5514" s="2" t="str">
        <x:v>urban</x:v>
      </x:c>
      <x:c r="C5514" s="2" t="n">
        <x:v>21.6843599017401</x:v>
      </x:c>
      <x:c r="D5514" s="2" t="n">
        <x:v>2025</x:v>
      </x:c>
      <x:c r="E5514" s="2" t="str">
        <x:v>WB_urban</x:v>
      </x:c>
      <x:c r="F5514" s="2" t="str">
        <x:v>Urban population (% of total population)</x:v>
      </x:c>
    </x:row>
    <x:row r="5515" ht="44" customHeight="1">
      <x:c r="A5515" s="2" t="str">
        <x:v>SSD</x:v>
      </x:c>
      <x:c r="B5515" s="2" t="str">
        <x:v>inflation</x:v>
      </x:c>
      <x:c r="C5515" s="2" t="n">
        <x:v>91.4408220769046</x:v>
      </x:c>
      <x:c r="D5515" s="2" t="n">
        <x:v>2024</x:v>
      </x:c>
      <x:c r="E5515" s="2" t="str">
        <x:v>WB_inflation</x:v>
      </x:c>
      <x:c r="F5515" s="2" t="str">
        <x:v>Inflation, consumer prices (annual %)</x:v>
      </x:c>
    </x:row>
    <x:row r="5516" ht="44" customHeight="1">
      <x:c r="A5516" s="2" t="str">
        <x:v>SSD</x:v>
      </x:c>
      <x:c r="B5516" s="2" t="str">
        <x:v>food_index</x:v>
      </x:c>
      <x:c r="C5516" s="2" t="n">
        <x:v>114.76</x:v>
      </x:c>
      <x:c r="D5516" s="2" t="n">
        <x:v>2022</x:v>
      </x:c>
      <x:c r="E5516" s="2" t="str">
        <x:v>WB_food_index</x:v>
      </x:c>
      <x:c r="F5516" s="2" t="str">
        <x:v>Food production index (2014-2016 = 100)</x:v>
      </x:c>
    </x:row>
    <x:row r="5517" ht="44" customHeight="1">
      <x:c r="A5517" s="2" t="str">
        <x:v>SSD</x:v>
      </x:c>
      <x:c r="B5517" s="2" t="str">
        <x:v>food_import_share</x:v>
      </x:c>
      <x:c r="C5517" s="2"/>
      <x:c r="D5517" s="2"/>
      <x:c r="E5517" s="2" t="str">
        <x:v>Missing</x:v>
      </x:c>
      <x:c r="F5517" s="2" t="str">
        <x:v>Food imports (% of merchandise imports)</x:v>
      </x:c>
    </x:row>
    <x:row r="5518" ht="44" customHeight="1">
      <x:c r="A5518" s="2" t="str">
        <x:v>SSD</x:v>
      </x:c>
      <x:c r="B5518" s="2" t="str">
        <x:v>food_export_share</x:v>
      </x:c>
      <x:c r="C5518" s="2"/>
      <x:c r="D5518" s="2"/>
      <x:c r="E5518" s="2" t="str">
        <x:v>Missing</x:v>
      </x:c>
      <x:c r="F5518" s="2" t="str">
        <x:v>Food exports (% of merchandise exports)</x:v>
      </x:c>
    </x:row>
    <x:row r="5519" ht="44" customHeight="1">
      <x:c r="A5519" s="2" t="str">
        <x:v>SSD</x:v>
      </x:c>
      <x:c r="B5519" s="2" t="str">
        <x:v>imports_usd</x:v>
      </x:c>
      <x:c r="C5519" s="2" t="n">
        <x:v>1271000000</x:v>
      </x:c>
      <x:c r="D5519" s="2" t="n">
        <x:v>2025</x:v>
      </x:c>
      <x:c r="E5519" s="2" t="str">
        <x:v>WB_imports_usd</x:v>
      </x:c>
      <x:c r="F5519" s="2" t="str">
        <x:v>Merchandise imports (current US$)</x:v>
      </x:c>
    </x:row>
    <x:row r="5520" ht="44" customHeight="1">
      <x:c r="A5520" s="2" t="str">
        <x:v>SSD</x:v>
      </x:c>
      <x:c r="B5520" s="2" t="str">
        <x:v>exports_usd</x:v>
      </x:c>
      <x:c r="C5520" s="2" t="n">
        <x:v>955000000</x:v>
      </x:c>
      <x:c r="D5520" s="2" t="n">
        <x:v>2025</x:v>
      </x:c>
      <x:c r="E5520" s="2" t="str">
        <x:v>WB_exports_usd</x:v>
      </x:c>
      <x:c r="F5520" s="2" t="str">
        <x:v>Merchandise exports (current US$)</x:v>
      </x:c>
    </x:row>
    <x:row r="5521" ht="44" customHeight="1">
      <x:c r="A5521" s="2" t="str">
        <x:v>SSD</x:v>
      </x:c>
      <x:c r="B5521" s="2" t="str">
        <x:v>cereal_yield</x:v>
      </x:c>
      <x:c r="C5521" s="2" t="n">
        <x:v>983.6</x:v>
      </x:c>
      <x:c r="D5521" s="2" t="n">
        <x:v>2023</x:v>
      </x:c>
      <x:c r="E5521" s="2" t="str">
        <x:v>WB_cereal_yield</x:v>
      </x:c>
      <x:c r="F5521" s="2" t="str">
        <x:v>Cereal yield (kg per hectare)</x:v>
      </x:c>
    </x:row>
    <x:row r="5522" ht="44" customHeight="1">
      <x:c r="A5522" s="2" t="str">
        <x:v>SSD</x:v>
      </x:c>
      <x:c r="B5522" s="2" t="str">
        <x:v>water_stress</x:v>
      </x:c>
      <x:c r="C5522" s="2" t="n">
        <x:v>4.226075787</x:v>
      </x:c>
      <x:c r="D5522" s="2" t="n">
        <x:v>2022</x:v>
      </x:c>
      <x:c r="E5522" s="2" t="str">
        <x:v>WB_water_stress</x:v>
      </x:c>
      <x:c r="F5522" s="2" t="str">
        <x:v>Level of water stress: freshwater withdrawal as a proportion of available freshwater resources</x:v>
      </x:c>
    </x:row>
    <x:row r="5523" ht="44" customHeight="1">
      <x:c r="A5523" s="2" t="str">
        <x:v>SSD</x:v>
      </x:c>
      <x:c r="B5523" s="2" t="str">
        <x:v>fertility</x:v>
      </x:c>
      <x:c r="C5523" s="2" t="n">
        <x:v>3.785</x:v>
      </x:c>
      <x:c r="D5523" s="2" t="n">
        <x:v>2024</x:v>
      </x:c>
      <x:c r="E5523" s="2" t="str">
        <x:v>WB_fertility</x:v>
      </x:c>
      <x:c r="F5523" s="2" t="str">
        <x:v>Fertility rate, total (births per woman)</x:v>
      </x:c>
    </x:row>
    <x:row r="5524" ht="44" customHeight="1">
      <x:c r="A5524" s="2" t="str">
        <x:v>SSD</x:v>
      </x:c>
      <x:c r="B5524" s="2" t="str">
        <x:v>life_expectancy</x:v>
      </x:c>
      <x:c r="C5524" s="2" t="n">
        <x:v>57.738</x:v>
      </x:c>
      <x:c r="D5524" s="2" t="n">
        <x:v>2024</x:v>
      </x:c>
      <x:c r="E5524" s="2" t="str">
        <x:v>WB_life_expectancy</x:v>
      </x:c>
      <x:c r="F5524" s="2" t="str">
        <x:v>Life expectancy at birth, total (years)</x:v>
      </x:c>
    </x:row>
    <x:row r="5525" ht="44" customHeight="1">
      <x:c r="A5525" s="2" t="str">
        <x:v>SSD</x:v>
      </x:c>
      <x:c r="B5525" s="2" t="str">
        <x:v>age_under15</x:v>
      </x:c>
      <x:c r="C5525" s="2" t="n">
        <x:v>37.9863157846375</x:v>
      </x:c>
      <x:c r="D5525" s="2" t="n">
        <x:v>2025</x:v>
      </x:c>
      <x:c r="E5525" s="2" t="str">
        <x:v>WB_age_under15</x:v>
      </x:c>
      <x:c r="F5525" s="2" t="str">
        <x:v>Population ages 0-14 (% of total population)</x:v>
      </x:c>
    </x:row>
    <x:row r="5526" ht="44" customHeight="1">
      <x:c r="A5526" s="2" t="str">
        <x:v>SSD</x:v>
      </x:c>
      <x:c r="B5526" s="2" t="str">
        <x:v>age_over65</x:v>
      </x:c>
      <x:c r="C5526" s="2" t="n">
        <x:v>3.07528935608692</x:v>
      </x:c>
      <x:c r="D5526" s="2" t="n">
        <x:v>2025</x:v>
      </x:c>
      <x:c r="E5526" s="2" t="str">
        <x:v>WB_age_over65</x:v>
      </x:c>
      <x:c r="F5526" s="2" t="str">
        <x:v>Population ages 65 and above (% of total population)</x:v>
      </x:c>
    </x:row>
    <x:row r="5527" ht="44" customHeight="1">
      <x:c r="A5527" s="2" t="str">
        <x:v>SSD</x:v>
      </x:c>
      <x:c r="B5527" s="2" t="str">
        <x:v>dependency_ratio</x:v>
      </x:c>
      <x:c r="C5527" s="2" t="n">
        <x:v>69.6686858180737</x:v>
      </x:c>
      <x:c r="D5527" s="2" t="n">
        <x:v>2025</x:v>
      </x:c>
      <x:c r="E5527" s="2" t="str">
        <x:v>WB_dependency_ratio</x:v>
      </x:c>
      <x:c r="F5527" s="2" t="str">
        <x:v>Age dependency ratio (% of working-age population)</x:v>
      </x:c>
    </x:row>
    <x:row r="5528" ht="44" customHeight="1">
      <x:c r="A5528" s="2" t="str">
        <x:v>SSD</x:v>
      </x:c>
      <x:c r="B5528" s="2" t="str">
        <x:v>net_migration</x:v>
      </x:c>
      <x:c r="C5528" s="2" t="n">
        <x:v>6145</x:v>
      </x:c>
      <x:c r="D5528" s="2" t="n">
        <x:v>2025</x:v>
      </x:c>
      <x:c r="E5528" s="2" t="str">
        <x:v>WB_net_migration</x:v>
      </x:c>
      <x:c r="F5528" s="2" t="str">
        <x:v>Net migration</x:v>
      </x:c>
    </x:row>
    <x:row r="5529" ht="44" customHeight="1">
      <x:c r="A5529" s="2" t="str">
        <x:v>SSD</x:v>
      </x:c>
      <x:c r="B5529" s="2" t="str">
        <x:v>real_gdp</x:v>
      </x:c>
      <x:c r="C5529" s="2" t="n">
        <x:v>11997800760.2242</x:v>
      </x:c>
      <x:c r="D5529" s="2" t="n">
        <x:v>2015</x:v>
      </x:c>
      <x:c r="E5529" s="2" t="str">
        <x:v>WB_real_gdp</x:v>
      </x:c>
      <x:c r="F5529" s="2" t="str">
        <x:v>GDP (constant 2015 US$)</x:v>
      </x:c>
    </x:row>
    <x:row r="5530" ht="44" customHeight="1">
      <x:c r="A5530" s="2" t="str">
        <x:v>SSD</x:v>
      </x:c>
      <x:c r="B5530" s="2" t="str">
        <x:v>gdp_growth</x:v>
      </x:c>
      <x:c r="C5530" s="2" t="n">
        <x:v>-10.7933646271143</x:v>
      </x:c>
      <x:c r="D5530" s="2" t="n">
        <x:v>2015</x:v>
      </x:c>
      <x:c r="E5530" s="2" t="str">
        <x:v>WB_gdp_growth</x:v>
      </x:c>
      <x:c r="F5530" s="2" t="str">
        <x:v>GDP growth (annual %)</x:v>
      </x:c>
    </x:row>
    <x:row r="5531" ht="44" customHeight="1">
      <x:c r="A5531" s="2" t="str">
        <x:v>SSD</x:v>
      </x:c>
      <x:c r="B5531" s="2" t="str">
        <x:v>real_income</x:v>
      </x:c>
      <x:c r="C5531" s="2" t="n">
        <x:v>1080.14718624765</x:v>
      </x:c>
      <x:c r="D5531" s="2" t="n">
        <x:v>2015</x:v>
      </x:c>
      <x:c r="E5531" s="2" t="str">
        <x:v>WB_real_income</x:v>
      </x:c>
      <x:c r="F5531" s="2" t="str">
        <x:v>GDP per capita (constant 2015 US$)</x:v>
      </x:c>
    </x:row>
    <x:row r="5532" ht="44" customHeight="1">
      <x:c r="A5532" s="2" t="str">
        <x:v>SSD</x:v>
      </x:c>
      <x:c r="B5532" s="2" t="str">
        <x:v>agriculture_gdp</x:v>
      </x:c>
      <x:c r="C5532" s="2" t="n">
        <x:v>10.3550274477245</x:v>
      </x:c>
      <x:c r="D5532" s="2" t="n">
        <x:v>2015</x:v>
      </x:c>
      <x:c r="E5532" s="2" t="str">
        <x:v>WB_agriculture_gdp</x:v>
      </x:c>
      <x:c r="F5532" s="2" t="str">
        <x:v>Agriculture, forestry, and fishing, value added (% of GDP)</x:v>
      </x:c>
    </x:row>
    <x:row r="5533" ht="44" customHeight="1">
      <x:c r="A5533" s="2" t="str">
        <x:v>SSD</x:v>
      </x:c>
      <x:c r="B5533" s="2" t="str">
        <x:v>poverty</x:v>
      </x:c>
      <x:c r="C5533" s="2" t="n">
        <x:v>76.5</x:v>
      </x:c>
      <x:c r="D5533" s="2" t="n">
        <x:v>2016</x:v>
      </x:c>
      <x:c r="E5533" s="2" t="str">
        <x:v>WB_poverty</x:v>
      </x:c>
      <x:c r="F5533" s="2" t="str">
        <x:v>Poverty headcount ratio at $3.00 a day (2021 PPP) (% of population)</x:v>
      </x:c>
    </x:row>
    <x:row r="5534" ht="44" customHeight="1">
      <x:c r="A5534" s="2" t="str">
        <x:v>SSD</x:v>
      </x:c>
      <x:c r="B5534" s="2" t="str">
        <x:v>gini</x:v>
      </x:c>
      <x:c r="C5534" s="2" t="n">
        <x:v>44</x:v>
      </x:c>
      <x:c r="D5534" s="2" t="n">
        <x:v>2016</x:v>
      </x:c>
      <x:c r="E5534" s="2" t="str">
        <x:v>WB_gini</x:v>
      </x:c>
      <x:c r="F5534" s="2" t="str">
        <x:v>Gini index</x:v>
      </x:c>
    </x:row>
    <x:row r="5535" ht="44" customHeight="1">
      <x:c r="A5535" s="2" t="str">
        <x:v>SSD</x:v>
      </x:c>
      <x:c r="B5535" s="2" t="str">
        <x:v>unemployment</x:v>
      </x:c>
      <x:c r="C5535" s="2" t="n">
        <x:v>12.374</x:v>
      </x:c>
      <x:c r="D5535" s="2" t="n">
        <x:v>2023</x:v>
      </x:c>
      <x:c r="E5535" s="2" t="str">
        <x:v>WB_unemployment</x:v>
      </x:c>
      <x:c r="F5535" s="2" t="str">
        <x:v>Unemployment, total (% of total labor force) (modeled ILO estimate)</x:v>
      </x:c>
    </x:row>
    <x:row r="5536" ht="44" customHeight="1">
      <x:c r="A5536" s="2" t="str">
        <x:v>SSD</x:v>
      </x:c>
      <x:c r="B5536" s="2" t="str">
        <x:v>private_credit</x:v>
      </x:c>
      <x:c r="C5536" s="2" t="n">
        <x:v>3.24249880212429</x:v>
      </x:c>
      <x:c r="D5536" s="2" t="n">
        <x:v>2025</x:v>
      </x:c>
      <x:c r="E5536" s="2" t="str">
        <x:v>WB_private_credit</x:v>
      </x:c>
      <x:c r="F5536" s="2" t="str">
        <x:v>Domestic credit to private sector (% of GDP)</x:v>
      </x:c>
    </x:row>
    <x:row r="5537" ht="44" customHeight="1">
      <x:c r="A5537" s="2" t="str">
        <x:v>SSD</x:v>
      </x:c>
      <x:c r="B5537" s="2" t="str">
        <x:v>lending_rate</x:v>
      </x:c>
      <x:c r="C5537" s="2" t="n">
        <x:v>14.2916350675822</x:v>
      </x:c>
      <x:c r="D5537" s="2" t="n">
        <x:v>2025</x:v>
      </x:c>
      <x:c r="E5537" s="2" t="str">
        <x:v>WB_lending_rate</x:v>
      </x:c>
      <x:c r="F5537" s="2" t="str">
        <x:v>Lending interest rate (%)</x:v>
      </x:c>
    </x:row>
    <x:row r="5538" ht="44" customHeight="1">
      <x:c r="A5538" s="2" t="str">
        <x:v>SSD</x:v>
      </x:c>
      <x:c r="B5538" s="2" t="str">
        <x:v>real_interest</x:v>
      </x:c>
      <x:c r="C5538" s="2" t="n">
        <x:v>-54.995889838538</x:v>
      </x:c>
      <x:c r="D5538" s="2" t="n">
        <x:v>2025</x:v>
      </x:c>
      <x:c r="E5538" s="2" t="str">
        <x:v>WB_real_interest</x:v>
      </x:c>
      <x:c r="F5538" s="2" t="str">
        <x:v>Real interest rate (%)</x:v>
      </x:c>
    </x:row>
    <x:row r="5539" ht="44" customHeight="1">
      <x:c r="A5539" s="2" t="str">
        <x:v>SSD</x:v>
      </x:c>
      <x:c r="B5539" s="2" t="str">
        <x:v>government_debt</x:v>
      </x:c>
      <x:c r="C5539" s="2"/>
      <x:c r="D5539" s="2"/>
      <x:c r="E5539" s="2" t="str">
        <x:v>Missing</x:v>
      </x:c>
      <x:c r="F5539" s="2" t="str">
        <x:v>Central government debt, total (% of GDP)</x:v>
      </x:c>
    </x:row>
    <x:row r="5540" ht="44" customHeight="1">
      <x:c r="A5540" s="2" t="str">
        <x:v>SSD</x:v>
      </x:c>
      <x:c r="B5540" s="2" t="str">
        <x:v>electricity_access</x:v>
      </x:c>
      <x:c r="C5540" s="2" t="n">
        <x:v>5.4</x:v>
      </x:c>
      <x:c r="D5540" s="2" t="n">
        <x:v>2024</x:v>
      </x:c>
      <x:c r="E5540" s="2" t="str">
        <x:v>WB_electricity_access</x:v>
      </x:c>
      <x:c r="F5540" s="2" t="str">
        <x:v>Access to electricity (% of population)</x:v>
      </x:c>
    </x:row>
    <x:row r="5541" ht="44" customHeight="1">
      <x:c r="A5541" s="2" t="str">
        <x:v>SSD</x:v>
      </x:c>
      <x:c r="B5541" s="2" t="str">
        <x:v>irrigated_land</x:v>
      </x:c>
      <x:c r="C5541" s="2"/>
      <x:c r="D5541" s="2"/>
      <x:c r="E5541" s="2" t="str">
        <x:v>Missing</x:v>
      </x:c>
      <x:c r="F5541" s="2" t="str">
        <x:v>Agricultural irrigated land (% of total agricultural land)</x:v>
      </x:c>
    </x:row>
    <x:row r="5542" ht="44" customHeight="1">
      <x:c r="A5542" s="2" t="str">
        <x:v>SSD</x:v>
      </x:c>
      <x:c r="B5542" s="2" t="str">
        <x:v>cereal_area</x:v>
      </x:c>
      <x:c r="C5542" s="2" t="n">
        <x:v>1104151</x:v>
      </x:c>
      <x:c r="D5542" s="2" t="n">
        <x:v>2023</x:v>
      </x:c>
      <x:c r="E5542" s="2" t="str">
        <x:v>WB_cereal_area</x:v>
      </x:c>
      <x:c r="F5542" s="2" t="str">
        <x:v>Land under cereal production (hectares)</x:v>
      </x:c>
    </x:row>
    <x:row r="5543" ht="44" customHeight="1">
      <x:c r="A5543" s="2" t="str">
        <x:v>SSD</x:v>
      </x:c>
      <x:c r="B5543" s="2" t="str">
        <x:v>undernourishment</x:v>
      </x:c>
      <x:c r="C5543" s="2" t="n">
        <x:v>22.3</x:v>
      </x:c>
      <x:c r="D5543" s="2" t="n">
        <x:v>2023</x:v>
      </x:c>
      <x:c r="E5543" s="2" t="str">
        <x:v>WB_undernourishment</x:v>
      </x:c>
      <x:c r="F5543" s="2" t="str">
        <x:v>Prevalence of undernourishment (% of population)</x:v>
      </x:c>
    </x:row>
    <x:row r="5544" ht="44" customHeight="1">
      <x:c r="A5544" s="2" t="str">
        <x:v>SSD</x:v>
      </x:c>
      <x:c r="B5544" s="2" t="str">
        <x:v>agriculture_employment</x:v>
      </x:c>
      <x:c r="C5544" s="2" t="n">
        <x:v>63.7605031614144</x:v>
      </x:c>
      <x:c r="D5544" s="2" t="n">
        <x:v>2023</x:v>
      </x:c>
      <x:c r="E5544" s="2" t="str">
        <x:v>WB_agriculture_employment</x:v>
      </x:c>
      <x:c r="F5544" s="2" t="str">
        <x:v>Employment in agriculture (% of total employment) (modeled ILO estimate)</x:v>
      </x:c>
    </x:row>
    <x:row r="5545" ht="44" customHeight="1">
      <x:c r="A5545" s="2" t="str">
        <x:v>SSD</x:v>
      </x:c>
      <x:c r="B5545" s="2" t="str">
        <x:v>water_withdrawal</x:v>
      </x:c>
      <x:c r="C5545" s="2" t="n">
        <x:v>2.53076923076923</x:v>
      </x:c>
      <x:c r="D5545" s="2" t="n">
        <x:v>2022</x:v>
      </x:c>
      <x:c r="E5545" s="2" t="str">
        <x:v>WB_water_withdrawal</x:v>
      </x:c>
      <x:c r="F5545" s="2" t="str">
        <x:v>Annual freshwater withdrawals, total (% of internal resources)</x:v>
      </x:c>
    </x:row>
    <x:row r="5546" ht="44" customHeight="1">
      <x:c r="A5546" s="2" t="str">
        <x:v>ESP</x:v>
      </x:c>
      <x:c r="B5546" s="2" t="str">
        <x:v>population</x:v>
      </x:c>
      <x:c r="C5546" s="2" t="n">
        <x:v>49355143</x:v>
      </x:c>
      <x:c r="D5546" s="2" t="n">
        <x:v>2025</x:v>
      </x:c>
      <x:c r="E5546" s="2" t="str">
        <x:v>WB_population</x:v>
      </x:c>
      <x:c r="F5546" s="2" t="str">
        <x:v>Population, total</x:v>
      </x:c>
    </x:row>
    <x:row r="5547" ht="44" customHeight="1">
      <x:c r="A5547" s="2" t="str">
        <x:v>ESP</x:v>
      </x:c>
      <x:c r="B5547" s="2" t="str">
        <x:v>income_ppp</x:v>
      </x:c>
      <x:c r="C5547" s="2" t="n">
        <x:v>49318.105559037</x:v>
      </x:c>
      <x:c r="D5547" s="2" t="n">
        <x:v>2025</x:v>
      </x:c>
      <x:c r="E5547" s="2" t="str">
        <x:v>WB_income_ppp</x:v>
      </x:c>
      <x:c r="F5547" s="2" t="str">
        <x:v>GDP per capita, PPP (constant 2021 international $)</x:v>
      </x:c>
    </x:row>
    <x:row r="5548" ht="44" customHeight="1">
      <x:c r="A5548" s="2" t="str">
        <x:v>ESP</x:v>
      </x:c>
      <x:c r="B5548" s="2" t="str">
        <x:v>urban</x:v>
      </x:c>
      <x:c r="C5548" s="2" t="n">
        <x:v>80.5149251039138</x:v>
      </x:c>
      <x:c r="D5548" s="2" t="n">
        <x:v>2025</x:v>
      </x:c>
      <x:c r="E5548" s="2" t="str">
        <x:v>WB_urban</x:v>
      </x:c>
      <x:c r="F5548" s="2" t="str">
        <x:v>Urban population (% of total population)</x:v>
      </x:c>
    </x:row>
    <x:row r="5549" ht="44" customHeight="1">
      <x:c r="A5549" s="2" t="str">
        <x:v>ESP</x:v>
      </x:c>
      <x:c r="B5549" s="2" t="str">
        <x:v>inflation</x:v>
      </x:c>
      <x:c r="C5549" s="2" t="n">
        <x:v>2.699932857627</x:v>
      </x:c>
      <x:c r="D5549" s="2" t="n">
        <x:v>2025</x:v>
      </x:c>
      <x:c r="E5549" s="2" t="str">
        <x:v>WB_inflation</x:v>
      </x:c>
      <x:c r="F5549" s="2" t="str">
        <x:v>Inflation, consumer prices (annual %)</x:v>
      </x:c>
    </x:row>
    <x:row r="5550" ht="44" customHeight="1">
      <x:c r="A5550" s="2" t="str">
        <x:v>ESP</x:v>
      </x:c>
      <x:c r="B5550" s="2" t="str">
        <x:v>food_index</x:v>
      </x:c>
      <x:c r="C5550" s="2" t="n">
        <x:v>98.83</x:v>
      </x:c>
      <x:c r="D5550" s="2" t="n">
        <x:v>2022</x:v>
      </x:c>
      <x:c r="E5550" s="2" t="str">
        <x:v>WB_food_index</x:v>
      </x:c>
      <x:c r="F5550" s="2" t="str">
        <x:v>Food production index (2014-2016 = 100)</x:v>
      </x:c>
    </x:row>
    <x:row r="5551" ht="44" customHeight="1">
      <x:c r="A5551" s="2" t="str">
        <x:v>ESP</x:v>
      </x:c>
      <x:c r="B5551" s="2" t="str">
        <x:v>food_import_share</x:v>
      </x:c>
      <x:c r="C5551" s="2" t="n">
        <x:v>12.4601599531457</x:v>
      </x:c>
      <x:c r="D5551" s="2" t="n">
        <x:v>2024</x:v>
      </x:c>
      <x:c r="E5551" s="2" t="str">
        <x:v>WB_food_import_share</x:v>
      </x:c>
      <x:c r="F5551" s="2" t="str">
        <x:v>Food imports (% of merchandise imports)</x:v>
      </x:c>
    </x:row>
    <x:row r="5552" ht="44" customHeight="1">
      <x:c r="A5552" s="2" t="str">
        <x:v>ESP</x:v>
      </x:c>
      <x:c r="B5552" s="2" t="str">
        <x:v>food_export_share</x:v>
      </x:c>
      <x:c r="C5552" s="2" t="n">
        <x:v>18.6458863788043</x:v>
      </x:c>
      <x:c r="D5552" s="2" t="n">
        <x:v>2024</x:v>
      </x:c>
      <x:c r="E5552" s="2" t="str">
        <x:v>WB_food_export_share</x:v>
      </x:c>
      <x:c r="F5552" s="2" t="str">
        <x:v>Food exports (% of merchandise exports)</x:v>
      </x:c>
    </x:row>
    <x:row r="5553" ht="44" customHeight="1">
      <x:c r="A5553" s="2" t="str">
        <x:v>ESP</x:v>
      </x:c>
      <x:c r="B5553" s="2" t="str">
        <x:v>imports_usd</x:v>
      </x:c>
      <x:c r="C5553" s="2" t="n">
        <x:v>513316000000</x:v>
      </x:c>
      <x:c r="D5553" s="2" t="n">
        <x:v>2025</x:v>
      </x:c>
      <x:c r="E5553" s="2" t="str">
        <x:v>WB_imports_usd</x:v>
      </x:c>
      <x:c r="F5553" s="2" t="str">
        <x:v>Merchandise imports (current US$)</x:v>
      </x:c>
    </x:row>
    <x:row r="5554" ht="44" customHeight="1">
      <x:c r="A5554" s="2" t="str">
        <x:v>ESP</x:v>
      </x:c>
      <x:c r="B5554" s="2" t="str">
        <x:v>exports_usd</x:v>
      </x:c>
      <x:c r="C5554" s="2" t="n">
        <x:v>445106000000</x:v>
      </x:c>
      <x:c r="D5554" s="2" t="n">
        <x:v>2025</x:v>
      </x:c>
      <x:c r="E5554" s="2" t="str">
        <x:v>WB_exports_usd</x:v>
      </x:c>
      <x:c r="F5554" s="2" t="str">
        <x:v>Merchandise exports (current US$)</x:v>
      </x:c>
    </x:row>
    <x:row r="5555" ht="44" customHeight="1">
      <x:c r="A5555" s="2" t="str">
        <x:v>ESP</x:v>
      </x:c>
      <x:c r="B5555" s="2" t="str">
        <x:v>cereal_yield</x:v>
      </x:c>
      <x:c r="C5555" s="2" t="n">
        <x:v>3785.9</x:v>
      </x:c>
      <x:c r="D5555" s="2" t="n">
        <x:v>2024</x:v>
      </x:c>
      <x:c r="E5555" s="2" t="str">
        <x:v>WB_cereal_yield</x:v>
      </x:c>
      <x:c r="F5555" s="2" t="str">
        <x:v>Cereal yield (kg per hectare)</x:v>
      </x:c>
    </x:row>
    <x:row r="5556" ht="44" customHeight="1">
      <x:c r="A5556" s="2" t="str">
        <x:v>ESP</x:v>
      </x:c>
      <x:c r="B5556" s="2" t="str">
        <x:v>water_stress</x:v>
      </x:c>
      <x:c r="C5556" s="2" t="n">
        <x:v>43.25403923</x:v>
      </x:c>
      <x:c r="D5556" s="2" t="n">
        <x:v>2022</x:v>
      </x:c>
      <x:c r="E5556" s="2" t="str">
        <x:v>WB_water_stress</x:v>
      </x:c>
      <x:c r="F5556" s="2" t="str">
        <x:v>Level of water stress: freshwater withdrawal as a proportion of available freshwater resources</x:v>
      </x:c>
    </x:row>
    <x:row r="5557" ht="44" customHeight="1">
      <x:c r="A5557" s="2" t="str">
        <x:v>ESP</x:v>
      </x:c>
      <x:c r="B5557" s="2" t="str">
        <x:v>fertility</x:v>
      </x:c>
      <x:c r="C5557" s="2" t="n">
        <x:v>1.1</x:v>
      </x:c>
      <x:c r="D5557" s="2" t="n">
        <x:v>2024</x:v>
      </x:c>
      <x:c r="E5557" s="2" t="str">
        <x:v>WB_fertility</x:v>
      </x:c>
      <x:c r="F5557" s="2" t="str">
        <x:v>Fertility rate, total (births per woman)</x:v>
      </x:c>
    </x:row>
    <x:row r="5558" ht="44" customHeight="1">
      <x:c r="A5558" s="2" t="str">
        <x:v>ESP</x:v>
      </x:c>
      <x:c r="B5558" s="2" t="str">
        <x:v>life_expectancy</x:v>
      </x:c>
      <x:c r="C5558" s="2" t="n">
        <x:v>83.8878048780488</x:v>
      </x:c>
      <x:c r="D5558" s="2" t="n">
        <x:v>2024</x:v>
      </x:c>
      <x:c r="E5558" s="2" t="str">
        <x:v>WB_life_expectancy</x:v>
      </x:c>
      <x:c r="F5558" s="2" t="str">
        <x:v>Life expectancy at birth, total (years)</x:v>
      </x:c>
    </x:row>
    <x:row r="5559" ht="44" customHeight="1">
      <x:c r="A5559" s="2" t="str">
        <x:v>ESP</x:v>
      </x:c>
      <x:c r="B5559" s="2" t="str">
        <x:v>age_under15</x:v>
      </x:c>
      <x:c r="C5559" s="2" t="n">
        <x:v>12.6191319691698</x:v>
      </x:c>
      <x:c r="D5559" s="2" t="n">
        <x:v>2025</x:v>
      </x:c>
      <x:c r="E5559" s="2" t="str">
        <x:v>WB_age_under15</x:v>
      </x:c>
      <x:c r="F5559" s="2" t="str">
        <x:v>Population ages 0-14 (% of total population)</x:v>
      </x:c>
    </x:row>
    <x:row r="5560" ht="44" customHeight="1">
      <x:c r="A5560" s="2" t="str">
        <x:v>ESP</x:v>
      </x:c>
      <x:c r="B5560" s="2" t="str">
        <x:v>age_over65</x:v>
      </x:c>
      <x:c r="C5560" s="2" t="n">
        <x:v>21.64208099744</x:v>
      </x:c>
      <x:c r="D5560" s="2" t="n">
        <x:v>2025</x:v>
      </x:c>
      <x:c r="E5560" s="2" t="str">
        <x:v>WB_age_over65</x:v>
      </x:c>
      <x:c r="F5560" s="2" t="str">
        <x:v>Population ages 65 and above (% of total population)</x:v>
      </x:c>
    </x:row>
    <x:row r="5561" ht="44" customHeight="1">
      <x:c r="A5561" s="2" t="str">
        <x:v>ESP</x:v>
      </x:c>
      <x:c r="B5561" s="2" t="str">
        <x:v>dependency_ratio</x:v>
      </x:c>
      <x:c r="C5561" s="2" t="n">
        <x:v>52.1171983566767</x:v>
      </x:c>
      <x:c r="D5561" s="2" t="n">
        <x:v>2025</x:v>
      </x:c>
      <x:c r="E5561" s="2" t="str">
        <x:v>WB_dependency_ratio</x:v>
      </x:c>
      <x:c r="F5561" s="2" t="str">
        <x:v>Age dependency ratio (% of working-age population)</x:v>
      </x:c>
    </x:row>
    <x:row r="5562" ht="44" customHeight="1">
      <x:c r="A5562" s="2" t="str">
        <x:v>ESP</x:v>
      </x:c>
      <x:c r="B5562" s="2" t="str">
        <x:v>net_migration</x:v>
      </x:c>
      <x:c r="C5562" s="2" t="n">
        <x:v>96630</x:v>
      </x:c>
      <x:c r="D5562" s="2" t="n">
        <x:v>2025</x:v>
      </x:c>
      <x:c r="E5562" s="2" t="str">
        <x:v>WB_net_migration</x:v>
      </x:c>
      <x:c r="F5562" s="2" t="str">
        <x:v>Net migration</x:v>
      </x:c>
    </x:row>
    <x:row r="5563" ht="44" customHeight="1">
      <x:c r="A5563" s="2" t="str">
        <x:v>ESP</x:v>
      </x:c>
      <x:c r="B5563" s="2" t="str">
        <x:v>real_gdp</x:v>
      </x:c>
      <x:c r="C5563" s="2" t="n">
        <x:v>1468952188359.05</x:v>
      </x:c>
      <x:c r="D5563" s="2" t="n">
        <x:v>2025</x:v>
      </x:c>
      <x:c r="E5563" s="2" t="str">
        <x:v>WB_real_gdp</x:v>
      </x:c>
      <x:c r="F5563" s="2" t="str">
        <x:v>GDP (constant 2015 US$)</x:v>
      </x:c>
    </x:row>
    <x:row r="5564" ht="44" customHeight="1">
      <x:c r="A5564" s="2" t="str">
        <x:v>ESP</x:v>
      </x:c>
      <x:c r="B5564" s="2" t="str">
        <x:v>gdp_growth</x:v>
      </x:c>
      <x:c r="C5564" s="2" t="n">
        <x:v>2.82495400578509</x:v>
      </x:c>
      <x:c r="D5564" s="2" t="n">
        <x:v>2025</x:v>
      </x:c>
      <x:c r="E5564" s="2" t="str">
        <x:v>WB_gdp_growth</x:v>
      </x:c>
      <x:c r="F5564" s="2" t="str">
        <x:v>GDP growth (annual %)</x:v>
      </x:c>
    </x:row>
    <x:row r="5565" ht="44" customHeight="1">
      <x:c r="A5565" s="2" t="str">
        <x:v>ESP</x:v>
      </x:c>
      <x:c r="B5565" s="2" t="str">
        <x:v>real_income</x:v>
      </x:c>
      <x:c r="C5565" s="2" t="n">
        <x:v>29762.9000560093</x:v>
      </x:c>
      <x:c r="D5565" s="2" t="n">
        <x:v>2025</x:v>
      </x:c>
      <x:c r="E5565" s="2" t="str">
        <x:v>WB_real_income</x:v>
      </x:c>
      <x:c r="F5565" s="2" t="str">
        <x:v>GDP per capita (constant 2015 US$)</x:v>
      </x:c>
    </x:row>
    <x:row r="5566" ht="44" customHeight="1">
      <x:c r="A5566" s="2" t="str">
        <x:v>ESP</x:v>
      </x:c>
      <x:c r="B5566" s="2" t="str">
        <x:v>agriculture_gdp</x:v>
      </x:c>
      <x:c r="C5566" s="2" t="n">
        <x:v>2.68233093402373</x:v>
      </x:c>
      <x:c r="D5566" s="2" t="n">
        <x:v>2025</x:v>
      </x:c>
      <x:c r="E5566" s="2" t="str">
        <x:v>WB_agriculture_gdp</x:v>
      </x:c>
      <x:c r="F5566" s="2" t="str">
        <x:v>Agriculture, forestry, and fishing, value added (% of GDP)</x:v>
      </x:c>
    </x:row>
    <x:row r="5567" ht="44" customHeight="1">
      <x:c r="A5567" s="2" t="str">
        <x:v>ESP</x:v>
      </x:c>
      <x:c r="B5567" s="2" t="str">
        <x:v>poverty</x:v>
      </x:c>
      <x:c r="C5567" s="2" t="n">
        <x:v>0.8</x:v>
      </x:c>
      <x:c r="D5567" s="2" t="n">
        <x:v>2023</x:v>
      </x:c>
      <x:c r="E5567" s="2" t="str">
        <x:v>WB_poverty</x:v>
      </x:c>
      <x:c r="F5567" s="2" t="str">
        <x:v>Poverty headcount ratio at $3.00 a day (2021 PPP) (% of population)</x:v>
      </x:c>
    </x:row>
    <x:row r="5568" ht="44" customHeight="1">
      <x:c r="A5568" s="2" t="str">
        <x:v>ESP</x:v>
      </x:c>
      <x:c r="B5568" s="2" t="str">
        <x:v>gini</x:v>
      </x:c>
      <x:c r="C5568" s="2" t="n">
        <x:v>33.4</x:v>
      </x:c>
      <x:c r="D5568" s="2" t="n">
        <x:v>2023</x:v>
      </x:c>
      <x:c r="E5568" s="2" t="str">
        <x:v>WB_gini</x:v>
      </x:c>
      <x:c r="F5568" s="2" t="str">
        <x:v>Gini index</x:v>
      </x:c>
    </x:row>
    <x:row r="5569" ht="44" customHeight="1">
      <x:c r="A5569" s="2" t="str">
        <x:v>ESP</x:v>
      </x:c>
      <x:c r="B5569" s="2" t="str">
        <x:v>unemployment</x:v>
      </x:c>
      <x:c r="C5569" s="2" t="n">
        <x:v>10.376</x:v>
      </x:c>
      <x:c r="D5569" s="2" t="n">
        <x:v>2025</x:v>
      </x:c>
      <x:c r="E5569" s="2" t="str">
        <x:v>WB_unemployment</x:v>
      </x:c>
      <x:c r="F5569" s="2" t="str">
        <x:v>Unemployment, total (% of total labor force) (modeled ILO estimate)</x:v>
      </x:c>
    </x:row>
    <x:row r="5570" ht="44" customHeight="1">
      <x:c r="A5570" s="2" t="str">
        <x:v>ESP</x:v>
      </x:c>
      <x:c r="B5570" s="2" t="str">
        <x:v>private_credit</x:v>
      </x:c>
      <x:c r="C5570" s="2" t="n">
        <x:v>74.2192017963659</x:v>
      </x:c>
      <x:c r="D5570" s="2" t="n">
        <x:v>2024</x:v>
      </x:c>
      <x:c r="E5570" s="2" t="str">
        <x:v>WB_private_credit</x:v>
      </x:c>
      <x:c r="F5570" s="2" t="str">
        <x:v>Domestic credit to private sector (% of GDP)</x:v>
      </x:c>
    </x:row>
    <x:row r="5571" ht="44" customHeight="1">
      <x:c r="A5571" s="2" t="str">
        <x:v>ESP</x:v>
      </x:c>
      <x:c r="B5571" s="2" t="str">
        <x:v>lending_rate</x:v>
      </x:c>
      <x:c r="C5571" s="2"/>
      <x:c r="D5571" s="2"/>
      <x:c r="E5571" s="2" t="str">
        <x:v>Missing</x:v>
      </x:c>
      <x:c r="F5571" s="2" t="str">
        <x:v>Lending interest rate (%)</x:v>
      </x:c>
    </x:row>
    <x:row r="5572" ht="44" customHeight="1">
      <x:c r="A5572" s="2" t="str">
        <x:v>ESP</x:v>
      </x:c>
      <x:c r="B5572" s="2" t="str">
        <x:v>real_interest</x:v>
      </x:c>
      <x:c r="C5572" s="2"/>
      <x:c r="D5572" s="2"/>
      <x:c r="E5572" s="2" t="str">
        <x:v>Missing</x:v>
      </x:c>
      <x:c r="F5572" s="2" t="str">
        <x:v>Real interest rate (%)</x:v>
      </x:c>
    </x:row>
    <x:row r="5573" ht="44" customHeight="1">
      <x:c r="A5573" s="2" t="str">
        <x:v>ESP</x:v>
      </x:c>
      <x:c r="B5573" s="2" t="str">
        <x:v>government_debt</x:v>
      </x:c>
      <x:c r="C5573" s="2" t="n">
        <x:v>105.639074777338</x:v>
      </x:c>
      <x:c r="D5573" s="2" t="n">
        <x:v>2024</x:v>
      </x:c>
      <x:c r="E5573" s="2" t="str">
        <x:v>WB_government_debt</x:v>
      </x:c>
      <x:c r="F5573" s="2" t="str">
        <x:v>Central government debt, total (% of GDP)</x:v>
      </x:c>
    </x:row>
    <x:row r="5574" ht="44" customHeight="1">
      <x:c r="A5574" s="2" t="str">
        <x:v>ESP</x:v>
      </x:c>
      <x:c r="B5574" s="2" t="str">
        <x:v>electricity_access</x:v>
      </x:c>
      <x:c r="C5574" s="2" t="n">
        <x:v>100</x:v>
      </x:c>
      <x:c r="D5574" s="2" t="n">
        <x:v>2024</x:v>
      </x:c>
      <x:c r="E5574" s="2" t="str">
        <x:v>WB_electricity_access</x:v>
      </x:c>
      <x:c r="F5574" s="2" t="str">
        <x:v>Access to electricity (% of population)</x:v>
      </x:c>
    </x:row>
    <x:row r="5575" ht="44" customHeight="1">
      <x:c r="A5575" s="2" t="str">
        <x:v>ESP</x:v>
      </x:c>
      <x:c r="B5575" s="2" t="str">
        <x:v>irrigated_land</x:v>
      </x:c>
      <x:c r="C5575" s="2" t="n">
        <x:v>15.1154163408034</x:v>
      </x:c>
      <x:c r="D5575" s="2" t="n">
        <x:v>2023</x:v>
      </x:c>
      <x:c r="E5575" s="2" t="str">
        <x:v>WB_irrigated_land</x:v>
      </x:c>
      <x:c r="F5575" s="2" t="str">
        <x:v>Agricultural irrigated land (% of total agricultural land)</x:v>
      </x:c>
    </x:row>
    <x:row r="5576" ht="44" customHeight="1">
      <x:c r="A5576" s="2" t="str">
        <x:v>ESP</x:v>
      </x:c>
      <x:c r="B5576" s="2" t="str">
        <x:v>cereal_area</x:v>
      </x:c>
      <x:c r="C5576" s="2" t="n">
        <x:v>5510760</x:v>
      </x:c>
      <x:c r="D5576" s="2" t="n">
        <x:v>2024</x:v>
      </x:c>
      <x:c r="E5576" s="2" t="str">
        <x:v>WB_cereal_area</x:v>
      </x:c>
      <x:c r="F5576" s="2" t="str">
        <x:v>Land under cereal production (hectares)</x:v>
      </x:c>
    </x:row>
    <x:row r="5577" ht="44" customHeight="1">
      <x:c r="A5577" s="2" t="str">
        <x:v>ESP</x:v>
      </x:c>
      <x:c r="B5577" s="2" t="str">
        <x:v>undernourishment</x:v>
      </x:c>
      <x:c r="C5577" s="2" t="n">
        <x:v>2.5</x:v>
      </x:c>
      <x:c r="D5577" s="2" t="n">
        <x:v>2023</x:v>
      </x:c>
      <x:c r="E5577" s="2" t="str">
        <x:v>WB_undernourishment</x:v>
      </x:c>
      <x:c r="F5577" s="2" t="str">
        <x:v>Prevalence of undernourishment (% of population)</x:v>
      </x:c>
    </x:row>
    <x:row r="5578" ht="44" customHeight="1">
      <x:c r="A5578" s="2" t="str">
        <x:v>ESP</x:v>
      </x:c>
      <x:c r="B5578" s="2" t="str">
        <x:v>agriculture_employment</x:v>
      </x:c>
      <x:c r="C5578" s="2" t="n">
        <x:v>3.37439783451485</x:v>
      </x:c>
      <x:c r="D5578" s="2" t="n">
        <x:v>2025</x:v>
      </x:c>
      <x:c r="E5578" s="2" t="str">
        <x:v>WB_agriculture_employment</x:v>
      </x:c>
      <x:c r="F5578" s="2" t="str">
        <x:v>Employment in agriculture (% of total employment) (modeled ILO estimate)</x:v>
      </x:c>
    </x:row>
    <x:row r="5579" ht="44" customHeight="1">
      <x:c r="A5579" s="2" t="str">
        <x:v>ESP</x:v>
      </x:c>
      <x:c r="B5579" s="2" t="str">
        <x:v>water_withdrawal</x:v>
      </x:c>
      <x:c r="C5579" s="2" t="n">
        <x:v>26.0971223021583</x:v>
      </x:c>
      <x:c r="D5579" s="2" t="n">
        <x:v>2022</x:v>
      </x:c>
      <x:c r="E5579" s="2" t="str">
        <x:v>WB_water_withdrawal</x:v>
      </x:c>
      <x:c r="F5579" s="2" t="str">
        <x:v>Annual freshwater withdrawals, total (% of internal resources)</x:v>
      </x:c>
    </x:row>
    <x:row r="5580" ht="44" customHeight="1">
      <x:c r="A5580" s="2" t="str">
        <x:v>LKA</x:v>
      </x:c>
      <x:c r="B5580" s="2" t="str">
        <x:v>population</x:v>
      </x:c>
      <x:c r="C5580" s="2" t="n">
        <x:v>21756000</x:v>
      </x:c>
      <x:c r="D5580" s="2" t="n">
        <x:v>2025</x:v>
      </x:c>
      <x:c r="E5580" s="2" t="str">
        <x:v>WB_population</x:v>
      </x:c>
      <x:c r="F5580" s="2" t="str">
        <x:v>Population, total</x:v>
      </x:c>
    </x:row>
    <x:row r="5581" ht="44" customHeight="1">
      <x:c r="A5581" s="2" t="str">
        <x:v>LKA</x:v>
      </x:c>
      <x:c r="B5581" s="2" t="str">
        <x:v>income_ppp</x:v>
      </x:c>
      <x:c r="C5581" s="2" t="n">
        <x:v>14582.7603740374</x:v>
      </x:c>
      <x:c r="D5581" s="2" t="n">
        <x:v>2025</x:v>
      </x:c>
      <x:c r="E5581" s="2" t="str">
        <x:v>WB_income_ppp</x:v>
      </x:c>
      <x:c r="F5581" s="2" t="str">
        <x:v>GDP per capita, PPP (constant 2021 international $)</x:v>
      </x:c>
    </x:row>
    <x:row r="5582" ht="44" customHeight="1">
      <x:c r="A5582" s="2" t="str">
        <x:v>LKA</x:v>
      </x:c>
      <x:c r="B5582" s="2" t="str">
        <x:v>urban</x:v>
      </x:c>
      <x:c r="C5582" s="2" t="n">
        <x:v>20.4501355167937</x:v>
      </x:c>
      <x:c r="D5582" s="2" t="n">
        <x:v>2025</x:v>
      </x:c>
      <x:c r="E5582" s="2" t="str">
        <x:v>WB_urban</x:v>
      </x:c>
      <x:c r="F5582" s="2" t="str">
        <x:v>Urban population (% of total population)</x:v>
      </x:c>
    </x:row>
    <x:row r="5583" ht="44" customHeight="1">
      <x:c r="A5583" s="2" t="str">
        <x:v>LKA</x:v>
      </x:c>
      <x:c r="B5583" s="2" t="str">
        <x:v>inflation</x:v>
      </x:c>
      <x:c r="C5583" s="2" t="n">
        <x:v>-4.76386036960983</x:v>
      </x:c>
      <x:c r="D5583" s="2" t="n">
        <x:v>2025</x:v>
      </x:c>
      <x:c r="E5583" s="2" t="str">
        <x:v>WB_inflation</x:v>
      </x:c>
      <x:c r="F5583" s="2" t="str">
        <x:v>Inflation, consumer prices (annual %)</x:v>
      </x:c>
    </x:row>
    <x:row r="5584" ht="44" customHeight="1">
      <x:c r="A5584" s="2" t="str">
        <x:v>LKA</x:v>
      </x:c>
      <x:c r="B5584" s="2" t="str">
        <x:v>food_index</x:v>
      </x:c>
      <x:c r="C5584" s="2" t="n">
        <x:v>99.24</x:v>
      </x:c>
      <x:c r="D5584" s="2" t="n">
        <x:v>2022</x:v>
      </x:c>
      <x:c r="E5584" s="2" t="str">
        <x:v>WB_food_index</x:v>
      </x:c>
      <x:c r="F5584" s="2" t="str">
        <x:v>Food production index (2014-2016 = 100)</x:v>
      </x:c>
    </x:row>
    <x:row r="5585" ht="44" customHeight="1">
      <x:c r="A5585" s="2" t="str">
        <x:v>LKA</x:v>
      </x:c>
      <x:c r="B5585" s="2" t="str">
        <x:v>food_import_share</x:v>
      </x:c>
      <x:c r="C5585" s="2" t="n">
        <x:v>15.2925487801049</x:v>
      </x:c>
      <x:c r="D5585" s="2" t="n">
        <x:v>2024</x:v>
      </x:c>
      <x:c r="E5585" s="2" t="str">
        <x:v>WB_food_import_share</x:v>
      </x:c>
      <x:c r="F5585" s="2" t="str">
        <x:v>Food imports (% of merchandise imports)</x:v>
      </x:c>
    </x:row>
    <x:row r="5586" ht="44" customHeight="1">
      <x:c r="A5586" s="2" t="str">
        <x:v>LKA</x:v>
      </x:c>
      <x:c r="B5586" s="2" t="str">
        <x:v>food_export_share</x:v>
      </x:c>
      <x:c r="C5586" s="2" t="n">
        <x:v>27.2544945444433</x:v>
      </x:c>
      <x:c r="D5586" s="2" t="n">
        <x:v>2024</x:v>
      </x:c>
      <x:c r="E5586" s="2" t="str">
        <x:v>WB_food_export_share</x:v>
      </x:c>
      <x:c r="F5586" s="2" t="str">
        <x:v>Food exports (% of merchandise exports)</x:v>
      </x:c>
    </x:row>
    <x:row r="5587" ht="44" customHeight="1">
      <x:c r="A5587" s="2" t="str">
        <x:v>LKA</x:v>
      </x:c>
      <x:c r="B5587" s="2" t="str">
        <x:v>imports_usd</x:v>
      </x:c>
      <x:c r="C5587" s="2" t="n">
        <x:v>21480000000</x:v>
      </x:c>
      <x:c r="D5587" s="2" t="n">
        <x:v>2025</x:v>
      </x:c>
      <x:c r="E5587" s="2" t="str">
        <x:v>WB_imports_usd</x:v>
      </x:c>
      <x:c r="F5587" s="2" t="str">
        <x:v>Merchandise imports (current US$)</x:v>
      </x:c>
    </x:row>
    <x:row r="5588" ht="44" customHeight="1">
      <x:c r="A5588" s="2" t="str">
        <x:v>LKA</x:v>
      </x:c>
      <x:c r="B5588" s="2" t="str">
        <x:v>exports_usd</x:v>
      </x:c>
      <x:c r="C5588" s="2" t="n">
        <x:v>13581000000</x:v>
      </x:c>
      <x:c r="D5588" s="2" t="n">
        <x:v>2025</x:v>
      </x:c>
      <x:c r="E5588" s="2" t="str">
        <x:v>WB_exports_usd</x:v>
      </x:c>
      <x:c r="F5588" s="2" t="str">
        <x:v>Merchandise exports (current US$)</x:v>
      </x:c>
    </x:row>
    <x:row r="5589" ht="44" customHeight="1">
      <x:c r="A5589" s="2" t="str">
        <x:v>LKA</x:v>
      </x:c>
      <x:c r="B5589" s="2" t="str">
        <x:v>cereal_yield</x:v>
      </x:c>
      <x:c r="C5589" s="2" t="n">
        <x:v>3804.3</x:v>
      </x:c>
      <x:c r="D5589" s="2" t="n">
        <x:v>2023</x:v>
      </x:c>
      <x:c r="E5589" s="2" t="str">
        <x:v>WB_cereal_yield</x:v>
      </x:c>
      <x:c r="F5589" s="2" t="str">
        <x:v>Cereal yield (kg per hectare)</x:v>
      </x:c>
    </x:row>
    <x:row r="5590" ht="44" customHeight="1">
      <x:c r="A5590" s="2" t="str">
        <x:v>LKA</x:v>
      </x:c>
      <x:c r="B5590" s="2" t="str">
        <x:v>water_stress</x:v>
      </x:c>
      <x:c r="C5590" s="2" t="n">
        <x:v>90.78541374</x:v>
      </x:c>
      <x:c r="D5590" s="2" t="n">
        <x:v>2022</x:v>
      </x:c>
      <x:c r="E5590" s="2" t="str">
        <x:v>WB_water_stress</x:v>
      </x:c>
      <x:c r="F5590" s="2" t="str">
        <x:v>Level of water stress: freshwater withdrawal as a proportion of available freshwater resources</x:v>
      </x:c>
    </x:row>
    <x:row r="5591" ht="44" customHeight="1">
      <x:c r="A5591" s="2" t="str">
        <x:v>LKA</x:v>
      </x:c>
      <x:c r="B5591" s="2" t="str">
        <x:v>fertility</x:v>
      </x:c>
      <x:c r="C5591" s="2" t="n">
        <x:v>1.952</x:v>
      </x:c>
      <x:c r="D5591" s="2" t="n">
        <x:v>2024</x:v>
      </x:c>
      <x:c r="E5591" s="2" t="str">
        <x:v>WB_fertility</x:v>
      </x:c>
      <x:c r="F5591" s="2" t="str">
        <x:v>Fertility rate, total (births per woman)</x:v>
      </x:c>
    </x:row>
    <x:row r="5592" ht="44" customHeight="1">
      <x:c r="A5592" s="2" t="str">
        <x:v>LKA</x:v>
      </x:c>
      <x:c r="B5592" s="2" t="str">
        <x:v>life_expectancy</x:v>
      </x:c>
      <x:c r="C5592" s="2" t="n">
        <x:v>77.672</x:v>
      </x:c>
      <x:c r="D5592" s="2" t="n">
        <x:v>2024</x:v>
      </x:c>
      <x:c r="E5592" s="2" t="str">
        <x:v>WB_life_expectancy</x:v>
      </x:c>
      <x:c r="F5592" s="2" t="str">
        <x:v>Life expectancy at birth, total (years)</x:v>
      </x:c>
    </x:row>
    <x:row r="5593" ht="44" customHeight="1">
      <x:c r="A5593" s="2" t="str">
        <x:v>LKA</x:v>
      </x:c>
      <x:c r="B5593" s="2" t="str">
        <x:v>age_under15</x:v>
      </x:c>
      <x:c r="C5593" s="2" t="n">
        <x:v>21.7008153500529</x:v>
      </x:c>
      <x:c r="D5593" s="2" t="n">
        <x:v>2025</x:v>
      </x:c>
      <x:c r="E5593" s="2" t="str">
        <x:v>WB_age_under15</x:v>
      </x:c>
      <x:c r="F5593" s="2" t="str">
        <x:v>Population ages 0-14 (% of total population)</x:v>
      </x:c>
    </x:row>
    <x:row r="5594" ht="44" customHeight="1">
      <x:c r="A5594" s="2" t="str">
        <x:v>LKA</x:v>
      </x:c>
      <x:c r="B5594" s="2" t="str">
        <x:v>age_over65</x:v>
      </x:c>
      <x:c r="C5594" s="2" t="n">
        <x:v>12.4747139630238</x:v>
      </x:c>
      <x:c r="D5594" s="2" t="n">
        <x:v>2025</x:v>
      </x:c>
      <x:c r="E5594" s="2" t="str">
        <x:v>WB_age_over65</x:v>
      </x:c>
      <x:c r="F5594" s="2" t="str">
        <x:v>Population ages 65 and above (% of total population)</x:v>
      </x:c>
    </x:row>
    <x:row r="5595" ht="44" customHeight="1">
      <x:c r="A5595" s="2" t="str">
        <x:v>LKA</x:v>
      </x:c>
      <x:c r="B5595" s="2" t="str">
        <x:v>dependency_ratio</x:v>
      </x:c>
      <x:c r="C5595" s="2" t="n">
        <x:v>51.9191842450952</x:v>
      </x:c>
      <x:c r="D5595" s="2" t="n">
        <x:v>2025</x:v>
      </x:c>
      <x:c r="E5595" s="2" t="str">
        <x:v>WB_dependency_ratio</x:v>
      </x:c>
      <x:c r="F5595" s="2" t="str">
        <x:v>Age dependency ratio (% of working-age population)</x:v>
      </x:c>
    </x:row>
    <x:row r="5596" ht="44" customHeight="1">
      <x:c r="A5596" s="2" t="str">
        <x:v>LKA</x:v>
      </x:c>
      <x:c r="B5596" s="2" t="str">
        <x:v>net_migration</x:v>
      </x:c>
      <x:c r="C5596" s="2" t="n">
        <x:v>-30724</x:v>
      </x:c>
      <x:c r="D5596" s="2" t="n">
        <x:v>2025</x:v>
      </x:c>
      <x:c r="E5596" s="2" t="str">
        <x:v>WB_net_migration</x:v>
      </x:c>
      <x:c r="F5596" s="2" t="str">
        <x:v>Net migration</x:v>
      </x:c>
    </x:row>
    <x:row r="5597" ht="44" customHeight="1">
      <x:c r="A5597" s="2" t="str">
        <x:v>LKA</x:v>
      </x:c>
      <x:c r="B5597" s="2" t="str">
        <x:v>real_gdp</x:v>
      </x:c>
      <x:c r="C5597" s="2" t="n">
        <x:v>96577833375.7408</x:v>
      </x:c>
      <x:c r="D5597" s="2" t="n">
        <x:v>2025</x:v>
      </x:c>
      <x:c r="E5597" s="2" t="str">
        <x:v>WB_real_gdp</x:v>
      </x:c>
      <x:c r="F5597" s="2" t="str">
        <x:v>GDP (constant 2015 US$)</x:v>
      </x:c>
    </x:row>
    <x:row r="5598" ht="44" customHeight="1">
      <x:c r="A5598" s="2" t="str">
        <x:v>LKA</x:v>
      </x:c>
      <x:c r="B5598" s="2" t="str">
        <x:v>gdp_growth</x:v>
      </x:c>
      <x:c r="C5598" s="2" t="n">
        <x:v>4.9534339114043</x:v>
      </x:c>
      <x:c r="D5598" s="2" t="n">
        <x:v>2025</x:v>
      </x:c>
      <x:c r="E5598" s="2" t="str">
        <x:v>WB_gdp_growth</x:v>
      </x:c>
      <x:c r="F5598" s="2" t="str">
        <x:v>GDP growth (annual %)</x:v>
      </x:c>
    </x:row>
    <x:row r="5599" ht="44" customHeight="1">
      <x:c r="A5599" s="2" t="str">
        <x:v>LKA</x:v>
      </x:c>
      <x:c r="B5599" s="2" t="str">
        <x:v>real_income</x:v>
      </x:c>
      <x:c r="C5599" s="2" t="n">
        <x:v>4439.13556608479</x:v>
      </x:c>
      <x:c r="D5599" s="2" t="n">
        <x:v>2025</x:v>
      </x:c>
      <x:c r="E5599" s="2" t="str">
        <x:v>WB_real_income</x:v>
      </x:c>
      <x:c r="F5599" s="2" t="str">
        <x:v>GDP per capita (constant 2015 US$)</x:v>
      </x:c>
    </x:row>
    <x:row r="5600" ht="44" customHeight="1">
      <x:c r="A5600" s="2" t="str">
        <x:v>LKA</x:v>
      </x:c>
      <x:c r="B5600" s="2" t="str">
        <x:v>agriculture_gdp</x:v>
      </x:c>
      <x:c r="C5600" s="2" t="n">
        <x:v>8.36247166017662</x:v>
      </x:c>
      <x:c r="D5600" s="2" t="n">
        <x:v>2025</x:v>
      </x:c>
      <x:c r="E5600" s="2" t="str">
        <x:v>WB_agriculture_gdp</x:v>
      </x:c>
      <x:c r="F5600" s="2" t="str">
        <x:v>Agriculture, forestry, and fishing, value added (% of GDP)</x:v>
      </x:c>
    </x:row>
    <x:row r="5601" ht="44" customHeight="1">
      <x:c r="A5601" s="2" t="str">
        <x:v>LKA</x:v>
      </x:c>
      <x:c r="B5601" s="2" t="str">
        <x:v>poverty</x:v>
      </x:c>
      <x:c r="C5601" s="2" t="n">
        <x:v>2.7</x:v>
      </x:c>
      <x:c r="D5601" s="2" t="n">
        <x:v>2019</x:v>
      </x:c>
      <x:c r="E5601" s="2" t="str">
        <x:v>WB_poverty</x:v>
      </x:c>
      <x:c r="F5601" s="2" t="str">
        <x:v>Poverty headcount ratio at $3.00 a day (2021 PPP) (% of population)</x:v>
      </x:c>
    </x:row>
    <x:row r="5602" ht="44" customHeight="1">
      <x:c r="A5602" s="2" t="str">
        <x:v>LKA</x:v>
      </x:c>
      <x:c r="B5602" s="2" t="str">
        <x:v>gini</x:v>
      </x:c>
      <x:c r="C5602" s="2" t="n">
        <x:v>37.7</x:v>
      </x:c>
      <x:c r="D5602" s="2" t="n">
        <x:v>2019</x:v>
      </x:c>
      <x:c r="E5602" s="2" t="str">
        <x:v>WB_gini</x:v>
      </x:c>
      <x:c r="F5602" s="2" t="str">
        <x:v>Gini index</x:v>
      </x:c>
    </x:row>
    <x:row r="5603" ht="44" customHeight="1">
      <x:c r="A5603" s="2" t="str">
        <x:v>LKA</x:v>
      </x:c>
      <x:c r="B5603" s="2" t="str">
        <x:v>unemployment</x:v>
      </x:c>
      <x:c r="C5603" s="2" t="n">
        <x:v>4.005</x:v>
      </x:c>
      <x:c r="D5603" s="2" t="n">
        <x:v>2025</x:v>
      </x:c>
      <x:c r="E5603" s="2" t="str">
        <x:v>WB_unemployment</x:v>
      </x:c>
      <x:c r="F5603" s="2" t="str">
        <x:v>Unemployment, total (% of total labor force) (modeled ILO estimate)</x:v>
      </x:c>
    </x:row>
    <x:row r="5604" ht="44" customHeight="1">
      <x:c r="A5604" s="2" t="str">
        <x:v>LKA</x:v>
      </x:c>
      <x:c r="B5604" s="2" t="str">
        <x:v>private_credit</x:v>
      </x:c>
      <x:c r="C5604" s="2" t="n">
        <x:v>47.0084929449139</x:v>
      </x:c>
      <x:c r="D5604" s="2" t="n">
        <x:v>2019</x:v>
      </x:c>
      <x:c r="E5604" s="2" t="str">
        <x:v>WB_private_credit</x:v>
      </x:c>
      <x:c r="F5604" s="2" t="str">
        <x:v>Domestic credit to private sector (% of GDP)</x:v>
      </x:c>
    </x:row>
    <x:row r="5605" ht="44" customHeight="1">
      <x:c r="A5605" s="2" t="str">
        <x:v>LKA</x:v>
      </x:c>
      <x:c r="B5605" s="2" t="str">
        <x:v>lending_rate</x:v>
      </x:c>
      <x:c r="C5605" s="2" t="n">
        <x:v>11.2441666666667</x:v>
      </x:c>
      <x:c r="D5605" s="2" t="n">
        <x:v>2019</x:v>
      </x:c>
      <x:c r="E5605" s="2" t="str">
        <x:v>WB_lending_rate</x:v>
      </x:c>
      <x:c r="F5605" s="2" t="str">
        <x:v>Lending interest rate (%)</x:v>
      </x:c>
    </x:row>
    <x:row r="5606" ht="44" customHeight="1">
      <x:c r="A5606" s="2" t="str">
        <x:v>LKA</x:v>
      </x:c>
      <x:c r="B5606" s="2" t="str">
        <x:v>real_interest</x:v>
      </x:c>
      <x:c r="C5606" s="2" t="n">
        <x:v>7.09887513185031</x:v>
      </x:c>
      <x:c r="D5606" s="2" t="n">
        <x:v>2019</x:v>
      </x:c>
      <x:c r="E5606" s="2" t="str">
        <x:v>WB_real_interest</x:v>
      </x:c>
      <x:c r="F5606" s="2" t="str">
        <x:v>Real interest rate (%)</x:v>
      </x:c>
    </x:row>
    <x:row r="5607" ht="44" customHeight="1">
      <x:c r="A5607" s="2" t="str">
        <x:v>LKA</x:v>
      </x:c>
      <x:c r="B5607" s="2" t="str">
        <x:v>government_debt</x:v>
      </x:c>
      <x:c r="C5607" s="2" t="n">
        <x:v>73.5126591623625</x:v>
      </x:c>
      <x:c r="D5607" s="2" t="n">
        <x:v>2015</x:v>
      </x:c>
      <x:c r="E5607" s="2" t="str">
        <x:v>WB_government_debt</x:v>
      </x:c>
      <x:c r="F5607" s="2" t="str">
        <x:v>Central government debt, total (% of GDP)</x:v>
      </x:c>
    </x:row>
    <x:row r="5608" ht="44" customHeight="1">
      <x:c r="A5608" s="2" t="str">
        <x:v>LKA</x:v>
      </x:c>
      <x:c r="B5608" s="2" t="str">
        <x:v>electricity_access</x:v>
      </x:c>
      <x:c r="C5608" s="2" t="n">
        <x:v>100</x:v>
      </x:c>
      <x:c r="D5608" s="2" t="n">
        <x:v>2024</x:v>
      </x:c>
      <x:c r="E5608" s="2" t="str">
        <x:v>WB_electricity_access</x:v>
      </x:c>
      <x:c r="F5608" s="2" t="str">
        <x:v>Access to electricity (% of population)</x:v>
      </x:c>
    </x:row>
    <x:row r="5609" ht="44" customHeight="1">
      <x:c r="A5609" s="2" t="str">
        <x:v>LKA</x:v>
      </x:c>
      <x:c r="B5609" s="2" t="str">
        <x:v>irrigated_land</x:v>
      </x:c>
      <x:c r="C5609" s="2"/>
      <x:c r="D5609" s="2"/>
      <x:c r="E5609" s="2" t="str">
        <x:v>Missing</x:v>
      </x:c>
      <x:c r="F5609" s="2" t="str">
        <x:v>Agricultural irrigated land (% of total agricultural land)</x:v>
      </x:c>
    </x:row>
    <x:row r="5610" ht="44" customHeight="1">
      <x:c r="A5610" s="2" t="str">
        <x:v>LKA</x:v>
      </x:c>
      <x:c r="B5610" s="2" t="str">
        <x:v>cereal_area</x:v>
      </x:c>
      <x:c r="C5610" s="2" t="n">
        <x:v>1247195</x:v>
      </x:c>
      <x:c r="D5610" s="2" t="n">
        <x:v>2023</x:v>
      </x:c>
      <x:c r="E5610" s="2" t="str">
        <x:v>WB_cereal_area</x:v>
      </x:c>
      <x:c r="F5610" s="2" t="str">
        <x:v>Land under cereal production (hectares)</x:v>
      </x:c>
    </x:row>
    <x:row r="5611" ht="44" customHeight="1">
      <x:c r="A5611" s="2" t="str">
        <x:v>LKA</x:v>
      </x:c>
      <x:c r="B5611" s="2" t="str">
        <x:v>undernourishment</x:v>
      </x:c>
      <x:c r="C5611" s="2" t="n">
        <x:v>7.4</x:v>
      </x:c>
      <x:c r="D5611" s="2" t="n">
        <x:v>2023</x:v>
      </x:c>
      <x:c r="E5611" s="2" t="str">
        <x:v>WB_undernourishment</x:v>
      </x:c>
      <x:c r="F5611" s="2" t="str">
        <x:v>Prevalence of undernourishment (% of population)</x:v>
      </x:c>
    </x:row>
    <x:row r="5612" ht="44" customHeight="1">
      <x:c r="A5612" s="2" t="str">
        <x:v>LKA</x:v>
      </x:c>
      <x:c r="B5612" s="2" t="str">
        <x:v>agriculture_employment</x:v>
      </x:c>
      <x:c r="C5612" s="2" t="n">
        <x:v>25.8567580565536</x:v>
      </x:c>
      <x:c r="D5612" s="2" t="n">
        <x:v>2025</x:v>
      </x:c>
      <x:c r="E5612" s="2" t="str">
        <x:v>WB_agriculture_employment</x:v>
      </x:c>
      <x:c r="F5612" s="2" t="str">
        <x:v>Employment in agriculture (% of total employment) (modeled ILO estimate)</x:v>
      </x:c>
    </x:row>
    <x:row r="5613" ht="44" customHeight="1">
      <x:c r="A5613" s="2" t="str">
        <x:v>LKA</x:v>
      </x:c>
      <x:c r="B5613" s="2" t="str">
        <x:v>water_withdrawal</x:v>
      </x:c>
      <x:c r="C5613" s="2" t="n">
        <x:v>24.5189393939394</x:v>
      </x:c>
      <x:c r="D5613" s="2" t="n">
        <x:v>2022</x:v>
      </x:c>
      <x:c r="E5613" s="2" t="str">
        <x:v>WB_water_withdrawal</x:v>
      </x:c>
      <x:c r="F5613" s="2" t="str">
        <x:v>Annual freshwater withdrawals, total (% of internal resources)</x:v>
      </x:c>
    </x:row>
    <x:row r="5614" ht="44" customHeight="1">
      <x:c r="A5614" s="2" t="str">
        <x:v>PSE</x:v>
      </x:c>
      <x:c r="B5614" s="2" t="str">
        <x:v>population</x:v>
      </x:c>
      <x:c r="C5614" s="2" t="n">
        <x:v>5413596</x:v>
      </x:c>
      <x:c r="D5614" s="2" t="n">
        <x:v>2025</x:v>
      </x:c>
      <x:c r="E5614" s="2" t="str">
        <x:v>WB_population</x:v>
      </x:c>
      <x:c r="F5614" s="2" t="str">
        <x:v>Population, total</x:v>
      </x:c>
    </x:row>
    <x:row r="5615" ht="44" customHeight="1">
      <x:c r="A5615" s="2" t="str">
        <x:v>PSE</x:v>
      </x:c>
      <x:c r="B5615" s="2" t="str">
        <x:v>income_ppp</x:v>
      </x:c>
      <x:c r="C5615" s="2" t="n">
        <x:v>4272.45762077019</x:v>
      </x:c>
      <x:c r="D5615" s="2" t="n">
        <x:v>2025</x:v>
      </x:c>
      <x:c r="E5615" s="2" t="str">
        <x:v>WB_income_ppp</x:v>
      </x:c>
      <x:c r="F5615" s="2" t="str">
        <x:v>GDP per capita, PPP (constant 2021 international $)</x:v>
      </x:c>
    </x:row>
    <x:row r="5616" ht="44" customHeight="1">
      <x:c r="A5616" s="2" t="str">
        <x:v>PSE</x:v>
      </x:c>
      <x:c r="B5616" s="2" t="str">
        <x:v>urban</x:v>
      </x:c>
      <x:c r="C5616" s="2" t="n">
        <x:v>87.3818962963393</x:v>
      </x:c>
      <x:c r="D5616" s="2" t="n">
        <x:v>2025</x:v>
      </x:c>
      <x:c r="E5616" s="2" t="str">
        <x:v>WB_urban</x:v>
      </x:c>
      <x:c r="F5616" s="2" t="str">
        <x:v>Urban population (% of total population)</x:v>
      </x:c>
    </x:row>
    <x:row r="5617" ht="44" customHeight="1">
      <x:c r="A5617" s="2" t="str">
        <x:v>PSE</x:v>
      </x:c>
      <x:c r="B5617" s="2" t="str">
        <x:v>inflation</x:v>
      </x:c>
      <x:c r="C5617" s="2" t="n">
        <x:v>9.80840118100493</x:v>
      </x:c>
      <x:c r="D5617" s="2" t="n">
        <x:v>2025</x:v>
      </x:c>
      <x:c r="E5617" s="2" t="str">
        <x:v>WB_inflation</x:v>
      </x:c>
      <x:c r="F5617" s="2" t="str">
        <x:v>Inflation, consumer prices (annual %)</x:v>
      </x:c>
    </x:row>
    <x:row r="5618" ht="44" customHeight="1">
      <x:c r="A5618" s="2" t="str">
        <x:v>PSE</x:v>
      </x:c>
      <x:c r="B5618" s="2" t="str">
        <x:v>food_index</x:v>
      </x:c>
      <x:c r="C5618" s="2" t="n">
        <x:v>111.76</x:v>
      </x:c>
      <x:c r="D5618" s="2" t="n">
        <x:v>2022</x:v>
      </x:c>
      <x:c r="E5618" s="2" t="str">
        <x:v>WB_food_index</x:v>
      </x:c>
      <x:c r="F5618" s="2" t="str">
        <x:v>Food production index (2014-2016 = 100)</x:v>
      </x:c>
    </x:row>
    <x:row r="5619" ht="44" customHeight="1">
      <x:c r="A5619" s="2" t="str">
        <x:v>PSE</x:v>
      </x:c>
      <x:c r="B5619" s="2" t="str">
        <x:v>food_import_share</x:v>
      </x:c>
      <x:c r="C5619" s="2" t="n">
        <x:v>30.9230514954555</x:v>
      </x:c>
      <x:c r="D5619" s="2" t="n">
        <x:v>2023</x:v>
      </x:c>
      <x:c r="E5619" s="2" t="str">
        <x:v>WB_food_import_share</x:v>
      </x:c>
      <x:c r="F5619" s="2" t="str">
        <x:v>Food imports (% of merchandise imports)</x:v>
      </x:c>
    </x:row>
    <x:row r="5620" ht="44" customHeight="1">
      <x:c r="A5620" s="2" t="str">
        <x:v>PSE</x:v>
      </x:c>
      <x:c r="B5620" s="2" t="str">
        <x:v>food_export_share</x:v>
      </x:c>
      <x:c r="C5620" s="2" t="n">
        <x:v>21.3953024551424</x:v>
      </x:c>
      <x:c r="D5620" s="2" t="n">
        <x:v>2023</x:v>
      </x:c>
      <x:c r="E5620" s="2" t="str">
        <x:v>WB_food_export_share</x:v>
      </x:c>
      <x:c r="F5620" s="2" t="str">
        <x:v>Food exports (% of merchandise exports)</x:v>
      </x:c>
    </x:row>
    <x:row r="5621" ht="44" customHeight="1">
      <x:c r="A5621" s="2" t="str">
        <x:v>PSE</x:v>
      </x:c>
      <x:c r="B5621" s="2" t="str">
        <x:v>imports_usd</x:v>
      </x:c>
      <x:c r="C5621" s="2"/>
      <x:c r="D5621" s="2"/>
      <x:c r="E5621" s="2" t="str">
        <x:v>Missing</x:v>
      </x:c>
      <x:c r="F5621" s="2" t="str">
        <x:v>Merchandise imports (current US$)</x:v>
      </x:c>
    </x:row>
    <x:row r="5622" ht="44" customHeight="1">
      <x:c r="A5622" s="2" t="str">
        <x:v>PSE</x:v>
      </x:c>
      <x:c r="B5622" s="2" t="str">
        <x:v>exports_usd</x:v>
      </x:c>
      <x:c r="C5622" s="2"/>
      <x:c r="D5622" s="2"/>
      <x:c r="E5622" s="2" t="str">
        <x:v>Missing</x:v>
      </x:c>
      <x:c r="F5622" s="2" t="str">
        <x:v>Merchandise exports (current US$)</x:v>
      </x:c>
    </x:row>
    <x:row r="5623" ht="44" customHeight="1">
      <x:c r="A5623" s="2" t="str">
        <x:v>PSE</x:v>
      </x:c>
      <x:c r="B5623" s="2" t="str">
        <x:v>cereal_yield</x:v>
      </x:c>
      <x:c r="C5623" s="2" t="n">
        <x:v>2464.7</x:v>
      </x:c>
      <x:c r="D5623" s="2" t="n">
        <x:v>2023</x:v>
      </x:c>
      <x:c r="E5623" s="2" t="str">
        <x:v>WB_cereal_yield</x:v>
      </x:c>
      <x:c r="F5623" s="2" t="str">
        <x:v>Cereal yield (kg per hectare)</x:v>
      </x:c>
    </x:row>
    <x:row r="5624" ht="44" customHeight="1">
      <x:c r="A5624" s="2" t="str">
        <x:v>PSE</x:v>
      </x:c>
      <x:c r="B5624" s="2" t="str">
        <x:v>water_stress</x:v>
      </x:c>
      <x:c r="C5624" s="2" t="n">
        <x:v>47.7535301669</x:v>
      </x:c>
      <x:c r="D5624" s="2" t="n">
        <x:v>2021</x:v>
      </x:c>
      <x:c r="E5624" s="2" t="str">
        <x:v>WB_water_stress</x:v>
      </x:c>
      <x:c r="F5624" s="2" t="str">
        <x:v>Level of water stress: freshwater withdrawal as a proportion of available freshwater resources</x:v>
      </x:c>
    </x:row>
    <x:row r="5625" ht="44" customHeight="1">
      <x:c r="A5625" s="2" t="str">
        <x:v>PSE</x:v>
      </x:c>
      <x:c r="B5625" s="2" t="str">
        <x:v>fertility</x:v>
      </x:c>
      <x:c r="C5625" s="2" t="n">
        <x:v>3.25</x:v>
      </x:c>
      <x:c r="D5625" s="2" t="n">
        <x:v>2024</x:v>
      </x:c>
      <x:c r="E5625" s="2" t="str">
        <x:v>WB_fertility</x:v>
      </x:c>
      <x:c r="F5625" s="2" t="str">
        <x:v>Fertility rate, total (births per woman)</x:v>
      </x:c>
    </x:row>
    <x:row r="5626" ht="44" customHeight="1">
      <x:c r="A5626" s="2" t="str">
        <x:v>PSE</x:v>
      </x:c>
      <x:c r="B5626" s="2" t="str">
        <x:v>life_expectancy</x:v>
      </x:c>
      <x:c r="C5626" s="2" t="n">
        <x:v>69.213</x:v>
      </x:c>
      <x:c r="D5626" s="2" t="n">
        <x:v>2024</x:v>
      </x:c>
      <x:c r="E5626" s="2" t="str">
        <x:v>WB_life_expectancy</x:v>
      </x:c>
      <x:c r="F5626" s="2" t="str">
        <x:v>Life expectancy at birth, total (years)</x:v>
      </x:c>
    </x:row>
    <x:row r="5627" ht="44" customHeight="1">
      <x:c r="A5627" s="2" t="str">
        <x:v>PSE</x:v>
      </x:c>
      <x:c r="B5627" s="2" t="str">
        <x:v>age_under15</x:v>
      </x:c>
      <x:c r="C5627" s="2" t="n">
        <x:v>37.5908894034535</x:v>
      </x:c>
      <x:c r="D5627" s="2" t="n">
        <x:v>2025</x:v>
      </x:c>
      <x:c r="E5627" s="2" t="str">
        <x:v>WB_age_under15</x:v>
      </x:c>
      <x:c r="F5627" s="2" t="str">
        <x:v>Population ages 0-14 (% of total population)</x:v>
      </x:c>
    </x:row>
    <x:row r="5628" ht="44" customHeight="1">
      <x:c r="A5628" s="2" t="str">
        <x:v>PSE</x:v>
      </x:c>
      <x:c r="B5628" s="2" t="str">
        <x:v>age_over65</x:v>
      </x:c>
      <x:c r="C5628" s="2" t="n">
        <x:v>3.85167300191802</x:v>
      </x:c>
      <x:c r="D5628" s="2" t="n">
        <x:v>2025</x:v>
      </x:c>
      <x:c r="E5628" s="2" t="str">
        <x:v>WB_age_over65</x:v>
      </x:c>
      <x:c r="F5628" s="2" t="str">
        <x:v>Population ages 65 and above (% of total population)</x:v>
      </x:c>
    </x:row>
    <x:row r="5629" ht="44" customHeight="1">
      <x:c r="A5629" s="2" t="str">
        <x:v>PSE</x:v>
      </x:c>
      <x:c r="B5629" s="2" t="str">
        <x:v>dependency_ratio</x:v>
      </x:c>
      <x:c r="C5629" s="2" t="n">
        <x:v>70.7725051521058</x:v>
      </x:c>
      <x:c r="D5629" s="2" t="n">
        <x:v>2025</x:v>
      </x:c>
      <x:c r="E5629" s="2" t="str">
        <x:v>WB_dependency_ratio</x:v>
      </x:c>
      <x:c r="F5629" s="2" t="str">
        <x:v>Age dependency ratio (% of working-age population)</x:v>
      </x:c>
    </x:row>
    <x:row r="5630" ht="44" customHeight="1">
      <x:c r="A5630" s="2" t="str">
        <x:v>PSE</x:v>
      </x:c>
      <x:c r="B5630" s="2" t="str">
        <x:v>net_migration</x:v>
      </x:c>
      <x:c r="C5630" s="2" t="n">
        <x:v>-23156</x:v>
      </x:c>
      <x:c r="D5630" s="2" t="n">
        <x:v>2025</x:v>
      </x:c>
      <x:c r="E5630" s="2" t="str">
        <x:v>WB_net_migration</x:v>
      </x:c>
      <x:c r="F5630" s="2" t="str">
        <x:v>Net migration</x:v>
      </x:c>
    </x:row>
    <x:row r="5631" ht="44" customHeight="1">
      <x:c r="A5631" s="2" t="str">
        <x:v>PSE</x:v>
      </x:c>
      <x:c r="B5631" s="2" t="str">
        <x:v>real_gdp</x:v>
      </x:c>
      <x:c r="C5631" s="2" t="n">
        <x:v>12462900000</x:v>
      </x:c>
      <x:c r="D5631" s="2" t="n">
        <x:v>2025</x:v>
      </x:c>
      <x:c r="E5631" s="2" t="str">
        <x:v>WB_real_gdp</x:v>
      </x:c>
      <x:c r="F5631" s="2" t="str">
        <x:v>GDP (constant 2015 US$)</x:v>
      </x:c>
    </x:row>
    <x:row r="5632" ht="44" customHeight="1">
      <x:c r="A5632" s="2" t="str">
        <x:v>PSE</x:v>
      </x:c>
      <x:c r="B5632" s="2" t="str">
        <x:v>gdp_growth</x:v>
      </x:c>
      <x:c r="C5632" s="2" t="n">
        <x:v>4.34444072337577</x:v>
      </x:c>
      <x:c r="D5632" s="2" t="n">
        <x:v>2025</x:v>
      </x:c>
      <x:c r="E5632" s="2" t="str">
        <x:v>WB_gdp_growth</x:v>
      </x:c>
      <x:c r="F5632" s="2" t="str">
        <x:v>GDP growth (annual %)</x:v>
      </x:c>
    </x:row>
    <x:row r="5633" ht="44" customHeight="1">
      <x:c r="A5633" s="2" t="str">
        <x:v>PSE</x:v>
      </x:c>
      <x:c r="B5633" s="2" t="str">
        <x:v>real_income</x:v>
      </x:c>
      <x:c r="C5633" s="2" t="n">
        <x:v>2302.14814699878</x:v>
      </x:c>
      <x:c r="D5633" s="2" t="n">
        <x:v>2025</x:v>
      </x:c>
      <x:c r="E5633" s="2" t="str">
        <x:v>WB_real_income</x:v>
      </x:c>
      <x:c r="F5633" s="2" t="str">
        <x:v>GDP per capita (constant 2015 US$)</x:v>
      </x:c>
    </x:row>
    <x:row r="5634" ht="44" customHeight="1">
      <x:c r="A5634" s="2" t="str">
        <x:v>PSE</x:v>
      </x:c>
      <x:c r="B5634" s="2" t="str">
        <x:v>agriculture_gdp</x:v>
      </x:c>
      <x:c r="C5634" s="2" t="n">
        <x:v>5.52041905737065</x:v>
      </x:c>
      <x:c r="D5634" s="2" t="n">
        <x:v>2024</x:v>
      </x:c>
      <x:c r="E5634" s="2" t="str">
        <x:v>WB_agriculture_gdp</x:v>
      </x:c>
      <x:c r="F5634" s="2" t="str">
        <x:v>Agriculture, forestry, and fishing, value added (% of GDP)</x:v>
      </x:c>
    </x:row>
    <x:row r="5635" ht="44" customHeight="1">
      <x:c r="A5635" s="2" t="str">
        <x:v>PSE</x:v>
      </x:c>
      <x:c r="B5635" s="2" t="str">
        <x:v>poverty</x:v>
      </x:c>
      <x:c r="C5635" s="2" t="n">
        <x:v>2.1</x:v>
      </x:c>
      <x:c r="D5635" s="2" t="n">
        <x:v>2023</x:v>
      </x:c>
      <x:c r="E5635" s="2" t="str">
        <x:v>WB_poverty</x:v>
      </x:c>
      <x:c r="F5635" s="2" t="str">
        <x:v>Poverty headcount ratio at $3.00 a day (2021 PPP) (% of population)</x:v>
      </x:c>
    </x:row>
    <x:row r="5636" ht="44" customHeight="1">
      <x:c r="A5636" s="2" t="str">
        <x:v>PSE</x:v>
      </x:c>
      <x:c r="B5636" s="2" t="str">
        <x:v>gini</x:v>
      </x:c>
      <x:c r="C5636" s="2" t="n">
        <x:v>36.4</x:v>
      </x:c>
      <x:c r="D5636" s="2" t="n">
        <x:v>2023</x:v>
      </x:c>
      <x:c r="E5636" s="2" t="str">
        <x:v>WB_gini</x:v>
      </x:c>
      <x:c r="F5636" s="2" t="str">
        <x:v>Gini index</x:v>
      </x:c>
    </x:row>
    <x:row r="5637" ht="44" customHeight="1">
      <x:c r="A5637" s="2" t="str">
        <x:v>PSE</x:v>
      </x:c>
      <x:c r="B5637" s="2" t="str">
        <x:v>unemployment</x:v>
      </x:c>
      <x:c r="C5637" s="2" t="n">
        <x:v>24.42</x:v>
      </x:c>
      <x:c r="D5637" s="2" t="n">
        <x:v>2022</x:v>
      </x:c>
      <x:c r="E5637" s="2" t="str">
        <x:v>WB_unemployment</x:v>
      </x:c>
      <x:c r="F5637" s="2" t="str">
        <x:v>Unemployment, total (% of total labor force) (modeled ILO estimate)</x:v>
      </x:c>
    </x:row>
    <x:row r="5638" ht="44" customHeight="1">
      <x:c r="A5638" s="2" t="str">
        <x:v>PSE</x:v>
      </x:c>
      <x:c r="B5638" s="2" t="str">
        <x:v>private_credit</x:v>
      </x:c>
      <x:c r="C5638" s="2" t="n">
        <x:v>56.4537277980556</x:v>
      </x:c>
      <x:c r="D5638" s="2" t="n">
        <x:v>2025</x:v>
      </x:c>
      <x:c r="E5638" s="2" t="str">
        <x:v>WB_private_credit</x:v>
      </x:c>
      <x:c r="F5638" s="2" t="str">
        <x:v>Domestic credit to private sector (% of GDP)</x:v>
      </x:c>
    </x:row>
    <x:row r="5639" ht="44" customHeight="1">
      <x:c r="A5639" s="2" t="str">
        <x:v>PSE</x:v>
      </x:c>
      <x:c r="B5639" s="2" t="str">
        <x:v>lending_rate</x:v>
      </x:c>
      <x:c r="C5639" s="2" t="n">
        <x:v>5.55524249655977</x:v>
      </x:c>
      <x:c r="D5639" s="2" t="n">
        <x:v>2021</x:v>
      </x:c>
      <x:c r="E5639" s="2" t="str">
        <x:v>WB_lending_rate</x:v>
      </x:c>
      <x:c r="F5639" s="2" t="str">
        <x:v>Lending interest rate (%)</x:v>
      </x:c>
    </x:row>
    <x:row r="5640" ht="44" customHeight="1">
      <x:c r="A5640" s="2" t="str">
        <x:v>PSE</x:v>
      </x:c>
      <x:c r="B5640" s="2" t="str">
        <x:v>real_interest</x:v>
      </x:c>
      <x:c r="C5640" s="2" t="n">
        <x:v>-3.1194174840674</x:v>
      </x:c>
      <x:c r="D5640" s="2" t="n">
        <x:v>2021</x:v>
      </x:c>
      <x:c r="E5640" s="2" t="str">
        <x:v>WB_real_interest</x:v>
      </x:c>
      <x:c r="F5640" s="2" t="str">
        <x:v>Real interest rate (%)</x:v>
      </x:c>
    </x:row>
    <x:row r="5641" ht="44" customHeight="1">
      <x:c r="A5641" s="2" t="str">
        <x:v>PSE</x:v>
      </x:c>
      <x:c r="B5641" s="2" t="str">
        <x:v>government_debt</x:v>
      </x:c>
      <x:c r="C5641" s="2"/>
      <x:c r="D5641" s="2"/>
      <x:c r="E5641" s="2" t="str">
        <x:v>Missing</x:v>
      </x:c>
      <x:c r="F5641" s="2" t="str">
        <x:v>Central government debt, total (% of GDP)</x:v>
      </x:c>
    </x:row>
    <x:row r="5642" ht="44" customHeight="1">
      <x:c r="A5642" s="2" t="str">
        <x:v>PSE</x:v>
      </x:c>
      <x:c r="B5642" s="2" t="str">
        <x:v>electricity_access</x:v>
      </x:c>
      <x:c r="C5642" s="2" t="n">
        <x:v>100</x:v>
      </x:c>
      <x:c r="D5642" s="2" t="n">
        <x:v>2024</x:v>
      </x:c>
      <x:c r="E5642" s="2" t="str">
        <x:v>WB_electricity_access</x:v>
      </x:c>
      <x:c r="F5642" s="2" t="str">
        <x:v>Access to electricity (% of population)</x:v>
      </x:c>
    </x:row>
    <x:row r="5643" ht="44" customHeight="1">
      <x:c r="A5643" s="2" t="str">
        <x:v>PSE</x:v>
      </x:c>
      <x:c r="B5643" s="2" t="str">
        <x:v>irrigated_land</x:v>
      </x:c>
      <x:c r="C5643" s="2" t="n">
        <x:v>3.65321836714652</x:v>
      </x:c>
      <x:c r="D5643" s="2" t="n">
        <x:v>2013</x:v>
      </x:c>
      <x:c r="E5643" s="2" t="str">
        <x:v>WB_irrigated_land</x:v>
      </x:c>
      <x:c r="F5643" s="2" t="str">
        <x:v>Agricultural irrigated land (% of total agricultural land)</x:v>
      </x:c>
    </x:row>
    <x:row r="5644" ht="44" customHeight="1">
      <x:c r="A5644" s="2" t="str">
        <x:v>PSE</x:v>
      </x:c>
      <x:c r="B5644" s="2" t="str">
        <x:v>cereal_area</x:v>
      </x:c>
      <x:c r="C5644" s="2" t="n">
        <x:v>20698</x:v>
      </x:c>
      <x:c r="D5644" s="2" t="n">
        <x:v>2023</x:v>
      </x:c>
      <x:c r="E5644" s="2" t="str">
        <x:v>WB_cereal_area</x:v>
      </x:c>
      <x:c r="F5644" s="2" t="str">
        <x:v>Land under cereal production (hectares)</x:v>
      </x:c>
    </x:row>
    <x:row r="5645" ht="44" customHeight="1">
      <x:c r="A5645" s="2" t="str">
        <x:v>PSE</x:v>
      </x:c>
      <x:c r="B5645" s="2" t="str">
        <x:v>undernourishment</x:v>
      </x:c>
      <x:c r="C5645" s="2"/>
      <x:c r="D5645" s="2"/>
      <x:c r="E5645" s="2" t="str">
        <x:v>Missing</x:v>
      </x:c>
      <x:c r="F5645" s="2" t="str">
        <x:v>Prevalence of undernourishment (% of population)</x:v>
      </x:c>
    </x:row>
    <x:row r="5646" ht="44" customHeight="1">
      <x:c r="A5646" s="2" t="str">
        <x:v>PSE</x:v>
      </x:c>
      <x:c r="B5646" s="2" t="str">
        <x:v>agriculture_employment</x:v>
      </x:c>
      <x:c r="C5646" s="2" t="n">
        <x:v>6.34335105421142</x:v>
      </x:c>
      <x:c r="D5646" s="2" t="n">
        <x:v>2022</x:v>
      </x:c>
      <x:c r="E5646" s="2" t="str">
        <x:v>WB_agriculture_employment</x:v>
      </x:c>
      <x:c r="F5646" s="2" t="str">
        <x:v>Employment in agriculture (% of total employment) (modeled ILO estimate)</x:v>
      </x:c>
    </x:row>
    <x:row r="5647" ht="44" customHeight="1">
      <x:c r="A5647" s="2" t="str">
        <x:v>PSE</x:v>
      </x:c>
      <x:c r="B5647" s="2" t="str">
        <x:v>water_withdrawal</x:v>
      </x:c>
      <x:c r="C5647" s="2" t="n">
        <x:v>41.2315270935961</x:v>
      </x:c>
      <x:c r="D5647" s="2" t="n">
        <x:v>2021</x:v>
      </x:c>
      <x:c r="E5647" s="2" t="str">
        <x:v>WB_water_withdrawal</x:v>
      </x:c>
      <x:c r="F5647" s="2" t="str">
        <x:v>Annual freshwater withdrawals, total (% of internal resources)</x:v>
      </x:c>
    </x:row>
    <x:row r="5648" ht="44" customHeight="1">
      <x:c r="A5648" s="2" t="str">
        <x:v>SDN</x:v>
      </x:c>
      <x:c r="B5648" s="2" t="str">
        <x:v>population</x:v>
      </x:c>
      <x:c r="C5648" s="2" t="n">
        <x:v>51662147</x:v>
      </x:c>
      <x:c r="D5648" s="2" t="n">
        <x:v>2025</x:v>
      </x:c>
      <x:c r="E5648" s="2" t="str">
        <x:v>WB_population</x:v>
      </x:c>
      <x:c r="F5648" s="2" t="str">
        <x:v>Population, total</x:v>
      </x:c>
    </x:row>
    <x:row r="5649" ht="44" customHeight="1">
      <x:c r="A5649" s="2" t="str">
        <x:v>SDN</x:v>
      </x:c>
      <x:c r="B5649" s="2" t="str">
        <x:v>income_ppp</x:v>
      </x:c>
      <x:c r="C5649" s="2" t="n">
        <x:v>1873.38562011719</x:v>
      </x:c>
      <x:c r="D5649" s="2" t="n">
        <x:v>2025</x:v>
      </x:c>
      <x:c r="E5649" s="2" t="str">
        <x:v>WB_income_ppp</x:v>
      </x:c>
      <x:c r="F5649" s="2" t="str">
        <x:v>GDP per capita, PPP (constant 2021 international $)</x:v>
      </x:c>
    </x:row>
    <x:row r="5650" ht="44" customHeight="1">
      <x:c r="A5650" s="2" t="str">
        <x:v>SDN</x:v>
      </x:c>
      <x:c r="B5650" s="2" t="str">
        <x:v>urban</x:v>
      </x:c>
      <x:c r="C5650" s="2" t="n">
        <x:v>34.9349444966605</x:v>
      </x:c>
      <x:c r="D5650" s="2" t="n">
        <x:v>2025</x:v>
      </x:c>
      <x:c r="E5650" s="2" t="str">
        <x:v>WB_urban</x:v>
      </x:c>
      <x:c r="F5650" s="2" t="str">
        <x:v>Urban population (% of total population)</x:v>
      </x:c>
    </x:row>
    <x:row r="5651" ht="44" customHeight="1">
      <x:c r="A5651" s="2" t="str">
        <x:v>SDN</x:v>
      </x:c>
      <x:c r="B5651" s="2" t="str">
        <x:v>inflation</x:v>
      </x:c>
      <x:c r="C5651" s="2" t="n">
        <x:v>138.80846024176</x:v>
      </x:c>
      <x:c r="D5651" s="2" t="n">
        <x:v>2022</x:v>
      </x:c>
      <x:c r="E5651" s="2" t="str">
        <x:v>WB_inflation</x:v>
      </x:c>
      <x:c r="F5651" s="2" t="str">
        <x:v>Inflation, consumer prices (annual %)</x:v>
      </x:c>
    </x:row>
    <x:row r="5652" ht="44" customHeight="1">
      <x:c r="A5652" s="2" t="str">
        <x:v>SDN</x:v>
      </x:c>
      <x:c r="B5652" s="2" t="str">
        <x:v>food_index</x:v>
      </x:c>
      <x:c r="C5652" s="2" t="n">
        <x:v>116.41</x:v>
      </x:c>
      <x:c r="D5652" s="2" t="n">
        <x:v>2022</x:v>
      </x:c>
      <x:c r="E5652" s="2" t="str">
        <x:v>WB_food_index</x:v>
      </x:c>
      <x:c r="F5652" s="2" t="str">
        <x:v>Food production index (2014-2016 = 100)</x:v>
      </x:c>
    </x:row>
    <x:row r="5653" ht="44" customHeight="1">
      <x:c r="A5653" s="2" t="str">
        <x:v>SDN</x:v>
      </x:c>
      <x:c r="B5653" s="2" t="str">
        <x:v>food_import_share</x:v>
      </x:c>
      <x:c r="C5653" s="2" t="n">
        <x:v>29.9100868799566</x:v>
      </x:c>
      <x:c r="D5653" s="2" t="n">
        <x:v>2018</x:v>
      </x:c>
      <x:c r="E5653" s="2" t="str">
        <x:v>WB_food_import_share</x:v>
      </x:c>
      <x:c r="F5653" s="2" t="str">
        <x:v>Food imports (% of merchandise imports)</x:v>
      </x:c>
    </x:row>
    <x:row r="5654" ht="44" customHeight="1">
      <x:c r="A5654" s="2" t="str">
        <x:v>SDN</x:v>
      </x:c>
      <x:c r="B5654" s="2" t="str">
        <x:v>food_export_share</x:v>
      </x:c>
      <x:c r="C5654" s="2" t="n">
        <x:v>50.552021443844</x:v>
      </x:c>
      <x:c r="D5654" s="2" t="n">
        <x:v>2018</x:v>
      </x:c>
      <x:c r="E5654" s="2" t="str">
        <x:v>WB_food_export_share</x:v>
      </x:c>
      <x:c r="F5654" s="2" t="str">
        <x:v>Food exports (% of merchandise exports)</x:v>
      </x:c>
    </x:row>
    <x:row r="5655" ht="44" customHeight="1">
      <x:c r="A5655" s="2" t="str">
        <x:v>SDN</x:v>
      </x:c>
      <x:c r="B5655" s="2" t="str">
        <x:v>imports_usd</x:v>
      </x:c>
      <x:c r="C5655" s="2" t="n">
        <x:v>6200000000</x:v>
      </x:c>
      <x:c r="D5655" s="2" t="n">
        <x:v>2025</x:v>
      </x:c>
      <x:c r="E5655" s="2" t="str">
        <x:v>WB_imports_usd</x:v>
      </x:c>
      <x:c r="F5655" s="2" t="str">
        <x:v>Merchandise imports (current US$)</x:v>
      </x:c>
    </x:row>
    <x:row r="5656" ht="44" customHeight="1">
      <x:c r="A5656" s="2" t="str">
        <x:v>SDN</x:v>
      </x:c>
      <x:c r="B5656" s="2" t="str">
        <x:v>exports_usd</x:v>
      </x:c>
      <x:c r="C5656" s="2" t="n">
        <x:v>2800000000</x:v>
      </x:c>
      <x:c r="D5656" s="2" t="n">
        <x:v>2025</x:v>
      </x:c>
      <x:c r="E5656" s="2" t="str">
        <x:v>WB_exports_usd</x:v>
      </x:c>
      <x:c r="F5656" s="2" t="str">
        <x:v>Merchandise exports (current US$)</x:v>
      </x:c>
    </x:row>
    <x:row r="5657" ht="44" customHeight="1">
      <x:c r="A5657" s="2" t="str">
        <x:v>SDN</x:v>
      </x:c>
      <x:c r="B5657" s="2" t="str">
        <x:v>cereal_yield</x:v>
      </x:c>
      <x:c r="C5657" s="2" t="n">
        <x:v>580.3</x:v>
      </x:c>
      <x:c r="D5657" s="2" t="n">
        <x:v>2024</x:v>
      </x:c>
      <x:c r="E5657" s="2" t="str">
        <x:v>WB_cereal_yield</x:v>
      </x:c>
      <x:c r="F5657" s="2" t="str">
        <x:v>Cereal yield (kg per hectare)</x:v>
      </x:c>
    </x:row>
    <x:row r="5658" ht="44" customHeight="1">
      <x:c r="A5658" s="2" t="str">
        <x:v>SDN</x:v>
      </x:c>
      <x:c r="B5658" s="2" t="str">
        <x:v>water_stress</x:v>
      </x:c>
      <x:c r="C5658" s="2" t="n">
        <x:v>118.6563877</x:v>
      </x:c>
      <x:c r="D5658" s="2" t="n">
        <x:v>2022</x:v>
      </x:c>
      <x:c r="E5658" s="2" t="str">
        <x:v>WB_water_stress</x:v>
      </x:c>
      <x:c r="F5658" s="2" t="str">
        <x:v>Level of water stress: freshwater withdrawal as a proportion of available freshwater resources</x:v>
      </x:c>
    </x:row>
    <x:row r="5659" ht="44" customHeight="1">
      <x:c r="A5659" s="2" t="str">
        <x:v>SDN</x:v>
      </x:c>
      <x:c r="B5659" s="2" t="str">
        <x:v>fertility</x:v>
      </x:c>
      <x:c r="C5659" s="2" t="n">
        <x:v>4.264</x:v>
      </x:c>
      <x:c r="D5659" s="2" t="n">
        <x:v>2024</x:v>
      </x:c>
      <x:c r="E5659" s="2" t="str">
        <x:v>WB_fertility</x:v>
      </x:c>
      <x:c r="F5659" s="2" t="str">
        <x:v>Fertility rate, total (births per woman)</x:v>
      </x:c>
    </x:row>
    <x:row r="5660" ht="44" customHeight="1">
      <x:c r="A5660" s="2" t="str">
        <x:v>SDN</x:v>
      </x:c>
      <x:c r="B5660" s="2" t="str">
        <x:v>life_expectancy</x:v>
      </x:c>
      <x:c r="C5660" s="2" t="n">
        <x:v>66.521</x:v>
      </x:c>
      <x:c r="D5660" s="2" t="n">
        <x:v>2024</x:v>
      </x:c>
      <x:c r="E5660" s="2" t="str">
        <x:v>WB_life_expectancy</x:v>
      </x:c>
      <x:c r="F5660" s="2" t="str">
        <x:v>Life expectancy at birth, total (years)</x:v>
      </x:c>
    </x:row>
    <x:row r="5661" ht="44" customHeight="1">
      <x:c r="A5661" s="2" t="str">
        <x:v>SDN</x:v>
      </x:c>
      <x:c r="B5661" s="2" t="str">
        <x:v>age_under15</x:v>
      </x:c>
      <x:c r="C5661" s="2" t="n">
        <x:v>40.2133389828597</x:v>
      </x:c>
      <x:c r="D5661" s="2" t="n">
        <x:v>2025</x:v>
      </x:c>
      <x:c r="E5661" s="2" t="str">
        <x:v>WB_age_under15</x:v>
      </x:c>
      <x:c r="F5661" s="2" t="str">
        <x:v>Population ages 0-14 (% of total population)</x:v>
      </x:c>
    </x:row>
    <x:row r="5662" ht="44" customHeight="1">
      <x:c r="A5662" s="2" t="str">
        <x:v>SDN</x:v>
      </x:c>
      <x:c r="B5662" s="2" t="str">
        <x:v>age_over65</x:v>
      </x:c>
      <x:c r="C5662" s="2" t="n">
        <x:v>3.38701560944597</x:v>
      </x:c>
      <x:c r="D5662" s="2" t="n">
        <x:v>2025</x:v>
      </x:c>
      <x:c r="E5662" s="2" t="str">
        <x:v>WB_age_over65</x:v>
      </x:c>
      <x:c r="F5662" s="2" t="str">
        <x:v>Population ages 65 and above (% of total population)</x:v>
      </x:c>
    </x:row>
    <x:row r="5663" ht="44" customHeight="1">
      <x:c r="A5663" s="2" t="str">
        <x:v>SDN</x:v>
      </x:c>
      <x:c r="B5663" s="2" t="str">
        <x:v>dependency_ratio</x:v>
      </x:c>
      <x:c r="C5663" s="2" t="n">
        <x:v>77.3060775636206</x:v>
      </x:c>
      <x:c r="D5663" s="2" t="n">
        <x:v>2025</x:v>
      </x:c>
      <x:c r="E5663" s="2" t="str">
        <x:v>WB_dependency_ratio</x:v>
      </x:c>
      <x:c r="F5663" s="2" t="str">
        <x:v>Age dependency ratio (% of working-age population)</x:v>
      </x:c>
    </x:row>
    <x:row r="5664" ht="44" customHeight="1">
      <x:c r="A5664" s="2" t="str">
        <x:v>SDN</x:v>
      </x:c>
      <x:c r="B5664" s="2" t="str">
        <x:v>net_migration</x:v>
      </x:c>
      <x:c r="C5664" s="2" t="n">
        <x:v>291469</x:v>
      </x:c>
      <x:c r="D5664" s="2" t="n">
        <x:v>2025</x:v>
      </x:c>
      <x:c r="E5664" s="2" t="str">
        <x:v>WB_net_migration</x:v>
      </x:c>
      <x:c r="F5664" s="2" t="str">
        <x:v>Net migration</x:v>
      </x:c>
    </x:row>
    <x:row r="5665" ht="44" customHeight="1">
      <x:c r="A5665" s="2" t="str">
        <x:v>SDN</x:v>
      </x:c>
      <x:c r="B5665" s="2" t="str">
        <x:v>real_gdp</x:v>
      </x:c>
      <x:c r="C5665" s="2" t="n">
        <x:v>30073262602.2896</x:v>
      </x:c>
      <x:c r="D5665" s="2" t="n">
        <x:v>2025</x:v>
      </x:c>
      <x:c r="E5665" s="2" t="str">
        <x:v>WB_real_gdp</x:v>
      </x:c>
      <x:c r="F5665" s="2" t="str">
        <x:v>GDP (constant 2015 US$)</x:v>
      </x:c>
    </x:row>
    <x:row r="5666" ht="44" customHeight="1">
      <x:c r="A5666" s="2" t="str">
        <x:v>SDN</x:v>
      </x:c>
      <x:c r="B5666" s="2" t="str">
        <x:v>gdp_growth</x:v>
      </x:c>
      <x:c r="C5666" s="2" t="n">
        <x:v>3.06427942935869</x:v>
      </x:c>
      <x:c r="D5666" s="2" t="n">
        <x:v>2025</x:v>
      </x:c>
      <x:c r="E5666" s="2" t="str">
        <x:v>WB_gdp_growth</x:v>
      </x:c>
      <x:c r="F5666" s="2" t="str">
        <x:v>GDP growth (annual %)</x:v>
      </x:c>
    </x:row>
    <x:row r="5667" ht="44" customHeight="1">
      <x:c r="A5667" s="2" t="str">
        <x:v>SDN</x:v>
      </x:c>
      <x:c r="B5667" s="2" t="str">
        <x:v>real_income</x:v>
      </x:c>
      <x:c r="C5667" s="2" t="n">
        <x:v>582.114074707031</x:v>
      </x:c>
      <x:c r="D5667" s="2" t="n">
        <x:v>2025</x:v>
      </x:c>
      <x:c r="E5667" s="2" t="str">
        <x:v>WB_real_income</x:v>
      </x:c>
      <x:c r="F5667" s="2" t="str">
        <x:v>GDP per capita (constant 2015 US$)</x:v>
      </x:c>
    </x:row>
    <x:row r="5668" ht="44" customHeight="1">
      <x:c r="A5668" s="2" t="str">
        <x:v>SDN</x:v>
      </x:c>
      <x:c r="B5668" s="2" t="str">
        <x:v>agriculture_gdp</x:v>
      </x:c>
      <x:c r="C5668" s="2" t="n">
        <x:v>29.3570939629694</x:v>
      </x:c>
      <x:c r="D5668" s="2" t="n">
        <x:v>2025</x:v>
      </x:c>
      <x:c r="E5668" s="2" t="str">
        <x:v>WB_agriculture_gdp</x:v>
      </x:c>
      <x:c r="F5668" s="2" t="str">
        <x:v>Agriculture, forestry, and fishing, value added (% of GDP)</x:v>
      </x:c>
    </x:row>
    <x:row r="5669" ht="44" customHeight="1">
      <x:c r="A5669" s="2" t="str">
        <x:v>SDN</x:v>
      </x:c>
      <x:c r="B5669" s="2" t="str">
        <x:v>poverty</x:v>
      </x:c>
      <x:c r="C5669" s="2" t="n">
        <x:v>10.1</x:v>
      </x:c>
      <x:c r="D5669" s="2" t="n">
        <x:v>2014</x:v>
      </x:c>
      <x:c r="E5669" s="2" t="str">
        <x:v>WB_poverty</x:v>
      </x:c>
      <x:c r="F5669" s="2" t="str">
        <x:v>Poverty headcount ratio at $3.00 a day (2021 PPP) (% of population)</x:v>
      </x:c>
    </x:row>
    <x:row r="5670" ht="44" customHeight="1">
      <x:c r="A5670" s="2" t="str">
        <x:v>SDN</x:v>
      </x:c>
      <x:c r="B5670" s="2" t="str">
        <x:v>gini</x:v>
      </x:c>
      <x:c r="C5670" s="2" t="n">
        <x:v>34.2</x:v>
      </x:c>
      <x:c r="D5670" s="2" t="n">
        <x:v>2014</x:v>
      </x:c>
      <x:c r="E5670" s="2" t="str">
        <x:v>WB_gini</x:v>
      </x:c>
      <x:c r="F5670" s="2" t="str">
        <x:v>Gini index</x:v>
      </x:c>
    </x:row>
    <x:row r="5671" ht="44" customHeight="1">
      <x:c r="A5671" s="2" t="str">
        <x:v>SDN</x:v>
      </x:c>
      <x:c r="B5671" s="2" t="str">
        <x:v>unemployment</x:v>
      </x:c>
      <x:c r="C5671" s="2" t="n">
        <x:v>7.53</x:v>
      </x:c>
      <x:c r="D5671" s="2" t="n">
        <x:v>2022</x:v>
      </x:c>
      <x:c r="E5671" s="2" t="str">
        <x:v>WB_unemployment</x:v>
      </x:c>
      <x:c r="F5671" s="2" t="str">
        <x:v>Unemployment, total (% of total labor force) (modeled ILO estimate)</x:v>
      </x:c>
    </x:row>
    <x:row r="5672" ht="44" customHeight="1">
      <x:c r="A5672" s="2" t="str">
        <x:v>SDN</x:v>
      </x:c>
      <x:c r="B5672" s="2" t="str">
        <x:v>private_credit</x:v>
      </x:c>
      <x:c r="C5672" s="2" t="n">
        <x:v>5.63980468495649</x:v>
      </x:c>
      <x:c r="D5672" s="2" t="n">
        <x:v>2022</x:v>
      </x:c>
      <x:c r="E5672" s="2" t="str">
        <x:v>WB_private_credit</x:v>
      </x:c>
      <x:c r="F5672" s="2" t="str">
        <x:v>Domestic credit to private sector (% of GDP)</x:v>
      </x:c>
    </x:row>
    <x:row r="5673" ht="44" customHeight="1">
      <x:c r="A5673" s="2" t="str">
        <x:v>SDN</x:v>
      </x:c>
      <x:c r="B5673" s="2" t="str">
        <x:v>lending_rate</x:v>
      </x:c>
      <x:c r="C5673" s="2"/>
      <x:c r="D5673" s="2"/>
      <x:c r="E5673" s="2" t="str">
        <x:v>Missing</x:v>
      </x:c>
      <x:c r="F5673" s="2" t="str">
        <x:v>Lending interest rate (%)</x:v>
      </x:c>
    </x:row>
    <x:row r="5674" ht="44" customHeight="1">
      <x:c r="A5674" s="2" t="str">
        <x:v>SDN</x:v>
      </x:c>
      <x:c r="B5674" s="2" t="str">
        <x:v>real_interest</x:v>
      </x:c>
      <x:c r="C5674" s="2"/>
      <x:c r="D5674" s="2"/>
      <x:c r="E5674" s="2" t="str">
        <x:v>Missing</x:v>
      </x:c>
      <x:c r="F5674" s="2" t="str">
        <x:v>Real interest rate (%)</x:v>
      </x:c>
    </x:row>
    <x:row r="5675" ht="44" customHeight="1">
      <x:c r="A5675" s="2" t="str">
        <x:v>SDN</x:v>
      </x:c>
      <x:c r="B5675" s="2" t="str">
        <x:v>government_debt</x:v>
      </x:c>
      <x:c r="C5675" s="2"/>
      <x:c r="D5675" s="2"/>
      <x:c r="E5675" s="2" t="str">
        <x:v>Missing</x:v>
      </x:c>
      <x:c r="F5675" s="2" t="str">
        <x:v>Central government debt, total (% of GDP)</x:v>
      </x:c>
    </x:row>
    <x:row r="5676" ht="44" customHeight="1">
      <x:c r="A5676" s="2" t="str">
        <x:v>SDN</x:v>
      </x:c>
      <x:c r="B5676" s="2" t="str">
        <x:v>electricity_access</x:v>
      </x:c>
      <x:c r="C5676" s="2" t="n">
        <x:v>66</x:v>
      </x:c>
      <x:c r="D5676" s="2" t="n">
        <x:v>2024</x:v>
      </x:c>
      <x:c r="E5676" s="2" t="str">
        <x:v>WB_electricity_access</x:v>
      </x:c>
      <x:c r="F5676" s="2" t="str">
        <x:v>Access to electricity (% of population)</x:v>
      </x:c>
    </x:row>
    <x:row r="5677" ht="44" customHeight="1">
      <x:c r="A5677" s="2" t="str">
        <x:v>SDN</x:v>
      </x:c>
      <x:c r="B5677" s="2" t="str">
        <x:v>irrigated_land</x:v>
      </x:c>
      <x:c r="C5677" s="2" t="n">
        <x:v>1.39049394221808</x:v>
      </x:c>
      <x:c r="D5677" s="2" t="n">
        <x:v>2020</x:v>
      </x:c>
      <x:c r="E5677" s="2" t="str">
        <x:v>WB_irrigated_land</x:v>
      </x:c>
      <x:c r="F5677" s="2" t="str">
        <x:v>Agricultural irrigated land (% of total agricultural land)</x:v>
      </x:c>
    </x:row>
    <x:row r="5678" ht="44" customHeight="1">
      <x:c r="A5678" s="2" t="str">
        <x:v>SDN</x:v>
      </x:c>
      <x:c r="B5678" s="2" t="str">
        <x:v>cereal_area</x:v>
      </x:c>
      <x:c r="C5678" s="2" t="n">
        <x:v>11591941</x:v>
      </x:c>
      <x:c r="D5678" s="2" t="n">
        <x:v>2024</x:v>
      </x:c>
      <x:c r="E5678" s="2" t="str">
        <x:v>WB_cereal_area</x:v>
      </x:c>
      <x:c r="F5678" s="2" t="str">
        <x:v>Land under cereal production (hectares)</x:v>
      </x:c>
    </x:row>
    <x:row r="5679" ht="44" customHeight="1">
      <x:c r="A5679" s="2" t="str">
        <x:v>SDN</x:v>
      </x:c>
      <x:c r="B5679" s="2" t="str">
        <x:v>undernourishment</x:v>
      </x:c>
      <x:c r="C5679" s="2" t="n">
        <x:v>11</x:v>
      </x:c>
      <x:c r="D5679" s="2" t="n">
        <x:v>2021</x:v>
      </x:c>
      <x:c r="E5679" s="2" t="str">
        <x:v>WB_undernourishment</x:v>
      </x:c>
      <x:c r="F5679" s="2" t="str">
        <x:v>Prevalence of undernourishment (% of population)</x:v>
      </x:c>
    </x:row>
    <x:row r="5680" ht="44" customHeight="1">
      <x:c r="A5680" s="2" t="str">
        <x:v>SDN</x:v>
      </x:c>
      <x:c r="B5680" s="2" t="str">
        <x:v>agriculture_employment</x:v>
      </x:c>
      <x:c r="C5680" s="2" t="n">
        <x:v>39.7749624655953</x:v>
      </x:c>
      <x:c r="D5680" s="2" t="n">
        <x:v>2022</x:v>
      </x:c>
      <x:c r="E5680" s="2" t="str">
        <x:v>WB_agriculture_employment</x:v>
      </x:c>
      <x:c r="F5680" s="2" t="str">
        <x:v>Employment in agriculture (% of total employment) (modeled ILO estimate)</x:v>
      </x:c>
    </x:row>
    <x:row r="5681" ht="44" customHeight="1">
      <x:c r="A5681" s="2" t="str">
        <x:v>SDN</x:v>
      </x:c>
      <x:c r="B5681" s="2" t="str">
        <x:v>water_withdrawal</x:v>
      </x:c>
      <x:c r="C5681" s="2" t="n">
        <x:v>673.375</x:v>
      </x:c>
      <x:c r="D5681" s="2" t="n">
        <x:v>2022</x:v>
      </x:c>
      <x:c r="E5681" s="2" t="str">
        <x:v>WB_water_withdrawal</x:v>
      </x:c>
      <x:c r="F5681" s="2" t="str">
        <x:v>Annual freshwater withdrawals, total (% of internal resources)</x:v>
      </x:c>
    </x:row>
    <x:row r="5682" ht="44" customHeight="1">
      <x:c r="A5682" s="2" t="str">
        <x:v>SUR</x:v>
      </x:c>
      <x:c r="B5682" s="2" t="str">
        <x:v>population</x:v>
      </x:c>
      <x:c r="C5682" s="2" t="n">
        <x:v>639850</x:v>
      </x:c>
      <x:c r="D5682" s="2" t="n">
        <x:v>2025</x:v>
      </x:c>
      <x:c r="E5682" s="2" t="str">
        <x:v>WB_population</x:v>
      </x:c>
      <x:c r="F5682" s="2" t="str">
        <x:v>Population, total</x:v>
      </x:c>
    </x:row>
    <x:row r="5683" ht="44" customHeight="1">
      <x:c r="A5683" s="2" t="str">
        <x:v>SUR</x:v>
      </x:c>
      <x:c r="B5683" s="2" t="str">
        <x:v>income_ppp</x:v>
      </x:c>
      <x:c r="C5683" s="2" t="n">
        <x:v>19357.3907969318</x:v>
      </x:c>
      <x:c r="D5683" s="2" t="n">
        <x:v>2025</x:v>
      </x:c>
      <x:c r="E5683" s="2" t="str">
        <x:v>WB_income_ppp</x:v>
      </x:c>
      <x:c r="F5683" s="2" t="str">
        <x:v>GDP per capita, PPP (constant 2021 international $)</x:v>
      </x:c>
    </x:row>
    <x:row r="5684" ht="44" customHeight="1">
      <x:c r="A5684" s="2" t="str">
        <x:v>SUR</x:v>
      </x:c>
      <x:c r="B5684" s="2" t="str">
        <x:v>urban</x:v>
      </x:c>
      <x:c r="C5684" s="2" t="n">
        <x:v>65.7886836406706</x:v>
      </x:c>
      <x:c r="D5684" s="2" t="n">
        <x:v>2025</x:v>
      </x:c>
      <x:c r="E5684" s="2" t="str">
        <x:v>WB_urban</x:v>
      </x:c>
      <x:c r="F5684" s="2" t="str">
        <x:v>Urban population (% of total population)</x:v>
      </x:c>
    </x:row>
    <x:row r="5685" ht="44" customHeight="1">
      <x:c r="A5685" s="2" t="str">
        <x:v>SUR</x:v>
      </x:c>
      <x:c r="B5685" s="2" t="str">
        <x:v>inflation</x:v>
      </x:c>
      <x:c r="C5685" s="2" t="n">
        <x:v>9.2054681878919</x:v>
      </x:c>
      <x:c r="D5685" s="2" t="n">
        <x:v>2025</x:v>
      </x:c>
      <x:c r="E5685" s="2" t="str">
        <x:v>WB_inflation</x:v>
      </x:c>
      <x:c r="F5685" s="2" t="str">
        <x:v>Inflation, consumer prices (annual %)</x:v>
      </x:c>
    </x:row>
    <x:row r="5686" ht="44" customHeight="1">
      <x:c r="A5686" s="2" t="str">
        <x:v>SUR</x:v>
      </x:c>
      <x:c r="B5686" s="2" t="str">
        <x:v>food_index</x:v>
      </x:c>
      <x:c r="C5686" s="2" t="n">
        <x:v>87.89</x:v>
      </x:c>
      <x:c r="D5686" s="2" t="n">
        <x:v>2022</x:v>
      </x:c>
      <x:c r="E5686" s="2" t="str">
        <x:v>WB_food_index</x:v>
      </x:c>
      <x:c r="F5686" s="2" t="str">
        <x:v>Food production index (2014-2016 = 100)</x:v>
      </x:c>
    </x:row>
    <x:row r="5687" ht="44" customHeight="1">
      <x:c r="A5687" s="2" t="str">
        <x:v>SUR</x:v>
      </x:c>
      <x:c r="B5687" s="2" t="str">
        <x:v>food_import_share</x:v>
      </x:c>
      <x:c r="C5687" s="2" t="n">
        <x:v>15.5031935160711</x:v>
      </x:c>
      <x:c r="D5687" s="2" t="n">
        <x:v>2024</x:v>
      </x:c>
      <x:c r="E5687" s="2" t="str">
        <x:v>WB_food_import_share</x:v>
      </x:c>
      <x:c r="F5687" s="2" t="str">
        <x:v>Food imports (% of merchandise imports)</x:v>
      </x:c>
    </x:row>
    <x:row r="5688" ht="44" customHeight="1">
      <x:c r="A5688" s="2" t="str">
        <x:v>SUR</x:v>
      </x:c>
      <x:c r="B5688" s="2" t="str">
        <x:v>food_export_share</x:v>
      </x:c>
      <x:c r="C5688" s="2" t="n">
        <x:v>6.37349407166884</x:v>
      </x:c>
      <x:c r="D5688" s="2" t="n">
        <x:v>2024</x:v>
      </x:c>
      <x:c r="E5688" s="2" t="str">
        <x:v>WB_food_export_share</x:v>
      </x:c>
      <x:c r="F5688" s="2" t="str">
        <x:v>Food exports (% of merchandise exports)</x:v>
      </x:c>
    </x:row>
    <x:row r="5689" ht="44" customHeight="1">
      <x:c r="A5689" s="2" t="str">
        <x:v>SUR</x:v>
      </x:c>
      <x:c r="B5689" s="2" t="str">
        <x:v>imports_usd</x:v>
      </x:c>
      <x:c r="C5689" s="2" t="n">
        <x:v>2200000000</x:v>
      </x:c>
      <x:c r="D5689" s="2" t="n">
        <x:v>2025</x:v>
      </x:c>
      <x:c r="E5689" s="2" t="str">
        <x:v>WB_imports_usd</x:v>
      </x:c>
      <x:c r="F5689" s="2" t="str">
        <x:v>Merchandise imports (current US$)</x:v>
      </x:c>
    </x:row>
    <x:row r="5690" ht="44" customHeight="1">
      <x:c r="A5690" s="2" t="str">
        <x:v>SUR</x:v>
      </x:c>
      <x:c r="B5690" s="2" t="str">
        <x:v>exports_usd</x:v>
      </x:c>
      <x:c r="C5690" s="2" t="n">
        <x:v>2690000000</x:v>
      </x:c>
      <x:c r="D5690" s="2" t="n">
        <x:v>2025</x:v>
      </x:c>
      <x:c r="E5690" s="2" t="str">
        <x:v>WB_exports_usd</x:v>
      </x:c>
      <x:c r="F5690" s="2" t="str">
        <x:v>Merchandise exports (current US$)</x:v>
      </x:c>
    </x:row>
    <x:row r="5691" ht="44" customHeight="1">
      <x:c r="A5691" s="2" t="str">
        <x:v>SUR</x:v>
      </x:c>
      <x:c r="B5691" s="2" t="str">
        <x:v>cereal_yield</x:v>
      </x:c>
      <x:c r="C5691" s="2" t="n">
        <x:v>4078.9</x:v>
      </x:c>
      <x:c r="D5691" s="2" t="n">
        <x:v>2023</x:v>
      </x:c>
      <x:c r="E5691" s="2" t="str">
        <x:v>WB_cereal_yield</x:v>
      </x:c>
      <x:c r="F5691" s="2" t="str">
        <x:v>Cereal yield (kg per hectare)</x:v>
      </x:c>
    </x:row>
    <x:row r="5692" ht="44" customHeight="1">
      <x:c r="A5692" s="2" t="str">
        <x:v>SUR</x:v>
      </x:c>
      <x:c r="B5692" s="2" t="str">
        <x:v>water_stress</x:v>
      </x:c>
      <x:c r="C5692" s="2" t="n">
        <x:v>3.950609365</x:v>
      </x:c>
      <x:c r="D5692" s="2" t="n">
        <x:v>2022</x:v>
      </x:c>
      <x:c r="E5692" s="2" t="str">
        <x:v>WB_water_stress</x:v>
      </x:c>
      <x:c r="F5692" s="2" t="str">
        <x:v>Level of water stress: freshwater withdrawal as a proportion of available freshwater resources</x:v>
      </x:c>
    </x:row>
    <x:row r="5693" ht="44" customHeight="1">
      <x:c r="A5693" s="2" t="str">
        <x:v>SUR</x:v>
      </x:c>
      <x:c r="B5693" s="2" t="str">
        <x:v>fertility</x:v>
      </x:c>
      <x:c r="C5693" s="2" t="n">
        <x:v>2.231</x:v>
      </x:c>
      <x:c r="D5693" s="2" t="n">
        <x:v>2024</x:v>
      </x:c>
      <x:c r="E5693" s="2" t="str">
        <x:v>WB_fertility</x:v>
      </x:c>
      <x:c r="F5693" s="2" t="str">
        <x:v>Fertility rate, total (births per woman)</x:v>
      </x:c>
    </x:row>
    <x:row r="5694" ht="44" customHeight="1">
      <x:c r="A5694" s="2" t="str">
        <x:v>SUR</x:v>
      </x:c>
      <x:c r="B5694" s="2" t="str">
        <x:v>life_expectancy</x:v>
      </x:c>
      <x:c r="C5694" s="2" t="n">
        <x:v>73.757</x:v>
      </x:c>
      <x:c r="D5694" s="2" t="n">
        <x:v>2024</x:v>
      </x:c>
      <x:c r="E5694" s="2" t="str">
        <x:v>WB_life_expectancy</x:v>
      </x:c>
      <x:c r="F5694" s="2" t="str">
        <x:v>Life expectancy at birth, total (years)</x:v>
      </x:c>
    </x:row>
    <x:row r="5695" ht="44" customHeight="1">
      <x:c r="A5695" s="2" t="str">
        <x:v>SUR</x:v>
      </x:c>
      <x:c r="B5695" s="2" t="str">
        <x:v>age_under15</x:v>
      </x:c>
      <x:c r="C5695" s="2" t="n">
        <x:v>25.3373446901618</x:v>
      </x:c>
      <x:c r="D5695" s="2" t="n">
        <x:v>2025</x:v>
      </x:c>
      <x:c r="E5695" s="2" t="str">
        <x:v>WB_age_under15</x:v>
      </x:c>
      <x:c r="F5695" s="2" t="str">
        <x:v>Population ages 0-14 (% of total population)</x:v>
      </x:c>
    </x:row>
    <x:row r="5696" ht="44" customHeight="1">
      <x:c r="A5696" s="2" t="str">
        <x:v>SUR</x:v>
      </x:c>
      <x:c r="B5696" s="2" t="str">
        <x:v>age_over65</x:v>
      </x:c>
      <x:c r="C5696" s="2" t="n">
        <x:v>8.19129483472689</x:v>
      </x:c>
      <x:c r="D5696" s="2" t="n">
        <x:v>2025</x:v>
      </x:c>
      <x:c r="E5696" s="2" t="str">
        <x:v>WB_age_over65</x:v>
      </x:c>
      <x:c r="F5696" s="2" t="str">
        <x:v>Population ages 65 and above (% of total population)</x:v>
      </x:c>
    </x:row>
    <x:row r="5697" ht="44" customHeight="1">
      <x:c r="A5697" s="2" t="str">
        <x:v>SUR</x:v>
      </x:c>
      <x:c r="B5697" s="2" t="str">
        <x:v>dependency_ratio</x:v>
      </x:c>
      <x:c r="C5697" s="2" t="n">
        <x:v>50.4407300907323</x:v>
      </x:c>
      <x:c r="D5697" s="2" t="n">
        <x:v>2025</x:v>
      </x:c>
      <x:c r="E5697" s="2" t="str">
        <x:v>WB_dependency_ratio</x:v>
      </x:c>
      <x:c r="F5697" s="2" t="str">
        <x:v>Age dependency ratio (% of working-age population)</x:v>
      </x:c>
    </x:row>
    <x:row r="5698" ht="44" customHeight="1">
      <x:c r="A5698" s="2" t="str">
        <x:v>SUR</x:v>
      </x:c>
      <x:c r="B5698" s="2" t="str">
        <x:v>net_migration</x:v>
      </x:c>
      <x:c r="C5698" s="2" t="n">
        <x:v>-967</x:v>
      </x:c>
      <x:c r="D5698" s="2" t="n">
        <x:v>2025</x:v>
      </x:c>
      <x:c r="E5698" s="2" t="str">
        <x:v>WB_net_migration</x:v>
      </x:c>
      <x:c r="F5698" s="2" t="str">
        <x:v>Net migration</x:v>
      </x:c>
    </x:row>
    <x:row r="5699" ht="44" customHeight="1">
      <x:c r="A5699" s="2" t="str">
        <x:v>SUR</x:v>
      </x:c>
      <x:c r="B5699" s="2" t="str">
        <x:v>real_gdp</x:v>
      </x:c>
      <x:c r="C5699" s="2" t="n">
        <x:v>4679619055.64692</x:v>
      </x:c>
      <x:c r="D5699" s="2" t="n">
        <x:v>2025</x:v>
      </x:c>
      <x:c r="E5699" s="2" t="str">
        <x:v>WB_real_gdp</x:v>
      </x:c>
      <x:c r="F5699" s="2" t="str">
        <x:v>GDP (constant 2015 US$)</x:v>
      </x:c>
    </x:row>
    <x:row r="5700" ht="44" customHeight="1">
      <x:c r="A5700" s="2" t="str">
        <x:v>SUR</x:v>
      </x:c>
      <x:c r="B5700" s="2" t="str">
        <x:v>gdp_growth</x:v>
      </x:c>
      <x:c r="C5700" s="2" t="n">
        <x:v>1.79169153226913</x:v>
      </x:c>
      <x:c r="D5700" s="2" t="n">
        <x:v>2025</x:v>
      </x:c>
      <x:c r="E5700" s="2" t="str">
        <x:v>WB_gdp_growth</x:v>
      </x:c>
      <x:c r="F5700" s="2" t="str">
        <x:v>GDP growth (annual %)</x:v>
      </x:c>
    </x:row>
    <x:row r="5701" ht="44" customHeight="1">
      <x:c r="A5701" s="2" t="str">
        <x:v>SUR</x:v>
      </x:c>
      <x:c r="B5701" s="2" t="str">
        <x:v>real_income</x:v>
      </x:c>
      <x:c r="C5701" s="2" t="n">
        <x:v>7313.61890387891</x:v>
      </x:c>
      <x:c r="D5701" s="2" t="n">
        <x:v>2025</x:v>
      </x:c>
      <x:c r="E5701" s="2" t="str">
        <x:v>WB_real_income</x:v>
      </x:c>
      <x:c r="F5701" s="2" t="str">
        <x:v>GDP per capita (constant 2015 US$)</x:v>
      </x:c>
    </x:row>
    <x:row r="5702" ht="44" customHeight="1">
      <x:c r="A5702" s="2" t="str">
        <x:v>SUR</x:v>
      </x:c>
      <x:c r="B5702" s="2" t="str">
        <x:v>agriculture_gdp</x:v>
      </x:c>
      <x:c r="C5702" s="2" t="n">
        <x:v>6.770083958799</x:v>
      </x:c>
      <x:c r="D5702" s="2" t="n">
        <x:v>2024</x:v>
      </x:c>
      <x:c r="E5702" s="2" t="str">
        <x:v>WB_agriculture_gdp</x:v>
      </x:c>
      <x:c r="F5702" s="2" t="str">
        <x:v>Agriculture, forestry, and fishing, value added (% of GDP)</x:v>
      </x:c>
    </x:row>
    <x:row r="5703" ht="44" customHeight="1">
      <x:c r="A5703" s="2" t="str">
        <x:v>SUR</x:v>
      </x:c>
      <x:c r="B5703" s="2" t="str">
        <x:v>poverty</x:v>
      </x:c>
      <x:c r="C5703" s="2" t="n">
        <x:v>2.2</x:v>
      </x:c>
      <x:c r="D5703" s="2" t="n">
        <x:v>2022</x:v>
      </x:c>
      <x:c r="E5703" s="2" t="str">
        <x:v>WB_poverty</x:v>
      </x:c>
      <x:c r="F5703" s="2" t="str">
        <x:v>Poverty headcount ratio at $3.00 a day (2021 PPP) (% of population)</x:v>
      </x:c>
    </x:row>
    <x:row r="5704" ht="44" customHeight="1">
      <x:c r="A5704" s="2" t="str">
        <x:v>SUR</x:v>
      </x:c>
      <x:c r="B5704" s="2" t="str">
        <x:v>gini</x:v>
      </x:c>
      <x:c r="C5704" s="2" t="n">
        <x:v>39.2</x:v>
      </x:c>
      <x:c r="D5704" s="2" t="n">
        <x:v>2022</x:v>
      </x:c>
      <x:c r="E5704" s="2" t="str">
        <x:v>WB_gini</x:v>
      </x:c>
      <x:c r="F5704" s="2" t="str">
        <x:v>Gini index</x:v>
      </x:c>
    </x:row>
    <x:row r="5705" ht="44" customHeight="1">
      <x:c r="A5705" s="2" t="str">
        <x:v>SUR</x:v>
      </x:c>
      <x:c r="B5705" s="2" t="str">
        <x:v>unemployment</x:v>
      </x:c>
      <x:c r="C5705" s="2" t="n">
        <x:v>7.834</x:v>
      </x:c>
      <x:c r="D5705" s="2" t="n">
        <x:v>2025</x:v>
      </x:c>
      <x:c r="E5705" s="2" t="str">
        <x:v>WB_unemployment</x:v>
      </x:c>
      <x:c r="F5705" s="2" t="str">
        <x:v>Unemployment, total (% of total labor force) (modeled ILO estimate)</x:v>
      </x:c>
    </x:row>
    <x:row r="5706" ht="44" customHeight="1">
      <x:c r="A5706" s="2" t="str">
        <x:v>SUR</x:v>
      </x:c>
      <x:c r="B5706" s="2" t="str">
        <x:v>private_credit</x:v>
      </x:c>
      <x:c r="C5706" s="2" t="n">
        <x:v>20.2666248935701</x:v>
      </x:c>
      <x:c r="D5706" s="2" t="n">
        <x:v>2025</x:v>
      </x:c>
      <x:c r="E5706" s="2" t="str">
        <x:v>WB_private_credit</x:v>
      </x:c>
      <x:c r="F5706" s="2" t="str">
        <x:v>Domestic credit to private sector (% of GDP)</x:v>
      </x:c>
    </x:row>
    <x:row r="5707" ht="44" customHeight="1">
      <x:c r="A5707" s="2" t="str">
        <x:v>SUR</x:v>
      </x:c>
      <x:c r="B5707" s="2" t="str">
        <x:v>lending_rate</x:v>
      </x:c>
      <x:c r="C5707" s="2" t="n">
        <x:v>14.4955517679943</x:v>
      </x:c>
      <x:c r="D5707" s="2" t="n">
        <x:v>2025</x:v>
      </x:c>
      <x:c r="E5707" s="2" t="str">
        <x:v>WB_lending_rate</x:v>
      </x:c>
      <x:c r="F5707" s="2" t="str">
        <x:v>Lending interest rate (%)</x:v>
      </x:c>
    </x:row>
    <x:row r="5708" ht="44" customHeight="1">
      <x:c r="A5708" s="2" t="str">
        <x:v>SUR</x:v>
      </x:c>
      <x:c r="B5708" s="2" t="str">
        <x:v>real_interest</x:v>
      </x:c>
      <x:c r="C5708" s="2" t="n">
        <x:v>1.33399307262882</x:v>
      </x:c>
      <x:c r="D5708" s="2" t="n">
        <x:v>2025</x:v>
      </x:c>
      <x:c r="E5708" s="2" t="str">
        <x:v>WB_real_interest</x:v>
      </x:c>
      <x:c r="F5708" s="2" t="str">
        <x:v>Real interest rate (%)</x:v>
      </x:c>
    </x:row>
    <x:row r="5709" ht="44" customHeight="1">
      <x:c r="A5709" s="2" t="str">
        <x:v>SUR</x:v>
      </x:c>
      <x:c r="B5709" s="2" t="str">
        <x:v>government_debt</x:v>
      </x:c>
      <x:c r="C5709" s="2"/>
      <x:c r="D5709" s="2"/>
      <x:c r="E5709" s="2" t="str">
        <x:v>Missing</x:v>
      </x:c>
      <x:c r="F5709" s="2" t="str">
        <x:v>Central government debt, total (% of GDP)</x:v>
      </x:c>
    </x:row>
    <x:row r="5710" ht="44" customHeight="1">
      <x:c r="A5710" s="2" t="str">
        <x:v>SUR</x:v>
      </x:c>
      <x:c r="B5710" s="2" t="str">
        <x:v>electricity_access</x:v>
      </x:c>
      <x:c r="C5710" s="2" t="n">
        <x:v>99</x:v>
      </x:c>
      <x:c r="D5710" s="2" t="n">
        <x:v>2024</x:v>
      </x:c>
      <x:c r="E5710" s="2" t="str">
        <x:v>WB_electricity_access</x:v>
      </x:c>
      <x:c r="F5710" s="2" t="str">
        <x:v>Access to electricity (% of population)</x:v>
      </x:c>
    </x:row>
    <x:row r="5711" ht="44" customHeight="1">
      <x:c r="A5711" s="2" t="str">
        <x:v>SUR</x:v>
      </x:c>
      <x:c r="B5711" s="2" t="str">
        <x:v>irrigated_land</x:v>
      </x:c>
      <x:c r="C5711" s="2" t="n">
        <x:v>74.3589743589744</x:v>
      </x:c>
      <x:c r="D5711" s="2" t="n">
        <x:v>2021</x:v>
      </x:c>
      <x:c r="E5711" s="2" t="str">
        <x:v>WB_irrigated_land</x:v>
      </x:c>
      <x:c r="F5711" s="2" t="str">
        <x:v>Agricultural irrigated land (% of total agricultural land)</x:v>
      </x:c>
    </x:row>
    <x:row r="5712" ht="44" customHeight="1">
      <x:c r="A5712" s="2" t="str">
        <x:v>SUR</x:v>
      </x:c>
      <x:c r="B5712" s="2" t="str">
        <x:v>cereal_area</x:v>
      </x:c>
      <x:c r="C5712" s="2" t="n">
        <x:v>49813</x:v>
      </x:c>
      <x:c r="D5712" s="2" t="n">
        <x:v>2023</x:v>
      </x:c>
      <x:c r="E5712" s="2" t="str">
        <x:v>WB_cereal_area</x:v>
      </x:c>
      <x:c r="F5712" s="2" t="str">
        <x:v>Land under cereal production (hectares)</x:v>
      </x:c>
    </x:row>
    <x:row r="5713" ht="44" customHeight="1">
      <x:c r="A5713" s="2" t="str">
        <x:v>SUR</x:v>
      </x:c>
      <x:c r="B5713" s="2" t="str">
        <x:v>undernourishment</x:v>
      </x:c>
      <x:c r="C5713" s="2" t="n">
        <x:v>9.7</x:v>
      </x:c>
      <x:c r="D5713" s="2" t="n">
        <x:v>2023</x:v>
      </x:c>
      <x:c r="E5713" s="2" t="str">
        <x:v>WB_undernourishment</x:v>
      </x:c>
      <x:c r="F5713" s="2" t="str">
        <x:v>Prevalence of undernourishment (% of population)</x:v>
      </x:c>
    </x:row>
    <x:row r="5714" ht="44" customHeight="1">
      <x:c r="A5714" s="2" t="str">
        <x:v>SUR</x:v>
      </x:c>
      <x:c r="B5714" s="2" t="str">
        <x:v>agriculture_employment</x:v>
      </x:c>
      <x:c r="C5714" s="2" t="n">
        <x:v>6.97515444080613</x:v>
      </x:c>
      <x:c r="D5714" s="2" t="n">
        <x:v>2025</x:v>
      </x:c>
      <x:c r="E5714" s="2" t="str">
        <x:v>WB_agriculture_employment</x:v>
      </x:c>
      <x:c r="F5714" s="2" t="str">
        <x:v>Employment in agriculture (% of total employment) (modeled ILO estimate)</x:v>
      </x:c>
    </x:row>
    <x:row r="5715" ht="44" customHeight="1">
      <x:c r="A5715" s="2" t="str">
        <x:v>SUR</x:v>
      </x:c>
      <x:c r="B5715" s="2" t="str">
        <x:v>water_withdrawal</x:v>
      </x:c>
      <x:c r="C5715" s="2" t="n">
        <x:v>0.622121212121212</x:v>
      </x:c>
      <x:c r="D5715" s="2" t="n">
        <x:v>2022</x:v>
      </x:c>
      <x:c r="E5715" s="2" t="str">
        <x:v>WB_water_withdrawal</x:v>
      </x:c>
      <x:c r="F5715" s="2" t="str">
        <x:v>Annual freshwater withdrawals, total (% of internal resources)</x:v>
      </x:c>
    </x:row>
    <x:row r="5716" ht="44" customHeight="1">
      <x:c r="A5716" s="2" t="str">
        <x:v>SWE</x:v>
      </x:c>
      <x:c r="B5716" s="2" t="str">
        <x:v>population</x:v>
      </x:c>
      <x:c r="C5716" s="2" t="n">
        <x:v>10596620</x:v>
      </x:c>
      <x:c r="D5716" s="2" t="n">
        <x:v>2025</x:v>
      </x:c>
      <x:c r="E5716" s="2" t="str">
        <x:v>WB_population</x:v>
      </x:c>
      <x:c r="F5716" s="2" t="str">
        <x:v>Population, total</x:v>
      </x:c>
    </x:row>
    <x:row r="5717" ht="44" customHeight="1">
      <x:c r="A5717" s="2" t="str">
        <x:v>SWE</x:v>
      </x:c>
      <x:c r="B5717" s="2" t="str">
        <x:v>income_ppp</x:v>
      </x:c>
      <x:c r="C5717" s="2" t="n">
        <x:v>63362.4612808079</x:v>
      </x:c>
      <x:c r="D5717" s="2" t="n">
        <x:v>2025</x:v>
      </x:c>
      <x:c r="E5717" s="2" t="str">
        <x:v>WB_income_ppp</x:v>
      </x:c>
      <x:c r="F5717" s="2" t="str">
        <x:v>GDP per capita, PPP (constant 2021 international $)</x:v>
      </x:c>
    </x:row>
    <x:row r="5718" ht="44" customHeight="1">
      <x:c r="A5718" s="2" t="str">
        <x:v>SWE</x:v>
      </x:c>
      <x:c r="B5718" s="2" t="str">
        <x:v>urban</x:v>
      </x:c>
      <x:c r="C5718" s="2" t="n">
        <x:v>89.0778677789555</x:v>
      </x:c>
      <x:c r="D5718" s="2" t="n">
        <x:v>2025</x:v>
      </x:c>
      <x:c r="E5718" s="2" t="str">
        <x:v>WB_urban</x:v>
      </x:c>
      <x:c r="F5718" s="2" t="str">
        <x:v>Urban population (% of total population)</x:v>
      </x:c>
    </x:row>
    <x:row r="5719" ht="44" customHeight="1">
      <x:c r="A5719" s="2" t="str">
        <x:v>SWE</x:v>
      </x:c>
      <x:c r="B5719" s="2" t="str">
        <x:v>inflation</x:v>
      </x:c>
      <x:c r="C5719" s="2" t="n">
        <x:v>0.679869285243995</x:v>
      </x:c>
      <x:c r="D5719" s="2" t="n">
        <x:v>2025</x:v>
      </x:c>
      <x:c r="E5719" s="2" t="str">
        <x:v>WB_inflation</x:v>
      </x:c>
      <x:c r="F5719" s="2" t="str">
        <x:v>Inflation, consumer prices (annual %)</x:v>
      </x:c>
    </x:row>
    <x:row r="5720" ht="44" customHeight="1">
      <x:c r="A5720" s="2" t="str">
        <x:v>SWE</x:v>
      </x:c>
      <x:c r="B5720" s="2" t="str">
        <x:v>food_index</x:v>
      </x:c>
      <x:c r="C5720" s="2" t="n">
        <x:v>101.15</x:v>
      </x:c>
      <x:c r="D5720" s="2" t="n">
        <x:v>2022</x:v>
      </x:c>
      <x:c r="E5720" s="2" t="str">
        <x:v>WB_food_index</x:v>
      </x:c>
      <x:c r="F5720" s="2" t="str">
        <x:v>Food production index (2014-2016 = 100)</x:v>
      </x:c>
    </x:row>
    <x:row r="5721" ht="44" customHeight="1">
      <x:c r="A5721" s="2" t="str">
        <x:v>SWE</x:v>
      </x:c>
      <x:c r="B5721" s="2" t="str">
        <x:v>food_import_share</x:v>
      </x:c>
      <x:c r="C5721" s="2" t="n">
        <x:v>11.1507599035824</x:v>
      </x:c>
      <x:c r="D5721" s="2" t="n">
        <x:v>2024</x:v>
      </x:c>
      <x:c r="E5721" s="2" t="str">
        <x:v>WB_food_import_share</x:v>
      </x:c>
      <x:c r="F5721" s="2" t="str">
        <x:v>Food imports (% of merchandise imports)</x:v>
      </x:c>
    </x:row>
    <x:row r="5722" ht="44" customHeight="1">
      <x:c r="A5722" s="2" t="str">
        <x:v>SWE</x:v>
      </x:c>
      <x:c r="B5722" s="2" t="str">
        <x:v>food_export_share</x:v>
      </x:c>
      <x:c r="C5722" s="2" t="n">
        <x:v>6.71210891523292</x:v>
      </x:c>
      <x:c r="D5722" s="2" t="n">
        <x:v>2024</x:v>
      </x:c>
      <x:c r="E5722" s="2" t="str">
        <x:v>WB_food_export_share</x:v>
      </x:c>
      <x:c r="F5722" s="2" t="str">
        <x:v>Food exports (% of merchandise exports)</x:v>
      </x:c>
    </x:row>
    <x:row r="5723" ht="44" customHeight="1">
      <x:c r="A5723" s="2" t="str">
        <x:v>SWE</x:v>
      </x:c>
      <x:c r="B5723" s="2" t="str">
        <x:v>imports_usd</x:v>
      </x:c>
      <x:c r="C5723" s="2" t="n">
        <x:v>200981000000</x:v>
      </x:c>
      <x:c r="D5723" s="2" t="n">
        <x:v>2025</x:v>
      </x:c>
      <x:c r="E5723" s="2" t="str">
        <x:v>WB_imports_usd</x:v>
      </x:c>
      <x:c r="F5723" s="2" t="str">
        <x:v>Merchandise imports (current US$)</x:v>
      </x:c>
    </x:row>
    <x:row r="5724" ht="44" customHeight="1">
      <x:c r="A5724" s="2" t="str">
        <x:v>SWE</x:v>
      </x:c>
      <x:c r="B5724" s="2" t="str">
        <x:v>exports_usd</x:v>
      </x:c>
      <x:c r="C5724" s="2" t="n">
        <x:v>208332000000</x:v>
      </x:c>
      <x:c r="D5724" s="2" t="n">
        <x:v>2025</x:v>
      </x:c>
      <x:c r="E5724" s="2" t="str">
        <x:v>WB_exports_usd</x:v>
      </x:c>
      <x:c r="F5724" s="2" t="str">
        <x:v>Merchandise exports (current US$)</x:v>
      </x:c>
    </x:row>
    <x:row r="5725" ht="44" customHeight="1">
      <x:c r="A5725" s="2" t="str">
        <x:v>SWE</x:v>
      </x:c>
      <x:c r="B5725" s="2" t="str">
        <x:v>cereal_yield</x:v>
      </x:c>
      <x:c r="C5725" s="2" t="n">
        <x:v>4456.5</x:v>
      </x:c>
      <x:c r="D5725" s="2" t="n">
        <x:v>2023</x:v>
      </x:c>
      <x:c r="E5725" s="2" t="str">
        <x:v>WB_cereal_yield</x:v>
      </x:c>
      <x:c r="F5725" s="2" t="str">
        <x:v>Cereal yield (kg per hectare)</x:v>
      </x:c>
    </x:row>
    <x:row r="5726" ht="44" customHeight="1">
      <x:c r="A5726" s="2" t="str">
        <x:v>SWE</x:v>
      </x:c>
      <x:c r="B5726" s="2" t="str">
        <x:v>water_stress</x:v>
      </x:c>
      <x:c r="C5726" s="2" t="n">
        <x:v>3.582972583</x:v>
      </x:c>
      <x:c r="D5726" s="2" t="n">
        <x:v>2022</x:v>
      </x:c>
      <x:c r="E5726" s="2" t="str">
        <x:v>WB_water_stress</x:v>
      </x:c>
      <x:c r="F5726" s="2" t="str">
        <x:v>Level of water stress: freshwater withdrawal as a proportion of available freshwater resources</x:v>
      </x:c>
    </x:row>
    <x:row r="5727" ht="44" customHeight="1">
      <x:c r="A5727" s="2" t="str">
        <x:v>SWE</x:v>
      </x:c>
      <x:c r="B5727" s="2" t="str">
        <x:v>fertility</x:v>
      </x:c>
      <x:c r="C5727" s="2" t="n">
        <x:v>1.43</x:v>
      </x:c>
      <x:c r="D5727" s="2" t="n">
        <x:v>2024</x:v>
      </x:c>
      <x:c r="E5727" s="2" t="str">
        <x:v>WB_fertility</x:v>
      </x:c>
      <x:c r="F5727" s="2" t="str">
        <x:v>Fertility rate, total (births per woman)</x:v>
      </x:c>
    </x:row>
    <x:row r="5728" ht="44" customHeight="1">
      <x:c r="A5728" s="2" t="str">
        <x:v>SWE</x:v>
      </x:c>
      <x:c r="B5728" s="2" t="str">
        <x:v>life_expectancy</x:v>
      </x:c>
      <x:c r="C5728" s="2" t="n">
        <x:v>84.0634146341463</x:v>
      </x:c>
      <x:c r="D5728" s="2" t="n">
        <x:v>2024</x:v>
      </x:c>
      <x:c r="E5728" s="2" t="str">
        <x:v>WB_life_expectancy</x:v>
      </x:c>
      <x:c r="F5728" s="2" t="str">
        <x:v>Life expectancy at birth, total (years)</x:v>
      </x:c>
    </x:row>
    <x:row r="5729" ht="44" customHeight="1">
      <x:c r="A5729" s="2" t="str">
        <x:v>SWE</x:v>
      </x:c>
      <x:c r="B5729" s="2" t="str">
        <x:v>age_under15</x:v>
      </x:c>
      <x:c r="C5729" s="2" t="n">
        <x:v>16.7064916282657</x:v>
      </x:c>
      <x:c r="D5729" s="2" t="n">
        <x:v>2025</x:v>
      </x:c>
      <x:c r="E5729" s="2" t="str">
        <x:v>WB_age_under15</x:v>
      </x:c>
      <x:c r="F5729" s="2" t="str">
        <x:v>Population ages 0-14 (% of total population)</x:v>
      </x:c>
    </x:row>
    <x:row r="5730" ht="44" customHeight="1">
      <x:c r="A5730" s="2" t="str">
        <x:v>SWE</x:v>
      </x:c>
      <x:c r="B5730" s="2" t="str">
        <x:v>age_over65</x:v>
      </x:c>
      <x:c r="C5730" s="2" t="n">
        <x:v>20.9127967529707</x:v>
      </x:c>
      <x:c r="D5730" s="2" t="n">
        <x:v>2025</x:v>
      </x:c>
      <x:c r="E5730" s="2" t="str">
        <x:v>WB_age_over65</x:v>
      </x:c>
      <x:c r="F5730" s="2" t="str">
        <x:v>Population ages 65 and above (% of total population)</x:v>
      </x:c>
    </x:row>
    <x:row r="5731" ht="44" customHeight="1">
      <x:c r="A5731" s="2" t="str">
        <x:v>SWE</x:v>
      </x:c>
      <x:c r="B5731" s="2" t="str">
        <x:v>dependency_ratio</x:v>
      </x:c>
      <x:c r="C5731" s="2" t="n">
        <x:v>60.3059613354841</x:v>
      </x:c>
      <x:c r="D5731" s="2" t="n">
        <x:v>2025</x:v>
      </x:c>
      <x:c r="E5731" s="2" t="str">
        <x:v>WB_dependency_ratio</x:v>
      </x:c>
      <x:c r="F5731" s="2" t="str">
        <x:v>Age dependency ratio (% of working-age population)</x:v>
      </x:c>
    </x:row>
    <x:row r="5732" ht="44" customHeight="1">
      <x:c r="A5732" s="2" t="str">
        <x:v>SWE</x:v>
      </x:c>
      <x:c r="B5732" s="2" t="str">
        <x:v>net_migration</x:v>
      </x:c>
      <x:c r="C5732" s="2" t="n">
        <x:v>47079</x:v>
      </x:c>
      <x:c r="D5732" s="2" t="n">
        <x:v>2025</x:v>
      </x:c>
      <x:c r="E5732" s="2" t="str">
        <x:v>WB_net_migration</x:v>
      </x:c>
      <x:c r="F5732" s="2" t="str">
        <x:v>Net migration</x:v>
      </x:c>
    </x:row>
    <x:row r="5733" ht="44" customHeight="1">
      <x:c r="A5733" s="2" t="str">
        <x:v>SWE</x:v>
      </x:c>
      <x:c r="B5733" s="2" t="str">
        <x:v>real_gdp</x:v>
      </x:c>
      <x:c r="C5733" s="2" t="n">
        <x:v>582966494884.607</x:v>
      </x:c>
      <x:c r="D5733" s="2" t="n">
        <x:v>2025</x:v>
      </x:c>
      <x:c r="E5733" s="2" t="str">
        <x:v>WB_real_gdp</x:v>
      </x:c>
      <x:c r="F5733" s="2" t="str">
        <x:v>GDP (constant 2015 US$)</x:v>
      </x:c>
    </x:row>
    <x:row r="5734" ht="44" customHeight="1">
      <x:c r="A5734" s="2" t="str">
        <x:v>SWE</x:v>
      </x:c>
      <x:c r="B5734" s="2" t="str">
        <x:v>gdp_growth</x:v>
      </x:c>
      <x:c r="C5734" s="2" t="n">
        <x:v>1.54316373266217</x:v>
      </x:c>
      <x:c r="D5734" s="2" t="n">
        <x:v>2025</x:v>
      </x:c>
      <x:c r="E5734" s="2" t="str">
        <x:v>WB_gdp_growth</x:v>
      </x:c>
      <x:c r="F5734" s="2" t="str">
        <x:v>GDP growth (annual %)</x:v>
      </x:c>
    </x:row>
    <x:row r="5735" ht="44" customHeight="1">
      <x:c r="A5735" s="2" t="str">
        <x:v>SWE</x:v>
      </x:c>
      <x:c r="B5735" s="2" t="str">
        <x:v>real_income</x:v>
      </x:c>
      <x:c r="C5735" s="2" t="n">
        <x:v>55014.3814616932</x:v>
      </x:c>
      <x:c r="D5735" s="2" t="n">
        <x:v>2025</x:v>
      </x:c>
      <x:c r="E5735" s="2" t="str">
        <x:v>WB_real_income</x:v>
      </x:c>
      <x:c r="F5735" s="2" t="str">
        <x:v>GDP per capita (constant 2015 US$)</x:v>
      </x:c>
    </x:row>
    <x:row r="5736" ht="44" customHeight="1">
      <x:c r="A5736" s="2" t="str">
        <x:v>SWE</x:v>
      </x:c>
      <x:c r="B5736" s="2" t="str">
        <x:v>agriculture_gdp</x:v>
      </x:c>
      <x:c r="C5736" s="2" t="n">
        <x:v>1.50330918888001</x:v>
      </x:c>
      <x:c r="D5736" s="2" t="n">
        <x:v>2025</x:v>
      </x:c>
      <x:c r="E5736" s="2" t="str">
        <x:v>WB_agriculture_gdp</x:v>
      </x:c>
      <x:c r="F5736" s="2" t="str">
        <x:v>Agriculture, forestry, and fishing, value added (% of GDP)</x:v>
      </x:c>
    </x:row>
    <x:row r="5737" ht="44" customHeight="1">
      <x:c r="A5737" s="2" t="str">
        <x:v>SWE</x:v>
      </x:c>
      <x:c r="B5737" s="2" t="str">
        <x:v>poverty</x:v>
      </x:c>
      <x:c r="C5737" s="2" t="n">
        <x:v>0.8</x:v>
      </x:c>
      <x:c r="D5737" s="2" t="n">
        <x:v>2023</x:v>
      </x:c>
      <x:c r="E5737" s="2" t="str">
        <x:v>WB_poverty</x:v>
      </x:c>
      <x:c r="F5737" s="2" t="str">
        <x:v>Poverty headcount ratio at $3.00 a day (2021 PPP) (% of population)</x:v>
      </x:c>
    </x:row>
    <x:row r="5738" ht="44" customHeight="1">
      <x:c r="A5738" s="2" t="str">
        <x:v>SWE</x:v>
      </x:c>
      <x:c r="B5738" s="2" t="str">
        <x:v>gini</x:v>
      </x:c>
      <x:c r="C5738" s="2" t="n">
        <x:v>29.3</x:v>
      </x:c>
      <x:c r="D5738" s="2" t="n">
        <x:v>2023</x:v>
      </x:c>
      <x:c r="E5738" s="2" t="str">
        <x:v>WB_gini</x:v>
      </x:c>
      <x:c r="F5738" s="2" t="str">
        <x:v>Gini index</x:v>
      </x:c>
    </x:row>
    <x:row r="5739" ht="44" customHeight="1">
      <x:c r="A5739" s="2" t="str">
        <x:v>SWE</x:v>
      </x:c>
      <x:c r="B5739" s="2" t="str">
        <x:v>unemployment</x:v>
      </x:c>
      <x:c r="C5739" s="2" t="n">
        <x:v>8.694</x:v>
      </x:c>
      <x:c r="D5739" s="2" t="n">
        <x:v>2025</x:v>
      </x:c>
      <x:c r="E5739" s="2" t="str">
        <x:v>WB_unemployment</x:v>
      </x:c>
      <x:c r="F5739" s="2" t="str">
        <x:v>Unemployment, total (% of total labor force) (modeled ILO estimate)</x:v>
      </x:c>
    </x:row>
    <x:row r="5740" ht="44" customHeight="1">
      <x:c r="A5740" s="2" t="str">
        <x:v>SWE</x:v>
      </x:c>
      <x:c r="B5740" s="2" t="str">
        <x:v>private_credit</x:v>
      </x:c>
      <x:c r="C5740" s="2" t="n">
        <x:v>125.28961467527</x:v>
      </x:c>
      <x:c r="D5740" s="2" t="n">
        <x:v>2024</x:v>
      </x:c>
      <x:c r="E5740" s="2" t="str">
        <x:v>WB_private_credit</x:v>
      </x:c>
      <x:c r="F5740" s="2" t="str">
        <x:v>Domestic credit to private sector (% of GDP)</x:v>
      </x:c>
    </x:row>
    <x:row r="5741" ht="44" customHeight="1">
      <x:c r="A5741" s="2" t="str">
        <x:v>SWE</x:v>
      </x:c>
      <x:c r="B5741" s="2" t="str">
        <x:v>lending_rate</x:v>
      </x:c>
      <x:c r="C5741" s="2" t="n">
        <x:v>3.67803333333333</x:v>
      </x:c>
      <x:c r="D5741" s="2" t="n">
        <x:v>2006</x:v>
      </x:c>
      <x:c r="E5741" s="2" t="str">
        <x:v>WB_lending_rate</x:v>
      </x:c>
      <x:c r="F5741" s="2" t="str">
        <x:v>Lending interest rate (%)</x:v>
      </x:c>
    </x:row>
    <x:row r="5742" ht="44" customHeight="1">
      <x:c r="A5742" s="2" t="str">
        <x:v>SWE</x:v>
      </x:c>
      <x:c r="B5742" s="2" t="str">
        <x:v>real_interest</x:v>
      </x:c>
      <x:c r="C5742" s="2" t="n">
        <x:v>1.89888281128576</x:v>
      </x:c>
      <x:c r="D5742" s="2" t="n">
        <x:v>2006</x:v>
      </x:c>
      <x:c r="E5742" s="2" t="str">
        <x:v>WB_real_interest</x:v>
      </x:c>
      <x:c r="F5742" s="2" t="str">
        <x:v>Real interest rate (%)</x:v>
      </x:c>
    </x:row>
    <x:row r="5743" ht="44" customHeight="1">
      <x:c r="A5743" s="2" t="str">
        <x:v>SWE</x:v>
      </x:c>
      <x:c r="B5743" s="2" t="str">
        <x:v>government_debt</x:v>
      </x:c>
      <x:c r="C5743" s="2"/>
      <x:c r="D5743" s="2"/>
      <x:c r="E5743" s="2" t="str">
        <x:v>Missing</x:v>
      </x:c>
      <x:c r="F5743" s="2" t="str">
        <x:v>Central government debt, total (% of GDP)</x:v>
      </x:c>
    </x:row>
    <x:row r="5744" ht="44" customHeight="1">
      <x:c r="A5744" s="2" t="str">
        <x:v>SWE</x:v>
      </x:c>
      <x:c r="B5744" s="2" t="str">
        <x:v>electricity_access</x:v>
      </x:c>
      <x:c r="C5744" s="2" t="n">
        <x:v>100</x:v>
      </x:c>
      <x:c r="D5744" s="2" t="n">
        <x:v>2024</x:v>
      </x:c>
      <x:c r="E5744" s="2" t="str">
        <x:v>WB_electricity_access</x:v>
      </x:c>
      <x:c r="F5744" s="2" t="str">
        <x:v>Access to electricity (% of population)</x:v>
      </x:c>
    </x:row>
    <x:row r="5745" ht="44" customHeight="1">
      <x:c r="A5745" s="2" t="str">
        <x:v>SWE</x:v>
      </x:c>
      <x:c r="B5745" s="2" t="str">
        <x:v>irrigated_land</x:v>
      </x:c>
      <x:c r="C5745" s="2" t="n">
        <x:v>1.68822742740622</x:v>
      </x:c>
      <x:c r="D5745" s="2" t="n">
        <x:v>2016</x:v>
      </x:c>
      <x:c r="E5745" s="2" t="str">
        <x:v>WB_irrigated_land</x:v>
      </x:c>
      <x:c r="F5745" s="2" t="str">
        <x:v>Agricultural irrigated land (% of total agricultural land)</x:v>
      </x:c>
    </x:row>
    <x:row r="5746" ht="44" customHeight="1">
      <x:c r="A5746" s="2" t="str">
        <x:v>SWE</x:v>
      </x:c>
      <x:c r="B5746" s="2" t="str">
        <x:v>cereal_area</x:v>
      </x:c>
      <x:c r="C5746" s="2" t="n">
        <x:v>971160</x:v>
      </x:c>
      <x:c r="D5746" s="2" t="n">
        <x:v>2023</x:v>
      </x:c>
      <x:c r="E5746" s="2" t="str">
        <x:v>WB_cereal_area</x:v>
      </x:c>
      <x:c r="F5746" s="2" t="str">
        <x:v>Land under cereal production (hectares)</x:v>
      </x:c>
    </x:row>
    <x:row r="5747" ht="44" customHeight="1">
      <x:c r="A5747" s="2" t="str">
        <x:v>SWE</x:v>
      </x:c>
      <x:c r="B5747" s="2" t="str">
        <x:v>undernourishment</x:v>
      </x:c>
      <x:c r="C5747" s="2" t="n">
        <x:v>2.5</x:v>
      </x:c>
      <x:c r="D5747" s="2" t="n">
        <x:v>2023</x:v>
      </x:c>
      <x:c r="E5747" s="2" t="str">
        <x:v>WB_undernourishment</x:v>
      </x:c>
      <x:c r="F5747" s="2" t="str">
        <x:v>Prevalence of undernourishment (% of population)</x:v>
      </x:c>
    </x:row>
    <x:row r="5748" ht="44" customHeight="1">
      <x:c r="A5748" s="2" t="str">
        <x:v>SWE</x:v>
      </x:c>
      <x:c r="B5748" s="2" t="str">
        <x:v>agriculture_employment</x:v>
      </x:c>
      <x:c r="C5748" s="2" t="n">
        <x:v>1.76684695457337</x:v>
      </x:c>
      <x:c r="D5748" s="2" t="n">
        <x:v>2025</x:v>
      </x:c>
      <x:c r="E5748" s="2" t="str">
        <x:v>WB_agriculture_employment</x:v>
      </x:c>
      <x:c r="F5748" s="2" t="str">
        <x:v>Employment in agriculture (% of total employment) (modeled ILO estimate)</x:v>
      </x:c>
    </x:row>
    <x:row r="5749" ht="44" customHeight="1">
      <x:c r="A5749" s="2" t="str">
        <x:v>SWE</x:v>
      </x:c>
      <x:c r="B5749" s="2" t="str">
        <x:v>water_withdrawal</x:v>
      </x:c>
      <x:c r="C5749" s="2" t="n">
        <x:v>1.45204678362573</x:v>
      </x:c>
      <x:c r="D5749" s="2" t="n">
        <x:v>2022</x:v>
      </x:c>
      <x:c r="E5749" s="2" t="str">
        <x:v>WB_water_withdrawal</x:v>
      </x:c>
      <x:c r="F5749" s="2" t="str">
        <x:v>Annual freshwater withdrawals, total (% of internal resources)</x:v>
      </x:c>
    </x:row>
    <x:row r="5750" ht="44" customHeight="1">
      <x:c r="A5750" s="2" t="str">
        <x:v>CHE</x:v>
      </x:c>
      <x:c r="B5750" s="2" t="str">
        <x:v>population</x:v>
      </x:c>
      <x:c r="C5750" s="2" t="n">
        <x:v>9092436</x:v>
      </x:c>
      <x:c r="D5750" s="2" t="n">
        <x:v>2025</x:v>
      </x:c>
      <x:c r="E5750" s="2" t="str">
        <x:v>WB_population</x:v>
      </x:c>
      <x:c r="F5750" s="2" t="str">
        <x:v>Population, total</x:v>
      </x:c>
    </x:row>
    <x:row r="5751" ht="44" customHeight="1">
      <x:c r="A5751" s="2" t="str">
        <x:v>CHE</x:v>
      </x:c>
      <x:c r="B5751" s="2" t="str">
        <x:v>income_ppp</x:v>
      </x:c>
      <x:c r="C5751" s="2" t="n">
        <x:v>85732.1097535232</x:v>
      </x:c>
      <x:c r="D5751" s="2" t="n">
        <x:v>2025</x:v>
      </x:c>
      <x:c r="E5751" s="2" t="str">
        <x:v>WB_income_ppp</x:v>
      </x:c>
      <x:c r="F5751" s="2" t="str">
        <x:v>GDP per capita, PPP (constant 2021 international $)</x:v>
      </x:c>
    </x:row>
    <x:row r="5752" ht="44" customHeight="1">
      <x:c r="A5752" s="2" t="str">
        <x:v>CHE</x:v>
      </x:c>
      <x:c r="B5752" s="2" t="str">
        <x:v>urban</x:v>
      </x:c>
      <x:c r="C5752" s="2" t="n">
        <x:v>85.7272157802756</x:v>
      </x:c>
      <x:c r="D5752" s="2" t="n">
        <x:v>2025</x:v>
      </x:c>
      <x:c r="E5752" s="2" t="str">
        <x:v>WB_urban</x:v>
      </x:c>
      <x:c r="F5752" s="2" t="str">
        <x:v>Urban population (% of total population)</x:v>
      </x:c>
    </x:row>
    <x:row r="5753" ht="44" customHeight="1">
      <x:c r="A5753" s="2" t="str">
        <x:v>CHE</x:v>
      </x:c>
      <x:c r="B5753" s="2" t="str">
        <x:v>inflation</x:v>
      </x:c>
      <x:c r="C5753" s="2" t="n">
        <x:v>0.154376978290185</x:v>
      </x:c>
      <x:c r="D5753" s="2" t="n">
        <x:v>2025</x:v>
      </x:c>
      <x:c r="E5753" s="2" t="str">
        <x:v>WB_inflation</x:v>
      </x:c>
      <x:c r="F5753" s="2" t="str">
        <x:v>Inflation, consumer prices (annual %)</x:v>
      </x:c>
    </x:row>
    <x:row r="5754" ht="44" customHeight="1">
      <x:c r="A5754" s="2" t="str">
        <x:v>CHE</x:v>
      </x:c>
      <x:c r="B5754" s="2" t="str">
        <x:v>food_index</x:v>
      </x:c>
      <x:c r="C5754" s="2" t="n">
        <x:v>97.39</x:v>
      </x:c>
      <x:c r="D5754" s="2" t="n">
        <x:v>2022</x:v>
      </x:c>
      <x:c r="E5754" s="2" t="str">
        <x:v>WB_food_index</x:v>
      </x:c>
      <x:c r="F5754" s="2" t="str">
        <x:v>Food production index (2014-2016 = 100)</x:v>
      </x:c>
    </x:row>
    <x:row r="5755" ht="44" customHeight="1">
      <x:c r="A5755" s="2" t="str">
        <x:v>CHE</x:v>
      </x:c>
      <x:c r="B5755" s="2" t="str">
        <x:v>food_import_share</x:v>
      </x:c>
      <x:c r="C5755" s="2" t="n">
        <x:v>4.6403565029763</x:v>
      </x:c>
      <x:c r="D5755" s="2" t="n">
        <x:v>2024</x:v>
      </x:c>
      <x:c r="E5755" s="2" t="str">
        <x:v>WB_food_import_share</x:v>
      </x:c>
      <x:c r="F5755" s="2" t="str">
        <x:v>Food imports (% of merchandise imports)</x:v>
      </x:c>
    </x:row>
    <x:row r="5756" ht="44" customHeight="1">
      <x:c r="A5756" s="2" t="str">
        <x:v>CHE</x:v>
      </x:c>
      <x:c r="B5756" s="2" t="str">
        <x:v>food_export_share</x:v>
      </x:c>
      <x:c r="C5756" s="2" t="n">
        <x:v>2.51374979209268</x:v>
      </x:c>
      <x:c r="D5756" s="2" t="n">
        <x:v>2024</x:v>
      </x:c>
      <x:c r="E5756" s="2" t="str">
        <x:v>WB_food_export_share</x:v>
      </x:c>
      <x:c r="F5756" s="2" t="str">
        <x:v>Food exports (% of merchandise exports)</x:v>
      </x:c>
    </x:row>
    <x:row r="5757" ht="44" customHeight="1">
      <x:c r="A5757" s="2" t="str">
        <x:v>CHE</x:v>
      </x:c>
      <x:c r="B5757" s="2" t="str">
        <x:v>imports_usd</x:v>
      </x:c>
      <x:c r="C5757" s="2" t="n">
        <x:v>507429000000</x:v>
      </x:c>
      <x:c r="D5757" s="2" t="n">
        <x:v>2025</x:v>
      </x:c>
      <x:c r="E5757" s="2" t="str">
        <x:v>WB_imports_usd</x:v>
      </x:c>
      <x:c r="F5757" s="2" t="str">
        <x:v>Merchandise imports (current US$)</x:v>
      </x:c>
    </x:row>
    <x:row r="5758" ht="44" customHeight="1">
      <x:c r="A5758" s="2" t="str">
        <x:v>CHE</x:v>
      </x:c>
      <x:c r="B5758" s="2" t="str">
        <x:v>exports_usd</x:v>
      </x:c>
      <x:c r="C5758" s="2" t="n">
        <x:v>554160000000</x:v>
      </x:c>
      <x:c r="D5758" s="2" t="n">
        <x:v>2025</x:v>
      </x:c>
      <x:c r="E5758" s="2" t="str">
        <x:v>WB_exports_usd</x:v>
      </x:c>
      <x:c r="F5758" s="2" t="str">
        <x:v>Merchandise exports (current US$)</x:v>
      </x:c>
    </x:row>
    <x:row r="5759" ht="44" customHeight="1">
      <x:c r="A5759" s="2" t="str">
        <x:v>CHE</x:v>
      </x:c>
      <x:c r="B5759" s="2" t="str">
        <x:v>cereal_yield</x:v>
      </x:c>
      <x:c r="C5759" s="2" t="n">
        <x:v>5706</x:v>
      </x:c>
      <x:c r="D5759" s="2" t="n">
        <x:v>2023</x:v>
      </x:c>
      <x:c r="E5759" s="2" t="str">
        <x:v>WB_cereal_yield</x:v>
      </x:c>
      <x:c r="F5759" s="2" t="str">
        <x:v>Cereal yield (kg per hectare)</x:v>
      </x:c>
    </x:row>
    <x:row r="5760" ht="44" customHeight="1">
      <x:c r="A5760" s="2" t="str">
        <x:v>CHE</x:v>
      </x:c>
      <x:c r="B5760" s="2" t="str">
        <x:v>water_stress</x:v>
      </x:c>
      <x:c r="C5760" s="2" t="n">
        <x:v>6.498855835</x:v>
      </x:c>
      <x:c r="D5760" s="2" t="n">
        <x:v>2022</x:v>
      </x:c>
      <x:c r="E5760" s="2" t="str">
        <x:v>WB_water_stress</x:v>
      </x:c>
      <x:c r="F5760" s="2" t="str">
        <x:v>Level of water stress: freshwater withdrawal as a proportion of available freshwater resources</x:v>
      </x:c>
    </x:row>
    <x:row r="5761" ht="44" customHeight="1">
      <x:c r="A5761" s="2" t="str">
        <x:v>CHE</x:v>
      </x:c>
      <x:c r="B5761" s="2" t="str">
        <x:v>fertility</x:v>
      </x:c>
      <x:c r="C5761" s="2" t="n">
        <x:v>1.29</x:v>
      </x:c>
      <x:c r="D5761" s="2" t="n">
        <x:v>2024</x:v>
      </x:c>
      <x:c r="E5761" s="2" t="str">
        <x:v>WB_fertility</x:v>
      </x:c>
      <x:c r="F5761" s="2" t="str">
        <x:v>Fertility rate, total (births per woman)</x:v>
      </x:c>
    </x:row>
    <x:row r="5762" ht="44" customHeight="1">
      <x:c r="A5762" s="2" t="str">
        <x:v>CHE</x:v>
      </x:c>
      <x:c r="B5762" s="2" t="str">
        <x:v>life_expectancy</x:v>
      </x:c>
      <x:c r="C5762" s="2" t="n">
        <x:v>84.4073170731707</x:v>
      </x:c>
      <x:c r="D5762" s="2" t="n">
        <x:v>2024</x:v>
      </x:c>
      <x:c r="E5762" s="2" t="str">
        <x:v>WB_life_expectancy</x:v>
      </x:c>
      <x:c r="F5762" s="2" t="str">
        <x:v>Life expectancy at birth, total (years)</x:v>
      </x:c>
    </x:row>
    <x:row r="5763" ht="44" customHeight="1">
      <x:c r="A5763" s="2" t="str">
        <x:v>CHE</x:v>
      </x:c>
      <x:c r="B5763" s="2" t="str">
        <x:v>age_under15</x:v>
      </x:c>
      <x:c r="C5763" s="2" t="n">
        <x:v>14.8834431802057</x:v>
      </x:c>
      <x:c r="D5763" s="2" t="n">
        <x:v>2025</x:v>
      </x:c>
      <x:c r="E5763" s="2" t="str">
        <x:v>WB_age_under15</x:v>
      </x:c>
      <x:c r="F5763" s="2" t="str">
        <x:v>Population ages 0-14 (% of total population)</x:v>
      </x:c>
    </x:row>
    <x:row r="5764" ht="44" customHeight="1">
      <x:c r="A5764" s="2" t="str">
        <x:v>CHE</x:v>
      </x:c>
      <x:c r="B5764" s="2" t="str">
        <x:v>age_over65</x:v>
      </x:c>
      <x:c r="C5764" s="2" t="n">
        <x:v>20.4321204316855</x:v>
      </x:c>
      <x:c r="D5764" s="2" t="n">
        <x:v>2025</x:v>
      </x:c>
      <x:c r="E5764" s="2" t="str">
        <x:v>WB_age_over65</x:v>
      </x:c>
      <x:c r="F5764" s="2" t="str">
        <x:v>Population ages 65 and above (% of total population)</x:v>
      </x:c>
    </x:row>
    <x:row r="5765" ht="44" customHeight="1">
      <x:c r="A5765" s="2" t="str">
        <x:v>CHE</x:v>
      </x:c>
      <x:c r="B5765" s="2" t="str">
        <x:v>dependency_ratio</x:v>
      </x:c>
      <x:c r="C5765" s="2" t="n">
        <x:v>54.5966931972385</x:v>
      </x:c>
      <x:c r="D5765" s="2" t="n">
        <x:v>2025</x:v>
      </x:c>
      <x:c r="E5765" s="2" t="str">
        <x:v>WB_dependency_ratio</x:v>
      </x:c>
      <x:c r="F5765" s="2" t="str">
        <x:v>Age dependency ratio (% of working-age population)</x:v>
      </x:c>
    </x:row>
    <x:row r="5766" ht="44" customHeight="1">
      <x:c r="A5766" s="2" t="str">
        <x:v>CHE</x:v>
      </x:c>
      <x:c r="B5766" s="2" t="str">
        <x:v>net_migration</x:v>
      </x:c>
      <x:c r="C5766" s="2" t="n">
        <x:v>37253</x:v>
      </x:c>
      <x:c r="D5766" s="2" t="n">
        <x:v>2025</x:v>
      </x:c>
      <x:c r="E5766" s="2" t="str">
        <x:v>WB_net_migration</x:v>
      </x:c>
      <x:c r="F5766" s="2" t="str">
        <x:v>Net migration</x:v>
      </x:c>
    </x:row>
    <x:row r="5767" ht="44" customHeight="1">
      <x:c r="A5767" s="2" t="str">
        <x:v>CHE</x:v>
      </x:c>
      <x:c r="B5767" s="2" t="str">
        <x:v>real_gdp</x:v>
      </x:c>
      <x:c r="C5767" s="2" t="n">
        <x:v>848575173117.719</x:v>
      </x:c>
      <x:c r="D5767" s="2" t="n">
        <x:v>2025</x:v>
      </x:c>
      <x:c r="E5767" s="2" t="str">
        <x:v>WB_real_gdp</x:v>
      </x:c>
      <x:c r="F5767" s="2" t="str">
        <x:v>GDP (constant 2015 US$)</x:v>
      </x:c>
    </x:row>
    <x:row r="5768" ht="44" customHeight="1">
      <x:c r="A5768" s="2" t="str">
        <x:v>CHE</x:v>
      </x:c>
      <x:c r="B5768" s="2" t="str">
        <x:v>gdp_growth</x:v>
      </x:c>
      <x:c r="C5768" s="2" t="n">
        <x:v>1.30007790958307</x:v>
      </x:c>
      <x:c r="D5768" s="2" t="n">
        <x:v>2025</x:v>
      </x:c>
      <x:c r="E5768" s="2" t="str">
        <x:v>WB_gdp_growth</x:v>
      </x:c>
      <x:c r="F5768" s="2" t="str">
        <x:v>GDP growth (annual %)</x:v>
      </x:c>
    </x:row>
    <x:row r="5769" ht="44" customHeight="1">
      <x:c r="A5769" s="2" t="str">
        <x:v>CHE</x:v>
      </x:c>
      <x:c r="B5769" s="2" t="str">
        <x:v>real_income</x:v>
      </x:c>
      <x:c r="C5769" s="2" t="n">
        <x:v>93327.5937403044</x:v>
      </x:c>
      <x:c r="D5769" s="2" t="n">
        <x:v>2025</x:v>
      </x:c>
      <x:c r="E5769" s="2" t="str">
        <x:v>WB_real_income</x:v>
      </x:c>
      <x:c r="F5769" s="2" t="str">
        <x:v>GDP per capita (constant 2015 US$)</x:v>
      </x:c>
    </x:row>
    <x:row r="5770" ht="44" customHeight="1">
      <x:c r="A5770" s="2" t="str">
        <x:v>CHE</x:v>
      </x:c>
      <x:c r="B5770" s="2" t="str">
        <x:v>agriculture_gdp</x:v>
      </x:c>
      <x:c r="C5770" s="2" t="n">
        <x:v>0.644624328848247</x:v>
      </x:c>
      <x:c r="D5770" s="2" t="n">
        <x:v>2025</x:v>
      </x:c>
      <x:c r="E5770" s="2" t="str">
        <x:v>WB_agriculture_gdp</x:v>
      </x:c>
      <x:c r="F5770" s="2" t="str">
        <x:v>Agriculture, forestry, and fishing, value added (% of GDP)</x:v>
      </x:c>
    </x:row>
    <x:row r="5771" ht="44" customHeight="1">
      <x:c r="A5771" s="2" t="str">
        <x:v>CHE</x:v>
      </x:c>
      <x:c r="B5771" s="2" t="str">
        <x:v>poverty</x:v>
      </x:c>
      <x:c r="C5771" s="2" t="n">
        <x:v>0.2</x:v>
      </x:c>
      <x:c r="D5771" s="2" t="n">
        <x:v>2022</x:v>
      </x:c>
      <x:c r="E5771" s="2" t="str">
        <x:v>WB_poverty</x:v>
      </x:c>
      <x:c r="F5771" s="2" t="str">
        <x:v>Poverty headcount ratio at $3.00 a day (2021 PPP) (% of population)</x:v>
      </x:c>
    </x:row>
    <x:row r="5772" ht="44" customHeight="1">
      <x:c r="A5772" s="2" t="str">
        <x:v>CHE</x:v>
      </x:c>
      <x:c r="B5772" s="2" t="str">
        <x:v>gini</x:v>
      </x:c>
      <x:c r="C5772" s="2" t="n">
        <x:v>33.8</x:v>
      </x:c>
      <x:c r="D5772" s="2" t="n">
        <x:v>2022</x:v>
      </x:c>
      <x:c r="E5772" s="2" t="str">
        <x:v>WB_gini</x:v>
      </x:c>
      <x:c r="F5772" s="2" t="str">
        <x:v>Gini index</x:v>
      </x:c>
    </x:row>
    <x:row r="5773" ht="44" customHeight="1">
      <x:c r="A5773" s="2" t="str">
        <x:v>CHE</x:v>
      </x:c>
      <x:c r="B5773" s="2" t="str">
        <x:v>unemployment</x:v>
      </x:c>
      <x:c r="C5773" s="2" t="n">
        <x:v>4.873</x:v>
      </x:c>
      <x:c r="D5773" s="2" t="n">
        <x:v>2025</x:v>
      </x:c>
      <x:c r="E5773" s="2" t="str">
        <x:v>WB_unemployment</x:v>
      </x:c>
      <x:c r="F5773" s="2" t="str">
        <x:v>Unemployment, total (% of total labor force) (modeled ILO estimate)</x:v>
      </x:c>
    </x:row>
    <x:row r="5774" ht="44" customHeight="1">
      <x:c r="A5774" s="2" t="str">
        <x:v>CHE</x:v>
      </x:c>
      <x:c r="B5774" s="2" t="str">
        <x:v>private_credit</x:v>
      </x:c>
      <x:c r="C5774" s="2" t="n">
        <x:v>167.772890998961</x:v>
      </x:c>
      <x:c r="D5774" s="2" t="n">
        <x:v>2016</x:v>
      </x:c>
      <x:c r="E5774" s="2" t="str">
        <x:v>WB_private_credit</x:v>
      </x:c>
      <x:c r="F5774" s="2" t="str">
        <x:v>Domestic credit to private sector (% of GDP)</x:v>
      </x:c>
    </x:row>
    <x:row r="5775" ht="44" customHeight="1">
      <x:c r="A5775" s="2" t="str">
        <x:v>CHE</x:v>
      </x:c>
      <x:c r="B5775" s="2" t="str">
        <x:v>lending_rate</x:v>
      </x:c>
      <x:c r="C5775" s="2" t="n">
        <x:v>2.97616142777778</x:v>
      </x:c>
      <x:c r="D5775" s="2" t="n">
        <x:v>2024</x:v>
      </x:c>
      <x:c r="E5775" s="2" t="str">
        <x:v>WB_lending_rate</x:v>
      </x:c>
      <x:c r="F5775" s="2" t="str">
        <x:v>Lending interest rate (%)</x:v>
      </x:c>
    </x:row>
    <x:row r="5776" ht="44" customHeight="1">
      <x:c r="A5776" s="2" t="str">
        <x:v>CHE</x:v>
      </x:c>
      <x:c r="B5776" s="2" t="str">
        <x:v>real_interest</x:v>
      </x:c>
      <x:c r="C5776" s="2" t="n">
        <x:v>1.99106735882213</x:v>
      </x:c>
      <x:c r="D5776" s="2" t="n">
        <x:v>2024</x:v>
      </x:c>
      <x:c r="E5776" s="2" t="str">
        <x:v>WB_real_interest</x:v>
      </x:c>
      <x:c r="F5776" s="2" t="str">
        <x:v>Real interest rate (%)</x:v>
      </x:c>
    </x:row>
    <x:row r="5777" ht="44" customHeight="1">
      <x:c r="A5777" s="2" t="str">
        <x:v>CHE</x:v>
      </x:c>
      <x:c r="B5777" s="2" t="str">
        <x:v>government_debt</x:v>
      </x:c>
      <x:c r="C5777" s="2" t="n">
        <x:v>22.2786942016816</x:v>
      </x:c>
      <x:c r="D5777" s="2" t="n">
        <x:v>2024</x:v>
      </x:c>
      <x:c r="E5777" s="2" t="str">
        <x:v>WB_government_debt</x:v>
      </x:c>
      <x:c r="F5777" s="2" t="str">
        <x:v>Central government debt, total (% of GDP)</x:v>
      </x:c>
    </x:row>
    <x:row r="5778" ht="44" customHeight="1">
      <x:c r="A5778" s="2" t="str">
        <x:v>CHE</x:v>
      </x:c>
      <x:c r="B5778" s="2" t="str">
        <x:v>electricity_access</x:v>
      </x:c>
      <x:c r="C5778" s="2" t="n">
        <x:v>100</x:v>
      </x:c>
      <x:c r="D5778" s="2" t="n">
        <x:v>2024</x:v>
      </x:c>
      <x:c r="E5778" s="2" t="str">
        <x:v>WB_electricity_access</x:v>
      </x:c>
      <x:c r="F5778" s="2" t="str">
        <x:v>Access to electricity (% of population)</x:v>
      </x:c>
    </x:row>
    <x:row r="5779" ht="44" customHeight="1">
      <x:c r="A5779" s="2" t="str">
        <x:v>CHE</x:v>
      </x:c>
      <x:c r="B5779" s="2" t="str">
        <x:v>irrigated_land</x:v>
      </x:c>
      <x:c r="C5779" s="2" t="n">
        <x:v>2.29202232915276</x:v>
      </x:c>
      <x:c r="D5779" s="2" t="n">
        <x:v>2023</x:v>
      </x:c>
      <x:c r="E5779" s="2" t="str">
        <x:v>WB_irrigated_land</x:v>
      </x:c>
      <x:c r="F5779" s="2" t="str">
        <x:v>Agricultural irrigated land (% of total agricultural land)</x:v>
      </x:c>
    </x:row>
    <x:row r="5780" ht="44" customHeight="1">
      <x:c r="A5780" s="2" t="str">
        <x:v>CHE</x:v>
      </x:c>
      <x:c r="B5780" s="2" t="str">
        <x:v>cereal_area</x:v>
      </x:c>
      <x:c r="C5780" s="2" t="n">
        <x:v>141863</x:v>
      </x:c>
      <x:c r="D5780" s="2" t="n">
        <x:v>2023</x:v>
      </x:c>
      <x:c r="E5780" s="2" t="str">
        <x:v>WB_cereal_area</x:v>
      </x:c>
      <x:c r="F5780" s="2" t="str">
        <x:v>Land under cereal production (hectares)</x:v>
      </x:c>
    </x:row>
    <x:row r="5781" ht="44" customHeight="1">
      <x:c r="A5781" s="2" t="str">
        <x:v>CHE</x:v>
      </x:c>
      <x:c r="B5781" s="2" t="str">
        <x:v>undernourishment</x:v>
      </x:c>
      <x:c r="C5781" s="2" t="n">
        <x:v>2.5</x:v>
      </x:c>
      <x:c r="D5781" s="2" t="n">
        <x:v>2023</x:v>
      </x:c>
      <x:c r="E5781" s="2" t="str">
        <x:v>WB_undernourishment</x:v>
      </x:c>
      <x:c r="F5781" s="2" t="str">
        <x:v>Prevalence of undernourishment (% of population)</x:v>
      </x:c>
    </x:row>
    <x:row r="5782" ht="44" customHeight="1">
      <x:c r="A5782" s="2" t="str">
        <x:v>CHE</x:v>
      </x:c>
      <x:c r="B5782" s="2" t="str">
        <x:v>agriculture_employment</x:v>
      </x:c>
      <x:c r="C5782" s="2" t="n">
        <x:v>2.24176495349087</x:v>
      </x:c>
      <x:c r="D5782" s="2" t="n">
        <x:v>2025</x:v>
      </x:c>
      <x:c r="E5782" s="2" t="str">
        <x:v>WB_agriculture_employment</x:v>
      </x:c>
      <x:c r="F5782" s="2" t="str">
        <x:v>Employment in agriculture (% of total employment) (modeled ILO estimate)</x:v>
      </x:c>
    </x:row>
    <x:row r="5783" ht="44" customHeight="1">
      <x:c r="A5783" s="2" t="str">
        <x:v>CHE</x:v>
      </x:c>
      <x:c r="B5783" s="2" t="str">
        <x:v>water_withdrawal</x:v>
      </x:c>
      <x:c r="C5783" s="2" t="n">
        <x:v>4.21782178217822</x:v>
      </x:c>
      <x:c r="D5783" s="2" t="n">
        <x:v>2022</x:v>
      </x:c>
      <x:c r="E5783" s="2" t="str">
        <x:v>WB_water_withdrawal</x:v>
      </x:c>
      <x:c r="F5783" s="2" t="str">
        <x:v>Annual freshwater withdrawals, total (% of internal resources)</x:v>
      </x:c>
    </x:row>
    <x:row r="5784" ht="44" customHeight="1">
      <x:c r="A5784" s="2" t="str">
        <x:v>SYR</x:v>
      </x:c>
      <x:c r="B5784" s="2" t="str">
        <x:v>population</x:v>
      </x:c>
      <x:c r="C5784" s="2" t="n">
        <x:v>25620427</x:v>
      </x:c>
      <x:c r="D5784" s="2" t="n">
        <x:v>2025</x:v>
      </x:c>
      <x:c r="E5784" s="2" t="str">
        <x:v>WB_population</x:v>
      </x:c>
      <x:c r="F5784" s="2" t="str">
        <x:v>Population, total</x:v>
      </x:c>
    </x:row>
    <x:row r="5785" ht="44" customHeight="1">
      <x:c r="A5785" s="2" t="str">
        <x:v>SYR</x:v>
      </x:c>
      <x:c r="B5785" s="2" t="str">
        <x:v>income_ppp</x:v>
      </x:c>
      <x:c r="C5785" s="2" t="n">
        <x:v>4579.43973633341</x:v>
      </x:c>
      <x:c r="D5785" s="2" t="n">
        <x:v>2022</x:v>
      </x:c>
      <x:c r="E5785" s="2" t="str">
        <x:v>WB_income_ppp</x:v>
      </x:c>
      <x:c r="F5785" s="2" t="str">
        <x:v>GDP per capita, PPP (constant 2021 international $)</x:v>
      </x:c>
    </x:row>
    <x:row r="5786" ht="44" customHeight="1">
      <x:c r="A5786" s="2" t="str">
        <x:v>SYR</x:v>
      </x:c>
      <x:c r="B5786" s="2" t="str">
        <x:v>urban</x:v>
      </x:c>
      <x:c r="C5786" s="2" t="n">
        <x:v>72.0836286208518</x:v>
      </x:c>
      <x:c r="D5786" s="2" t="n">
        <x:v>2025</x:v>
      </x:c>
      <x:c r="E5786" s="2" t="str">
        <x:v>WB_urban</x:v>
      </x:c>
      <x:c r="F5786" s="2" t="str">
        <x:v>Urban population (% of total population)</x:v>
      </x:c>
    </x:row>
    <x:row r="5787" ht="44" customHeight="1">
      <x:c r="A5787" s="2" t="str">
        <x:v>SYR</x:v>
      </x:c>
      <x:c r="B5787" s="2" t="str">
        <x:v>inflation</x:v>
      </x:c>
      <x:c r="C5787" s="2" t="n">
        <x:v>13.4175653228571</x:v>
      </x:c>
      <x:c r="D5787" s="2" t="n">
        <x:v>2019</x:v>
      </x:c>
      <x:c r="E5787" s="2" t="str">
        <x:v>WB_inflation</x:v>
      </x:c>
      <x:c r="F5787" s="2" t="str">
        <x:v>Inflation, consumer prices (annual %)</x:v>
      </x:c>
    </x:row>
    <x:row r="5788" ht="44" customHeight="1">
      <x:c r="A5788" s="2" t="str">
        <x:v>SYR</x:v>
      </x:c>
      <x:c r="B5788" s="2" t="str">
        <x:v>food_index</x:v>
      </x:c>
      <x:c r="C5788" s="2" t="n">
        <x:v>96.98</x:v>
      </x:c>
      <x:c r="D5788" s="2" t="n">
        <x:v>2022</x:v>
      </x:c>
      <x:c r="E5788" s="2" t="str">
        <x:v>WB_food_index</x:v>
      </x:c>
      <x:c r="F5788" s="2" t="str">
        <x:v>Food production index (2014-2016 = 100)</x:v>
      </x:c>
    </x:row>
    <x:row r="5789" ht="44" customHeight="1">
      <x:c r="A5789" s="2" t="str">
        <x:v>SYR</x:v>
      </x:c>
      <x:c r="B5789" s="2" t="str">
        <x:v>food_import_share</x:v>
      </x:c>
      <x:c r="C5789" s="2" t="n">
        <x:v>21.0381561064069</x:v>
      </x:c>
      <x:c r="D5789" s="2" t="n">
        <x:v>2010</x:v>
      </x:c>
      <x:c r="E5789" s="2" t="str">
        <x:v>WB_food_import_share</x:v>
      </x:c>
      <x:c r="F5789" s="2" t="str">
        <x:v>Food imports (% of merchandise imports)</x:v>
      </x:c>
    </x:row>
    <x:row r="5790" ht="44" customHeight="1">
      <x:c r="A5790" s="2" t="str">
        <x:v>SYR</x:v>
      </x:c>
      <x:c r="B5790" s="2" t="str">
        <x:v>food_export_share</x:v>
      </x:c>
      <x:c r="C5790" s="2" t="n">
        <x:v>21.0171946922509</x:v>
      </x:c>
      <x:c r="D5790" s="2" t="n">
        <x:v>2010</x:v>
      </x:c>
      <x:c r="E5790" s="2" t="str">
        <x:v>WB_food_export_share</x:v>
      </x:c>
      <x:c r="F5790" s="2" t="str">
        <x:v>Food exports (% of merchandise exports)</x:v>
      </x:c>
    </x:row>
    <x:row r="5791" ht="44" customHeight="1">
      <x:c r="A5791" s="2" t="str">
        <x:v>SYR</x:v>
      </x:c>
      <x:c r="B5791" s="2" t="str">
        <x:v>imports_usd</x:v>
      </x:c>
      <x:c r="C5791" s="2" t="n">
        <x:v>7905000000</x:v>
      </x:c>
      <x:c r="D5791" s="2" t="n">
        <x:v>2025</x:v>
      </x:c>
      <x:c r="E5791" s="2" t="str">
        <x:v>WB_imports_usd</x:v>
      </x:c>
      <x:c r="F5791" s="2" t="str">
        <x:v>Merchandise imports (current US$)</x:v>
      </x:c>
    </x:row>
    <x:row r="5792" ht="44" customHeight="1">
      <x:c r="A5792" s="2" t="str">
        <x:v>SYR</x:v>
      </x:c>
      <x:c r="B5792" s="2" t="str">
        <x:v>exports_usd</x:v>
      </x:c>
      <x:c r="C5792" s="2" t="n">
        <x:v>3385000000</x:v>
      </x:c>
      <x:c r="D5792" s="2" t="n">
        <x:v>2025</x:v>
      </x:c>
      <x:c r="E5792" s="2" t="str">
        <x:v>WB_exports_usd</x:v>
      </x:c>
      <x:c r="F5792" s="2" t="str">
        <x:v>Merchandise exports (current US$)</x:v>
      </x:c>
    </x:row>
    <x:row r="5793" ht="44" customHeight="1">
      <x:c r="A5793" s="2" t="str">
        <x:v>SYR</x:v>
      </x:c>
      <x:c r="B5793" s="2" t="str">
        <x:v>cereal_yield</x:v>
      </x:c>
      <x:c r="C5793" s="2" t="n">
        <x:v>1606.8</x:v>
      </x:c>
      <x:c r="D5793" s="2" t="n">
        <x:v>2024</x:v>
      </x:c>
      <x:c r="E5793" s="2" t="str">
        <x:v>WB_cereal_yield</x:v>
      </x:c>
      <x:c r="F5793" s="2" t="str">
        <x:v>Cereal yield (kg per hectare)</x:v>
      </x:c>
    </x:row>
    <x:row r="5794" ht="44" customHeight="1">
      <x:c r="A5794" s="2" t="str">
        <x:v>SYR</x:v>
      </x:c>
      <x:c r="B5794" s="2" t="str">
        <x:v>water_stress</x:v>
      </x:c>
      <x:c r="C5794" s="2" t="n">
        <x:v>124.3601389</x:v>
      </x:c>
      <x:c r="D5794" s="2" t="n">
        <x:v>2022</x:v>
      </x:c>
      <x:c r="E5794" s="2" t="str">
        <x:v>WB_water_stress</x:v>
      </x:c>
      <x:c r="F5794" s="2" t="str">
        <x:v>Level of water stress: freshwater withdrawal as a proportion of available freshwater resources</x:v>
      </x:c>
    </x:row>
    <x:row r="5795" ht="44" customHeight="1">
      <x:c r="A5795" s="2" t="str">
        <x:v>SYR</x:v>
      </x:c>
      <x:c r="B5795" s="2" t="str">
        <x:v>fertility</x:v>
      </x:c>
      <x:c r="C5795" s="2" t="n">
        <x:v>2.7</x:v>
      </x:c>
      <x:c r="D5795" s="2" t="n">
        <x:v>2024</x:v>
      </x:c>
      <x:c r="E5795" s="2" t="str">
        <x:v>WB_fertility</x:v>
      </x:c>
      <x:c r="F5795" s="2" t="str">
        <x:v>Fertility rate, total (births per woman)</x:v>
      </x:c>
    </x:row>
    <x:row r="5796" ht="44" customHeight="1">
      <x:c r="A5796" s="2" t="str">
        <x:v>SYR</x:v>
      </x:c>
      <x:c r="B5796" s="2" t="str">
        <x:v>life_expectancy</x:v>
      </x:c>
      <x:c r="C5796" s="2" t="n">
        <x:v>72.56</x:v>
      </x:c>
      <x:c r="D5796" s="2" t="n">
        <x:v>2024</x:v>
      </x:c>
      <x:c r="E5796" s="2" t="str">
        <x:v>WB_life_expectancy</x:v>
      </x:c>
      <x:c r="F5796" s="2" t="str">
        <x:v>Life expectancy at birth, total (years)</x:v>
      </x:c>
    </x:row>
    <x:row r="5797" ht="44" customHeight="1">
      <x:c r="A5797" s="2" t="str">
        <x:v>SYR</x:v>
      </x:c>
      <x:c r="B5797" s="2" t="str">
        <x:v>age_under15</x:v>
      </x:c>
      <x:c r="C5797" s="2" t="n">
        <x:v>28.4407365349675</x:v>
      </x:c>
      <x:c r="D5797" s="2" t="n">
        <x:v>2025</x:v>
      </x:c>
      <x:c r="E5797" s="2" t="str">
        <x:v>WB_age_under15</x:v>
      </x:c>
      <x:c r="F5797" s="2" t="str">
        <x:v>Population ages 0-14 (% of total population)</x:v>
      </x:c>
    </x:row>
    <x:row r="5798" ht="44" customHeight="1">
      <x:c r="A5798" s="2" t="str">
        <x:v>SYR</x:v>
      </x:c>
      <x:c r="B5798" s="2" t="str">
        <x:v>age_over65</x:v>
      </x:c>
      <x:c r="C5798" s="2" t="n">
        <x:v>4.83918173649451</x:v>
      </x:c>
      <x:c r="D5798" s="2" t="n">
        <x:v>2025</x:v>
      </x:c>
      <x:c r="E5798" s="2" t="str">
        <x:v>WB_age_over65</x:v>
      </x:c>
      <x:c r="F5798" s="2" t="str">
        <x:v>Population ages 65 and above (% of total population)</x:v>
      </x:c>
    </x:row>
    <x:row r="5799" ht="44" customHeight="1">
      <x:c r="A5799" s="2" t="str">
        <x:v>SYR</x:v>
      </x:c>
      <x:c r="B5799" s="2" t="str">
        <x:v>dependency_ratio</x:v>
      </x:c>
      <x:c r="C5799" s="2" t="n">
        <x:v>49.8799108691544</x:v>
      </x:c>
      <x:c r="D5799" s="2" t="n">
        <x:v>2025</x:v>
      </x:c>
      <x:c r="E5799" s="2" t="str">
        <x:v>WB_dependency_ratio</x:v>
      </x:c>
      <x:c r="F5799" s="2" t="str">
        <x:v>Age dependency ratio (% of working-age population)</x:v>
      </x:c>
    </x:row>
    <x:row r="5800" ht="44" customHeight="1">
      <x:c r="A5800" s="2" t="str">
        <x:v>SYR</x:v>
      </x:c>
      <x:c r="B5800" s="2" t="str">
        <x:v>net_migration</x:v>
      </x:c>
      <x:c r="C5800" s="2" t="n">
        <x:v>421693</x:v>
      </x:c>
      <x:c r="D5800" s="2" t="n">
        <x:v>2025</x:v>
      </x:c>
      <x:c r="E5800" s="2" t="str">
        <x:v>WB_net_migration</x:v>
      </x:c>
      <x:c r="F5800" s="2" t="str">
        <x:v>Net migration</x:v>
      </x:c>
    </x:row>
    <x:row r="5801" ht="44" customHeight="1">
      <x:c r="A5801" s="2" t="str">
        <x:v>SYR</x:v>
      </x:c>
      <x:c r="B5801" s="2" t="str">
        <x:v>real_gdp</x:v>
      </x:c>
      <x:c r="C5801" s="2" t="n">
        <x:v>16104116653.7273</x:v>
      </x:c>
      <x:c r="D5801" s="2" t="n">
        <x:v>2022</x:v>
      </x:c>
      <x:c r="E5801" s="2" t="str">
        <x:v>WB_real_gdp</x:v>
      </x:c>
      <x:c r="F5801" s="2" t="str">
        <x:v>GDP (constant 2015 US$)</x:v>
      </x:c>
    </x:row>
    <x:row r="5802" ht="44" customHeight="1">
      <x:c r="A5802" s="2" t="str">
        <x:v>SYR</x:v>
      </x:c>
      <x:c r="B5802" s="2" t="str">
        <x:v>gdp_growth</x:v>
      </x:c>
      <x:c r="C5802" s="2" t="n">
        <x:v>-0.20247264200475</x:v>
      </x:c>
      <x:c r="D5802" s="2" t="n">
        <x:v>2022</x:v>
      </x:c>
      <x:c r="E5802" s="2" t="str">
        <x:v>WB_gdp_growth</x:v>
      </x:c>
      <x:c r="F5802" s="2" t="str">
        <x:v>GDP growth (annual %)</x:v>
      </x:c>
    </x:row>
    <x:row r="5803" ht="44" customHeight="1">
      <x:c r="A5803" s="2" t="str">
        <x:v>SYR</x:v>
      </x:c>
      <x:c r="B5803" s="2" t="str">
        <x:v>real_income</x:v>
      </x:c>
      <x:c r="C5803" s="2" t="n">
        <x:v>716.943843933856</x:v>
      </x:c>
      <x:c r="D5803" s="2" t="n">
        <x:v>2022</x:v>
      </x:c>
      <x:c r="E5803" s="2" t="str">
        <x:v>WB_real_income</x:v>
      </x:c>
      <x:c r="F5803" s="2" t="str">
        <x:v>GDP per capita (constant 2015 US$)</x:v>
      </x:c>
    </x:row>
    <x:row r="5804" ht="44" customHeight="1">
      <x:c r="A5804" s="2" t="str">
        <x:v>SYR</x:v>
      </x:c>
      <x:c r="B5804" s="2" t="str">
        <x:v>agriculture_gdp</x:v>
      </x:c>
      <x:c r="C5804" s="2" t="n">
        <x:v>42.8517272820162</x:v>
      </x:c>
      <x:c r="D5804" s="2" t="n">
        <x:v>2022</x:v>
      </x:c>
      <x:c r="E5804" s="2" t="str">
        <x:v>WB_agriculture_gdp</x:v>
      </x:c>
      <x:c r="F5804" s="2" t="str">
        <x:v>Agriculture, forestry, and fishing, value added (% of GDP)</x:v>
      </x:c>
    </x:row>
    <x:row r="5805" ht="44" customHeight="1">
      <x:c r="A5805" s="2" t="str">
        <x:v>SYR</x:v>
      </x:c>
      <x:c r="B5805" s="2" t="str">
        <x:v>poverty</x:v>
      </x:c>
      <x:c r="C5805" s="2" t="n">
        <x:v>18</x:v>
      </x:c>
      <x:c r="D5805" s="2" t="n">
        <x:v>2022</x:v>
      </x:c>
      <x:c r="E5805" s="2" t="str">
        <x:v>WB_poverty</x:v>
      </x:c>
      <x:c r="F5805" s="2" t="str">
        <x:v>Poverty headcount ratio at $3.00 a day (2021 PPP) (% of population)</x:v>
      </x:c>
    </x:row>
    <x:row r="5806" ht="44" customHeight="1">
      <x:c r="A5806" s="2" t="str">
        <x:v>SYR</x:v>
      </x:c>
      <x:c r="B5806" s="2" t="str">
        <x:v>gini</x:v>
      </x:c>
      <x:c r="C5806" s="2" t="n">
        <x:v>26.4</x:v>
      </x:c>
      <x:c r="D5806" s="2" t="n">
        <x:v>2022</x:v>
      </x:c>
      <x:c r="E5806" s="2" t="str">
        <x:v>WB_gini</x:v>
      </x:c>
      <x:c r="F5806" s="2" t="str">
        <x:v>Gini index</x:v>
      </x:c>
    </x:row>
    <x:row r="5807" ht="44" customHeight="1">
      <x:c r="A5807" s="2" t="str">
        <x:v>SYR</x:v>
      </x:c>
      <x:c r="B5807" s="2" t="str">
        <x:v>unemployment</x:v>
      </x:c>
      <x:c r="C5807" s="2" t="n">
        <x:v>13.569</x:v>
      </x:c>
      <x:c r="D5807" s="2" t="n">
        <x:v>2025</x:v>
      </x:c>
      <x:c r="E5807" s="2" t="str">
        <x:v>WB_unemployment</x:v>
      </x:c>
      <x:c r="F5807" s="2" t="str">
        <x:v>Unemployment, total (% of total labor force) (modeled ILO estimate)</x:v>
      </x:c>
    </x:row>
    <x:row r="5808" ht="44" customHeight="1">
      <x:c r="A5808" s="2" t="str">
        <x:v>SYR</x:v>
      </x:c>
      <x:c r="B5808" s="2" t="str">
        <x:v>private_credit</x:v>
      </x:c>
      <x:c r="C5808" s="2" t="n">
        <x:v>20.7425231347911</x:v>
      </x:c>
      <x:c r="D5808" s="2" t="n">
        <x:v>2011</x:v>
      </x:c>
      <x:c r="E5808" s="2" t="str">
        <x:v>WB_private_credit</x:v>
      </x:c>
      <x:c r="F5808" s="2" t="str">
        <x:v>Domestic credit to private sector (% of GDP)</x:v>
      </x:c>
    </x:row>
    <x:row r="5809" ht="44" customHeight="1">
      <x:c r="A5809" s="2" t="str">
        <x:v>SYR</x:v>
      </x:c>
      <x:c r="B5809" s="2" t="str">
        <x:v>lending_rate</x:v>
      </x:c>
      <x:c r="C5809" s="2"/>
      <x:c r="D5809" s="2"/>
      <x:c r="E5809" s="2" t="str">
        <x:v>Missing</x:v>
      </x:c>
      <x:c r="F5809" s="2" t="str">
        <x:v>Lending interest rate (%)</x:v>
      </x:c>
    </x:row>
    <x:row r="5810" ht="44" customHeight="1">
      <x:c r="A5810" s="2" t="str">
        <x:v>SYR</x:v>
      </x:c>
      <x:c r="B5810" s="2" t="str">
        <x:v>real_interest</x:v>
      </x:c>
      <x:c r="C5810" s="2"/>
      <x:c r="D5810" s="2"/>
      <x:c r="E5810" s="2" t="str">
        <x:v>Missing</x:v>
      </x:c>
      <x:c r="F5810" s="2" t="str">
        <x:v>Real interest rate (%)</x:v>
      </x:c>
    </x:row>
    <x:row r="5811" ht="44" customHeight="1">
      <x:c r="A5811" s="2" t="str">
        <x:v>SYR</x:v>
      </x:c>
      <x:c r="B5811" s="2" t="str">
        <x:v>government_debt</x:v>
      </x:c>
      <x:c r="C5811" s="2"/>
      <x:c r="D5811" s="2"/>
      <x:c r="E5811" s="2" t="str">
        <x:v>Missing</x:v>
      </x:c>
      <x:c r="F5811" s="2" t="str">
        <x:v>Central government debt, total (% of GDP)</x:v>
      </x:c>
    </x:row>
    <x:row r="5812" ht="44" customHeight="1">
      <x:c r="A5812" s="2" t="str">
        <x:v>SYR</x:v>
      </x:c>
      <x:c r="B5812" s="2" t="str">
        <x:v>electricity_access</x:v>
      </x:c>
      <x:c r="C5812" s="2" t="n">
        <x:v>89.3</x:v>
      </x:c>
      <x:c r="D5812" s="2" t="n">
        <x:v>2024</x:v>
      </x:c>
      <x:c r="E5812" s="2" t="str">
        <x:v>WB_electricity_access</x:v>
      </x:c>
      <x:c r="F5812" s="2" t="str">
        <x:v>Access to electricity (% of population)</x:v>
      </x:c>
    </x:row>
    <x:row r="5813" ht="44" customHeight="1">
      <x:c r="A5813" s="2" t="str">
        <x:v>SYR</x:v>
      </x:c>
      <x:c r="B5813" s="2" t="str">
        <x:v>irrigated_land</x:v>
      </x:c>
      <x:c r="C5813" s="2" t="n">
        <x:v>7.21740408643246</x:v>
      </x:c>
      <x:c r="D5813" s="2" t="n">
        <x:v>2023</x:v>
      </x:c>
      <x:c r="E5813" s="2" t="str">
        <x:v>WB_irrigated_land</x:v>
      </x:c>
      <x:c r="F5813" s="2" t="str">
        <x:v>Agricultural irrigated land (% of total agricultural land)</x:v>
      </x:c>
    </x:row>
    <x:row r="5814" ht="44" customHeight="1">
      <x:c r="A5814" s="2" t="str">
        <x:v>SYR</x:v>
      </x:c>
      <x:c r="B5814" s="2" t="str">
        <x:v>cereal_area</x:v>
      </x:c>
      <x:c r="C5814" s="2" t="n">
        <x:v>2695375</x:v>
      </x:c>
      <x:c r="D5814" s="2" t="n">
        <x:v>2024</x:v>
      </x:c>
      <x:c r="E5814" s="2" t="str">
        <x:v>WB_cereal_area</x:v>
      </x:c>
      <x:c r="F5814" s="2" t="str">
        <x:v>Land under cereal production (hectares)</x:v>
      </x:c>
    </x:row>
    <x:row r="5815" ht="44" customHeight="1">
      <x:c r="A5815" s="2" t="str">
        <x:v>SYR</x:v>
      </x:c>
      <x:c r="B5815" s="2" t="str">
        <x:v>undernourishment</x:v>
      </x:c>
      <x:c r="C5815" s="2" t="n">
        <x:v>39</x:v>
      </x:c>
      <x:c r="D5815" s="2" t="n">
        <x:v>2023</x:v>
      </x:c>
      <x:c r="E5815" s="2" t="str">
        <x:v>WB_undernourishment</x:v>
      </x:c>
      <x:c r="F5815" s="2" t="str">
        <x:v>Prevalence of undernourishment (% of population)</x:v>
      </x:c>
    </x:row>
    <x:row r="5816" ht="44" customHeight="1">
      <x:c r="A5816" s="2" t="str">
        <x:v>SYR</x:v>
      </x:c>
      <x:c r="B5816" s="2" t="str">
        <x:v>agriculture_employment</x:v>
      </x:c>
      <x:c r="C5816" s="2" t="n">
        <x:v>16.2968257372617</x:v>
      </x:c>
      <x:c r="D5816" s="2" t="n">
        <x:v>2025</x:v>
      </x:c>
      <x:c r="E5816" s="2" t="str">
        <x:v>WB_agriculture_employment</x:v>
      </x:c>
      <x:c r="F5816" s="2" t="str">
        <x:v>Employment in agriculture (% of total employment) (modeled ILO estimate)</x:v>
      </x:c>
    </x:row>
    <x:row r="5817" ht="44" customHeight="1">
      <x:c r="A5817" s="2" t="str">
        <x:v>SYR</x:v>
      </x:c>
      <x:c r="B5817" s="2" t="str">
        <x:v>water_withdrawal</x:v>
      </x:c>
      <x:c r="C5817" s="2" t="n">
        <x:v>195.799214806506</x:v>
      </x:c>
      <x:c r="D5817" s="2" t="n">
        <x:v>2022</x:v>
      </x:c>
      <x:c r="E5817" s="2" t="str">
        <x:v>WB_water_withdrawal</x:v>
      </x:c>
      <x:c r="F5817" s="2" t="str">
        <x:v>Annual freshwater withdrawals, total (% of internal resources)</x:v>
      </x:c>
    </x:row>
    <x:row r="5818" ht="44" customHeight="1">
      <x:c r="A5818" s="2" t="str">
        <x:v>TJK</x:v>
      </x:c>
      <x:c r="B5818" s="2" t="str">
        <x:v>population</x:v>
      </x:c>
      <x:c r="C5818" s="2" t="n">
        <x:v>10786734</x:v>
      </x:c>
      <x:c r="D5818" s="2" t="n">
        <x:v>2025</x:v>
      </x:c>
      <x:c r="E5818" s="2" t="str">
        <x:v>WB_population</x:v>
      </x:c>
      <x:c r="F5818" s="2" t="str">
        <x:v>Population, total</x:v>
      </x:c>
    </x:row>
    <x:row r="5819" ht="44" customHeight="1">
      <x:c r="A5819" s="2" t="str">
        <x:v>TJK</x:v>
      </x:c>
      <x:c r="B5819" s="2" t="str">
        <x:v>income_ppp</x:v>
      </x:c>
      <x:c r="C5819" s="2" t="n">
        <x:v>5061.84700623649</x:v>
      </x:c>
      <x:c r="D5819" s="2" t="n">
        <x:v>2025</x:v>
      </x:c>
      <x:c r="E5819" s="2" t="str">
        <x:v>WB_income_ppp</x:v>
      </x:c>
      <x:c r="F5819" s="2" t="str">
        <x:v>GDP per capita, PPP (constant 2021 international $)</x:v>
      </x:c>
    </x:row>
    <x:row r="5820" ht="44" customHeight="1">
      <x:c r="A5820" s="2" t="str">
        <x:v>TJK</x:v>
      </x:c>
      <x:c r="B5820" s="2" t="str">
        <x:v>urban</x:v>
      </x:c>
      <x:c r="C5820" s="2" t="n">
        <x:v>26.16476270853</x:v>
      </x:c>
      <x:c r="D5820" s="2" t="n">
        <x:v>2025</x:v>
      </x:c>
      <x:c r="E5820" s="2" t="str">
        <x:v>WB_urban</x:v>
      </x:c>
      <x:c r="F5820" s="2" t="str">
        <x:v>Urban population (% of total population)</x:v>
      </x:c>
    </x:row>
    <x:row r="5821" ht="44" customHeight="1">
      <x:c r="A5821" s="2" t="str">
        <x:v>TJK</x:v>
      </x:c>
      <x:c r="B5821" s="2" t="str">
        <x:v>inflation</x:v>
      </x:c>
      <x:c r="C5821" s="2" t="n">
        <x:v>6.00458082322139</x:v>
      </x:c>
      <x:c r="D5821" s="2" t="n">
        <x:v>2016</x:v>
      </x:c>
      <x:c r="E5821" s="2" t="str">
        <x:v>WB_inflation</x:v>
      </x:c>
      <x:c r="F5821" s="2" t="str">
        <x:v>Inflation, consumer prices (annual %)</x:v>
      </x:c>
    </x:row>
    <x:row r="5822" ht="44" customHeight="1">
      <x:c r="A5822" s="2" t="str">
        <x:v>TJK</x:v>
      </x:c>
      <x:c r="B5822" s="2" t="str">
        <x:v>food_index</x:v>
      </x:c>
      <x:c r="C5822" s="2" t="n">
        <x:v>150.12</x:v>
      </x:c>
      <x:c r="D5822" s="2" t="n">
        <x:v>2022</x:v>
      </x:c>
      <x:c r="E5822" s="2" t="str">
        <x:v>WB_food_index</x:v>
      </x:c>
      <x:c r="F5822" s="2" t="str">
        <x:v>Food production index (2014-2016 = 100)</x:v>
      </x:c>
    </x:row>
    <x:row r="5823" ht="44" customHeight="1">
      <x:c r="A5823" s="2" t="str">
        <x:v>TJK</x:v>
      </x:c>
      <x:c r="B5823" s="2" t="str">
        <x:v>food_import_share</x:v>
      </x:c>
      <x:c r="C5823" s="2" t="n">
        <x:v>26.4602498560308</x:v>
      </x:c>
      <x:c r="D5823" s="2" t="n">
        <x:v>2023</x:v>
      </x:c>
      <x:c r="E5823" s="2" t="str">
        <x:v>WB_food_import_share</x:v>
      </x:c>
      <x:c r="F5823" s="2" t="str">
        <x:v>Food imports (% of merchandise imports)</x:v>
      </x:c>
    </x:row>
    <x:row r="5824" ht="44" customHeight="1">
      <x:c r="A5824" s="2" t="str">
        <x:v>TJK</x:v>
      </x:c>
      <x:c r="B5824" s="2" t="str">
        <x:v>food_export_share</x:v>
      </x:c>
      <x:c r="C5824" s="2" t="n">
        <x:v>5.22655112519882</x:v>
      </x:c>
      <x:c r="D5824" s="2" t="n">
        <x:v>2023</x:v>
      </x:c>
      <x:c r="E5824" s="2" t="str">
        <x:v>WB_food_export_share</x:v>
      </x:c>
      <x:c r="F5824" s="2" t="str">
        <x:v>Food exports (% of merchandise exports)</x:v>
      </x:c>
    </x:row>
    <x:row r="5825" ht="44" customHeight="1">
      <x:c r="A5825" s="2" t="str">
        <x:v>TJK</x:v>
      </x:c>
      <x:c r="B5825" s="2" t="str">
        <x:v>imports_usd</x:v>
      </x:c>
      <x:c r="C5825" s="2" t="n">
        <x:v>8307000000</x:v>
      </x:c>
      <x:c r="D5825" s="2" t="n">
        <x:v>2025</x:v>
      </x:c>
      <x:c r="E5825" s="2" t="str">
        <x:v>WB_imports_usd</x:v>
      </x:c>
      <x:c r="F5825" s="2" t="str">
        <x:v>Merchandise imports (current US$)</x:v>
      </x:c>
    </x:row>
    <x:row r="5826" ht="44" customHeight="1">
      <x:c r="A5826" s="2" t="str">
        <x:v>TJK</x:v>
      </x:c>
      <x:c r="B5826" s="2" t="str">
        <x:v>exports_usd</x:v>
      </x:c>
      <x:c r="C5826" s="2" t="n">
        <x:v>2489000000</x:v>
      </x:c>
      <x:c r="D5826" s="2" t="n">
        <x:v>2025</x:v>
      </x:c>
      <x:c r="E5826" s="2" t="str">
        <x:v>WB_exports_usd</x:v>
      </x:c>
      <x:c r="F5826" s="2" t="str">
        <x:v>Merchandise exports (current US$)</x:v>
      </x:c>
    </x:row>
    <x:row r="5827" ht="44" customHeight="1">
      <x:c r="A5827" s="2" t="str">
        <x:v>TJK</x:v>
      </x:c>
      <x:c r="B5827" s="2" t="str">
        <x:v>cereal_yield</x:v>
      </x:c>
      <x:c r="C5827" s="2" t="n">
        <x:v>4123.9</x:v>
      </x:c>
      <x:c r="D5827" s="2" t="n">
        <x:v>2024</x:v>
      </x:c>
      <x:c r="E5827" s="2" t="str">
        <x:v>WB_cereal_yield</x:v>
      </x:c>
      <x:c r="F5827" s="2" t="str">
        <x:v>Cereal yield (kg per hectare)</x:v>
      </x:c>
    </x:row>
    <x:row r="5828" ht="44" customHeight="1">
      <x:c r="A5828" s="2" t="str">
        <x:v>TJK</x:v>
      </x:c>
      <x:c r="B5828" s="2" t="str">
        <x:v>water_stress</x:v>
      </x:c>
      <x:c r="C5828" s="2" t="n">
        <x:v>69.94326428</x:v>
      </x:c>
      <x:c r="D5828" s="2" t="n">
        <x:v>2022</x:v>
      </x:c>
      <x:c r="E5828" s="2" t="str">
        <x:v>WB_water_stress</x:v>
      </x:c>
      <x:c r="F5828" s="2" t="str">
        <x:v>Level of water stress: freshwater withdrawal as a proportion of available freshwater resources</x:v>
      </x:c>
    </x:row>
    <x:row r="5829" ht="44" customHeight="1">
      <x:c r="A5829" s="2" t="str">
        <x:v>TJK</x:v>
      </x:c>
      <x:c r="B5829" s="2" t="str">
        <x:v>fertility</x:v>
      </x:c>
      <x:c r="C5829" s="2" t="n">
        <x:v>3.036</x:v>
      </x:c>
      <x:c r="D5829" s="2" t="n">
        <x:v>2024</x:v>
      </x:c>
      <x:c r="E5829" s="2" t="str">
        <x:v>WB_fertility</x:v>
      </x:c>
      <x:c r="F5829" s="2" t="str">
        <x:v>Fertility rate, total (births per woman)</x:v>
      </x:c>
    </x:row>
    <x:row r="5830" ht="44" customHeight="1">
      <x:c r="A5830" s="2" t="str">
        <x:v>TJK</x:v>
      </x:c>
      <x:c r="B5830" s="2" t="str">
        <x:v>life_expectancy</x:v>
      </x:c>
      <x:c r="C5830" s="2" t="n">
        <x:v>71.927</x:v>
      </x:c>
      <x:c r="D5830" s="2" t="n">
        <x:v>2024</x:v>
      </x:c>
      <x:c r="E5830" s="2" t="str">
        <x:v>WB_life_expectancy</x:v>
      </x:c>
      <x:c r="F5830" s="2" t="str">
        <x:v>Life expectancy at birth, total (years)</x:v>
      </x:c>
    </x:row>
    <x:row r="5831" ht="44" customHeight="1">
      <x:c r="A5831" s="2" t="str">
        <x:v>TJK</x:v>
      </x:c>
      <x:c r="B5831" s="2" t="str">
        <x:v>age_under15</x:v>
      </x:c>
      <x:c r="C5831" s="2" t="n">
        <x:v>35.8670954464574</x:v>
      </x:c>
      <x:c r="D5831" s="2" t="n">
        <x:v>2025</x:v>
      </x:c>
      <x:c r="E5831" s="2" t="str">
        <x:v>WB_age_under15</x:v>
      </x:c>
      <x:c r="F5831" s="2" t="str">
        <x:v>Population ages 0-14 (% of total population)</x:v>
      </x:c>
    </x:row>
    <x:row r="5832" ht="44" customHeight="1">
      <x:c r="A5832" s="2" t="str">
        <x:v>TJK</x:v>
      </x:c>
      <x:c r="B5832" s="2" t="str">
        <x:v>age_over65</x:v>
      </x:c>
      <x:c r="C5832" s="2" t="n">
        <x:v>4.06783017305471</x:v>
      </x:c>
      <x:c r="D5832" s="2" t="n">
        <x:v>2025</x:v>
      </x:c>
      <x:c r="E5832" s="2" t="str">
        <x:v>WB_age_over65</x:v>
      </x:c>
      <x:c r="F5832" s="2" t="str">
        <x:v>Population ages 65 and above (% of total population)</x:v>
      </x:c>
    </x:row>
    <x:row r="5833" ht="44" customHeight="1">
      <x:c r="A5833" s="2" t="str">
        <x:v>TJK</x:v>
      </x:c>
      <x:c r="B5833" s="2" t="str">
        <x:v>dependency_ratio</x:v>
      </x:c>
      <x:c r="C5833" s="2" t="n">
        <x:v>66.4860952051687</x:v>
      </x:c>
      <x:c r="D5833" s="2" t="n">
        <x:v>2025</x:v>
      </x:c>
      <x:c r="E5833" s="2" t="str">
        <x:v>WB_dependency_ratio</x:v>
      </x:c>
      <x:c r="F5833" s="2" t="str">
        <x:v>Age dependency ratio (% of working-age population)</x:v>
      </x:c>
    </x:row>
    <x:row r="5834" ht="44" customHeight="1">
      <x:c r="A5834" s="2" t="str">
        <x:v>TJK</x:v>
      </x:c>
      <x:c r="B5834" s="2" t="str">
        <x:v>net_migration</x:v>
      </x:c>
      <x:c r="C5834" s="2" t="n">
        <x:v>-21606</x:v>
      </x:c>
      <x:c r="D5834" s="2" t="n">
        <x:v>2025</x:v>
      </x:c>
      <x:c r="E5834" s="2" t="str">
        <x:v>WB_net_migration</x:v>
      </x:c>
      <x:c r="F5834" s="2" t="str">
        <x:v>Net migration</x:v>
      </x:c>
    </x:row>
    <x:row r="5835" ht="44" customHeight="1">
      <x:c r="A5835" s="2" t="str">
        <x:v>TJK</x:v>
      </x:c>
      <x:c r="B5835" s="2" t="str">
        <x:v>real_gdp</x:v>
      </x:c>
      <x:c r="C5835" s="2" t="n">
        <x:v>17178807095.8898</x:v>
      </x:c>
      <x:c r="D5835" s="2" t="n">
        <x:v>2025</x:v>
      </x:c>
      <x:c r="E5835" s="2" t="str">
        <x:v>WB_real_gdp</x:v>
      </x:c>
      <x:c r="F5835" s="2" t="str">
        <x:v>GDP (constant 2015 US$)</x:v>
      </x:c>
    </x:row>
    <x:row r="5836" ht="44" customHeight="1">
      <x:c r="A5836" s="2" t="str">
        <x:v>TJK</x:v>
      </x:c>
      <x:c r="B5836" s="2" t="str">
        <x:v>gdp_growth</x:v>
      </x:c>
      <x:c r="C5836" s="2" t="n">
        <x:v>8.40000053390075</x:v>
      </x:c>
      <x:c r="D5836" s="2" t="n">
        <x:v>2025</x:v>
      </x:c>
      <x:c r="E5836" s="2" t="str">
        <x:v>WB_gdp_growth</x:v>
      </x:c>
      <x:c r="F5836" s="2" t="str">
        <x:v>GDP growth (annual %)</x:v>
      </x:c>
    </x:row>
    <x:row r="5837" ht="44" customHeight="1">
      <x:c r="A5837" s="2" t="str">
        <x:v>TJK</x:v>
      </x:c>
      <x:c r="B5837" s="2" t="str">
        <x:v>real_income</x:v>
      </x:c>
      <x:c r="C5837" s="2" t="n">
        <x:v>1592.58651375753</x:v>
      </x:c>
      <x:c r="D5837" s="2" t="n">
        <x:v>2025</x:v>
      </x:c>
      <x:c r="E5837" s="2" t="str">
        <x:v>WB_real_income</x:v>
      </x:c>
      <x:c r="F5837" s="2" t="str">
        <x:v>GDP per capita (constant 2015 US$)</x:v>
      </x:c>
    </x:row>
    <x:row r="5838" ht="44" customHeight="1">
      <x:c r="A5838" s="2" t="str">
        <x:v>TJK</x:v>
      </x:c>
      <x:c r="B5838" s="2" t="str">
        <x:v>agriculture_gdp</x:v>
      </x:c>
      <x:c r="C5838" s="2" t="n">
        <x:v>23.0548214545919</x:v>
      </x:c>
      <x:c r="D5838" s="2" t="n">
        <x:v>2024</x:v>
      </x:c>
      <x:c r="E5838" s="2" t="str">
        <x:v>WB_agriculture_gdp</x:v>
      </x:c>
      <x:c r="F5838" s="2" t="str">
        <x:v>Agriculture, forestry, and fishing, value added (% of GDP)</x:v>
      </x:c>
    </x:row>
    <x:row r="5839" ht="44" customHeight="1">
      <x:c r="A5839" s="2" t="str">
        <x:v>TJK</x:v>
      </x:c>
      <x:c r="B5839" s="2" t="str">
        <x:v>poverty</x:v>
      </x:c>
      <x:c r="C5839" s="2" t="n">
        <x:v>6.1</x:v>
      </x:c>
      <x:c r="D5839" s="2" t="n">
        <x:v>2024</x:v>
      </x:c>
      <x:c r="E5839" s="2" t="str">
        <x:v>WB_poverty</x:v>
      </x:c>
      <x:c r="F5839" s="2" t="str">
        <x:v>Poverty headcount ratio at $3.00 a day (2021 PPP) (% of population)</x:v>
      </x:c>
    </x:row>
    <x:row r="5840" ht="44" customHeight="1">
      <x:c r="A5840" s="2" t="str">
        <x:v>TJK</x:v>
      </x:c>
      <x:c r="B5840" s="2" t="str">
        <x:v>gini</x:v>
      </x:c>
      <x:c r="C5840" s="2" t="n">
        <x:v>36.1</x:v>
      </x:c>
      <x:c r="D5840" s="2" t="n">
        <x:v>2024</x:v>
      </x:c>
      <x:c r="E5840" s="2" t="str">
        <x:v>WB_gini</x:v>
      </x:c>
      <x:c r="F5840" s="2" t="str">
        <x:v>Gini index</x:v>
      </x:c>
    </x:row>
    <x:row r="5841" ht="44" customHeight="1">
      <x:c r="A5841" s="2" t="str">
        <x:v>TJK</x:v>
      </x:c>
      <x:c r="B5841" s="2" t="str">
        <x:v>unemployment</x:v>
      </x:c>
      <x:c r="C5841" s="2" t="n">
        <x:v>6.931</x:v>
      </x:c>
      <x:c r="D5841" s="2" t="n">
        <x:v>2025</x:v>
      </x:c>
      <x:c r="E5841" s="2" t="str">
        <x:v>WB_unemployment</x:v>
      </x:c>
      <x:c r="F5841" s="2" t="str">
        <x:v>Unemployment, total (% of total labor force) (modeled ILO estimate)</x:v>
      </x:c>
    </x:row>
    <x:row r="5842" ht="44" customHeight="1">
      <x:c r="A5842" s="2" t="str">
        <x:v>TJK</x:v>
      </x:c>
      <x:c r="B5842" s="2" t="str">
        <x:v>private_credit</x:v>
      </x:c>
      <x:c r="C5842" s="2" t="n">
        <x:v>12.2229106929242</x:v>
      </x:c>
      <x:c r="D5842" s="2" t="n">
        <x:v>2023</x:v>
      </x:c>
      <x:c r="E5842" s="2" t="str">
        <x:v>WB_private_credit</x:v>
      </x:c>
      <x:c r="F5842" s="2" t="str">
        <x:v>Domestic credit to private sector (% of GDP)</x:v>
      </x:c>
    </x:row>
    <x:row r="5843" ht="44" customHeight="1">
      <x:c r="A5843" s="2" t="str">
        <x:v>TJK</x:v>
      </x:c>
      <x:c r="B5843" s="2" t="str">
        <x:v>lending_rate</x:v>
      </x:c>
      <x:c r="C5843" s="2" t="n">
        <x:v>23.5497072150821</x:v>
      </x:c>
      <x:c r="D5843" s="2" t="n">
        <x:v>2019</x:v>
      </x:c>
      <x:c r="E5843" s="2" t="str">
        <x:v>WB_lending_rate</x:v>
      </x:c>
      <x:c r="F5843" s="2" t="str">
        <x:v>Lending interest rate (%)</x:v>
      </x:c>
    </x:row>
    <x:row r="5844" ht="44" customHeight="1">
      <x:c r="A5844" s="2" t="str">
        <x:v>TJK</x:v>
      </x:c>
      <x:c r="B5844" s="2" t="str">
        <x:v>real_interest</x:v>
      </x:c>
      <x:c r="C5844" s="2" t="n">
        <x:v>19.1889598699904</x:v>
      </x:c>
      <x:c r="D5844" s="2" t="n">
        <x:v>2019</x:v>
      </x:c>
      <x:c r="E5844" s="2" t="str">
        <x:v>WB_real_interest</x:v>
      </x:c>
      <x:c r="F5844" s="2" t="str">
        <x:v>Real interest rate (%)</x:v>
      </x:c>
    </x:row>
    <x:row r="5845" ht="44" customHeight="1">
      <x:c r="A5845" s="2" t="str">
        <x:v>TJK</x:v>
      </x:c>
      <x:c r="B5845" s="2" t="str">
        <x:v>government_debt</x:v>
      </x:c>
      <x:c r="C5845" s="2" t="n">
        <x:v>79.804079881426</x:v>
      </x:c>
      <x:c r="D5845" s="2" t="n">
        <x:v>2001</x:v>
      </x:c>
      <x:c r="E5845" s="2" t="str">
        <x:v>WB_government_debt</x:v>
      </x:c>
      <x:c r="F5845" s="2" t="str">
        <x:v>Central government debt, total (% of GDP)</x:v>
      </x:c>
    </x:row>
    <x:row r="5846" ht="44" customHeight="1">
      <x:c r="A5846" s="2" t="str">
        <x:v>TJK</x:v>
      </x:c>
      <x:c r="B5846" s="2" t="str">
        <x:v>electricity_access</x:v>
      </x:c>
      <x:c r="C5846" s="2" t="n">
        <x:v>99.9</x:v>
      </x:c>
      <x:c r="D5846" s="2" t="n">
        <x:v>2024</x:v>
      </x:c>
      <x:c r="E5846" s="2" t="str">
        <x:v>WB_electricity_access</x:v>
      </x:c>
      <x:c r="F5846" s="2" t="str">
        <x:v>Access to electricity (% of population)</x:v>
      </x:c>
    </x:row>
    <x:row r="5847" ht="44" customHeight="1">
      <x:c r="A5847" s="2" t="str">
        <x:v>TJK</x:v>
      </x:c>
      <x:c r="B5847" s="2" t="str">
        <x:v>irrigated_land</x:v>
      </x:c>
      <x:c r="C5847" s="2" t="n">
        <x:v>14.6473045092428</x:v>
      </x:c>
      <x:c r="D5847" s="2" t="n">
        <x:v>2023</x:v>
      </x:c>
      <x:c r="E5847" s="2" t="str">
        <x:v>WB_irrigated_land</x:v>
      </x:c>
      <x:c r="F5847" s="2" t="str">
        <x:v>Agricultural irrigated land (% of total agricultural land)</x:v>
      </x:c>
    </x:row>
    <x:row r="5848" ht="44" customHeight="1">
      <x:c r="A5848" s="2" t="str">
        <x:v>TJK</x:v>
      </x:c>
      <x:c r="B5848" s="2" t="str">
        <x:v>cereal_area</x:v>
      </x:c>
      <x:c r="C5848" s="2" t="n">
        <x:v>376457</x:v>
      </x:c>
      <x:c r="D5848" s="2" t="n">
        <x:v>2024</x:v>
      </x:c>
      <x:c r="E5848" s="2" t="str">
        <x:v>WB_cereal_area</x:v>
      </x:c>
      <x:c r="F5848" s="2" t="str">
        <x:v>Land under cereal production (hectares)</x:v>
      </x:c>
    </x:row>
    <x:row r="5849" ht="44" customHeight="1">
      <x:c r="A5849" s="2" t="str">
        <x:v>TJK</x:v>
      </x:c>
      <x:c r="B5849" s="2" t="str">
        <x:v>undernourishment</x:v>
      </x:c>
      <x:c r="C5849" s="2" t="n">
        <x:v>8.4</x:v>
      </x:c>
      <x:c r="D5849" s="2" t="n">
        <x:v>2023</x:v>
      </x:c>
      <x:c r="E5849" s="2" t="str">
        <x:v>WB_undernourishment</x:v>
      </x:c>
      <x:c r="F5849" s="2" t="str">
        <x:v>Prevalence of undernourishment (% of population)</x:v>
      </x:c>
    </x:row>
    <x:row r="5850" ht="44" customHeight="1">
      <x:c r="A5850" s="2" t="str">
        <x:v>TJK</x:v>
      </x:c>
      <x:c r="B5850" s="2" t="str">
        <x:v>agriculture_employment</x:v>
      </x:c>
      <x:c r="C5850" s="2" t="n">
        <x:v>43.2727474884624</x:v>
      </x:c>
      <x:c r="D5850" s="2" t="n">
        <x:v>2025</x:v>
      </x:c>
      <x:c r="E5850" s="2" t="str">
        <x:v>WB_agriculture_employment</x:v>
      </x:c>
      <x:c r="F5850" s="2" t="str">
        <x:v>Employment in agriculture (% of total employment) (modeled ILO estimate)</x:v>
      </x:c>
    </x:row>
    <x:row r="5851" ht="44" customHeight="1">
      <x:c r="A5851" s="2" t="str">
        <x:v>TJK</x:v>
      </x:c>
      <x:c r="B5851" s="2" t="str">
        <x:v>water_withdrawal</x:v>
      </x:c>
      <x:c r="C5851" s="2" t="n">
        <x:v>16.7065868263473</x:v>
      </x:c>
      <x:c r="D5851" s="2" t="n">
        <x:v>2022</x:v>
      </x:c>
      <x:c r="E5851" s="2" t="str">
        <x:v>WB_water_withdrawal</x:v>
      </x:c>
      <x:c r="F5851" s="2" t="str">
        <x:v>Annual freshwater withdrawals, total (% of internal resources)</x:v>
      </x:c>
    </x:row>
    <x:row r="5852" ht="44" customHeight="1">
      <x:c r="A5852" s="2" t="str">
        <x:v>THA</x:v>
      </x:c>
      <x:c r="B5852" s="2" t="str">
        <x:v>population</x:v>
      </x:c>
      <x:c r="C5852" s="2" t="n">
        <x:v>71619863</x:v>
      </x:c>
      <x:c r="D5852" s="2" t="n">
        <x:v>2025</x:v>
      </x:c>
      <x:c r="E5852" s="2" t="str">
        <x:v>WB_population</x:v>
      </x:c>
      <x:c r="F5852" s="2" t="str">
        <x:v>Population, total</x:v>
      </x:c>
    </x:row>
    <x:row r="5853" ht="44" customHeight="1">
      <x:c r="A5853" s="2" t="str">
        <x:v>THA</x:v>
      </x:c>
      <x:c r="B5853" s="2" t="str">
        <x:v>income_ppp</x:v>
      </x:c>
      <x:c r="C5853" s="2" t="n">
        <x:v>22431.7518380848</x:v>
      </x:c>
      <x:c r="D5853" s="2" t="n">
        <x:v>2025</x:v>
      </x:c>
      <x:c r="E5853" s="2" t="str">
        <x:v>WB_income_ppp</x:v>
      </x:c>
      <x:c r="F5853" s="2" t="str">
        <x:v>GDP per capita, PPP (constant 2021 international $)</x:v>
      </x:c>
    </x:row>
    <x:row r="5854" ht="44" customHeight="1">
      <x:c r="A5854" s="2" t="str">
        <x:v>THA</x:v>
      </x:c>
      <x:c r="B5854" s="2" t="str">
        <x:v>urban</x:v>
      </x:c>
      <x:c r="C5854" s="2" t="n">
        <x:v>62.7993377136296</x:v>
      </x:c>
      <x:c r="D5854" s="2" t="n">
        <x:v>2025</x:v>
      </x:c>
      <x:c r="E5854" s="2" t="str">
        <x:v>WB_urban</x:v>
      </x:c>
      <x:c r="F5854" s="2" t="str">
        <x:v>Urban population (% of total population)</x:v>
      </x:c>
    </x:row>
    <x:row r="5855" ht="44" customHeight="1">
      <x:c r="A5855" s="2" t="str">
        <x:v>THA</x:v>
      </x:c>
      <x:c r="B5855" s="2" t="str">
        <x:v>inflation</x:v>
      </x:c>
      <x:c r="C5855" s="2" t="n">
        <x:v>-0.133634356480207</x:v>
      </x:c>
      <x:c r="D5855" s="2" t="n">
        <x:v>2025</x:v>
      </x:c>
      <x:c r="E5855" s="2" t="str">
        <x:v>WB_inflation</x:v>
      </x:c>
      <x:c r="F5855" s="2" t="str">
        <x:v>Inflation, consumer prices (annual %)</x:v>
      </x:c>
    </x:row>
    <x:row r="5856" ht="44" customHeight="1">
      <x:c r="A5856" s="2" t="str">
        <x:v>THA</x:v>
      </x:c>
      <x:c r="B5856" s="2" t="str">
        <x:v>food_index</x:v>
      </x:c>
      <x:c r="C5856" s="2" t="n">
        <x:v>104.2</x:v>
      </x:c>
      <x:c r="D5856" s="2" t="n">
        <x:v>2022</x:v>
      </x:c>
      <x:c r="E5856" s="2" t="str">
        <x:v>WB_food_index</x:v>
      </x:c>
      <x:c r="F5856" s="2" t="str">
        <x:v>Food production index (2014-2016 = 100)</x:v>
      </x:c>
    </x:row>
    <x:row r="5857" ht="44" customHeight="1">
      <x:c r="A5857" s="2" t="str">
        <x:v>THA</x:v>
      </x:c>
      <x:c r="B5857" s="2" t="str">
        <x:v>food_import_share</x:v>
      </x:c>
      <x:c r="C5857" s="2" t="n">
        <x:v>6.58830793138106</x:v>
      </x:c>
      <x:c r="D5857" s="2" t="n">
        <x:v>2024</x:v>
      </x:c>
      <x:c r="E5857" s="2" t="str">
        <x:v>WB_food_import_share</x:v>
      </x:c>
      <x:c r="F5857" s="2" t="str">
        <x:v>Food imports (% of merchandise imports)</x:v>
      </x:c>
    </x:row>
    <x:row r="5858" ht="44" customHeight="1">
      <x:c r="A5858" s="2" t="str">
        <x:v>THA</x:v>
      </x:c>
      <x:c r="B5858" s="2" t="str">
        <x:v>food_export_share</x:v>
      </x:c>
      <x:c r="C5858" s="2" t="n">
        <x:v>14.7199616966765</x:v>
      </x:c>
      <x:c r="D5858" s="2" t="n">
        <x:v>2024</x:v>
      </x:c>
      <x:c r="E5858" s="2" t="str">
        <x:v>WB_food_export_share</x:v>
      </x:c>
      <x:c r="F5858" s="2" t="str">
        <x:v>Food exports (% of merchandise exports)</x:v>
      </x:c>
    </x:row>
    <x:row r="5859" ht="44" customHeight="1">
      <x:c r="A5859" s="2" t="str">
        <x:v>THA</x:v>
      </x:c>
      <x:c r="B5859" s="2" t="str">
        <x:v>imports_usd</x:v>
      </x:c>
      <x:c r="C5859" s="2" t="n">
        <x:v>344943000000</x:v>
      </x:c>
      <x:c r="D5859" s="2" t="n">
        <x:v>2025</x:v>
      </x:c>
      <x:c r="E5859" s="2" t="str">
        <x:v>WB_imports_usd</x:v>
      </x:c>
      <x:c r="F5859" s="2" t="str">
        <x:v>Merchandise imports (current US$)</x:v>
      </x:c>
    </x:row>
    <x:row r="5860" ht="44" customHeight="1">
      <x:c r="A5860" s="2" t="str">
        <x:v>THA</x:v>
      </x:c>
      <x:c r="B5860" s="2" t="str">
        <x:v>exports_usd</x:v>
      </x:c>
      <x:c r="C5860" s="2" t="n">
        <x:v>339635000000</x:v>
      </x:c>
      <x:c r="D5860" s="2" t="n">
        <x:v>2025</x:v>
      </x:c>
      <x:c r="E5860" s="2" t="str">
        <x:v>WB_exports_usd</x:v>
      </x:c>
      <x:c r="F5860" s="2" t="str">
        <x:v>Merchandise exports (current US$)</x:v>
      </x:c>
    </x:row>
    <x:row r="5861" ht="44" customHeight="1">
      <x:c r="A5861" s="2" t="str">
        <x:v>THA</x:v>
      </x:c>
      <x:c r="B5861" s="2" t="str">
        <x:v>cereal_yield</x:v>
      </x:c>
      <x:c r="C5861" s="2" t="n">
        <x:v>3071.7</x:v>
      </x:c>
      <x:c r="D5861" s="2" t="n">
        <x:v>2023</x:v>
      </x:c>
      <x:c r="E5861" s="2" t="str">
        <x:v>WB_cereal_yield</x:v>
      </x:c>
      <x:c r="F5861" s="2" t="str">
        <x:v>Cereal yield (kg per hectare)</x:v>
      </x:c>
    </x:row>
    <x:row r="5862" ht="44" customHeight="1">
      <x:c r="A5862" s="2" t="str">
        <x:v>THA</x:v>
      </x:c>
      <x:c r="B5862" s="2" t="str">
        <x:v>water_stress</x:v>
      </x:c>
      <x:c r="C5862" s="2" t="n">
        <x:v>23.01393518</x:v>
      </x:c>
      <x:c r="D5862" s="2" t="n">
        <x:v>2022</x:v>
      </x:c>
      <x:c r="E5862" s="2" t="str">
        <x:v>WB_water_stress</x:v>
      </x:c>
      <x:c r="F5862" s="2" t="str">
        <x:v>Level of water stress: freshwater withdrawal as a proportion of available freshwater resources</x:v>
      </x:c>
    </x:row>
    <x:row r="5863" ht="44" customHeight="1">
      <x:c r="A5863" s="2" t="str">
        <x:v>THA</x:v>
      </x:c>
      <x:c r="B5863" s="2" t="str">
        <x:v>fertility</x:v>
      </x:c>
      <x:c r="C5863" s="2" t="n">
        <x:v>1.204</x:v>
      </x:c>
      <x:c r="D5863" s="2" t="n">
        <x:v>2024</x:v>
      </x:c>
      <x:c r="E5863" s="2" t="str">
        <x:v>WB_fertility</x:v>
      </x:c>
      <x:c r="F5863" s="2" t="str">
        <x:v>Fertility rate, total (births per woman)</x:v>
      </x:c>
    </x:row>
    <x:row r="5864" ht="44" customHeight="1">
      <x:c r="A5864" s="2" t="str">
        <x:v>THA</x:v>
      </x:c>
      <x:c r="B5864" s="2" t="str">
        <x:v>life_expectancy</x:v>
      </x:c>
      <x:c r="C5864" s="2" t="n">
        <x:v>76.564</x:v>
      </x:c>
      <x:c r="D5864" s="2" t="n">
        <x:v>2024</x:v>
      </x:c>
      <x:c r="E5864" s="2" t="str">
        <x:v>WB_life_expectancy</x:v>
      </x:c>
      <x:c r="F5864" s="2" t="str">
        <x:v>Life expectancy at birth, total (years)</x:v>
      </x:c>
    </x:row>
    <x:row r="5865" ht="44" customHeight="1">
      <x:c r="A5865" s="2" t="str">
        <x:v>THA</x:v>
      </x:c>
      <x:c r="B5865" s="2" t="str">
        <x:v>age_under15</x:v>
      </x:c>
      <x:c r="C5865" s="2" t="n">
        <x:v>14.4141877233136</x:v>
      </x:c>
      <x:c r="D5865" s="2" t="n">
        <x:v>2025</x:v>
      </x:c>
      <x:c r="E5865" s="2" t="str">
        <x:v>WB_age_under15</x:v>
      </x:c>
      <x:c r="F5865" s="2" t="str">
        <x:v>Population ages 0-14 (% of total population)</x:v>
      </x:c>
    </x:row>
    <x:row r="5866" ht="44" customHeight="1">
      <x:c r="A5866" s="2" t="str">
        <x:v>THA</x:v>
      </x:c>
      <x:c r="B5866" s="2" t="str">
        <x:v>age_over65</x:v>
      </x:c>
      <x:c r="C5866" s="2" t="n">
        <x:v>16.017421033045</x:v>
      </x:c>
      <x:c r="D5866" s="2" t="n">
        <x:v>2025</x:v>
      </x:c>
      <x:c r="E5866" s="2" t="str">
        <x:v>WB_age_over65</x:v>
      </x:c>
      <x:c r="F5866" s="2" t="str">
        <x:v>Population ages 65 and above (% of total population)</x:v>
      </x:c>
    </x:row>
    <x:row r="5867" ht="44" customHeight="1">
      <x:c r="A5867" s="2" t="str">
        <x:v>THA</x:v>
      </x:c>
      <x:c r="B5867" s="2" t="str">
        <x:v>dependency_ratio</x:v>
      </x:c>
      <x:c r="C5867" s="2" t="n">
        <x:v>43.7434423954487</x:v>
      </x:c>
      <x:c r="D5867" s="2" t="n">
        <x:v>2025</x:v>
      </x:c>
      <x:c r="E5867" s="2" t="str">
        <x:v>WB_dependency_ratio</x:v>
      </x:c>
      <x:c r="F5867" s="2" t="str">
        <x:v>Age dependency ratio (% of working-age population)</x:v>
      </x:c>
    </x:row>
    <x:row r="5868" ht="44" customHeight="1">
      <x:c r="A5868" s="2" t="str">
        <x:v>THA</x:v>
      </x:c>
      <x:c r="B5868" s="2" t="str">
        <x:v>net_migration</x:v>
      </x:c>
      <x:c r="C5868" s="2" t="n">
        <x:v>27509</x:v>
      </x:c>
      <x:c r="D5868" s="2" t="n">
        <x:v>2025</x:v>
      </x:c>
      <x:c r="E5868" s="2" t="str">
        <x:v>WB_net_migration</x:v>
      </x:c>
      <x:c r="F5868" s="2" t="str">
        <x:v>Net migration</x:v>
      </x:c>
    </x:row>
    <x:row r="5869" ht="44" customHeight="1">
      <x:c r="A5869" s="2" t="str">
        <x:v>THA</x:v>
      </x:c>
      <x:c r="B5869" s="2" t="str">
        <x:v>real_gdp</x:v>
      </x:c>
      <x:c r="C5869" s="2" t="n">
        <x:v>485779667893.642</x:v>
      </x:c>
      <x:c r="D5869" s="2" t="n">
        <x:v>2025</x:v>
      </x:c>
      <x:c r="E5869" s="2" t="str">
        <x:v>WB_real_gdp</x:v>
      </x:c>
      <x:c r="F5869" s="2" t="str">
        <x:v>GDP (constant 2015 US$)</x:v>
      </x:c>
    </x:row>
    <x:row r="5870" ht="44" customHeight="1">
      <x:c r="A5870" s="2" t="str">
        <x:v>THA</x:v>
      </x:c>
      <x:c r="B5870" s="2" t="str">
        <x:v>gdp_growth</x:v>
      </x:c>
      <x:c r="C5870" s="2" t="n">
        <x:v>2.44247444990198</x:v>
      </x:c>
      <x:c r="D5870" s="2" t="n">
        <x:v>2025</x:v>
      </x:c>
      <x:c r="E5870" s="2" t="str">
        <x:v>WB_gdp_growth</x:v>
      </x:c>
      <x:c r="F5870" s="2" t="str">
        <x:v>GDP growth (annual %)</x:v>
      </x:c>
    </x:row>
    <x:row r="5871" ht="44" customHeight="1">
      <x:c r="A5871" s="2" t="str">
        <x:v>THA</x:v>
      </x:c>
      <x:c r="B5871" s="2" t="str">
        <x:v>real_income</x:v>
      </x:c>
      <x:c r="C5871" s="2" t="n">
        <x:v>6782.7505882501</x:v>
      </x:c>
      <x:c r="D5871" s="2" t="n">
        <x:v>2025</x:v>
      </x:c>
      <x:c r="E5871" s="2" t="str">
        <x:v>WB_real_income</x:v>
      </x:c>
      <x:c r="F5871" s="2" t="str">
        <x:v>GDP per capita (constant 2015 US$)</x:v>
      </x:c>
    </x:row>
    <x:row r="5872" ht="44" customHeight="1">
      <x:c r="A5872" s="2" t="str">
        <x:v>THA</x:v>
      </x:c>
      <x:c r="B5872" s="2" t="str">
        <x:v>agriculture_gdp</x:v>
      </x:c>
      <x:c r="C5872" s="2" t="n">
        <x:v>8.7468928716046</x:v>
      </x:c>
      <x:c r="D5872" s="2" t="n">
        <x:v>2025</x:v>
      </x:c>
      <x:c r="E5872" s="2" t="str">
        <x:v>WB_agriculture_gdp</x:v>
      </x:c>
      <x:c r="F5872" s="2" t="str">
        <x:v>Agriculture, forestry, and fishing, value added (% of GDP)</x:v>
      </x:c>
    </x:row>
    <x:row r="5873" ht="44" customHeight="1">
      <x:c r="A5873" s="2" t="str">
        <x:v>THA</x:v>
      </x:c>
      <x:c r="B5873" s="2" t="str">
        <x:v>poverty</x:v>
      </x:c>
      <x:c r="C5873" s="2" t="n">
        <x:v>0</x:v>
      </x:c>
      <x:c r="D5873" s="2" t="n">
        <x:v>2024</x:v>
      </x:c>
      <x:c r="E5873" s="2" t="str">
        <x:v>WB_poverty</x:v>
      </x:c>
      <x:c r="F5873" s="2" t="str">
        <x:v>Poverty headcount ratio at $3.00 a day (2021 PPP) (% of population)</x:v>
      </x:c>
    </x:row>
    <x:row r="5874" ht="44" customHeight="1">
      <x:c r="A5874" s="2" t="str">
        <x:v>THA</x:v>
      </x:c>
      <x:c r="B5874" s="2" t="str">
        <x:v>gini</x:v>
      </x:c>
      <x:c r="C5874" s="2" t="n">
        <x:v>33.3</x:v>
      </x:c>
      <x:c r="D5874" s="2" t="n">
        <x:v>2024</x:v>
      </x:c>
      <x:c r="E5874" s="2" t="str">
        <x:v>WB_gini</x:v>
      </x:c>
      <x:c r="F5874" s="2" t="str">
        <x:v>Gini index</x:v>
      </x:c>
    </x:row>
    <x:row r="5875" ht="44" customHeight="1">
      <x:c r="A5875" s="2" t="str">
        <x:v>THA</x:v>
      </x:c>
      <x:c r="B5875" s="2" t="str">
        <x:v>unemployment</x:v>
      </x:c>
      <x:c r="C5875" s="2" t="n">
        <x:v>0.781</x:v>
      </x:c>
      <x:c r="D5875" s="2" t="n">
        <x:v>2025</x:v>
      </x:c>
      <x:c r="E5875" s="2" t="str">
        <x:v>WB_unemployment</x:v>
      </x:c>
      <x:c r="F5875" s="2" t="str">
        <x:v>Unemployment, total (% of total labor force) (modeled ILO estimate)</x:v>
      </x:c>
    </x:row>
    <x:row r="5876" ht="44" customHeight="1">
      <x:c r="A5876" s="2" t="str">
        <x:v>THA</x:v>
      </x:c>
      <x:c r="B5876" s="2" t="str">
        <x:v>private_credit</x:v>
      </x:c>
      <x:c r="C5876" s="2" t="n">
        <x:v>143.08365214331</x:v>
      </x:c>
      <x:c r="D5876" s="2" t="n">
        <x:v>2025</x:v>
      </x:c>
      <x:c r="E5876" s="2" t="str">
        <x:v>WB_private_credit</x:v>
      </x:c>
      <x:c r="F5876" s="2" t="str">
        <x:v>Domestic credit to private sector (% of GDP)</x:v>
      </x:c>
    </x:row>
    <x:row r="5877" ht="44" customHeight="1">
      <x:c r="A5877" s="2" t="str">
        <x:v>THA</x:v>
      </x:c>
      <x:c r="B5877" s="2" t="str">
        <x:v>lending_rate</x:v>
      </x:c>
      <x:c r="C5877" s="2" t="n">
        <x:v>3.9425</x:v>
      </x:c>
      <x:c r="D5877" s="2" t="n">
        <x:v>2025</x:v>
      </x:c>
      <x:c r="E5877" s="2" t="str">
        <x:v>WB_lending_rate</x:v>
      </x:c>
      <x:c r="F5877" s="2" t="str">
        <x:v>Lending interest rate (%)</x:v>
      </x:c>
    </x:row>
    <x:row r="5878" ht="44" customHeight="1">
      <x:c r="A5878" s="2" t="str">
        <x:v>THA</x:v>
      </x:c>
      <x:c r="B5878" s="2" t="str">
        <x:v>real_interest</x:v>
      </x:c>
      <x:c r="C5878" s="2" t="n">
        <x:v>4.85478111785952</x:v>
      </x:c>
      <x:c r="D5878" s="2" t="n">
        <x:v>2025</x:v>
      </x:c>
      <x:c r="E5878" s="2" t="str">
        <x:v>WB_real_interest</x:v>
      </x:c>
      <x:c r="F5878" s="2" t="str">
        <x:v>Real interest rate (%)</x:v>
      </x:c>
    </x:row>
    <x:row r="5879" ht="44" customHeight="1">
      <x:c r="A5879" s="2" t="str">
        <x:v>THA</x:v>
      </x:c>
      <x:c r="B5879" s="2" t="str">
        <x:v>government_debt</x:v>
      </x:c>
      <x:c r="C5879" s="2" t="n">
        <x:v>61.861415782411</x:v>
      </x:c>
      <x:c r="D5879" s="2" t="n">
        <x:v>2024</x:v>
      </x:c>
      <x:c r="E5879" s="2" t="str">
        <x:v>WB_government_debt</x:v>
      </x:c>
      <x:c r="F5879" s="2" t="str">
        <x:v>Central government debt, total (% of GDP)</x:v>
      </x:c>
    </x:row>
    <x:row r="5880" ht="44" customHeight="1">
      <x:c r="A5880" s="2" t="str">
        <x:v>THA</x:v>
      </x:c>
      <x:c r="B5880" s="2" t="str">
        <x:v>electricity_access</x:v>
      </x:c>
      <x:c r="C5880" s="2" t="n">
        <x:v>100</x:v>
      </x:c>
      <x:c r="D5880" s="2" t="n">
        <x:v>2024</x:v>
      </x:c>
      <x:c r="E5880" s="2" t="str">
        <x:v>WB_electricity_access</x:v>
      </x:c>
      <x:c r="F5880" s="2" t="str">
        <x:v>Access to electricity (% of population)</x:v>
      </x:c>
    </x:row>
    <x:row r="5881" ht="44" customHeight="1">
      <x:c r="A5881" s="2" t="str">
        <x:v>THA</x:v>
      </x:c>
      <x:c r="B5881" s="2" t="str">
        <x:v>irrigated_land</x:v>
      </x:c>
      <x:c r="C5881" s="2"/>
      <x:c r="D5881" s="2"/>
      <x:c r="E5881" s="2" t="str">
        <x:v>Missing</x:v>
      </x:c>
      <x:c r="F5881" s="2" t="str">
        <x:v>Agricultural irrigated land (% of total agricultural land)</x:v>
      </x:c>
    </x:row>
    <x:row r="5882" ht="44" customHeight="1">
      <x:c r="A5882" s="2" t="str">
        <x:v>THA</x:v>
      </x:c>
      <x:c r="B5882" s="2" t="str">
        <x:v>cereal_area</x:v>
      </x:c>
      <x:c r="C5882" s="2" t="n">
        <x:v>12544291</x:v>
      </x:c>
      <x:c r="D5882" s="2" t="n">
        <x:v>2023</x:v>
      </x:c>
      <x:c r="E5882" s="2" t="str">
        <x:v>WB_cereal_area</x:v>
      </x:c>
      <x:c r="F5882" s="2" t="str">
        <x:v>Land under cereal production (hectares)</x:v>
      </x:c>
    </x:row>
    <x:row r="5883" ht="44" customHeight="1">
      <x:c r="A5883" s="2" t="str">
        <x:v>THA</x:v>
      </x:c>
      <x:c r="B5883" s="2" t="str">
        <x:v>undernourishment</x:v>
      </x:c>
      <x:c r="C5883" s="2" t="n">
        <x:v>4.6</x:v>
      </x:c>
      <x:c r="D5883" s="2" t="n">
        <x:v>2023</x:v>
      </x:c>
      <x:c r="E5883" s="2" t="str">
        <x:v>WB_undernourishment</x:v>
      </x:c>
      <x:c r="F5883" s="2" t="str">
        <x:v>Prevalence of undernourishment (% of population)</x:v>
      </x:c>
    </x:row>
    <x:row r="5884" ht="44" customHeight="1">
      <x:c r="A5884" s="2" t="str">
        <x:v>THA</x:v>
      </x:c>
      <x:c r="B5884" s="2" t="str">
        <x:v>agriculture_employment</x:v>
      </x:c>
      <x:c r="C5884" s="2" t="n">
        <x:v>28.5567111694664</x:v>
      </x:c>
      <x:c r="D5884" s="2" t="n">
        <x:v>2025</x:v>
      </x:c>
      <x:c r="E5884" s="2" t="str">
        <x:v>WB_agriculture_employment</x:v>
      </x:c>
      <x:c r="F5884" s="2" t="str">
        <x:v>Employment in agriculture (% of total employment) (modeled ILO estimate)</x:v>
      </x:c>
    </x:row>
    <x:row r="5885" ht="44" customHeight="1">
      <x:c r="A5885" s="2" t="str">
        <x:v>THA</x:v>
      </x:c>
      <x:c r="B5885" s="2" t="str">
        <x:v>water_withdrawal</x:v>
      </x:c>
      <x:c r="C5885" s="2" t="n">
        <x:v>25.5253663533918</x:v>
      </x:c>
      <x:c r="D5885" s="2" t="n">
        <x:v>2022</x:v>
      </x:c>
      <x:c r="E5885" s="2" t="str">
        <x:v>WB_water_withdrawal</x:v>
      </x:c>
      <x:c r="F5885" s="2" t="str">
        <x:v>Annual freshwater withdrawals, total (% of internal resources)</x:v>
      </x:c>
    </x:row>
    <x:row r="5886" ht="44" customHeight="1">
      <x:c r="A5886" s="2" t="str">
        <x:v>TLS</x:v>
      </x:c>
      <x:c r="B5886" s="2" t="str">
        <x:v>population</x:v>
      </x:c>
      <x:c r="C5886" s="2" t="n">
        <x:v>1418517</x:v>
      </x:c>
      <x:c r="D5886" s="2" t="n">
        <x:v>2025</x:v>
      </x:c>
      <x:c r="E5886" s="2" t="str">
        <x:v>WB_population</x:v>
      </x:c>
      <x:c r="F5886" s="2" t="str">
        <x:v>Population, total</x:v>
      </x:c>
    </x:row>
    <x:row r="5887" ht="44" customHeight="1">
      <x:c r="A5887" s="2" t="str">
        <x:v>TLS</x:v>
      </x:c>
      <x:c r="B5887" s="2" t="str">
        <x:v>income_ppp</x:v>
      </x:c>
      <x:c r="C5887" s="2" t="n">
        <x:v>4109.9044785289</x:v>
      </x:c>
      <x:c r="D5887" s="2" t="n">
        <x:v>2025</x:v>
      </x:c>
      <x:c r="E5887" s="2" t="str">
        <x:v>WB_income_ppp</x:v>
      </x:c>
      <x:c r="F5887" s="2" t="str">
        <x:v>GDP per capita, PPP (constant 2021 international $)</x:v>
      </x:c>
    </x:row>
    <x:row r="5888" ht="44" customHeight="1">
      <x:c r="A5888" s="2" t="str">
        <x:v>TLS</x:v>
      </x:c>
      <x:c r="B5888" s="2" t="str">
        <x:v>urban</x:v>
      </x:c>
      <x:c r="C5888" s="2" t="n">
        <x:v>28.7864318960935</x:v>
      </x:c>
      <x:c r="D5888" s="2" t="n">
        <x:v>2025</x:v>
      </x:c>
      <x:c r="E5888" s="2" t="str">
        <x:v>WB_urban</x:v>
      </x:c>
      <x:c r="F5888" s="2" t="str">
        <x:v>Urban population (% of total population)</x:v>
      </x:c>
    </x:row>
    <x:row r="5889" ht="44" customHeight="1">
      <x:c r="A5889" s="2" t="str">
        <x:v>TLS</x:v>
      </x:c>
      <x:c r="B5889" s="2" t="str">
        <x:v>inflation</x:v>
      </x:c>
      <x:c r="C5889" s="2" t="n">
        <x:v>0.428322848346937</x:v>
      </x:c>
      <x:c r="D5889" s="2" t="n">
        <x:v>2025</x:v>
      </x:c>
      <x:c r="E5889" s="2" t="str">
        <x:v>WB_inflation</x:v>
      </x:c>
      <x:c r="F5889" s="2" t="str">
        <x:v>Inflation, consumer prices (annual %)</x:v>
      </x:c>
    </x:row>
    <x:row r="5890" ht="44" customHeight="1">
      <x:c r="A5890" s="2" t="str">
        <x:v>TLS</x:v>
      </x:c>
      <x:c r="B5890" s="2" t="str">
        <x:v>food_index</x:v>
      </x:c>
      <x:c r="C5890" s="2" t="n">
        <x:v>101.69</x:v>
      </x:c>
      <x:c r="D5890" s="2" t="n">
        <x:v>2022</x:v>
      </x:c>
      <x:c r="E5890" s="2" t="str">
        <x:v>WB_food_index</x:v>
      </x:c>
      <x:c r="F5890" s="2" t="str">
        <x:v>Food production index (2014-2016 = 100)</x:v>
      </x:c>
    </x:row>
    <x:row r="5891" ht="44" customHeight="1">
      <x:c r="A5891" s="2" t="str">
        <x:v>TLS</x:v>
      </x:c>
      <x:c r="B5891" s="2" t="str">
        <x:v>food_import_share</x:v>
      </x:c>
      <x:c r="C5891" s="2" t="n">
        <x:v>28.0558750199224</x:v>
      </x:c>
      <x:c r="D5891" s="2" t="n">
        <x:v>2023</x:v>
      </x:c>
      <x:c r="E5891" s="2" t="str">
        <x:v>WB_food_import_share</x:v>
      </x:c>
      <x:c r="F5891" s="2" t="str">
        <x:v>Food imports (% of merchandise imports)</x:v>
      </x:c>
    </x:row>
    <x:row r="5892" ht="44" customHeight="1">
      <x:c r="A5892" s="2" t="str">
        <x:v>TLS</x:v>
      </x:c>
      <x:c r="B5892" s="2" t="str">
        <x:v>food_export_share</x:v>
      </x:c>
      <x:c r="C5892" s="2" t="n">
        <x:v>10.4763990410188</x:v>
      </x:c>
      <x:c r="D5892" s="2" t="n">
        <x:v>2023</x:v>
      </x:c>
      <x:c r="E5892" s="2" t="str">
        <x:v>WB_food_export_share</x:v>
      </x:c>
      <x:c r="F5892" s="2" t="str">
        <x:v>Food exports (% of merchandise exports)</x:v>
      </x:c>
    </x:row>
    <x:row r="5893" ht="44" customHeight="1">
      <x:c r="A5893" s="2" t="str">
        <x:v>TLS</x:v>
      </x:c>
      <x:c r="B5893" s="2" t="str">
        <x:v>imports_usd</x:v>
      </x:c>
      <x:c r="C5893" s="2" t="n">
        <x:v>979000000</x:v>
      </x:c>
      <x:c r="D5893" s="2" t="n">
        <x:v>2025</x:v>
      </x:c>
      <x:c r="E5893" s="2" t="str">
        <x:v>WB_imports_usd</x:v>
      </x:c>
      <x:c r="F5893" s="2" t="str">
        <x:v>Merchandise imports (current US$)</x:v>
      </x:c>
    </x:row>
    <x:row r="5894" ht="44" customHeight="1">
      <x:c r="A5894" s="2" t="str">
        <x:v>TLS</x:v>
      </x:c>
      <x:c r="B5894" s="2" t="str">
        <x:v>exports_usd</x:v>
      </x:c>
      <x:c r="C5894" s="2" t="n">
        <x:v>103000000</x:v>
      </x:c>
      <x:c r="D5894" s="2" t="n">
        <x:v>2025</x:v>
      </x:c>
      <x:c r="E5894" s="2" t="str">
        <x:v>WB_exports_usd</x:v>
      </x:c>
      <x:c r="F5894" s="2" t="str">
        <x:v>Merchandise exports (current US$)</x:v>
      </x:c>
    </x:row>
    <x:row r="5895" ht="44" customHeight="1">
      <x:c r="A5895" s="2" t="str">
        <x:v>TLS</x:v>
      </x:c>
      <x:c r="B5895" s="2" t="str">
        <x:v>cereal_yield</x:v>
      </x:c>
      <x:c r="C5895" s="2" t="n">
        <x:v>2129.4</x:v>
      </x:c>
      <x:c r="D5895" s="2" t="n">
        <x:v>2023</x:v>
      </x:c>
      <x:c r="E5895" s="2" t="str">
        <x:v>WB_cereal_yield</x:v>
      </x:c>
      <x:c r="F5895" s="2" t="str">
        <x:v>Cereal yield (kg per hectare)</x:v>
      </x:c>
    </x:row>
    <x:row r="5896" ht="44" customHeight="1">
      <x:c r="A5896" s="2" t="str">
        <x:v>TLS</x:v>
      </x:c>
      <x:c r="B5896" s="2" t="str">
        <x:v>water_stress</x:v>
      </x:c>
      <x:c r="C5896" s="2" t="n">
        <x:v>28.26821032</x:v>
      </x:c>
      <x:c r="D5896" s="2" t="n">
        <x:v>2022</x:v>
      </x:c>
      <x:c r="E5896" s="2" t="str">
        <x:v>WB_water_stress</x:v>
      </x:c>
      <x:c r="F5896" s="2" t="str">
        <x:v>Level of water stress: freshwater withdrawal as a proportion of available freshwater resources</x:v>
      </x:c>
    </x:row>
    <x:row r="5897" ht="44" customHeight="1">
      <x:c r="A5897" s="2" t="str">
        <x:v>TLS</x:v>
      </x:c>
      <x:c r="B5897" s="2" t="str">
        <x:v>fertility</x:v>
      </x:c>
      <x:c r="C5897" s="2" t="n">
        <x:v>2.627</x:v>
      </x:c>
      <x:c r="D5897" s="2" t="n">
        <x:v>2024</x:v>
      </x:c>
      <x:c r="E5897" s="2" t="str">
        <x:v>WB_fertility</x:v>
      </x:c>
      <x:c r="F5897" s="2" t="str">
        <x:v>Fertility rate, total (births per woman)</x:v>
      </x:c>
    </x:row>
    <x:row r="5898" ht="44" customHeight="1">
      <x:c r="A5898" s="2" t="str">
        <x:v>TLS</x:v>
      </x:c>
      <x:c r="B5898" s="2" t="str">
        <x:v>life_expectancy</x:v>
      </x:c>
      <x:c r="C5898" s="2" t="n">
        <x:v>67.904</x:v>
      </x:c>
      <x:c r="D5898" s="2" t="n">
        <x:v>2024</x:v>
      </x:c>
      <x:c r="E5898" s="2" t="str">
        <x:v>WB_life_expectancy</x:v>
      </x:c>
      <x:c r="F5898" s="2" t="str">
        <x:v>Life expectancy at birth, total (years)</x:v>
      </x:c>
    </x:row>
    <x:row r="5899" ht="44" customHeight="1">
      <x:c r="A5899" s="2" t="str">
        <x:v>TLS</x:v>
      </x:c>
      <x:c r="B5899" s="2" t="str">
        <x:v>age_under15</x:v>
      </x:c>
      <x:c r="C5899" s="2" t="n">
        <x:v>33.1150655525928</x:v>
      </x:c>
      <x:c r="D5899" s="2" t="n">
        <x:v>2025</x:v>
      </x:c>
      <x:c r="E5899" s="2" t="str">
        <x:v>WB_age_under15</x:v>
      </x:c>
      <x:c r="F5899" s="2" t="str">
        <x:v>Population ages 0-14 (% of total population)</x:v>
      </x:c>
    </x:row>
    <x:row r="5900" ht="44" customHeight="1">
      <x:c r="A5900" s="2" t="str">
        <x:v>TLS</x:v>
      </x:c>
      <x:c r="B5900" s="2" t="str">
        <x:v>age_over65</x:v>
      </x:c>
      <x:c r="C5900" s="2" t="n">
        <x:v>5.22929748839898</x:v>
      </x:c>
      <x:c r="D5900" s="2" t="n">
        <x:v>2025</x:v>
      </x:c>
      <x:c r="E5900" s="2" t="str">
        <x:v>WB_age_over65</x:v>
      </x:c>
      <x:c r="F5900" s="2" t="str">
        <x:v>Population ages 65 and above (% of total population)</x:v>
      </x:c>
    </x:row>
    <x:row r="5901" ht="44" customHeight="1">
      <x:c r="A5901" s="2" t="str">
        <x:v>TLS</x:v>
      </x:c>
      <x:c r="B5901" s="2" t="str">
        <x:v>dependency_ratio</x:v>
      </x:c>
      <x:c r="C5901" s="2" t="n">
        <x:v>62.1911145260212</x:v>
      </x:c>
      <x:c r="D5901" s="2" t="n">
        <x:v>2025</x:v>
      </x:c>
      <x:c r="E5901" s="2" t="str">
        <x:v>WB_dependency_ratio</x:v>
      </x:c>
      <x:c r="F5901" s="2" t="str">
        <x:v>Age dependency ratio (% of working-age population)</x:v>
      </x:c>
    </x:row>
    <x:row r="5902" ht="44" customHeight="1">
      <x:c r="A5902" s="2" t="str">
        <x:v>TLS</x:v>
      </x:c>
      <x:c r="B5902" s="2" t="str">
        <x:v>net_migration</x:v>
      </x:c>
      <x:c r="C5902" s="2" t="n">
        <x:v>-2550</x:v>
      </x:c>
      <x:c r="D5902" s="2" t="n">
        <x:v>2025</x:v>
      </x:c>
      <x:c r="E5902" s="2" t="str">
        <x:v>WB_net_migration</x:v>
      </x:c>
      <x:c r="F5902" s="2" t="str">
        <x:v>Net migration</x:v>
      </x:c>
    </x:row>
    <x:row r="5903" ht="44" customHeight="1">
      <x:c r="A5903" s="2" t="str">
        <x:v>TLS</x:v>
      </x:c>
      <x:c r="B5903" s="2" t="str">
        <x:v>real_gdp</x:v>
      </x:c>
      <x:c r="C5903" s="2" t="n">
        <x:v>1721918280.90359</x:v>
      </x:c>
      <x:c r="D5903" s="2" t="n">
        <x:v>2025</x:v>
      </x:c>
      <x:c r="E5903" s="2" t="str">
        <x:v>WB_real_gdp</x:v>
      </x:c>
      <x:c r="F5903" s="2" t="str">
        <x:v>GDP (constant 2015 US$)</x:v>
      </x:c>
    </x:row>
    <x:row r="5904" ht="44" customHeight="1">
      <x:c r="A5904" s="2" t="str">
        <x:v>TLS</x:v>
      </x:c>
      <x:c r="B5904" s="2" t="str">
        <x:v>gdp_growth</x:v>
      </x:c>
      <x:c r="C5904" s="2" t="n">
        <x:v>6.97538939119629</x:v>
      </x:c>
      <x:c r="D5904" s="2" t="n">
        <x:v>2025</x:v>
      </x:c>
      <x:c r="E5904" s="2" t="str">
        <x:v>WB_gdp_growth</x:v>
      </x:c>
      <x:c r="F5904" s="2" t="str">
        <x:v>GDP growth (annual %)</x:v>
      </x:c>
    </x:row>
    <x:row r="5905" ht="44" customHeight="1">
      <x:c r="A5905" s="2" t="str">
        <x:v>TLS</x:v>
      </x:c>
      <x:c r="B5905" s="2" t="str">
        <x:v>real_income</x:v>
      </x:c>
      <x:c r="C5905" s="2" t="n">
        <x:v>1213.88624944473</x:v>
      </x:c>
      <x:c r="D5905" s="2" t="n">
        <x:v>2025</x:v>
      </x:c>
      <x:c r="E5905" s="2" t="str">
        <x:v>WB_real_income</x:v>
      </x:c>
      <x:c r="F5905" s="2" t="str">
        <x:v>GDP per capita (constant 2015 US$)</x:v>
      </x:c>
    </x:row>
    <x:row r="5906" ht="44" customHeight="1">
      <x:c r="A5906" s="2" t="str">
        <x:v>TLS</x:v>
      </x:c>
      <x:c r="B5906" s="2" t="str">
        <x:v>agriculture_gdp</x:v>
      </x:c>
      <x:c r="C5906" s="2" t="n">
        <x:v>20.1605211861233</x:v>
      </x:c>
      <x:c r="D5906" s="2" t="n">
        <x:v>2024</x:v>
      </x:c>
      <x:c r="E5906" s="2" t="str">
        <x:v>WB_agriculture_gdp</x:v>
      </x:c>
      <x:c r="F5906" s="2" t="str">
        <x:v>Agriculture, forestry, and fishing, value added (% of GDP)</x:v>
      </x:c>
    </x:row>
    <x:row r="5907" ht="44" customHeight="1">
      <x:c r="A5907" s="2" t="str">
        <x:v>TLS</x:v>
      </x:c>
      <x:c r="B5907" s="2" t="str">
        <x:v>poverty</x:v>
      </x:c>
      <x:c r="C5907" s="2" t="n">
        <x:v>44</x:v>
      </x:c>
      <x:c r="D5907" s="2" t="n">
        <x:v>2014</x:v>
      </x:c>
      <x:c r="E5907" s="2" t="str">
        <x:v>WB_poverty</x:v>
      </x:c>
      <x:c r="F5907" s="2" t="str">
        <x:v>Poverty headcount ratio at $3.00 a day (2021 PPP) (% of population)</x:v>
      </x:c>
    </x:row>
    <x:row r="5908" ht="44" customHeight="1">
      <x:c r="A5908" s="2" t="str">
        <x:v>TLS</x:v>
      </x:c>
      <x:c r="B5908" s="2" t="str">
        <x:v>gini</x:v>
      </x:c>
      <x:c r="C5908" s="2" t="n">
        <x:v>28.7</x:v>
      </x:c>
      <x:c r="D5908" s="2" t="n">
        <x:v>2014</x:v>
      </x:c>
      <x:c r="E5908" s="2" t="str">
        <x:v>WB_gini</x:v>
      </x:c>
      <x:c r="F5908" s="2" t="str">
        <x:v>Gini index</x:v>
      </x:c>
    </x:row>
    <x:row r="5909" ht="44" customHeight="1">
      <x:c r="A5909" s="2" t="str">
        <x:v>TLS</x:v>
      </x:c>
      <x:c r="B5909" s="2" t="str">
        <x:v>unemployment</x:v>
      </x:c>
      <x:c r="C5909" s="2" t="n">
        <x:v>1.592</x:v>
      </x:c>
      <x:c r="D5909" s="2" t="n">
        <x:v>2025</x:v>
      </x:c>
      <x:c r="E5909" s="2" t="str">
        <x:v>WB_unemployment</x:v>
      </x:c>
      <x:c r="F5909" s="2" t="str">
        <x:v>Unemployment, total (% of total labor force) (modeled ILO estimate)</x:v>
      </x:c>
    </x:row>
    <x:row r="5910" ht="44" customHeight="1">
      <x:c r="A5910" s="2" t="str">
        <x:v>TLS</x:v>
      </x:c>
      <x:c r="B5910" s="2" t="str">
        <x:v>private_credit</x:v>
      </x:c>
      <x:c r="C5910" s="2" t="n">
        <x:v>39.1472446818212</x:v>
      </x:c>
      <x:c r="D5910" s="2" t="n">
        <x:v>2025</x:v>
      </x:c>
      <x:c r="E5910" s="2" t="str">
        <x:v>WB_private_credit</x:v>
      </x:c>
      <x:c r="F5910" s="2" t="str">
        <x:v>Domestic credit to private sector (% of GDP)</x:v>
      </x:c>
    </x:row>
    <x:row r="5911" ht="44" customHeight="1">
      <x:c r="A5911" s="2" t="str">
        <x:v>TLS</x:v>
      </x:c>
      <x:c r="B5911" s="2" t="str">
        <x:v>lending_rate</x:v>
      </x:c>
      <x:c r="C5911" s="2" t="n">
        <x:v>10.4149289274873</x:v>
      </x:c>
      <x:c r="D5911" s="2" t="n">
        <x:v>2025</x:v>
      </x:c>
      <x:c r="E5911" s="2" t="str">
        <x:v>WB_lending_rate</x:v>
      </x:c>
      <x:c r="F5911" s="2" t="str">
        <x:v>Lending interest rate (%)</x:v>
      </x:c>
    </x:row>
    <x:row r="5912" ht="44" customHeight="1">
      <x:c r="A5912" s="2" t="str">
        <x:v>TLS</x:v>
      </x:c>
      <x:c r="B5912" s="2" t="str">
        <x:v>real_interest</x:v>
      </x:c>
      <x:c r="C5912" s="2" t="n">
        <x:v>15.8458601894537</x:v>
      </x:c>
      <x:c r="D5912" s="2" t="n">
        <x:v>2025</x:v>
      </x:c>
      <x:c r="E5912" s="2" t="str">
        <x:v>WB_real_interest</x:v>
      </x:c>
      <x:c r="F5912" s="2" t="str">
        <x:v>Real interest rate (%)</x:v>
      </x:c>
    </x:row>
    <x:row r="5913" ht="44" customHeight="1">
      <x:c r="A5913" s="2" t="str">
        <x:v>TLS</x:v>
      </x:c>
      <x:c r="B5913" s="2" t="str">
        <x:v>government_debt</x:v>
      </x:c>
      <x:c r="C5913" s="2"/>
      <x:c r="D5913" s="2"/>
      <x:c r="E5913" s="2" t="str">
        <x:v>Missing</x:v>
      </x:c>
      <x:c r="F5913" s="2" t="str">
        <x:v>Central government debt, total (% of GDP)</x:v>
      </x:c>
    </x:row>
    <x:row r="5914" ht="44" customHeight="1">
      <x:c r="A5914" s="2" t="str">
        <x:v>TLS</x:v>
      </x:c>
      <x:c r="B5914" s="2" t="str">
        <x:v>electricity_access</x:v>
      </x:c>
      <x:c r="C5914" s="2" t="n">
        <x:v>94.3</x:v>
      </x:c>
      <x:c r="D5914" s="2" t="n">
        <x:v>2024</x:v>
      </x:c>
      <x:c r="E5914" s="2" t="str">
        <x:v>WB_electricity_access</x:v>
      </x:c>
      <x:c r="F5914" s="2" t="str">
        <x:v>Access to electricity (% of population)</x:v>
      </x:c>
    </x:row>
    <x:row r="5915" ht="44" customHeight="1">
      <x:c r="A5915" s="2" t="str">
        <x:v>TLS</x:v>
      </x:c>
      <x:c r="B5915" s="2" t="str">
        <x:v>irrigated_land</x:v>
      </x:c>
      <x:c r="C5915" s="2" t="n">
        <x:v>8.59904818560381</x:v>
      </x:c>
      <x:c r="D5915" s="2" t="n">
        <x:v>2002</x:v>
      </x:c>
      <x:c r="E5915" s="2" t="str">
        <x:v>WB_irrigated_land</x:v>
      </x:c>
      <x:c r="F5915" s="2" t="str">
        <x:v>Agricultural irrigated land (% of total agricultural land)</x:v>
      </x:c>
    </x:row>
    <x:row r="5916" ht="44" customHeight="1">
      <x:c r="A5916" s="2" t="str">
        <x:v>TLS</x:v>
      </x:c>
      <x:c r="B5916" s="2" t="str">
        <x:v>cereal_area</x:v>
      </x:c>
      <x:c r="C5916" s="2" t="n">
        <x:v>78894</x:v>
      </x:c>
      <x:c r="D5916" s="2" t="n">
        <x:v>2023</x:v>
      </x:c>
      <x:c r="E5916" s="2" t="str">
        <x:v>WB_cereal_area</x:v>
      </x:c>
      <x:c r="F5916" s="2" t="str">
        <x:v>Land under cereal production (hectares)</x:v>
      </x:c>
    </x:row>
    <x:row r="5917" ht="44" customHeight="1">
      <x:c r="A5917" s="2" t="str">
        <x:v>TLS</x:v>
      </x:c>
      <x:c r="B5917" s="2" t="str">
        <x:v>undernourishment</x:v>
      </x:c>
      <x:c r="C5917" s="2" t="n">
        <x:v>18.7</x:v>
      </x:c>
      <x:c r="D5917" s="2" t="n">
        <x:v>2023</x:v>
      </x:c>
      <x:c r="E5917" s="2" t="str">
        <x:v>WB_undernourishment</x:v>
      </x:c>
      <x:c r="F5917" s="2" t="str">
        <x:v>Prevalence of undernourishment (% of population)</x:v>
      </x:c>
    </x:row>
    <x:row r="5918" ht="44" customHeight="1">
      <x:c r="A5918" s="2" t="str">
        <x:v>TLS</x:v>
      </x:c>
      <x:c r="B5918" s="2" t="str">
        <x:v>agriculture_employment</x:v>
      </x:c>
      <x:c r="C5918" s="2" t="n">
        <x:v>46.0185778910624</x:v>
      </x:c>
      <x:c r="D5918" s="2" t="n">
        <x:v>2025</x:v>
      </x:c>
      <x:c r="E5918" s="2" t="str">
        <x:v>WB_agriculture_employment</x:v>
      </x:c>
      <x:c r="F5918" s="2" t="str">
        <x:v>Employment in agriculture (% of total employment) (modeled ILO estimate)</x:v>
      </x:c>
    </x:row>
    <x:row r="5919" ht="44" customHeight="1">
      <x:c r="A5919" s="2" t="str">
        <x:v>TLS</x:v>
      </x:c>
      <x:c r="B5919" s="2" t="str">
        <x:v>water_withdrawal</x:v>
      </x:c>
      <x:c r="C5919" s="2" t="n">
        <x:v>14.2665855143031</x:v>
      </x:c>
      <x:c r="D5919" s="2" t="n">
        <x:v>2022</x:v>
      </x:c>
      <x:c r="E5919" s="2" t="str">
        <x:v>WB_water_withdrawal</x:v>
      </x:c>
      <x:c r="F5919" s="2" t="str">
        <x:v>Annual freshwater withdrawals, total (% of internal resources)</x:v>
      </x:c>
    </x:row>
    <x:row r="5920" ht="44" customHeight="1">
      <x:c r="A5920" s="2" t="str">
        <x:v>TGO</x:v>
      </x:c>
      <x:c r="B5920" s="2" t="str">
        <x:v>population</x:v>
      </x:c>
      <x:c r="C5920" s="2" t="n">
        <x:v>8591626</x:v>
      </x:c>
      <x:c r="D5920" s="2" t="n">
        <x:v>2025</x:v>
      </x:c>
      <x:c r="E5920" s="2" t="str">
        <x:v>WB_population</x:v>
      </x:c>
      <x:c r="F5920" s="2" t="str">
        <x:v>Population, total</x:v>
      </x:c>
    </x:row>
    <x:row r="5921" ht="44" customHeight="1">
      <x:c r="A5921" s="2" t="str">
        <x:v>TGO</x:v>
      </x:c>
      <x:c r="B5921" s="2" t="str">
        <x:v>income_ppp</x:v>
      </x:c>
      <x:c r="C5921" s="2" t="n">
        <x:v>3485.98184512074</x:v>
      </x:c>
      <x:c r="D5921" s="2" t="n">
        <x:v>2025</x:v>
      </x:c>
      <x:c r="E5921" s="2" t="str">
        <x:v>WB_income_ppp</x:v>
      </x:c>
      <x:c r="F5921" s="2" t="str">
        <x:v>GDP per capita, PPP (constant 2021 international $)</x:v>
      </x:c>
    </x:row>
    <x:row r="5922" ht="44" customHeight="1">
      <x:c r="A5922" s="2" t="str">
        <x:v>TGO</x:v>
      </x:c>
      <x:c r="B5922" s="2" t="str">
        <x:v>urban</x:v>
      </x:c>
      <x:c r="C5922" s="2" t="n">
        <x:v>44.3949892074399</x:v>
      </x:c>
      <x:c r="D5922" s="2" t="n">
        <x:v>2025</x:v>
      </x:c>
      <x:c r="E5922" s="2" t="str">
        <x:v>WB_urban</x:v>
      </x:c>
      <x:c r="F5922" s="2" t="str">
        <x:v>Urban population (% of total population)</x:v>
      </x:c>
    </x:row>
    <x:row r="5923" ht="44" customHeight="1">
      <x:c r="A5923" s="2" t="str">
        <x:v>TGO</x:v>
      </x:c>
      <x:c r="B5923" s="2" t="str">
        <x:v>inflation</x:v>
      </x:c>
      <x:c r="C5923" s="2" t="n">
        <x:v>0.433183451279109</x:v>
      </x:c>
      <x:c r="D5923" s="2" t="n">
        <x:v>2025</x:v>
      </x:c>
      <x:c r="E5923" s="2" t="str">
        <x:v>WB_inflation</x:v>
      </x:c>
      <x:c r="F5923" s="2" t="str">
        <x:v>Inflation, consumer prices (annual %)</x:v>
      </x:c>
    </x:row>
    <x:row r="5924" ht="44" customHeight="1">
      <x:c r="A5924" s="2" t="str">
        <x:v>TGO</x:v>
      </x:c>
      <x:c r="B5924" s="2" t="str">
        <x:v>food_index</x:v>
      </x:c>
      <x:c r="C5924" s="2" t="n">
        <x:v>128.24</x:v>
      </x:c>
      <x:c r="D5924" s="2" t="n">
        <x:v>2022</x:v>
      </x:c>
      <x:c r="E5924" s="2" t="str">
        <x:v>WB_food_index</x:v>
      </x:c>
      <x:c r="F5924" s="2" t="str">
        <x:v>Food production index (2014-2016 = 100)</x:v>
      </x:c>
    </x:row>
    <x:row r="5925" ht="44" customHeight="1">
      <x:c r="A5925" s="2" t="str">
        <x:v>TGO</x:v>
      </x:c>
      <x:c r="B5925" s="2" t="str">
        <x:v>food_import_share</x:v>
      </x:c>
      <x:c r="C5925" s="2" t="n">
        <x:v>17.6484245927718</x:v>
      </x:c>
      <x:c r="D5925" s="2" t="n">
        <x:v>2024</x:v>
      </x:c>
      <x:c r="E5925" s="2" t="str">
        <x:v>WB_food_import_share</x:v>
      </x:c>
      <x:c r="F5925" s="2" t="str">
        <x:v>Food imports (% of merchandise imports)</x:v>
      </x:c>
    </x:row>
    <x:row r="5926" ht="44" customHeight="1">
      <x:c r="A5926" s="2" t="str">
        <x:v>TGO</x:v>
      </x:c>
      <x:c r="B5926" s="2" t="str">
        <x:v>food_export_share</x:v>
      </x:c>
      <x:c r="C5926" s="2" t="n">
        <x:v>33.0459371924196</x:v>
      </x:c>
      <x:c r="D5926" s="2" t="n">
        <x:v>2024</x:v>
      </x:c>
      <x:c r="E5926" s="2" t="str">
        <x:v>WB_food_export_share</x:v>
      </x:c>
      <x:c r="F5926" s="2" t="str">
        <x:v>Food exports (% of merchandise exports)</x:v>
      </x:c>
    </x:row>
    <x:row r="5927" ht="44" customHeight="1">
      <x:c r="A5927" s="2" t="str">
        <x:v>TGO</x:v>
      </x:c>
      <x:c r="B5927" s="2" t="str">
        <x:v>imports_usd</x:v>
      </x:c>
      <x:c r="C5927" s="2" t="n">
        <x:v>3400000000</x:v>
      </x:c>
      <x:c r="D5927" s="2" t="n">
        <x:v>2025</x:v>
      </x:c>
      <x:c r="E5927" s="2" t="str">
        <x:v>WB_imports_usd</x:v>
      </x:c>
      <x:c r="F5927" s="2" t="str">
        <x:v>Merchandise imports (current US$)</x:v>
      </x:c>
    </x:row>
    <x:row r="5928" ht="44" customHeight="1">
      <x:c r="A5928" s="2" t="str">
        <x:v>TGO</x:v>
      </x:c>
      <x:c r="B5928" s="2" t="str">
        <x:v>exports_usd</x:v>
      </x:c>
      <x:c r="C5928" s="2" t="n">
        <x:v>1800000000</x:v>
      </x:c>
      <x:c r="D5928" s="2" t="n">
        <x:v>2025</x:v>
      </x:c>
      <x:c r="E5928" s="2" t="str">
        <x:v>WB_exports_usd</x:v>
      </x:c>
      <x:c r="F5928" s="2" t="str">
        <x:v>Merchandise exports (current US$)</x:v>
      </x:c>
    </x:row>
    <x:row r="5929" ht="44" customHeight="1">
      <x:c r="A5929" s="2" t="str">
        <x:v>TGO</x:v>
      </x:c>
      <x:c r="B5929" s="2" t="str">
        <x:v>cereal_yield</x:v>
      </x:c>
      <x:c r="C5929" s="2" t="n">
        <x:v>1173.1</x:v>
      </x:c>
      <x:c r="D5929" s="2" t="n">
        <x:v>2023</x:v>
      </x:c>
      <x:c r="E5929" s="2" t="str">
        <x:v>WB_cereal_yield</x:v>
      </x:c>
      <x:c r="F5929" s="2" t="str">
        <x:v>Cereal yield (kg per hectare)</x:v>
      </x:c>
    </x:row>
    <x:row r="5930" ht="44" customHeight="1">
      <x:c r="A5930" s="2" t="str">
        <x:v>TGO</x:v>
      </x:c>
      <x:c r="B5930" s="2" t="str">
        <x:v>water_stress</x:v>
      </x:c>
      <x:c r="C5930" s="2" t="n">
        <x:v>3.391634981</x:v>
      </x:c>
      <x:c r="D5930" s="2" t="n">
        <x:v>2022</x:v>
      </x:c>
      <x:c r="E5930" s="2" t="str">
        <x:v>WB_water_stress</x:v>
      </x:c>
      <x:c r="F5930" s="2" t="str">
        <x:v>Level of water stress: freshwater withdrawal as a proportion of available freshwater resources</x:v>
      </x:c>
    </x:row>
    <x:row r="5931" ht="44" customHeight="1">
      <x:c r="A5931" s="2" t="str">
        <x:v>TGO</x:v>
      </x:c>
      <x:c r="B5931" s="2" t="str">
        <x:v>fertility</x:v>
      </x:c>
      <x:c r="C5931" s="2" t="n">
        <x:v>4.121673</x:v>
      </x:c>
      <x:c r="D5931" s="2" t="n">
        <x:v>2024</x:v>
      </x:c>
      <x:c r="E5931" s="2" t="str">
        <x:v>WB_fertility</x:v>
      </x:c>
      <x:c r="F5931" s="2" t="str">
        <x:v>Fertility rate, total (births per woman)</x:v>
      </x:c>
    </x:row>
    <x:row r="5932" ht="44" customHeight="1">
      <x:c r="A5932" s="2" t="str">
        <x:v>TGO</x:v>
      </x:c>
      <x:c r="B5932" s="2" t="str">
        <x:v>life_expectancy</x:v>
      </x:c>
      <x:c r="C5932" s="2" t="n">
        <x:v>62.935</x:v>
      </x:c>
      <x:c r="D5932" s="2" t="n">
        <x:v>2024</x:v>
      </x:c>
      <x:c r="E5932" s="2" t="str">
        <x:v>WB_life_expectancy</x:v>
      </x:c>
      <x:c r="F5932" s="2" t="str">
        <x:v>Life expectancy at birth, total (years)</x:v>
      </x:c>
    </x:row>
    <x:row r="5933" ht="44" customHeight="1">
      <x:c r="A5933" s="2" t="str">
        <x:v>TGO</x:v>
      </x:c>
      <x:c r="B5933" s="2" t="str">
        <x:v>age_under15</x:v>
      </x:c>
      <x:c r="C5933" s="2" t="n">
        <x:v>40.4253513828465</x:v>
      </x:c>
      <x:c r="D5933" s="2" t="n">
        <x:v>2025</x:v>
      </x:c>
      <x:c r="E5933" s="2" t="str">
        <x:v>WB_age_under15</x:v>
      </x:c>
      <x:c r="F5933" s="2" t="str">
        <x:v>Population ages 0-14 (% of total population)</x:v>
      </x:c>
    </x:row>
    <x:row r="5934" ht="44" customHeight="1">
      <x:c r="A5934" s="2" t="str">
        <x:v>TGO</x:v>
      </x:c>
      <x:c r="B5934" s="2" t="str">
        <x:v>age_over65</x:v>
      </x:c>
      <x:c r="C5934" s="2" t="n">
        <x:v>3.4768505984781</x:v>
      </x:c>
      <x:c r="D5934" s="2" t="n">
        <x:v>2025</x:v>
      </x:c>
      <x:c r="E5934" s="2" t="str">
        <x:v>WB_age_over65</x:v>
      </x:c>
      <x:c r="F5934" s="2" t="str">
        <x:v>Population ages 65 and above (% of total population)</x:v>
      </x:c>
    </x:row>
    <x:row r="5935" ht="44" customHeight="1">
      <x:c r="A5935" s="2" t="str">
        <x:v>TGO</x:v>
      </x:c>
      <x:c r="B5935" s="2" t="str">
        <x:v>dependency_ratio</x:v>
      </x:c>
      <x:c r="C5935" s="2" t="n">
        <x:v>78.2600188932176</x:v>
      </x:c>
      <x:c r="D5935" s="2" t="n">
        <x:v>2025</x:v>
      </x:c>
      <x:c r="E5935" s="2" t="str">
        <x:v>WB_dependency_ratio</x:v>
      </x:c>
      <x:c r="F5935" s="2" t="str">
        <x:v>Age dependency ratio (% of working-age population)</x:v>
      </x:c>
    </x:row>
    <x:row r="5936" ht="44" customHeight="1">
      <x:c r="A5936" s="2" t="str">
        <x:v>TGO</x:v>
      </x:c>
      <x:c r="B5936" s="2" t="str">
        <x:v>net_migration</x:v>
      </x:c>
      <x:c r="C5936" s="2" t="n">
        <x:v>-15010</x:v>
      </x:c>
      <x:c r="D5936" s="2" t="n">
        <x:v>2025</x:v>
      </x:c>
      <x:c r="E5936" s="2" t="str">
        <x:v>WB_net_migration</x:v>
      </x:c>
      <x:c r="F5936" s="2" t="str">
        <x:v>Net migration</x:v>
      </x:c>
    </x:row>
    <x:row r="5937" ht="44" customHeight="1">
      <x:c r="A5937" s="2" t="str">
        <x:v>TGO</x:v>
      </x:c>
      <x:c r="B5937" s="2" t="str">
        <x:v>real_gdp</x:v>
      </x:c>
      <x:c r="C5937" s="2" t="n">
        <x:v>9417999786.00817</x:v>
      </x:c>
      <x:c r="D5937" s="2" t="n">
        <x:v>2025</x:v>
      </x:c>
      <x:c r="E5937" s="2" t="str">
        <x:v>WB_real_gdp</x:v>
      </x:c>
      <x:c r="F5937" s="2" t="str">
        <x:v>GDP (constant 2015 US$)</x:v>
      </x:c>
    </x:row>
    <x:row r="5938" ht="44" customHeight="1">
      <x:c r="A5938" s="2" t="str">
        <x:v>TGO</x:v>
      </x:c>
      <x:c r="B5938" s="2" t="str">
        <x:v>gdp_growth</x:v>
      </x:c>
      <x:c r="C5938" s="2" t="n">
        <x:v>6.31032671625633</x:v>
      </x:c>
      <x:c r="D5938" s="2" t="n">
        <x:v>2025</x:v>
      </x:c>
      <x:c r="E5938" s="2" t="str">
        <x:v>WB_gdp_growth</x:v>
      </x:c>
      <x:c r="F5938" s="2" t="str">
        <x:v>GDP growth (annual %)</x:v>
      </x:c>
    </x:row>
    <x:row r="5939" ht="44" customHeight="1">
      <x:c r="A5939" s="2" t="str">
        <x:v>TGO</x:v>
      </x:c>
      <x:c r="B5939" s="2" t="str">
        <x:v>real_income</x:v>
      </x:c>
      <x:c r="C5939" s="2" t="n">
        <x:v>1096.18363113201</x:v>
      </x:c>
      <x:c r="D5939" s="2" t="n">
        <x:v>2025</x:v>
      </x:c>
      <x:c r="E5939" s="2" t="str">
        <x:v>WB_real_income</x:v>
      </x:c>
      <x:c r="F5939" s="2" t="str">
        <x:v>GDP per capita (constant 2015 US$)</x:v>
      </x:c>
    </x:row>
    <x:row r="5940" ht="44" customHeight="1">
      <x:c r="A5940" s="2" t="str">
        <x:v>TGO</x:v>
      </x:c>
      <x:c r="B5940" s="2" t="str">
        <x:v>agriculture_gdp</x:v>
      </x:c>
      <x:c r="C5940" s="2" t="n">
        <x:v>20.3258949863422</x:v>
      </x:c>
      <x:c r="D5940" s="2" t="n">
        <x:v>2025</x:v>
      </x:c>
      <x:c r="E5940" s="2" t="str">
        <x:v>WB_agriculture_gdp</x:v>
      </x:c>
      <x:c r="F5940" s="2" t="str">
        <x:v>Agriculture, forestry, and fishing, value added (% of GDP)</x:v>
      </x:c>
    </x:row>
    <x:row r="5941" ht="44" customHeight="1">
      <x:c r="A5941" s="2" t="str">
        <x:v>TGO</x:v>
      </x:c>
      <x:c r="B5941" s="2" t="str">
        <x:v>poverty</x:v>
      </x:c>
      <x:c r="C5941" s="2" t="n">
        <x:v>34.7</x:v>
      </x:c>
      <x:c r="D5941" s="2" t="n">
        <x:v>2021</x:v>
      </x:c>
      <x:c r="E5941" s="2" t="str">
        <x:v>WB_poverty</x:v>
      </x:c>
      <x:c r="F5941" s="2" t="str">
        <x:v>Poverty headcount ratio at $3.00 a day (2021 PPP) (% of population)</x:v>
      </x:c>
    </x:row>
    <x:row r="5942" ht="44" customHeight="1">
      <x:c r="A5942" s="2" t="str">
        <x:v>TGO</x:v>
      </x:c>
      <x:c r="B5942" s="2" t="str">
        <x:v>gini</x:v>
      </x:c>
      <x:c r="C5942" s="2" t="n">
        <x:v>37.9</x:v>
      </x:c>
      <x:c r="D5942" s="2" t="n">
        <x:v>2021</x:v>
      </x:c>
      <x:c r="E5942" s="2" t="str">
        <x:v>WB_gini</x:v>
      </x:c>
      <x:c r="F5942" s="2" t="str">
        <x:v>Gini index</x:v>
      </x:c>
    </x:row>
    <x:row r="5943" ht="44" customHeight="1">
      <x:c r="A5943" s="2" t="str">
        <x:v>TGO</x:v>
      </x:c>
      <x:c r="B5943" s="2" t="str">
        <x:v>unemployment</x:v>
      </x:c>
      <x:c r="C5943" s="2" t="n">
        <x:v>1.995</x:v>
      </x:c>
      <x:c r="D5943" s="2" t="n">
        <x:v>2025</x:v>
      </x:c>
      <x:c r="E5943" s="2" t="str">
        <x:v>WB_unemployment</x:v>
      </x:c>
      <x:c r="F5943" s="2" t="str">
        <x:v>Unemployment, total (% of total labor force) (modeled ILO estimate)</x:v>
      </x:c>
    </x:row>
    <x:row r="5944" ht="44" customHeight="1">
      <x:c r="A5944" s="2" t="str">
        <x:v>TGO</x:v>
      </x:c>
      <x:c r="B5944" s="2" t="str">
        <x:v>private_credit</x:v>
      </x:c>
      <x:c r="C5944" s="2" t="n">
        <x:v>22.9996367206573</x:v>
      </x:c>
      <x:c r="D5944" s="2" t="n">
        <x:v>2025</x:v>
      </x:c>
      <x:c r="E5944" s="2" t="str">
        <x:v>WB_private_credit</x:v>
      </x:c>
      <x:c r="F5944" s="2" t="str">
        <x:v>Domestic credit to private sector (% of GDP)</x:v>
      </x:c>
    </x:row>
    <x:row r="5945" ht="44" customHeight="1">
      <x:c r="A5945" s="2" t="str">
        <x:v>TGO</x:v>
      </x:c>
      <x:c r="B5945" s="2" t="str">
        <x:v>lending_rate</x:v>
      </x:c>
      <x:c r="C5945" s="2" t="n">
        <x:v>5.295</x:v>
      </x:c>
      <x:c r="D5945" s="2" t="n">
        <x:v>2016</x:v>
      </x:c>
      <x:c r="E5945" s="2" t="str">
        <x:v>WB_lending_rate</x:v>
      </x:c>
      <x:c r="F5945" s="2" t="str">
        <x:v>Lending interest rate (%)</x:v>
      </x:c>
    </x:row>
    <x:row r="5946" ht="44" customHeight="1">
      <x:c r="A5946" s="2" t="str">
        <x:v>TGO</x:v>
      </x:c>
      <x:c r="B5946" s="2" t="str">
        <x:v>real_interest</x:v>
      </x:c>
      <x:c r="C5946" s="2" t="n">
        <x:v>3.78210934053472</x:v>
      </x:c>
      <x:c r="D5946" s="2" t="n">
        <x:v>2016</x:v>
      </x:c>
      <x:c r="E5946" s="2" t="str">
        <x:v>WB_real_interest</x:v>
      </x:c>
      <x:c r="F5946" s="2" t="str">
        <x:v>Real interest rate (%)</x:v>
      </x:c>
    </x:row>
    <x:row r="5947" ht="44" customHeight="1">
      <x:c r="A5947" s="2" t="str">
        <x:v>TGO</x:v>
      </x:c>
      <x:c r="B5947" s="2" t="str">
        <x:v>government_debt</x:v>
      </x:c>
      <x:c r="C5947" s="2"/>
      <x:c r="D5947" s="2"/>
      <x:c r="E5947" s="2" t="str">
        <x:v>Missing</x:v>
      </x:c>
      <x:c r="F5947" s="2" t="str">
        <x:v>Central government debt, total (% of GDP)</x:v>
      </x:c>
    </x:row>
    <x:row r="5948" ht="44" customHeight="1">
      <x:c r="A5948" s="2" t="str">
        <x:v>TGO</x:v>
      </x:c>
      <x:c r="B5948" s="2" t="str">
        <x:v>electricity_access</x:v>
      </x:c>
      <x:c r="C5948" s="2" t="n">
        <x:v>61.1</x:v>
      </x:c>
      <x:c r="D5948" s="2" t="n">
        <x:v>2024</x:v>
      </x:c>
      <x:c r="E5948" s="2" t="str">
        <x:v>WB_electricity_access</x:v>
      </x:c>
      <x:c r="F5948" s="2" t="str">
        <x:v>Access to electricity (% of population)</x:v>
      </x:c>
    </x:row>
    <x:row r="5949" ht="44" customHeight="1">
      <x:c r="A5949" s="2" t="str">
        <x:v>TGO</x:v>
      </x:c>
      <x:c r="B5949" s="2" t="str">
        <x:v>irrigated_land</x:v>
      </x:c>
      <x:c r="C5949" s="2"/>
      <x:c r="D5949" s="2"/>
      <x:c r="E5949" s="2" t="str">
        <x:v>Missing</x:v>
      </x:c>
      <x:c r="F5949" s="2" t="str">
        <x:v>Agricultural irrigated land (% of total agricultural land)</x:v>
      </x:c>
    </x:row>
    <x:row r="5950" ht="44" customHeight="1">
      <x:c r="A5950" s="2" t="str">
        <x:v>TGO</x:v>
      </x:c>
      <x:c r="B5950" s="2" t="str">
        <x:v>cereal_area</x:v>
      </x:c>
      <x:c r="C5950" s="2" t="n">
        <x:v>1290998</x:v>
      </x:c>
      <x:c r="D5950" s="2" t="n">
        <x:v>2023</x:v>
      </x:c>
      <x:c r="E5950" s="2" t="str">
        <x:v>WB_cereal_area</x:v>
      </x:c>
      <x:c r="F5950" s="2" t="str">
        <x:v>Land under cereal production (hectares)</x:v>
      </x:c>
    </x:row>
    <x:row r="5951" ht="44" customHeight="1">
      <x:c r="A5951" s="2" t="str">
        <x:v>TGO</x:v>
      </x:c>
      <x:c r="B5951" s="2" t="str">
        <x:v>undernourishment</x:v>
      </x:c>
      <x:c r="C5951" s="2" t="n">
        <x:v>9.1</x:v>
      </x:c>
      <x:c r="D5951" s="2" t="n">
        <x:v>2023</x:v>
      </x:c>
      <x:c r="E5951" s="2" t="str">
        <x:v>WB_undernourishment</x:v>
      </x:c>
      <x:c r="F5951" s="2" t="str">
        <x:v>Prevalence of undernourishment (% of population)</x:v>
      </x:c>
    </x:row>
    <x:row r="5952" ht="44" customHeight="1">
      <x:c r="A5952" s="2" t="str">
        <x:v>TGO</x:v>
      </x:c>
      <x:c r="B5952" s="2" t="str">
        <x:v>agriculture_employment</x:v>
      </x:c>
      <x:c r="C5952" s="2" t="n">
        <x:v>37.5921529780437</x:v>
      </x:c>
      <x:c r="D5952" s="2" t="n">
        <x:v>2025</x:v>
      </x:c>
      <x:c r="E5952" s="2" t="str">
        <x:v>WB_agriculture_employment</x:v>
      </x:c>
      <x:c r="F5952" s="2" t="str">
        <x:v>Employment in agriculture (% of total employment) (modeled ILO estimate)</x:v>
      </x:c>
    </x:row>
    <x:row r="5953" ht="44" customHeight="1">
      <x:c r="A5953" s="2" t="str">
        <x:v>TGO</x:v>
      </x:c>
      <x:c r="B5953" s="2" t="str">
        <x:v>water_withdrawal</x:v>
      </x:c>
      <x:c r="C5953" s="2" t="n">
        <x:v>1.93913043478261</x:v>
      </x:c>
      <x:c r="D5953" s="2" t="n">
        <x:v>2022</x:v>
      </x:c>
      <x:c r="E5953" s="2" t="str">
        <x:v>WB_water_withdrawal</x:v>
      </x:c>
      <x:c r="F5953" s="2" t="str">
        <x:v>Annual freshwater withdrawals, total (% of internal resources)</x:v>
      </x:c>
    </x:row>
    <x:row r="5954" ht="44" customHeight="1">
      <x:c r="A5954" s="2" t="str">
        <x:v>TON</x:v>
      </x:c>
      <x:c r="B5954" s="2" t="str">
        <x:v>population</x:v>
      </x:c>
      <x:c r="C5954" s="2" t="n">
        <x:v>103742</x:v>
      </x:c>
      <x:c r="D5954" s="2" t="n">
        <x:v>2025</x:v>
      </x:c>
      <x:c r="E5954" s="2" t="str">
        <x:v>WB_population</x:v>
      </x:c>
      <x:c r="F5954" s="2" t="str">
        <x:v>Population, total</x:v>
      </x:c>
    </x:row>
    <x:row r="5955" ht="44" customHeight="1">
      <x:c r="A5955" s="2" t="str">
        <x:v>TON</x:v>
      </x:c>
      <x:c r="B5955" s="2" t="str">
        <x:v>income_ppp</x:v>
      </x:c>
      <x:c r="C5955" s="2" t="n">
        <x:v>7412.86641968829</x:v>
      </x:c>
      <x:c r="D5955" s="2" t="n">
        <x:v>2025</x:v>
      </x:c>
      <x:c r="E5955" s="2" t="str">
        <x:v>WB_income_ppp</x:v>
      </x:c>
      <x:c r="F5955" s="2" t="str">
        <x:v>GDP per capita, PPP (constant 2021 international $)</x:v>
      </x:c>
    </x:row>
    <x:row r="5956" ht="44" customHeight="1">
      <x:c r="A5956" s="2" t="str">
        <x:v>TON</x:v>
      </x:c>
      <x:c r="B5956" s="2" t="str">
        <x:v>urban</x:v>
      </x:c>
      <x:c r="C5956" s="2" t="n">
        <x:v>21.1561406217448</x:v>
      </x:c>
      <x:c r="D5956" s="2" t="n">
        <x:v>2025</x:v>
      </x:c>
      <x:c r="E5956" s="2" t="str">
        <x:v>WB_urban</x:v>
      </x:c>
      <x:c r="F5956" s="2" t="str">
        <x:v>Urban population (% of total population)</x:v>
      </x:c>
    </x:row>
    <x:row r="5957" ht="44" customHeight="1">
      <x:c r="A5957" s="2" t="str">
        <x:v>TON</x:v>
      </x:c>
      <x:c r="B5957" s="2" t="str">
        <x:v>inflation</x:v>
      </x:c>
      <x:c r="C5957" s="2" t="n">
        <x:v>5.59276642101027</x:v>
      </x:c>
      <x:c r="D5957" s="2" t="n">
        <x:v>2025</x:v>
      </x:c>
      <x:c r="E5957" s="2" t="str">
        <x:v>WB_inflation</x:v>
      </x:c>
      <x:c r="F5957" s="2" t="str">
        <x:v>Inflation, consumer prices (annual %)</x:v>
      </x:c>
    </x:row>
    <x:row r="5958" ht="44" customHeight="1">
      <x:c r="A5958" s="2" t="str">
        <x:v>TON</x:v>
      </x:c>
      <x:c r="B5958" s="2" t="str">
        <x:v>food_index</x:v>
      </x:c>
      <x:c r="C5958" s="2" t="n">
        <x:v>97.78</x:v>
      </x:c>
      <x:c r="D5958" s="2" t="n">
        <x:v>2022</x:v>
      </x:c>
      <x:c r="E5958" s="2" t="str">
        <x:v>WB_food_index</x:v>
      </x:c>
      <x:c r="F5958" s="2" t="str">
        <x:v>Food production index (2014-2016 = 100)</x:v>
      </x:c>
    </x:row>
    <x:row r="5959" ht="44" customHeight="1">
      <x:c r="A5959" s="2" t="str">
        <x:v>TON</x:v>
      </x:c>
      <x:c r="B5959" s="2" t="str">
        <x:v>food_import_share</x:v>
      </x:c>
      <x:c r="C5959" s="2" t="n">
        <x:v>27.4895264473966</x:v>
      </x:c>
      <x:c r="D5959" s="2" t="n">
        <x:v>2023</x:v>
      </x:c>
      <x:c r="E5959" s="2" t="str">
        <x:v>WB_food_import_share</x:v>
      </x:c>
      <x:c r="F5959" s="2" t="str">
        <x:v>Food imports (% of merchandise imports)</x:v>
      </x:c>
    </x:row>
    <x:row r="5960" ht="44" customHeight="1">
      <x:c r="A5960" s="2" t="str">
        <x:v>TON</x:v>
      </x:c>
      <x:c r="B5960" s="2" t="str">
        <x:v>food_export_share</x:v>
      </x:c>
      <x:c r="C5960" s="2" t="n">
        <x:v>30.9274561573158</x:v>
      </x:c>
      <x:c r="D5960" s="2" t="n">
        <x:v>2023</x:v>
      </x:c>
      <x:c r="E5960" s="2" t="str">
        <x:v>WB_food_export_share</x:v>
      </x:c>
      <x:c r="F5960" s="2" t="str">
        <x:v>Food exports (% of merchandise exports)</x:v>
      </x:c>
    </x:row>
    <x:row r="5961" ht="44" customHeight="1">
      <x:c r="A5961" s="2" t="str">
        <x:v>TON</x:v>
      </x:c>
      <x:c r="B5961" s="2" t="str">
        <x:v>imports_usd</x:v>
      </x:c>
      <x:c r="C5961" s="2" t="n">
        <x:v>255000000</x:v>
      </x:c>
      <x:c r="D5961" s="2" t="n">
        <x:v>2025</x:v>
      </x:c>
      <x:c r="E5961" s="2" t="str">
        <x:v>WB_imports_usd</x:v>
      </x:c>
      <x:c r="F5961" s="2" t="str">
        <x:v>Merchandise imports (current US$)</x:v>
      </x:c>
    </x:row>
    <x:row r="5962" ht="44" customHeight="1">
      <x:c r="A5962" s="2" t="str">
        <x:v>TON</x:v>
      </x:c>
      <x:c r="B5962" s="2" t="str">
        <x:v>exports_usd</x:v>
      </x:c>
      <x:c r="C5962" s="2" t="n">
        <x:v>13000000</x:v>
      </x:c>
      <x:c r="D5962" s="2" t="n">
        <x:v>2025</x:v>
      </x:c>
      <x:c r="E5962" s="2" t="str">
        <x:v>WB_exports_usd</x:v>
      </x:c>
      <x:c r="F5962" s="2" t="str">
        <x:v>Merchandise exports (current US$)</x:v>
      </x:c>
    </x:row>
    <x:row r="5963" ht="44" customHeight="1">
      <x:c r="A5963" s="2" t="str">
        <x:v>TON</x:v>
      </x:c>
      <x:c r="B5963" s="2" t="str">
        <x:v>cereal_yield</x:v>
      </x:c>
      <x:c r="C5963" s="2"/>
      <x:c r="D5963" s="2"/>
      <x:c r="E5963" s="2" t="str">
        <x:v>Missing</x:v>
      </x:c>
      <x:c r="F5963" s="2" t="str">
        <x:v>Cereal yield (kg per hectare)</x:v>
      </x:c>
    </x:row>
    <x:row r="5964" ht="44" customHeight="1">
      <x:c r="A5964" s="2" t="str">
        <x:v>TON</x:v>
      </x:c>
      <x:c r="B5964" s="2" t="str">
        <x:v>water_stress</x:v>
      </x:c>
      <x:c r="C5964" s="2"/>
      <x:c r="D5964" s="2"/>
      <x:c r="E5964" s="2" t="str">
        <x:v>Missing</x:v>
      </x:c>
      <x:c r="F5964" s="2" t="str">
        <x:v>Level of water stress: freshwater withdrawal as a proportion of available freshwater resources</x:v>
      </x:c>
    </x:row>
    <x:row r="5965" ht="44" customHeight="1">
      <x:c r="A5965" s="2" t="str">
        <x:v>TON</x:v>
      </x:c>
      <x:c r="B5965" s="2" t="str">
        <x:v>fertility</x:v>
      </x:c>
      <x:c r="C5965" s="2" t="n">
        <x:v>3.1</x:v>
      </x:c>
      <x:c r="D5965" s="2" t="n">
        <x:v>2024</x:v>
      </x:c>
      <x:c r="E5965" s="2" t="str">
        <x:v>WB_fertility</x:v>
      </x:c>
      <x:c r="F5965" s="2" t="str">
        <x:v>Fertility rate, total (births per woman)</x:v>
      </x:c>
    </x:row>
    <x:row r="5966" ht="44" customHeight="1">
      <x:c r="A5966" s="2" t="str">
        <x:v>TON</x:v>
      </x:c>
      <x:c r="B5966" s="2" t="str">
        <x:v>life_expectancy</x:v>
      </x:c>
      <x:c r="C5966" s="2" t="n">
        <x:v>73.07</x:v>
      </x:c>
      <x:c r="D5966" s="2" t="n">
        <x:v>2024</x:v>
      </x:c>
      <x:c r="E5966" s="2" t="str">
        <x:v>WB_life_expectancy</x:v>
      </x:c>
      <x:c r="F5966" s="2" t="str">
        <x:v>Life expectancy at birth, total (years)</x:v>
      </x:c>
    </x:row>
    <x:row r="5967" ht="44" customHeight="1">
      <x:c r="A5967" s="2" t="str">
        <x:v>TON</x:v>
      </x:c>
      <x:c r="B5967" s="2" t="str">
        <x:v>age_under15</x:v>
      </x:c>
      <x:c r="C5967" s="2" t="n">
        <x:v>34.9198010448998</x:v>
      </x:c>
      <x:c r="D5967" s="2" t="n">
        <x:v>2025</x:v>
      </x:c>
      <x:c r="E5967" s="2" t="str">
        <x:v>WB_age_under15</x:v>
      </x:c>
      <x:c r="F5967" s="2" t="str">
        <x:v>Population ages 0-14 (% of total population)</x:v>
      </x:c>
    </x:row>
    <x:row r="5968" ht="44" customHeight="1">
      <x:c r="A5968" s="2" t="str">
        <x:v>TON</x:v>
      </x:c>
      <x:c r="B5968" s="2" t="str">
        <x:v>age_over65</x:v>
      </x:c>
      <x:c r="C5968" s="2" t="n">
        <x:v>6.85064872472094</x:v>
      </x:c>
      <x:c r="D5968" s="2" t="n">
        <x:v>2025</x:v>
      </x:c>
      <x:c r="E5968" s="2" t="str">
        <x:v>WB_age_over65</x:v>
      </x:c>
      <x:c r="F5968" s="2" t="str">
        <x:v>Population ages 65 and above (% of total population)</x:v>
      </x:c>
    </x:row>
    <x:row r="5969" ht="44" customHeight="1">
      <x:c r="A5969" s="2" t="str">
        <x:v>TON</x:v>
      </x:c>
      <x:c r="B5969" s="2" t="str">
        <x:v>dependency_ratio</x:v>
      </x:c>
      <x:c r="C5969" s="2" t="n">
        <x:v>71.7338763077738</x:v>
      </x:c>
      <x:c r="D5969" s="2" t="n">
        <x:v>2025</x:v>
      </x:c>
      <x:c r="E5969" s="2" t="str">
        <x:v>WB_dependency_ratio</x:v>
      </x:c>
      <x:c r="F5969" s="2" t="str">
        <x:v>Age dependency ratio (% of working-age population)</x:v>
      </x:c>
    </x:row>
    <x:row r="5970" ht="44" customHeight="1">
      <x:c r="A5970" s="2" t="str">
        <x:v>TON</x:v>
      </x:c>
      <x:c r="B5970" s="2" t="str">
        <x:v>net_migration</x:v>
      </x:c>
      <x:c r="C5970" s="2" t="n">
        <x:v>-2150</x:v>
      </x:c>
      <x:c r="D5970" s="2" t="n">
        <x:v>2025</x:v>
      </x:c>
      <x:c r="E5970" s="2" t="str">
        <x:v>WB_net_migration</x:v>
      </x:c>
      <x:c r="F5970" s="2" t="str">
        <x:v>Net migration</x:v>
      </x:c>
    </x:row>
    <x:row r="5971" ht="44" customHeight="1">
      <x:c r="A5971" s="2" t="str">
        <x:v>TON</x:v>
      </x:c>
      <x:c r="B5971" s="2" t="str">
        <x:v>real_gdp</x:v>
      </x:c>
      <x:c r="C5971" s="2" t="n">
        <x:v>511891142.906963</x:v>
      </x:c>
      <x:c r="D5971" s="2" t="n">
        <x:v>2025</x:v>
      </x:c>
      <x:c r="E5971" s="2" t="str">
        <x:v>WB_real_gdp</x:v>
      </x:c>
      <x:c r="F5971" s="2" t="str">
        <x:v>GDP (constant 2015 US$)</x:v>
      </x:c>
    </x:row>
    <x:row r="5972" ht="44" customHeight="1">
      <x:c r="A5972" s="2" t="str">
        <x:v>TON</x:v>
      </x:c>
      <x:c r="B5972" s="2" t="str">
        <x:v>gdp_growth</x:v>
      </x:c>
      <x:c r="C5972" s="2" t="n">
        <x:v>2.79999999999998</x:v>
      </x:c>
      <x:c r="D5972" s="2" t="n">
        <x:v>2025</x:v>
      </x:c>
      <x:c r="E5972" s="2" t="str">
        <x:v>WB_gdp_growth</x:v>
      </x:c>
      <x:c r="F5972" s="2" t="str">
        <x:v>GDP growth (annual %)</x:v>
      </x:c>
    </x:row>
    <x:row r="5973" ht="44" customHeight="1">
      <x:c r="A5973" s="2" t="str">
        <x:v>TON</x:v>
      </x:c>
      <x:c r="B5973" s="2" t="str">
        <x:v>real_income</x:v>
      </x:c>
      <x:c r="C5973" s="2" t="n">
        <x:v>4934.27100795206</x:v>
      </x:c>
      <x:c r="D5973" s="2" t="n">
        <x:v>2025</x:v>
      </x:c>
      <x:c r="E5973" s="2" t="str">
        <x:v>WB_real_income</x:v>
      </x:c>
      <x:c r="F5973" s="2" t="str">
        <x:v>GDP per capita (constant 2015 US$)</x:v>
      </x:c>
    </x:row>
    <x:row r="5974" ht="44" customHeight="1">
      <x:c r="A5974" s="2" t="str">
        <x:v>TON</x:v>
      </x:c>
      <x:c r="B5974" s="2" t="str">
        <x:v>agriculture_gdp</x:v>
      </x:c>
      <x:c r="C5974" s="2" t="n">
        <x:v>18.5668581615644</x:v>
      </x:c>
      <x:c r="D5974" s="2" t="n">
        <x:v>2024</x:v>
      </x:c>
      <x:c r="E5974" s="2" t="str">
        <x:v>WB_agriculture_gdp</x:v>
      </x:c>
      <x:c r="F5974" s="2" t="str">
        <x:v>Agriculture, forestry, and fishing, value added (% of GDP)</x:v>
      </x:c>
    </x:row>
    <x:row r="5975" ht="44" customHeight="1">
      <x:c r="A5975" s="2" t="str">
        <x:v>TON</x:v>
      </x:c>
      <x:c r="B5975" s="2" t="str">
        <x:v>poverty</x:v>
      </x:c>
      <x:c r="C5975" s="2" t="n">
        <x:v>0.4</x:v>
      </x:c>
      <x:c r="D5975" s="2" t="n">
        <x:v>2021</x:v>
      </x:c>
      <x:c r="E5975" s="2" t="str">
        <x:v>WB_poverty</x:v>
      </x:c>
      <x:c r="F5975" s="2" t="str">
        <x:v>Poverty headcount ratio at $3.00 a day (2021 PPP) (% of population)</x:v>
      </x:c>
    </x:row>
    <x:row r="5976" ht="44" customHeight="1">
      <x:c r="A5976" s="2" t="str">
        <x:v>TON</x:v>
      </x:c>
      <x:c r="B5976" s="2" t="str">
        <x:v>gini</x:v>
      </x:c>
      <x:c r="C5976" s="2" t="n">
        <x:v>27.1</x:v>
      </x:c>
      <x:c r="D5976" s="2" t="n">
        <x:v>2021</x:v>
      </x:c>
      <x:c r="E5976" s="2" t="str">
        <x:v>WB_gini</x:v>
      </x:c>
      <x:c r="F5976" s="2" t="str">
        <x:v>Gini index</x:v>
      </x:c>
    </x:row>
    <x:row r="5977" ht="44" customHeight="1">
      <x:c r="A5977" s="2" t="str">
        <x:v>TON</x:v>
      </x:c>
      <x:c r="B5977" s="2" t="str">
        <x:v>unemployment</x:v>
      </x:c>
      <x:c r="C5977" s="2" t="n">
        <x:v>2.008</x:v>
      </x:c>
      <x:c r="D5977" s="2" t="n">
        <x:v>2025</x:v>
      </x:c>
      <x:c r="E5977" s="2" t="str">
        <x:v>WB_unemployment</x:v>
      </x:c>
      <x:c r="F5977" s="2" t="str">
        <x:v>Unemployment, total (% of total labor force) (modeled ILO estimate)</x:v>
      </x:c>
    </x:row>
    <x:row r="5978" ht="44" customHeight="1">
      <x:c r="A5978" s="2" t="str">
        <x:v>TON</x:v>
      </x:c>
      <x:c r="B5978" s="2" t="str">
        <x:v>private_credit</x:v>
      </x:c>
      <x:c r="C5978" s="2" t="n">
        <x:v>34.1086238020897</x:v>
      </x:c>
      <x:c r="D5978" s="2" t="n">
        <x:v>2025</x:v>
      </x:c>
      <x:c r="E5978" s="2" t="str">
        <x:v>WB_private_credit</x:v>
      </x:c>
      <x:c r="F5978" s="2" t="str">
        <x:v>Domestic credit to private sector (% of GDP)</x:v>
      </x:c>
    </x:row>
    <x:row r="5979" ht="44" customHeight="1">
      <x:c r="A5979" s="2" t="str">
        <x:v>TON</x:v>
      </x:c>
      <x:c r="B5979" s="2" t="str">
        <x:v>lending_rate</x:v>
      </x:c>
      <x:c r="C5979" s="2" t="n">
        <x:v>7.5647054715086</x:v>
      </x:c>
      <x:c r="D5979" s="2" t="n">
        <x:v>2025</x:v>
      </x:c>
      <x:c r="E5979" s="2" t="str">
        <x:v>WB_lending_rate</x:v>
      </x:c>
      <x:c r="F5979" s="2" t="str">
        <x:v>Lending interest rate (%)</x:v>
      </x:c>
    </x:row>
    <x:row r="5980" ht="44" customHeight="1">
      <x:c r="A5980" s="2" t="str">
        <x:v>TON</x:v>
      </x:c>
      <x:c r="B5980" s="2" t="str">
        <x:v>real_interest</x:v>
      </x:c>
      <x:c r="C5980" s="2" t="n">
        <x:v>4.4724691945541</x:v>
      </x:c>
      <x:c r="D5980" s="2" t="n">
        <x:v>2025</x:v>
      </x:c>
      <x:c r="E5980" s="2" t="str">
        <x:v>WB_real_interest</x:v>
      </x:c>
      <x:c r="F5980" s="2" t="str">
        <x:v>Real interest rate (%)</x:v>
      </x:c>
    </x:row>
    <x:row r="5981" ht="44" customHeight="1">
      <x:c r="A5981" s="2" t="str">
        <x:v>TON</x:v>
      </x:c>
      <x:c r="B5981" s="2" t="str">
        <x:v>government_debt</x:v>
      </x:c>
      <x:c r="C5981" s="2" t="n">
        <x:v>43.0808031004535</x:v>
      </x:c>
      <x:c r="D5981" s="2" t="n">
        <x:v>2020</x:v>
      </x:c>
      <x:c r="E5981" s="2" t="str">
        <x:v>WB_government_debt</x:v>
      </x:c>
      <x:c r="F5981" s="2" t="str">
        <x:v>Central government debt, total (% of GDP)</x:v>
      </x:c>
    </x:row>
    <x:row r="5982" ht="44" customHeight="1">
      <x:c r="A5982" s="2" t="str">
        <x:v>TON</x:v>
      </x:c>
      <x:c r="B5982" s="2" t="str">
        <x:v>electricity_access</x:v>
      </x:c>
      <x:c r="C5982" s="2" t="n">
        <x:v>100</x:v>
      </x:c>
      <x:c r="D5982" s="2" t="n">
        <x:v>2024</x:v>
      </x:c>
      <x:c r="E5982" s="2" t="str">
        <x:v>WB_electricity_access</x:v>
      </x:c>
      <x:c r="F5982" s="2" t="str">
        <x:v>Access to electricity (% of population)</x:v>
      </x:c>
    </x:row>
    <x:row r="5983" ht="44" customHeight="1">
      <x:c r="A5983" s="2" t="str">
        <x:v>TON</x:v>
      </x:c>
      <x:c r="B5983" s="2" t="str">
        <x:v>irrigated_land</x:v>
      </x:c>
      <x:c r="C5983" s="2"/>
      <x:c r="D5983" s="2"/>
      <x:c r="E5983" s="2" t="str">
        <x:v>Missing</x:v>
      </x:c>
      <x:c r="F5983" s="2" t="str">
        <x:v>Agricultural irrigated land (% of total agricultural land)</x:v>
      </x:c>
    </x:row>
    <x:row r="5984" ht="44" customHeight="1">
      <x:c r="A5984" s="2" t="str">
        <x:v>TON</x:v>
      </x:c>
      <x:c r="B5984" s="2" t="str">
        <x:v>cereal_area</x:v>
      </x:c>
      <x:c r="C5984" s="2"/>
      <x:c r="D5984" s="2"/>
      <x:c r="E5984" s="2" t="str">
        <x:v>Missing</x:v>
      </x:c>
      <x:c r="F5984" s="2" t="str">
        <x:v>Land under cereal production (hectares)</x:v>
      </x:c>
    </x:row>
    <x:row r="5985" ht="44" customHeight="1">
      <x:c r="A5985" s="2" t="str">
        <x:v>TON</x:v>
      </x:c>
      <x:c r="B5985" s="2" t="str">
        <x:v>undernourishment</x:v>
      </x:c>
      <x:c r="C5985" s="2"/>
      <x:c r="D5985" s="2"/>
      <x:c r="E5985" s="2" t="str">
        <x:v>Missing</x:v>
      </x:c>
      <x:c r="F5985" s="2" t="str">
        <x:v>Prevalence of undernourishment (% of population)</x:v>
      </x:c>
    </x:row>
    <x:row r="5986" ht="44" customHeight="1">
      <x:c r="A5986" s="2" t="str">
        <x:v>TON</x:v>
      </x:c>
      <x:c r="B5986" s="2" t="str">
        <x:v>agriculture_employment</x:v>
      </x:c>
      <x:c r="C5986" s="2" t="n">
        <x:v>23.6093830607228</x:v>
      </x:c>
      <x:c r="D5986" s="2" t="n">
        <x:v>2025</x:v>
      </x:c>
      <x:c r="E5986" s="2" t="str">
        <x:v>WB_agriculture_employment</x:v>
      </x:c>
      <x:c r="F5986" s="2" t="str">
        <x:v>Employment in agriculture (% of total employment) (modeled ILO estimate)</x:v>
      </x:c>
    </x:row>
    <x:row r="5987" ht="44" customHeight="1">
      <x:c r="A5987" s="2" t="str">
        <x:v>TON</x:v>
      </x:c>
      <x:c r="B5987" s="2" t="str">
        <x:v>water_withdrawal</x:v>
      </x:c>
      <x:c r="C5987" s="2"/>
      <x:c r="D5987" s="2"/>
      <x:c r="E5987" s="2" t="str">
        <x:v>Missing</x:v>
      </x:c>
      <x:c r="F5987" s="2" t="str">
        <x:v>Annual freshwater withdrawals, total (% of internal resources)</x:v>
      </x:c>
    </x:row>
    <x:row r="5988" ht="44" customHeight="1">
      <x:c r="A5988" s="2" t="str">
        <x:v>TTO</x:v>
      </x:c>
      <x:c r="B5988" s="2" t="str">
        <x:v>population</x:v>
      </x:c>
      <x:c r="C5988" s="2" t="n">
        <x:v>1367764</x:v>
      </x:c>
      <x:c r="D5988" s="2" t="n">
        <x:v>2025</x:v>
      </x:c>
      <x:c r="E5988" s="2" t="str">
        <x:v>WB_population</x:v>
      </x:c>
      <x:c r="F5988" s="2" t="str">
        <x:v>Population, total</x:v>
      </x:c>
    </x:row>
    <x:row r="5989" ht="44" customHeight="1">
      <x:c r="A5989" s="2" t="str">
        <x:v>TTO</x:v>
      </x:c>
      <x:c r="B5989" s="2" t="str">
        <x:v>income_ppp</x:v>
      </x:c>
      <x:c r="C5989" s="2" t="n">
        <x:v>31721.5757411236</x:v>
      </x:c>
      <x:c r="D5989" s="2" t="n">
        <x:v>2025</x:v>
      </x:c>
      <x:c r="E5989" s="2" t="str">
        <x:v>WB_income_ppp</x:v>
      </x:c>
      <x:c r="F5989" s="2" t="str">
        <x:v>GDP per capita, PPP (constant 2021 international $)</x:v>
      </x:c>
    </x:row>
    <x:row r="5990" ht="44" customHeight="1">
      <x:c r="A5990" s="2" t="str">
        <x:v>TTO</x:v>
      </x:c>
      <x:c r="B5990" s="2" t="str">
        <x:v>urban</x:v>
      </x:c>
      <x:c r="C5990" s="2" t="n">
        <x:v>53.9696087417106</x:v>
      </x:c>
      <x:c r="D5990" s="2" t="n">
        <x:v>2025</x:v>
      </x:c>
      <x:c r="E5990" s="2" t="str">
        <x:v>WB_urban</x:v>
      </x:c>
      <x:c r="F5990" s="2" t="str">
        <x:v>Urban population (% of total population)</x:v>
      </x:c>
    </x:row>
    <x:row r="5991" ht="44" customHeight="1">
      <x:c r="A5991" s="2" t="str">
        <x:v>TTO</x:v>
      </x:c>
      <x:c r="B5991" s="2" t="str">
        <x:v>inflation</x:v>
      </x:c>
      <x:c r="C5991" s="2" t="n">
        <x:v>0.994489987904821</x:v>
      </x:c>
      <x:c r="D5991" s="2" t="n">
        <x:v>2025</x:v>
      </x:c>
      <x:c r="E5991" s="2" t="str">
        <x:v>WB_inflation</x:v>
      </x:c>
      <x:c r="F5991" s="2" t="str">
        <x:v>Inflation, consumer prices (annual %)</x:v>
      </x:c>
    </x:row>
    <x:row r="5992" ht="44" customHeight="1">
      <x:c r="A5992" s="2" t="str">
        <x:v>TTO</x:v>
      </x:c>
      <x:c r="B5992" s="2" t="str">
        <x:v>food_index</x:v>
      </x:c>
      <x:c r="C5992" s="2" t="n">
        <x:v>93.08</x:v>
      </x:c>
      <x:c r="D5992" s="2" t="n">
        <x:v>2022</x:v>
      </x:c>
      <x:c r="E5992" s="2" t="str">
        <x:v>WB_food_index</x:v>
      </x:c>
      <x:c r="F5992" s="2" t="str">
        <x:v>Food production index (2014-2016 = 100)</x:v>
      </x:c>
    </x:row>
    <x:row r="5993" ht="44" customHeight="1">
      <x:c r="A5993" s="2" t="str">
        <x:v>TTO</x:v>
      </x:c>
      <x:c r="B5993" s="2" t="str">
        <x:v>food_import_share</x:v>
      </x:c>
      <x:c r="C5993" s="2" t="n">
        <x:v>16.4402501115698</x:v>
      </x:c>
      <x:c r="D5993" s="2" t="n">
        <x:v>2024</x:v>
      </x:c>
      <x:c r="E5993" s="2" t="str">
        <x:v>WB_food_import_share</x:v>
      </x:c>
      <x:c r="F5993" s="2" t="str">
        <x:v>Food imports (% of merchandise imports)</x:v>
      </x:c>
    </x:row>
    <x:row r="5994" ht="44" customHeight="1">
      <x:c r="A5994" s="2" t="str">
        <x:v>TTO</x:v>
      </x:c>
      <x:c r="B5994" s="2" t="str">
        <x:v>food_export_share</x:v>
      </x:c>
      <x:c r="C5994" s="2" t="n">
        <x:v>8.2042318731316</x:v>
      </x:c>
      <x:c r="D5994" s="2" t="n">
        <x:v>2024</x:v>
      </x:c>
      <x:c r="E5994" s="2" t="str">
        <x:v>WB_food_export_share</x:v>
      </x:c>
      <x:c r="F5994" s="2" t="str">
        <x:v>Food exports (% of merchandise exports)</x:v>
      </x:c>
    </x:row>
    <x:row r="5995" ht="44" customHeight="1">
      <x:c r="A5995" s="2" t="str">
        <x:v>TTO</x:v>
      </x:c>
      <x:c r="B5995" s="2" t="str">
        <x:v>imports_usd</x:v>
      </x:c>
      <x:c r="C5995" s="2" t="n">
        <x:v>5797000000</x:v>
      </x:c>
      <x:c r="D5995" s="2" t="n">
        <x:v>2025</x:v>
      </x:c>
      <x:c r="E5995" s="2" t="str">
        <x:v>WB_imports_usd</x:v>
      </x:c>
      <x:c r="F5995" s="2" t="str">
        <x:v>Merchandise imports (current US$)</x:v>
      </x:c>
    </x:row>
    <x:row r="5996" ht="44" customHeight="1">
      <x:c r="A5996" s="2" t="str">
        <x:v>TTO</x:v>
      </x:c>
      <x:c r="B5996" s="2" t="str">
        <x:v>exports_usd</x:v>
      </x:c>
      <x:c r="C5996" s="2" t="n">
        <x:v>6816000000</x:v>
      </x:c>
      <x:c r="D5996" s="2" t="n">
        <x:v>2025</x:v>
      </x:c>
      <x:c r="E5996" s="2" t="str">
        <x:v>WB_exports_usd</x:v>
      </x:c>
      <x:c r="F5996" s="2" t="str">
        <x:v>Merchandise exports (current US$)</x:v>
      </x:c>
    </x:row>
    <x:row r="5997" ht="44" customHeight="1">
      <x:c r="A5997" s="2" t="str">
        <x:v>TTO</x:v>
      </x:c>
      <x:c r="B5997" s="2" t="str">
        <x:v>cereal_yield</x:v>
      </x:c>
      <x:c r="C5997" s="2" t="n">
        <x:v>1600.3</x:v>
      </x:c>
      <x:c r="D5997" s="2" t="n">
        <x:v>2023</x:v>
      </x:c>
      <x:c r="E5997" s="2" t="str">
        <x:v>WB_cereal_yield</x:v>
      </x:c>
      <x:c r="F5997" s="2" t="str">
        <x:v>Cereal yield (kg per hectare)</x:v>
      </x:c>
    </x:row>
    <x:row r="5998" ht="44" customHeight="1">
      <x:c r="A5998" s="2" t="str">
        <x:v>TTO</x:v>
      </x:c>
      <x:c r="B5998" s="2" t="str">
        <x:v>water_stress</x:v>
      </x:c>
      <x:c r="C5998" s="2" t="n">
        <x:v>20.32648126</x:v>
      </x:c>
      <x:c r="D5998" s="2" t="n">
        <x:v>2022</x:v>
      </x:c>
      <x:c r="E5998" s="2" t="str">
        <x:v>WB_water_stress</x:v>
      </x:c>
      <x:c r="F5998" s="2" t="str">
        <x:v>Level of water stress: freshwater withdrawal as a proportion of available freshwater resources</x:v>
      </x:c>
    </x:row>
    <x:row r="5999" ht="44" customHeight="1">
      <x:c r="A5999" s="2" t="str">
        <x:v>TTO</x:v>
      </x:c>
      <x:c r="B5999" s="2" t="str">
        <x:v>fertility</x:v>
      </x:c>
      <x:c r="C5999" s="2" t="n">
        <x:v>1.536</x:v>
      </x:c>
      <x:c r="D5999" s="2" t="n">
        <x:v>2024</x:v>
      </x:c>
      <x:c r="E5999" s="2" t="str">
        <x:v>WB_fertility</x:v>
      </x:c>
      <x:c r="F5999" s="2" t="str">
        <x:v>Fertility rate, total (births per woman)</x:v>
      </x:c>
    </x:row>
    <x:row r="6000" ht="44" customHeight="1">
      <x:c r="A6000" s="2" t="str">
        <x:v>TTO</x:v>
      </x:c>
      <x:c r="B6000" s="2" t="str">
        <x:v>life_expectancy</x:v>
      </x:c>
      <x:c r="C6000" s="2" t="n">
        <x:v>73.617</x:v>
      </x:c>
      <x:c r="D6000" s="2" t="n">
        <x:v>2024</x:v>
      </x:c>
      <x:c r="E6000" s="2" t="str">
        <x:v>WB_life_expectancy</x:v>
      </x:c>
      <x:c r="F6000" s="2" t="str">
        <x:v>Life expectancy at birth, total (years)</x:v>
      </x:c>
    </x:row>
    <x:row r="6001" ht="44" customHeight="1">
      <x:c r="A6001" s="2" t="str">
        <x:v>TTO</x:v>
      </x:c>
      <x:c r="B6001" s="2" t="str">
        <x:v>age_under15</x:v>
      </x:c>
      <x:c r="C6001" s="2" t="n">
        <x:v>17.4922823932687</x:v>
      </x:c>
      <x:c r="D6001" s="2" t="n">
        <x:v>2025</x:v>
      </x:c>
      <x:c r="E6001" s="2" t="str">
        <x:v>WB_age_under15</x:v>
      </x:c>
      <x:c r="F6001" s="2" t="str">
        <x:v>Population ages 0-14 (% of total population)</x:v>
      </x:c>
    </x:row>
    <x:row r="6002" ht="44" customHeight="1">
      <x:c r="A6002" s="2" t="str">
        <x:v>TTO</x:v>
      </x:c>
      <x:c r="B6002" s="2" t="str">
        <x:v>age_over65</x:v>
      </x:c>
      <x:c r="C6002" s="2" t="n">
        <x:v>12.9254775320864</x:v>
      </x:c>
      <x:c r="D6002" s="2" t="n">
        <x:v>2025</x:v>
      </x:c>
      <x:c r="E6002" s="2" t="str">
        <x:v>WB_age_over65</x:v>
      </x:c>
      <x:c r="F6002" s="2" t="str">
        <x:v>Population ages 65 and above (% of total population)</x:v>
      </x:c>
    </x:row>
    <x:row r="6003" ht="44" customHeight="1">
      <x:c r="A6003" s="2" t="str">
        <x:v>TTO</x:v>
      </x:c>
      <x:c r="B6003" s="2" t="str">
        <x:v>dependency_ratio</x:v>
      </x:c>
      <x:c r="C6003" s="2" t="n">
        <x:v>43.7148071756324</x:v>
      </x:c>
      <x:c r="D6003" s="2" t="n">
        <x:v>2025</x:v>
      </x:c>
      <x:c r="E6003" s="2" t="str">
        <x:v>WB_dependency_ratio</x:v>
      </x:c>
      <x:c r="F6003" s="2" t="str">
        <x:v>Age dependency ratio (% of working-age population)</x:v>
      </x:c>
    </x:row>
    <x:row r="6004" ht="44" customHeight="1">
      <x:c r="A6004" s="2" t="str">
        <x:v>TTO</x:v>
      </x:c>
      <x:c r="B6004" s="2" t="str">
        <x:v>net_migration</x:v>
      </x:c>
      <x:c r="C6004" s="2" t="n">
        <x:v>691</x:v>
      </x:c>
      <x:c r="D6004" s="2" t="n">
        <x:v>2025</x:v>
      </x:c>
      <x:c r="E6004" s="2" t="str">
        <x:v>WB_net_migration</x:v>
      </x:c>
      <x:c r="F6004" s="2" t="str">
        <x:v>Net migration</x:v>
      </x:c>
    </x:row>
    <x:row r="6005" ht="44" customHeight="1">
      <x:c r="A6005" s="2" t="str">
        <x:v>TTO</x:v>
      </x:c>
      <x:c r="B6005" s="2" t="str">
        <x:v>real_gdp</x:v>
      </x:c>
      <x:c r="C6005" s="2" t="n">
        <x:v>22145074350.9522</x:v>
      </x:c>
      <x:c r="D6005" s="2" t="n">
        <x:v>2025</x:v>
      </x:c>
      <x:c r="E6005" s="2" t="str">
        <x:v>WB_real_gdp</x:v>
      </x:c>
      <x:c r="F6005" s="2" t="str">
        <x:v>GDP (constant 2015 US$)</x:v>
      </x:c>
    </x:row>
    <x:row r="6006" ht="44" customHeight="1">
      <x:c r="A6006" s="2" t="str">
        <x:v>TTO</x:v>
      </x:c>
      <x:c r="B6006" s="2" t="str">
        <x:v>gdp_growth</x:v>
      </x:c>
      <x:c r="C6006" s="2" t="n">
        <x:v>-0.787768572727643</x:v>
      </x:c>
      <x:c r="D6006" s="2" t="n">
        <x:v>2025</x:v>
      </x:c>
      <x:c r="E6006" s="2" t="str">
        <x:v>WB_gdp_growth</x:v>
      </x:c>
      <x:c r="F6006" s="2" t="str">
        <x:v>GDP growth (annual %)</x:v>
      </x:c>
    </x:row>
    <x:row r="6007" ht="44" customHeight="1">
      <x:c r="A6007" s="2" t="str">
        <x:v>TTO</x:v>
      </x:c>
      <x:c r="B6007" s="2" t="str">
        <x:v>real_income</x:v>
      </x:c>
      <x:c r="C6007" s="2" t="n">
        <x:v>16190.712981883</x:v>
      </x:c>
      <x:c r="D6007" s="2" t="n">
        <x:v>2025</x:v>
      </x:c>
      <x:c r="E6007" s="2" t="str">
        <x:v>WB_real_income</x:v>
      </x:c>
      <x:c r="F6007" s="2" t="str">
        <x:v>GDP per capita (constant 2015 US$)</x:v>
      </x:c>
    </x:row>
    <x:row r="6008" ht="44" customHeight="1">
      <x:c r="A6008" s="2" t="str">
        <x:v>TTO</x:v>
      </x:c>
      <x:c r="B6008" s="2" t="str">
        <x:v>agriculture_gdp</x:v>
      </x:c>
      <x:c r="C6008" s="2" t="n">
        <x:v>0.777630166856125</x:v>
      </x:c>
      <x:c r="D6008" s="2" t="n">
        <x:v>2024</x:v>
      </x:c>
      <x:c r="E6008" s="2" t="str">
        <x:v>WB_agriculture_gdp</x:v>
      </x:c>
      <x:c r="F6008" s="2" t="str">
        <x:v>Agriculture, forestry, and fishing, value added (% of GDP)</x:v>
      </x:c>
    </x:row>
    <x:row r="6009" ht="44" customHeight="1">
      <x:c r="A6009" s="2" t="str">
        <x:v>TTO</x:v>
      </x:c>
      <x:c r="B6009" s="2" t="str">
        <x:v>poverty</x:v>
      </x:c>
      <x:c r="C6009" s="2"/>
      <x:c r="D6009" s="2"/>
      <x:c r="E6009" s="2" t="str">
        <x:v>Missing</x:v>
      </x:c>
      <x:c r="F6009" s="2" t="str">
        <x:v>Poverty headcount ratio at $3.00 a day (2021 PPP) (% of population)</x:v>
      </x:c>
    </x:row>
    <x:row r="6010" ht="44" customHeight="1">
      <x:c r="A6010" s="2" t="str">
        <x:v>TTO</x:v>
      </x:c>
      <x:c r="B6010" s="2" t="str">
        <x:v>gini</x:v>
      </x:c>
      <x:c r="C6010" s="2"/>
      <x:c r="D6010" s="2"/>
      <x:c r="E6010" s="2" t="str">
        <x:v>Missing</x:v>
      </x:c>
      <x:c r="F6010" s="2" t="str">
        <x:v>Gini index</x:v>
      </x:c>
    </x:row>
    <x:row r="6011" ht="44" customHeight="1">
      <x:c r="A6011" s="2" t="str">
        <x:v>TTO</x:v>
      </x:c>
      <x:c r="B6011" s="2" t="str">
        <x:v>unemployment</x:v>
      </x:c>
      <x:c r="C6011" s="2" t="n">
        <x:v>3.329</x:v>
      </x:c>
      <x:c r="D6011" s="2" t="n">
        <x:v>2025</x:v>
      </x:c>
      <x:c r="E6011" s="2" t="str">
        <x:v>WB_unemployment</x:v>
      </x:c>
      <x:c r="F6011" s="2" t="str">
        <x:v>Unemployment, total (% of total labor force) (modeled ILO estimate)</x:v>
      </x:c>
    </x:row>
    <x:row r="6012" ht="44" customHeight="1">
      <x:c r="A6012" s="2" t="str">
        <x:v>TTO</x:v>
      </x:c>
      <x:c r="B6012" s="2" t="str">
        <x:v>private_credit</x:v>
      </x:c>
      <x:c r="C6012" s="2" t="n">
        <x:v>50.3623144692795</x:v>
      </x:c>
      <x:c r="D6012" s="2" t="n">
        <x:v>2025</x:v>
      </x:c>
      <x:c r="E6012" s="2" t="str">
        <x:v>WB_private_credit</x:v>
      </x:c>
      <x:c r="F6012" s="2" t="str">
        <x:v>Domestic credit to private sector (% of GDP)</x:v>
      </x:c>
    </x:row>
    <x:row r="6013" ht="44" customHeight="1">
      <x:c r="A6013" s="2" t="str">
        <x:v>TTO</x:v>
      </x:c>
      <x:c r="B6013" s="2" t="str">
        <x:v>lending_rate</x:v>
      </x:c>
      <x:c r="C6013" s="2" t="n">
        <x:v>7.5</x:v>
      </x:c>
      <x:c r="D6013" s="2" t="n">
        <x:v>2024</x:v>
      </x:c>
      <x:c r="E6013" s="2" t="str">
        <x:v>WB_lending_rate</x:v>
      </x:c>
      <x:c r="F6013" s="2" t="str">
        <x:v>Lending interest rate (%)</x:v>
      </x:c>
    </x:row>
    <x:row r="6014" ht="44" customHeight="1">
      <x:c r="A6014" s="2" t="str">
        <x:v>TTO</x:v>
      </x:c>
      <x:c r="B6014" s="2" t="str">
        <x:v>real_interest</x:v>
      </x:c>
      <x:c r="C6014" s="2" t="n">
        <x:v>7.63507008462009</x:v>
      </x:c>
      <x:c r="D6014" s="2" t="n">
        <x:v>2024</x:v>
      </x:c>
      <x:c r="E6014" s="2" t="str">
        <x:v>WB_real_interest</x:v>
      </x:c>
      <x:c r="F6014" s="2" t="str">
        <x:v>Real interest rate (%)</x:v>
      </x:c>
    </x:row>
    <x:row r="6015" ht="44" customHeight="1">
      <x:c r="A6015" s="2" t="str">
        <x:v>TTO</x:v>
      </x:c>
      <x:c r="B6015" s="2" t="str">
        <x:v>government_debt</x:v>
      </x:c>
      <x:c r="C6015" s="2" t="n">
        <x:v>15.928004235045</x:v>
      </x:c>
      <x:c r="D6015" s="2" t="n">
        <x:v>2007</x:v>
      </x:c>
      <x:c r="E6015" s="2" t="str">
        <x:v>WB_government_debt</x:v>
      </x:c>
      <x:c r="F6015" s="2" t="str">
        <x:v>Central government debt, total (% of GDP)</x:v>
      </x:c>
    </x:row>
    <x:row r="6016" ht="44" customHeight="1">
      <x:c r="A6016" s="2" t="str">
        <x:v>TTO</x:v>
      </x:c>
      <x:c r="B6016" s="2" t="str">
        <x:v>electricity_access</x:v>
      </x:c>
      <x:c r="C6016" s="2" t="n">
        <x:v>100</x:v>
      </x:c>
      <x:c r="D6016" s="2" t="n">
        <x:v>2024</x:v>
      </x:c>
      <x:c r="E6016" s="2" t="str">
        <x:v>WB_electricity_access</x:v>
      </x:c>
      <x:c r="F6016" s="2" t="str">
        <x:v>Access to electricity (% of population)</x:v>
      </x:c>
    </x:row>
    <x:row r="6017" ht="44" customHeight="1">
      <x:c r="A6017" s="2" t="str">
        <x:v>TTO</x:v>
      </x:c>
      <x:c r="B6017" s="2" t="str">
        <x:v>irrigated_land</x:v>
      </x:c>
      <x:c r="C6017" s="2" t="n">
        <x:v>9.25925925925926</x:v>
      </x:c>
      <x:c r="D6017" s="2" t="n">
        <x:v>2012</x:v>
      </x:c>
      <x:c r="E6017" s="2" t="str">
        <x:v>WB_irrigated_land</x:v>
      </x:c>
      <x:c r="F6017" s="2" t="str">
        <x:v>Agricultural irrigated land (% of total agricultural land)</x:v>
      </x:c>
    </x:row>
    <x:row r="6018" ht="44" customHeight="1">
      <x:c r="A6018" s="2" t="str">
        <x:v>TTO</x:v>
      </x:c>
      <x:c r="B6018" s="2" t="str">
        <x:v>cereal_area</x:v>
      </x:c>
      <x:c r="C6018" s="2" t="n">
        <x:v>3328</x:v>
      </x:c>
      <x:c r="D6018" s="2" t="n">
        <x:v>2023</x:v>
      </x:c>
      <x:c r="E6018" s="2" t="str">
        <x:v>WB_cereal_area</x:v>
      </x:c>
      <x:c r="F6018" s="2" t="str">
        <x:v>Land under cereal production (hectares)</x:v>
      </x:c>
    </x:row>
    <x:row r="6019" ht="44" customHeight="1">
      <x:c r="A6019" s="2" t="str">
        <x:v>TTO</x:v>
      </x:c>
      <x:c r="B6019" s="2" t="str">
        <x:v>undernourishment</x:v>
      </x:c>
      <x:c r="C6019" s="2" t="n">
        <x:v>11.2</x:v>
      </x:c>
      <x:c r="D6019" s="2" t="n">
        <x:v>2023</x:v>
      </x:c>
      <x:c r="E6019" s="2" t="str">
        <x:v>WB_undernourishment</x:v>
      </x:c>
      <x:c r="F6019" s="2" t="str">
        <x:v>Prevalence of undernourishment (% of population)</x:v>
      </x:c>
    </x:row>
    <x:row r="6020" ht="44" customHeight="1">
      <x:c r="A6020" s="2" t="str">
        <x:v>TTO</x:v>
      </x:c>
      <x:c r="B6020" s="2" t="str">
        <x:v>agriculture_employment</x:v>
      </x:c>
      <x:c r="C6020" s="2" t="n">
        <x:v>4.49480655681181</x:v>
      </x:c>
      <x:c r="D6020" s="2" t="n">
        <x:v>2025</x:v>
      </x:c>
      <x:c r="E6020" s="2" t="str">
        <x:v>WB_agriculture_employment</x:v>
      </x:c>
      <x:c r="F6020" s="2" t="str">
        <x:v>Employment in agriculture (% of total employment) (modeled ILO estimate)</x:v>
      </x:c>
    </x:row>
    <x:row r="6021" ht="44" customHeight="1">
      <x:c r="A6021" s="2" t="str">
        <x:v>TTO</x:v>
      </x:c>
      <x:c r="B6021" s="2" t="str">
        <x:v>water_withdrawal</x:v>
      </x:c>
      <x:c r="C6021" s="2" t="n">
        <x:v>8.75520833333333</x:v>
      </x:c>
      <x:c r="D6021" s="2" t="n">
        <x:v>2022</x:v>
      </x:c>
      <x:c r="E6021" s="2" t="str">
        <x:v>WB_water_withdrawal</x:v>
      </x:c>
      <x:c r="F6021" s="2" t="str">
        <x:v>Annual freshwater withdrawals, total (% of internal resources)</x:v>
      </x:c>
    </x:row>
    <x:row r="6022" ht="44" customHeight="1">
      <x:c r="A6022" s="2" t="str">
        <x:v>TUN</x:v>
      </x:c>
      <x:c r="B6022" s="2" t="str">
        <x:v>population</x:v>
      </x:c>
      <x:c r="C6022" s="2" t="n">
        <x:v>12348573</x:v>
      </x:c>
      <x:c r="D6022" s="2" t="n">
        <x:v>2025</x:v>
      </x:c>
      <x:c r="E6022" s="2" t="str">
        <x:v>WB_population</x:v>
      </x:c>
      <x:c r="F6022" s="2" t="str">
        <x:v>Population, total</x:v>
      </x:c>
    </x:row>
    <x:row r="6023" ht="44" customHeight="1">
      <x:c r="A6023" s="2" t="str">
        <x:v>TUN</x:v>
      </x:c>
      <x:c r="B6023" s="2" t="str">
        <x:v>income_ppp</x:v>
      </x:c>
      <x:c r="C6023" s="2" t="n">
        <x:v>13017.6340422977</x:v>
      </x:c>
      <x:c r="D6023" s="2" t="n">
        <x:v>2025</x:v>
      </x:c>
      <x:c r="E6023" s="2" t="str">
        <x:v>WB_income_ppp</x:v>
      </x:c>
      <x:c r="F6023" s="2" t="str">
        <x:v>GDP per capita, PPP (constant 2021 international $)</x:v>
      </x:c>
    </x:row>
    <x:row r="6024" ht="44" customHeight="1">
      <x:c r="A6024" s="2" t="str">
        <x:v>TUN</x:v>
      </x:c>
      <x:c r="B6024" s="2" t="str">
        <x:v>urban</x:v>
      </x:c>
      <x:c r="C6024" s="2" t="n">
        <x:v>70.7029326009864</x:v>
      </x:c>
      <x:c r="D6024" s="2" t="n">
        <x:v>2025</x:v>
      </x:c>
      <x:c r="E6024" s="2" t="str">
        <x:v>WB_urban</x:v>
      </x:c>
      <x:c r="F6024" s="2" t="str">
        <x:v>Urban population (% of total population)</x:v>
      </x:c>
    </x:row>
    <x:row r="6025" ht="44" customHeight="1">
      <x:c r="A6025" s="2" t="str">
        <x:v>TUN</x:v>
      </x:c>
      <x:c r="B6025" s="2" t="str">
        <x:v>inflation</x:v>
      </x:c>
      <x:c r="C6025" s="2" t="n">
        <x:v>5.15100197572676</x:v>
      </x:c>
      <x:c r="D6025" s="2" t="n">
        <x:v>2025</x:v>
      </x:c>
      <x:c r="E6025" s="2" t="str">
        <x:v>WB_inflation</x:v>
      </x:c>
      <x:c r="F6025" s="2" t="str">
        <x:v>Inflation, consumer prices (annual %)</x:v>
      </x:c>
    </x:row>
    <x:row r="6026" ht="44" customHeight="1">
      <x:c r="A6026" s="2" t="str">
        <x:v>TUN</x:v>
      </x:c>
      <x:c r="B6026" s="2" t="str">
        <x:v>food_index</x:v>
      </x:c>
      <x:c r="C6026" s="2" t="n">
        <x:v>109.55</x:v>
      </x:c>
      <x:c r="D6026" s="2" t="n">
        <x:v>2022</x:v>
      </x:c>
      <x:c r="E6026" s="2" t="str">
        <x:v>WB_food_index</x:v>
      </x:c>
      <x:c r="F6026" s="2" t="str">
        <x:v>Food production index (2014-2016 = 100)</x:v>
      </x:c>
    </x:row>
    <x:row r="6027" ht="44" customHeight="1">
      <x:c r="A6027" s="2" t="str">
        <x:v>TUN</x:v>
      </x:c>
      <x:c r="B6027" s="2" t="str">
        <x:v>food_import_share</x:v>
      </x:c>
      <x:c r="C6027" s="2" t="n">
        <x:v>11.503005195086</x:v>
      </x:c>
      <x:c r="D6027" s="2" t="n">
        <x:v>2024</x:v>
      </x:c>
      <x:c r="E6027" s="2" t="str">
        <x:v>WB_food_import_share</x:v>
      </x:c>
      <x:c r="F6027" s="2" t="str">
        <x:v>Food imports (% of merchandise imports)</x:v>
      </x:c>
    </x:row>
    <x:row r="6028" ht="44" customHeight="1">
      <x:c r="A6028" s="2" t="str">
        <x:v>TUN</x:v>
      </x:c>
      <x:c r="B6028" s="2" t="str">
        <x:v>food_export_share</x:v>
      </x:c>
      <x:c r="C6028" s="2" t="n">
        <x:v>14.712356609845</x:v>
      </x:c>
      <x:c r="D6028" s="2" t="n">
        <x:v>2024</x:v>
      </x:c>
      <x:c r="E6028" s="2" t="str">
        <x:v>WB_food_export_share</x:v>
      </x:c>
      <x:c r="F6028" s="2" t="str">
        <x:v>Food exports (% of merchandise exports)</x:v>
      </x:c>
    </x:row>
    <x:row r="6029" ht="44" customHeight="1">
      <x:c r="A6029" s="2" t="str">
        <x:v>TUN</x:v>
      </x:c>
      <x:c r="B6029" s="2" t="str">
        <x:v>imports_usd</x:v>
      </x:c>
      <x:c r="C6029" s="2" t="n">
        <x:v>28591000000</x:v>
      </x:c>
      <x:c r="D6029" s="2" t="n">
        <x:v>2025</x:v>
      </x:c>
      <x:c r="E6029" s="2" t="str">
        <x:v>WB_imports_usd</x:v>
      </x:c>
      <x:c r="F6029" s="2" t="str">
        <x:v>Merchandise imports (current US$)</x:v>
      </x:c>
    </x:row>
    <x:row r="6030" ht="44" customHeight="1">
      <x:c r="A6030" s="2" t="str">
        <x:v>TUN</x:v>
      </x:c>
      <x:c r="B6030" s="2" t="str">
        <x:v>exports_usd</x:v>
      </x:c>
      <x:c r="C6030" s="2" t="n">
        <x:v>21293000000</x:v>
      </x:c>
      <x:c r="D6030" s="2" t="n">
        <x:v>2025</x:v>
      </x:c>
      <x:c r="E6030" s="2" t="str">
        <x:v>WB_exports_usd</x:v>
      </x:c>
      <x:c r="F6030" s="2" t="str">
        <x:v>Merchandise exports (current US$)</x:v>
      </x:c>
    </x:row>
    <x:row r="6031" ht="44" customHeight="1">
      <x:c r="A6031" s="2" t="str">
        <x:v>TUN</x:v>
      </x:c>
      <x:c r="B6031" s="2" t="str">
        <x:v>cereal_yield</x:v>
      </x:c>
      <x:c r="C6031" s="2" t="n">
        <x:v>1891.1</x:v>
      </x:c>
      <x:c r="D6031" s="2" t="n">
        <x:v>2024</x:v>
      </x:c>
      <x:c r="E6031" s="2" t="str">
        <x:v>WB_cereal_yield</x:v>
      </x:c>
      <x:c r="F6031" s="2" t="str">
        <x:v>Cereal yield (kg per hectare)</x:v>
      </x:c>
    </x:row>
    <x:row r="6032" ht="44" customHeight="1">
      <x:c r="A6032" s="2" t="str">
        <x:v>TUN</x:v>
      </x:c>
      <x:c r="B6032" s="2" t="str">
        <x:v>water_stress</x:v>
      </x:c>
      <x:c r="C6032" s="2" t="n">
        <x:v>98.11339918</x:v>
      </x:c>
      <x:c r="D6032" s="2" t="n">
        <x:v>2022</x:v>
      </x:c>
      <x:c r="E6032" s="2" t="str">
        <x:v>WB_water_stress</x:v>
      </x:c>
      <x:c r="F6032" s="2" t="str">
        <x:v>Level of water stress: freshwater withdrawal as a proportion of available freshwater resources</x:v>
      </x:c>
    </x:row>
    <x:row r="6033" ht="44" customHeight="1">
      <x:c r="A6033" s="2" t="str">
        <x:v>TUN</x:v>
      </x:c>
      <x:c r="B6033" s="2" t="str">
        <x:v>fertility</x:v>
      </x:c>
      <x:c r="C6033" s="2" t="n">
        <x:v>1.818</x:v>
      </x:c>
      <x:c r="D6033" s="2" t="n">
        <x:v>2024</x:v>
      </x:c>
      <x:c r="E6033" s="2" t="str">
        <x:v>WB_fertility</x:v>
      </x:c>
      <x:c r="F6033" s="2" t="str">
        <x:v>Fertility rate, total (births per woman)</x:v>
      </x:c>
    </x:row>
    <x:row r="6034" ht="44" customHeight="1">
      <x:c r="A6034" s="2" t="str">
        <x:v>TUN</x:v>
      </x:c>
      <x:c r="B6034" s="2" t="str">
        <x:v>life_expectancy</x:v>
      </x:c>
      <x:c r="C6034" s="2" t="n">
        <x:v>76.711</x:v>
      </x:c>
      <x:c r="D6034" s="2" t="n">
        <x:v>2024</x:v>
      </x:c>
      <x:c r="E6034" s="2" t="str">
        <x:v>WB_life_expectancy</x:v>
      </x:c>
      <x:c r="F6034" s="2" t="str">
        <x:v>Life expectancy at birth, total (years)</x:v>
      </x:c>
    </x:row>
    <x:row r="6035" ht="44" customHeight="1">
      <x:c r="A6035" s="2" t="str">
        <x:v>TUN</x:v>
      </x:c>
      <x:c r="B6035" s="2" t="str">
        <x:v>age_under15</x:v>
      </x:c>
      <x:c r="C6035" s="2" t="n">
        <x:v>23.5608681262199</x:v>
      </x:c>
      <x:c r="D6035" s="2" t="n">
        <x:v>2025</x:v>
      </x:c>
      <x:c r="E6035" s="2" t="str">
        <x:v>WB_age_under15</x:v>
      </x:c>
      <x:c r="F6035" s="2" t="str">
        <x:v>Population ages 0-14 (% of total population)</x:v>
      </x:c>
    </x:row>
    <x:row r="6036" ht="44" customHeight="1">
      <x:c r="A6036" s="2" t="str">
        <x:v>TUN</x:v>
      </x:c>
      <x:c r="B6036" s="2" t="str">
        <x:v>age_over65</x:v>
      </x:c>
      <x:c r="C6036" s="2" t="n">
        <x:v>9.9376502855836</x:v>
      </x:c>
      <x:c r="D6036" s="2" t="n">
        <x:v>2025</x:v>
      </x:c>
      <x:c r="E6036" s="2" t="str">
        <x:v>WB_age_over65</x:v>
      </x:c>
      <x:c r="F6036" s="2" t="str">
        <x:v>Population ages 65 and above (% of total population)</x:v>
      </x:c>
    </x:row>
    <x:row r="6037" ht="44" customHeight="1">
      <x:c r="A6037" s="2" t="str">
        <x:v>TUN</x:v>
      </x:c>
      <x:c r="B6037" s="2" t="str">
        <x:v>dependency_ratio</x:v>
      </x:c>
      <x:c r="C6037" s="2" t="n">
        <x:v>50.3725896202428</x:v>
      </x:c>
      <x:c r="D6037" s="2" t="n">
        <x:v>2025</x:v>
      </x:c>
      <x:c r="E6037" s="2" t="str">
        <x:v>WB_dependency_ratio</x:v>
      </x:c>
      <x:c r="F6037" s="2" t="str">
        <x:v>Age dependency ratio (% of working-age population)</x:v>
      </x:c>
    </x:row>
    <x:row r="6038" ht="44" customHeight="1">
      <x:c r="A6038" s="2" t="str">
        <x:v>TUN</x:v>
      </x:c>
      <x:c r="B6038" s="2" t="str">
        <x:v>net_migration</x:v>
      </x:c>
      <x:c r="C6038" s="2" t="n">
        <x:v>-14523</x:v>
      </x:c>
      <x:c r="D6038" s="2" t="n">
        <x:v>2025</x:v>
      </x:c>
      <x:c r="E6038" s="2" t="str">
        <x:v>WB_net_migration</x:v>
      </x:c>
      <x:c r="F6038" s="2" t="str">
        <x:v>Net migration</x:v>
      </x:c>
    </x:row>
    <x:row r="6039" ht="44" customHeight="1">
      <x:c r="A6039" s="2" t="str">
        <x:v>TUN</x:v>
      </x:c>
      <x:c r="B6039" s="2" t="str">
        <x:v>real_gdp</x:v>
      </x:c>
      <x:c r="C6039" s="2" t="n">
        <x:v>50410853187.1956</x:v>
      </x:c>
      <x:c r="D6039" s="2" t="n">
        <x:v>2025</x:v>
      </x:c>
      <x:c r="E6039" s="2" t="str">
        <x:v>WB_real_gdp</x:v>
      </x:c>
      <x:c r="F6039" s="2" t="str">
        <x:v>GDP (constant 2015 US$)</x:v>
      </x:c>
    </x:row>
    <x:row r="6040" ht="44" customHeight="1">
      <x:c r="A6040" s="2" t="str">
        <x:v>TUN</x:v>
      </x:c>
      <x:c r="B6040" s="2" t="str">
        <x:v>gdp_growth</x:v>
      </x:c>
      <x:c r="C6040" s="2" t="n">
        <x:v>2.49311010666248</x:v>
      </x:c>
      <x:c r="D6040" s="2" t="n">
        <x:v>2025</x:v>
      </x:c>
      <x:c r="E6040" s="2" t="str">
        <x:v>WB_gdp_growth</x:v>
      </x:c>
      <x:c r="F6040" s="2" t="str">
        <x:v>GDP growth (annual %)</x:v>
      </x:c>
    </x:row>
    <x:row r="6041" ht="44" customHeight="1">
      <x:c r="A6041" s="2" t="str">
        <x:v>TUN</x:v>
      </x:c>
      <x:c r="B6041" s="2" t="str">
        <x:v>real_income</x:v>
      </x:c>
      <x:c r="C6041" s="2" t="n">
        <x:v>4082.32215877864</x:v>
      </x:c>
      <x:c r="D6041" s="2" t="n">
        <x:v>2025</x:v>
      </x:c>
      <x:c r="E6041" s="2" t="str">
        <x:v>WB_real_income</x:v>
      </x:c>
      <x:c r="F6041" s="2" t="str">
        <x:v>GDP per capita (constant 2015 US$)</x:v>
      </x:c>
    </x:row>
    <x:row r="6042" ht="44" customHeight="1">
      <x:c r="A6042" s="2" t="str">
        <x:v>TUN</x:v>
      </x:c>
      <x:c r="B6042" s="2" t="str">
        <x:v>agriculture_gdp</x:v>
      </x:c>
      <x:c r="C6042" s="2" t="n">
        <x:v>10.2934775669857</x:v>
      </x:c>
      <x:c r="D6042" s="2" t="n">
        <x:v>2025</x:v>
      </x:c>
      <x:c r="E6042" s="2" t="str">
        <x:v>WB_agriculture_gdp</x:v>
      </x:c>
      <x:c r="F6042" s="2" t="str">
        <x:v>Agriculture, forestry, and fishing, value added (% of GDP)</x:v>
      </x:c>
    </x:row>
    <x:row r="6043" ht="44" customHeight="1">
      <x:c r="A6043" s="2" t="str">
        <x:v>TUN</x:v>
      </x:c>
      <x:c r="B6043" s="2" t="str">
        <x:v>poverty</x:v>
      </x:c>
      <x:c r="C6043" s="2" t="n">
        <x:v>0.7</x:v>
      </x:c>
      <x:c r="D6043" s="2" t="n">
        <x:v>2021</x:v>
      </x:c>
      <x:c r="E6043" s="2" t="str">
        <x:v>WB_poverty</x:v>
      </x:c>
      <x:c r="F6043" s="2" t="str">
        <x:v>Poverty headcount ratio at $3.00 a day (2021 PPP) (% of population)</x:v>
      </x:c>
    </x:row>
    <x:row r="6044" ht="44" customHeight="1">
      <x:c r="A6044" s="2" t="str">
        <x:v>TUN</x:v>
      </x:c>
      <x:c r="B6044" s="2" t="str">
        <x:v>gini</x:v>
      </x:c>
      <x:c r="C6044" s="2" t="n">
        <x:v>33.7</x:v>
      </x:c>
      <x:c r="D6044" s="2" t="n">
        <x:v>2021</x:v>
      </x:c>
      <x:c r="E6044" s="2" t="str">
        <x:v>WB_gini</x:v>
      </x:c>
      <x:c r="F6044" s="2" t="str">
        <x:v>Gini index</x:v>
      </x:c>
    </x:row>
    <x:row r="6045" ht="44" customHeight="1">
      <x:c r="A6045" s="2" t="str">
        <x:v>TUN</x:v>
      </x:c>
      <x:c r="B6045" s="2" t="str">
        <x:v>unemployment</x:v>
      </x:c>
      <x:c r="C6045" s="2" t="n">
        <x:v>15.108</x:v>
      </x:c>
      <x:c r="D6045" s="2" t="n">
        <x:v>2025</x:v>
      </x:c>
      <x:c r="E6045" s="2" t="str">
        <x:v>WB_unemployment</x:v>
      </x:c>
      <x:c r="F6045" s="2" t="str">
        <x:v>Unemployment, total (% of total labor force) (modeled ILO estimate)</x:v>
      </x:c>
    </x:row>
    <x:row r="6046" ht="44" customHeight="1">
      <x:c r="A6046" s="2" t="str">
        <x:v>TUN</x:v>
      </x:c>
      <x:c r="B6046" s="2" t="str">
        <x:v>private_credit</x:v>
      </x:c>
      <x:c r="C6046" s="2" t="n">
        <x:v>57.6858342508575</x:v>
      </x:c>
      <x:c r="D6046" s="2" t="n">
        <x:v>2025</x:v>
      </x:c>
      <x:c r="E6046" s="2" t="str">
        <x:v>WB_private_credit</x:v>
      </x:c>
      <x:c r="F6046" s="2" t="str">
        <x:v>Domestic credit to private sector (% of GDP)</x:v>
      </x:c>
    </x:row>
    <x:row r="6047" ht="44" customHeight="1">
      <x:c r="A6047" s="2" t="str">
        <x:v>TUN</x:v>
      </x:c>
      <x:c r="B6047" s="2" t="str">
        <x:v>lending_rate</x:v>
      </x:c>
      <x:c r="C6047" s="2"/>
      <x:c r="D6047" s="2"/>
      <x:c r="E6047" s="2" t="str">
        <x:v>Missing</x:v>
      </x:c>
      <x:c r="F6047" s="2" t="str">
        <x:v>Lending interest rate (%)</x:v>
      </x:c>
    </x:row>
    <x:row r="6048" ht="44" customHeight="1">
      <x:c r="A6048" s="2" t="str">
        <x:v>TUN</x:v>
      </x:c>
      <x:c r="B6048" s="2" t="str">
        <x:v>real_interest</x:v>
      </x:c>
      <x:c r="C6048" s="2"/>
      <x:c r="D6048" s="2"/>
      <x:c r="E6048" s="2" t="str">
        <x:v>Missing</x:v>
      </x:c>
      <x:c r="F6048" s="2" t="str">
        <x:v>Real interest rate (%)</x:v>
      </x:c>
    </x:row>
    <x:row r="6049" ht="44" customHeight="1">
      <x:c r="A6049" s="2" t="str">
        <x:v>TUN</x:v>
      </x:c>
      <x:c r="B6049" s="2" t="str">
        <x:v>government_debt</x:v>
      </x:c>
      <x:c r="C6049" s="2" t="n">
        <x:v>42.5197543010178</x:v>
      </x:c>
      <x:c r="D6049" s="2" t="n">
        <x:v>2012</x:v>
      </x:c>
      <x:c r="E6049" s="2" t="str">
        <x:v>WB_government_debt</x:v>
      </x:c>
      <x:c r="F6049" s="2" t="str">
        <x:v>Central government debt, total (% of GDP)</x:v>
      </x:c>
    </x:row>
    <x:row r="6050" ht="44" customHeight="1">
      <x:c r="A6050" s="2" t="str">
        <x:v>TUN</x:v>
      </x:c>
      <x:c r="B6050" s="2" t="str">
        <x:v>electricity_access</x:v>
      </x:c>
      <x:c r="C6050" s="2" t="n">
        <x:v>100</x:v>
      </x:c>
      <x:c r="D6050" s="2" t="n">
        <x:v>2024</x:v>
      </x:c>
      <x:c r="E6050" s="2" t="str">
        <x:v>WB_electricity_access</x:v>
      </x:c>
      <x:c r="F6050" s="2" t="str">
        <x:v>Access to electricity (% of population)</x:v>
      </x:c>
    </x:row>
    <x:row r="6051" ht="44" customHeight="1">
      <x:c r="A6051" s="2" t="str">
        <x:v>TUN</x:v>
      </x:c>
      <x:c r="B6051" s="2" t="str">
        <x:v>irrigated_land</x:v>
      </x:c>
      <x:c r="C6051" s="2" t="n">
        <x:v>3.94247209091823</x:v>
      </x:c>
      <x:c r="D6051" s="2" t="n">
        <x:v>2013</x:v>
      </x:c>
      <x:c r="E6051" s="2" t="str">
        <x:v>WB_irrigated_land</x:v>
      </x:c>
      <x:c r="F6051" s="2" t="str">
        <x:v>Agricultural irrigated land (% of total agricultural land)</x:v>
      </x:c>
    </x:row>
    <x:row r="6052" ht="44" customHeight="1">
      <x:c r="A6052" s="2" t="str">
        <x:v>TUN</x:v>
      </x:c>
      <x:c r="B6052" s="2" t="str">
        <x:v>cereal_area</x:v>
      </x:c>
      <x:c r="C6052" s="2" t="n">
        <x:v>795426</x:v>
      </x:c>
      <x:c r="D6052" s="2" t="n">
        <x:v>2024</x:v>
      </x:c>
      <x:c r="E6052" s="2" t="str">
        <x:v>WB_cereal_area</x:v>
      </x:c>
      <x:c r="F6052" s="2" t="str">
        <x:v>Land under cereal production (hectares)</x:v>
      </x:c>
    </x:row>
    <x:row r="6053" ht="44" customHeight="1">
      <x:c r="A6053" s="2" t="str">
        <x:v>TUN</x:v>
      </x:c>
      <x:c r="B6053" s="2" t="str">
        <x:v>undernourishment</x:v>
      </x:c>
      <x:c r="C6053" s="2" t="n">
        <x:v>3</x:v>
      </x:c>
      <x:c r="D6053" s="2" t="n">
        <x:v>2023</x:v>
      </x:c>
      <x:c r="E6053" s="2" t="str">
        <x:v>WB_undernourishment</x:v>
      </x:c>
      <x:c r="F6053" s="2" t="str">
        <x:v>Prevalence of undernourishment (% of population)</x:v>
      </x:c>
    </x:row>
    <x:row r="6054" ht="44" customHeight="1">
      <x:c r="A6054" s="2" t="str">
        <x:v>TUN</x:v>
      </x:c>
      <x:c r="B6054" s="2" t="str">
        <x:v>agriculture_employment</x:v>
      </x:c>
      <x:c r="C6054" s="2" t="n">
        <x:v>12.4585272316917</x:v>
      </x:c>
      <x:c r="D6054" s="2" t="n">
        <x:v>2025</x:v>
      </x:c>
      <x:c r="E6054" s="2" t="str">
        <x:v>WB_agriculture_employment</x:v>
      </x:c>
      <x:c r="F6054" s="2" t="str">
        <x:v>Employment in agriculture (% of total employment) (modeled ILO estimate)</x:v>
      </x:c>
    </x:row>
    <x:row r="6055" ht="44" customHeight="1">
      <x:c r="A6055" s="2" t="str">
        <x:v>TUN</x:v>
      </x:c>
      <x:c r="B6055" s="2" t="str">
        <x:v>water_withdrawal</x:v>
      </x:c>
      <x:c r="C6055" s="2" t="n">
        <x:v>92.1096543504172</x:v>
      </x:c>
      <x:c r="D6055" s="2" t="n">
        <x:v>2022</x:v>
      </x:c>
      <x:c r="E6055" s="2" t="str">
        <x:v>WB_water_withdrawal</x:v>
      </x:c>
      <x:c r="F6055" s="2" t="str">
        <x:v>Annual freshwater withdrawals, total (% of internal resources)</x:v>
      </x:c>
    </x:row>
    <x:row r="6056" ht="44" customHeight="1">
      <x:c r="A6056" s="2" t="str">
        <x:v>TKM</x:v>
      </x:c>
      <x:c r="B6056" s="2" t="str">
        <x:v>population</x:v>
      </x:c>
      <x:c r="C6056" s="2" t="n">
        <x:v>7618847</x:v>
      </x:c>
      <x:c r="D6056" s="2" t="n">
        <x:v>2025</x:v>
      </x:c>
      <x:c r="E6056" s="2" t="str">
        <x:v>WB_population</x:v>
      </x:c>
      <x:c r="F6056" s="2" t="str">
        <x:v>Population, total</x:v>
      </x:c>
    </x:row>
    <x:row r="6057" ht="44" customHeight="1">
      <x:c r="A6057" s="2" t="str">
        <x:v>TKM</x:v>
      </x:c>
      <x:c r="B6057" s="2" t="str">
        <x:v>income_ppp</x:v>
      </x:c>
      <x:c r="C6057" s="2" t="n">
        <x:v>19313.9430262025</x:v>
      </x:c>
      <x:c r="D6057" s="2" t="n">
        <x:v>2025</x:v>
      </x:c>
      <x:c r="E6057" s="2" t="str">
        <x:v>WB_income_ppp</x:v>
      </x:c>
      <x:c r="F6057" s="2" t="str">
        <x:v>GDP per capita, PPP (constant 2021 international $)</x:v>
      </x:c>
    </x:row>
    <x:row r="6058" ht="44" customHeight="1">
      <x:c r="A6058" s="2" t="str">
        <x:v>TKM</x:v>
      </x:c>
      <x:c r="B6058" s="2" t="str">
        <x:v>urban</x:v>
      </x:c>
      <x:c r="C6058" s="2" t="n">
        <x:v>47.1053608253747</x:v>
      </x:c>
      <x:c r="D6058" s="2" t="n">
        <x:v>2025</x:v>
      </x:c>
      <x:c r="E6058" s="2" t="str">
        <x:v>WB_urban</x:v>
      </x:c>
      <x:c r="F6058" s="2" t="str">
        <x:v>Urban population (% of total population)</x:v>
      </x:c>
    </x:row>
    <x:row r="6059" ht="44" customHeight="1">
      <x:c r="A6059" s="2" t="str">
        <x:v>TKM</x:v>
      </x:c>
      <x:c r="B6059" s="2" t="str">
        <x:v>inflation</x:v>
      </x:c>
      <x:c r="C6059" s="2"/>
      <x:c r="D6059" s="2"/>
      <x:c r="E6059" s="2" t="str">
        <x:v>Missing</x:v>
      </x:c>
      <x:c r="F6059" s="2" t="str">
        <x:v>Inflation, consumer prices (annual %)</x:v>
      </x:c>
    </x:row>
    <x:row r="6060" ht="44" customHeight="1">
      <x:c r="A6060" s="2" t="str">
        <x:v>TKM</x:v>
      </x:c>
      <x:c r="B6060" s="2" t="str">
        <x:v>food_index</x:v>
      </x:c>
      <x:c r="C6060" s="2" t="n">
        <x:v>112.03</x:v>
      </x:c>
      <x:c r="D6060" s="2" t="n">
        <x:v>2022</x:v>
      </x:c>
      <x:c r="E6060" s="2" t="str">
        <x:v>WB_food_index</x:v>
      </x:c>
      <x:c r="F6060" s="2" t="str">
        <x:v>Food production index (2014-2016 = 100)</x:v>
      </x:c>
    </x:row>
    <x:row r="6061" ht="44" customHeight="1">
      <x:c r="A6061" s="2" t="str">
        <x:v>TKM</x:v>
      </x:c>
      <x:c r="B6061" s="2" t="str">
        <x:v>food_import_share</x:v>
      </x:c>
      <x:c r="C6061" s="2" t="n">
        <x:v>11.7431295237881</x:v>
      </x:c>
      <x:c r="D6061" s="2" t="n">
        <x:v>2000</x:v>
      </x:c>
      <x:c r="E6061" s="2" t="str">
        <x:v>WB_food_import_share</x:v>
      </x:c>
      <x:c r="F6061" s="2" t="str">
        <x:v>Food imports (% of merchandise imports)</x:v>
      </x:c>
    </x:row>
    <x:row r="6062" ht="44" customHeight="1">
      <x:c r="A6062" s="2" t="str">
        <x:v>TKM</x:v>
      </x:c>
      <x:c r="B6062" s="2" t="str">
        <x:v>food_export_share</x:v>
      </x:c>
      <x:c r="C6062" s="2" t="n">
        <x:v>0.293684623599083</x:v>
      </x:c>
      <x:c r="D6062" s="2" t="n">
        <x:v>2000</x:v>
      </x:c>
      <x:c r="E6062" s="2" t="str">
        <x:v>WB_food_export_share</x:v>
      </x:c>
      <x:c r="F6062" s="2" t="str">
        <x:v>Food exports (% of merchandise exports)</x:v>
      </x:c>
    </x:row>
    <x:row r="6063" ht="44" customHeight="1">
      <x:c r="A6063" s="2" t="str">
        <x:v>TKM</x:v>
      </x:c>
      <x:c r="B6063" s="2" t="str">
        <x:v>imports_usd</x:v>
      </x:c>
      <x:c r="C6063" s="2" t="n">
        <x:v>4761000000</x:v>
      </x:c>
      <x:c r="D6063" s="2" t="n">
        <x:v>2025</x:v>
      </x:c>
      <x:c r="E6063" s="2" t="str">
        <x:v>WB_imports_usd</x:v>
      </x:c>
      <x:c r="F6063" s="2" t="str">
        <x:v>Merchandise imports (current US$)</x:v>
      </x:c>
    </x:row>
    <x:row r="6064" ht="44" customHeight="1">
      <x:c r="A6064" s="2" t="str">
        <x:v>TKM</x:v>
      </x:c>
      <x:c r="B6064" s="2" t="str">
        <x:v>exports_usd</x:v>
      </x:c>
      <x:c r="C6064" s="2" t="n">
        <x:v>15561000000</x:v>
      </x:c>
      <x:c r="D6064" s="2" t="n">
        <x:v>2025</x:v>
      </x:c>
      <x:c r="E6064" s="2" t="str">
        <x:v>WB_exports_usd</x:v>
      </x:c>
      <x:c r="F6064" s="2" t="str">
        <x:v>Merchandise exports (current US$)</x:v>
      </x:c>
    </x:row>
    <x:row r="6065" ht="44" customHeight="1">
      <x:c r="A6065" s="2" t="str">
        <x:v>TKM</x:v>
      </x:c>
      <x:c r="B6065" s="2" t="str">
        <x:v>cereal_yield</x:v>
      </x:c>
      <x:c r="C6065" s="2" t="n">
        <x:v>1834.2</x:v>
      </x:c>
      <x:c r="D6065" s="2" t="n">
        <x:v>2023</x:v>
      </x:c>
      <x:c r="E6065" s="2" t="str">
        <x:v>WB_cereal_yield</x:v>
      </x:c>
      <x:c r="F6065" s="2" t="str">
        <x:v>Cereal yield (kg per hectare)</x:v>
      </x:c>
    </x:row>
    <x:row r="6066" ht="44" customHeight="1">
      <x:c r="A6066" s="2" t="str">
        <x:v>TKM</x:v>
      </x:c>
      <x:c r="B6066" s="2" t="str">
        <x:v>water_stress</x:v>
      </x:c>
      <x:c r="C6066" s="2" t="n">
        <x:v>135.2138073</x:v>
      </x:c>
      <x:c r="D6066" s="2" t="n">
        <x:v>2022</x:v>
      </x:c>
      <x:c r="E6066" s="2" t="str">
        <x:v>WB_water_stress</x:v>
      </x:c>
      <x:c r="F6066" s="2" t="str">
        <x:v>Level of water stress: freshwater withdrawal as a proportion of available freshwater resources</x:v>
      </x:c>
    </x:row>
    <x:row r="6067" ht="44" customHeight="1">
      <x:c r="A6067" s="2" t="str">
        <x:v>TKM</x:v>
      </x:c>
      <x:c r="B6067" s="2" t="str">
        <x:v>fertility</x:v>
      </x:c>
      <x:c r="C6067" s="2" t="n">
        <x:v>2.661</x:v>
      </x:c>
      <x:c r="D6067" s="2" t="n">
        <x:v>2024</x:v>
      </x:c>
      <x:c r="E6067" s="2" t="str">
        <x:v>WB_fertility</x:v>
      </x:c>
      <x:c r="F6067" s="2" t="str">
        <x:v>Fertility rate, total (births per woman)</x:v>
      </x:c>
    </x:row>
    <x:row r="6068" ht="44" customHeight="1">
      <x:c r="A6068" s="2" t="str">
        <x:v>TKM</x:v>
      </x:c>
      <x:c r="B6068" s="2" t="str">
        <x:v>life_expectancy</x:v>
      </x:c>
      <x:c r="C6068" s="2" t="n">
        <x:v>70.201</x:v>
      </x:c>
      <x:c r="D6068" s="2" t="n">
        <x:v>2024</x:v>
      </x:c>
      <x:c r="E6068" s="2" t="str">
        <x:v>WB_life_expectancy</x:v>
      </x:c>
      <x:c r="F6068" s="2" t="str">
        <x:v>Life expectancy at birth, total (years)</x:v>
      </x:c>
    </x:row>
    <x:row r="6069" ht="44" customHeight="1">
      <x:c r="A6069" s="2" t="str">
        <x:v>TKM</x:v>
      </x:c>
      <x:c r="B6069" s="2" t="str">
        <x:v>age_under15</x:v>
      </x:c>
      <x:c r="C6069" s="2" t="n">
        <x:v>31.2185274741357</x:v>
      </x:c>
      <x:c r="D6069" s="2" t="n">
        <x:v>2025</x:v>
      </x:c>
      <x:c r="E6069" s="2" t="str">
        <x:v>WB_age_under15</x:v>
      </x:c>
      <x:c r="F6069" s="2" t="str">
        <x:v>Population ages 0-14 (% of total population)</x:v>
      </x:c>
    </x:row>
    <x:row r="6070" ht="44" customHeight="1">
      <x:c r="A6070" s="2" t="str">
        <x:v>TKM</x:v>
      </x:c>
      <x:c r="B6070" s="2" t="str">
        <x:v>age_over65</x:v>
      </x:c>
      <x:c r="C6070" s="2" t="n">
        <x:v>4.80778752954433</x:v>
      </x:c>
      <x:c r="D6070" s="2" t="n">
        <x:v>2025</x:v>
      </x:c>
      <x:c r="E6070" s="2" t="str">
        <x:v>WB_age_over65</x:v>
      </x:c>
      <x:c r="F6070" s="2" t="str">
        <x:v>Population ages 65 and above (% of total population)</x:v>
      </x:c>
    </x:row>
    <x:row r="6071" ht="44" customHeight="1">
      <x:c r="A6071" s="2" t="str">
        <x:v>TKM</x:v>
      </x:c>
      <x:c r="B6071" s="2" t="str">
        <x:v>dependency_ratio</x:v>
      </x:c>
      <x:c r="C6071" s="2" t="n">
        <x:v>56.3142778182528</x:v>
      </x:c>
      <x:c r="D6071" s="2" t="n">
        <x:v>2025</x:v>
      </x:c>
      <x:c r="E6071" s="2" t="str">
        <x:v>WB_dependency_ratio</x:v>
      </x:c>
      <x:c r="F6071" s="2" t="str">
        <x:v>Age dependency ratio (% of working-age population)</x:v>
      </x:c>
    </x:row>
    <x:row r="6072" ht="44" customHeight="1">
      <x:c r="A6072" s="2" t="str">
        <x:v>TKM</x:v>
      </x:c>
      <x:c r="B6072" s="2" t="str">
        <x:v>net_migration</x:v>
      </x:c>
      <x:c r="C6072" s="2" t="n">
        <x:v>13268</x:v>
      </x:c>
      <x:c r="D6072" s="2" t="n">
        <x:v>2025</x:v>
      </x:c>
      <x:c r="E6072" s="2" t="str">
        <x:v>WB_net_migration</x:v>
      </x:c>
      <x:c r="F6072" s="2" t="str">
        <x:v>Net migration</x:v>
      </x:c>
    </x:row>
    <x:row r="6073" ht="44" customHeight="1">
      <x:c r="A6073" s="2" t="str">
        <x:v>TKM</x:v>
      </x:c>
      <x:c r="B6073" s="2" t="str">
        <x:v>real_gdp</x:v>
      </x:c>
      <x:c r="C6073" s="2" t="n">
        <x:v>65562932637.9347</x:v>
      </x:c>
      <x:c r="D6073" s="2" t="n">
        <x:v>2025</x:v>
      </x:c>
      <x:c r="E6073" s="2" t="str">
        <x:v>WB_real_gdp</x:v>
      </x:c>
      <x:c r="F6073" s="2" t="str">
        <x:v>GDP (constant 2015 US$)</x:v>
      </x:c>
    </x:row>
    <x:row r="6074" ht="44" customHeight="1">
      <x:c r="A6074" s="2" t="str">
        <x:v>TKM</x:v>
      </x:c>
      <x:c r="B6074" s="2" t="str">
        <x:v>gdp_growth</x:v>
      </x:c>
      <x:c r="C6074" s="2" t="n">
        <x:v>6.30000003697894</x:v>
      </x:c>
      <x:c r="D6074" s="2" t="n">
        <x:v>2025</x:v>
      </x:c>
      <x:c r="E6074" s="2" t="str">
        <x:v>WB_gdp_growth</x:v>
      </x:c>
      <x:c r="F6074" s="2" t="str">
        <x:v>GDP growth (annual %)</x:v>
      </x:c>
    </x:row>
    <x:row r="6075" ht="44" customHeight="1">
      <x:c r="A6075" s="2" t="str">
        <x:v>TKM</x:v>
      </x:c>
      <x:c r="B6075" s="2" t="str">
        <x:v>real_income</x:v>
      </x:c>
      <x:c r="C6075" s="2" t="n">
        <x:v>8605.36149865389</x:v>
      </x:c>
      <x:c r="D6075" s="2" t="n">
        <x:v>2025</x:v>
      </x:c>
      <x:c r="E6075" s="2" t="str">
        <x:v>WB_real_income</x:v>
      </x:c>
      <x:c r="F6075" s="2" t="str">
        <x:v>GDP per capita (constant 2015 US$)</x:v>
      </x:c>
    </x:row>
    <x:row r="6076" ht="44" customHeight="1">
      <x:c r="A6076" s="2" t="str">
        <x:v>TKM</x:v>
      </x:c>
      <x:c r="B6076" s="2" t="str">
        <x:v>agriculture_gdp</x:v>
      </x:c>
      <x:c r="C6076" s="2" t="n">
        <x:v>12.3560088049428</x:v>
      </x:c>
      <x:c r="D6076" s="2" t="n">
        <x:v>2025</x:v>
      </x:c>
      <x:c r="E6076" s="2" t="str">
        <x:v>WB_agriculture_gdp</x:v>
      </x:c>
      <x:c r="F6076" s="2" t="str">
        <x:v>Agriculture, forestry, and fishing, value added (% of GDP)</x:v>
      </x:c>
    </x:row>
    <x:row r="6077" ht="44" customHeight="1">
      <x:c r="A6077" s="2" t="str">
        <x:v>TKM</x:v>
      </x:c>
      <x:c r="B6077" s="2" t="str">
        <x:v>poverty</x:v>
      </x:c>
      <x:c r="C6077" s="2"/>
      <x:c r="D6077" s="2"/>
      <x:c r="E6077" s="2" t="str">
        <x:v>Missing</x:v>
      </x:c>
      <x:c r="F6077" s="2" t="str">
        <x:v>Poverty headcount ratio at $3.00 a day (2021 PPP) (% of population)</x:v>
      </x:c>
    </x:row>
    <x:row r="6078" ht="44" customHeight="1">
      <x:c r="A6078" s="2" t="str">
        <x:v>TKM</x:v>
      </x:c>
      <x:c r="B6078" s="2" t="str">
        <x:v>gini</x:v>
      </x:c>
      <x:c r="C6078" s="2"/>
      <x:c r="D6078" s="2"/>
      <x:c r="E6078" s="2" t="str">
        <x:v>Missing</x:v>
      </x:c>
      <x:c r="F6078" s="2" t="str">
        <x:v>Gini index</x:v>
      </x:c>
    </x:row>
    <x:row r="6079" ht="44" customHeight="1">
      <x:c r="A6079" s="2" t="str">
        <x:v>TKM</x:v>
      </x:c>
      <x:c r="B6079" s="2" t="str">
        <x:v>unemployment</x:v>
      </x:c>
      <x:c r="C6079" s="2" t="n">
        <x:v>4.267</x:v>
      </x:c>
      <x:c r="D6079" s="2" t="n">
        <x:v>2025</x:v>
      </x:c>
      <x:c r="E6079" s="2" t="str">
        <x:v>WB_unemployment</x:v>
      </x:c>
      <x:c r="F6079" s="2" t="str">
        <x:v>Unemployment, total (% of total labor force) (modeled ILO estimate)</x:v>
      </x:c>
    </x:row>
    <x:row r="6080" ht="44" customHeight="1">
      <x:c r="A6080" s="2" t="str">
        <x:v>TKM</x:v>
      </x:c>
      <x:c r="B6080" s="2" t="str">
        <x:v>private_credit</x:v>
      </x:c>
      <x:c r="C6080" s="2"/>
      <x:c r="D6080" s="2"/>
      <x:c r="E6080" s="2" t="str">
        <x:v>Missing</x:v>
      </x:c>
      <x:c r="F6080" s="2" t="str">
        <x:v>Domestic credit to private sector (% of GDP)</x:v>
      </x:c>
    </x:row>
    <x:row r="6081" ht="44" customHeight="1">
      <x:c r="A6081" s="2" t="str">
        <x:v>TKM</x:v>
      </x:c>
      <x:c r="B6081" s="2" t="str">
        <x:v>lending_rate</x:v>
      </x:c>
      <x:c r="C6081" s="2"/>
      <x:c r="D6081" s="2"/>
      <x:c r="E6081" s="2" t="str">
        <x:v>Missing</x:v>
      </x:c>
      <x:c r="F6081" s="2" t="str">
        <x:v>Lending interest rate (%)</x:v>
      </x:c>
    </x:row>
    <x:row r="6082" ht="44" customHeight="1">
      <x:c r="A6082" s="2" t="str">
        <x:v>TKM</x:v>
      </x:c>
      <x:c r="B6082" s="2" t="str">
        <x:v>real_interest</x:v>
      </x:c>
      <x:c r="C6082" s="2"/>
      <x:c r="D6082" s="2"/>
      <x:c r="E6082" s="2" t="str">
        <x:v>Missing</x:v>
      </x:c>
      <x:c r="F6082" s="2" t="str">
        <x:v>Real interest rate (%)</x:v>
      </x:c>
    </x:row>
    <x:row r="6083" ht="44" customHeight="1">
      <x:c r="A6083" s="2" t="str">
        <x:v>TKM</x:v>
      </x:c>
      <x:c r="B6083" s="2" t="str">
        <x:v>government_debt</x:v>
      </x:c>
      <x:c r="C6083" s="2"/>
      <x:c r="D6083" s="2"/>
      <x:c r="E6083" s="2" t="str">
        <x:v>Missing</x:v>
      </x:c>
      <x:c r="F6083" s="2" t="str">
        <x:v>Central government debt, total (% of GDP)</x:v>
      </x:c>
    </x:row>
    <x:row r="6084" ht="44" customHeight="1">
      <x:c r="A6084" s="2" t="str">
        <x:v>TKM</x:v>
      </x:c>
      <x:c r="B6084" s="2" t="str">
        <x:v>electricity_access</x:v>
      </x:c>
      <x:c r="C6084" s="2" t="n">
        <x:v>100</x:v>
      </x:c>
      <x:c r="D6084" s="2" t="n">
        <x:v>2024</x:v>
      </x:c>
      <x:c r="E6084" s="2" t="str">
        <x:v>WB_electricity_access</x:v>
      </x:c>
      <x:c r="F6084" s="2" t="str">
        <x:v>Access to electricity (% of population)</x:v>
      </x:c>
    </x:row>
    <x:row r="6085" ht="44" customHeight="1">
      <x:c r="A6085" s="2" t="str">
        <x:v>TKM</x:v>
      </x:c>
      <x:c r="B6085" s="2" t="str">
        <x:v>irrigated_land</x:v>
      </x:c>
      <x:c r="C6085" s="2" t="n">
        <x:v>4.15859834411229</x:v>
      </x:c>
      <x:c r="D6085" s="2" t="n">
        <x:v>2023</x:v>
      </x:c>
      <x:c r="E6085" s="2" t="str">
        <x:v>WB_irrigated_land</x:v>
      </x:c>
      <x:c r="F6085" s="2" t="str">
        <x:v>Agricultural irrigated land (% of total agricultural land)</x:v>
      </x:c>
    </x:row>
    <x:row r="6086" ht="44" customHeight="1">
      <x:c r="A6086" s="2" t="str">
        <x:v>TKM</x:v>
      </x:c>
      <x:c r="B6086" s="2" t="str">
        <x:v>cereal_area</x:v>
      </x:c>
      <x:c r="C6086" s="2" t="n">
        <x:v>800694</x:v>
      </x:c>
      <x:c r="D6086" s="2" t="n">
        <x:v>2023</x:v>
      </x:c>
      <x:c r="E6086" s="2" t="str">
        <x:v>WB_cereal_area</x:v>
      </x:c>
      <x:c r="F6086" s="2" t="str">
        <x:v>Land under cereal production (hectares)</x:v>
      </x:c>
    </x:row>
    <x:row r="6087" ht="44" customHeight="1">
      <x:c r="A6087" s="2" t="str">
        <x:v>TKM</x:v>
      </x:c>
      <x:c r="B6087" s="2" t="str">
        <x:v>undernourishment</x:v>
      </x:c>
      <x:c r="C6087" s="2" t="n">
        <x:v>4.3</x:v>
      </x:c>
      <x:c r="D6087" s="2" t="n">
        <x:v>2023</x:v>
      </x:c>
      <x:c r="E6087" s="2" t="str">
        <x:v>WB_undernourishment</x:v>
      </x:c>
      <x:c r="F6087" s="2" t="str">
        <x:v>Prevalence of undernourishment (% of population)</x:v>
      </x:c>
    </x:row>
    <x:row r="6088" ht="44" customHeight="1">
      <x:c r="A6088" s="2" t="str">
        <x:v>TKM</x:v>
      </x:c>
      <x:c r="B6088" s="2" t="str">
        <x:v>agriculture_employment</x:v>
      </x:c>
      <x:c r="C6088" s="2" t="n">
        <x:v>21.9331854636199</x:v>
      </x:c>
      <x:c r="D6088" s="2" t="n">
        <x:v>2025</x:v>
      </x:c>
      <x:c r="E6088" s="2" t="str">
        <x:v>WB_agriculture_employment</x:v>
      </x:c>
      <x:c r="F6088" s="2" t="str">
        <x:v>Employment in agriculture (% of total employment) (modeled ILO estimate)</x:v>
      </x:c>
    </x:row>
    <x:row r="6089" ht="44" customHeight="1">
      <x:c r="A6089" s="2" t="str">
        <x:v>TKM</x:v>
      </x:c>
      <x:c r="B6089" s="2" t="str">
        <x:v>water_withdrawal</x:v>
      </x:c>
      <x:c r="C6089" s="2" t="n">
        <x:v>1867.97153024911</x:v>
      </x:c>
      <x:c r="D6089" s="2" t="n">
        <x:v>2022</x:v>
      </x:c>
      <x:c r="E6089" s="2" t="str">
        <x:v>WB_water_withdrawal</x:v>
      </x:c>
      <x:c r="F6089" s="2" t="str">
        <x:v>Annual freshwater withdrawals, total (% of internal resources)</x:v>
      </x:c>
    </x:row>
    <x:row r="6090" ht="44" customHeight="1">
      <x:c r="A6090" s="2" t="str">
        <x:v>TUV</x:v>
      </x:c>
      <x:c r="B6090" s="2" t="str">
        <x:v>population</x:v>
      </x:c>
      <x:c r="C6090" s="2" t="n">
        <x:v>9492</x:v>
      </x:c>
      <x:c r="D6090" s="2" t="n">
        <x:v>2025</x:v>
      </x:c>
      <x:c r="E6090" s="2" t="str">
        <x:v>WB_population</x:v>
      </x:c>
      <x:c r="F6090" s="2" t="str">
        <x:v>Population, total</x:v>
      </x:c>
    </x:row>
    <x:row r="6091" ht="44" customHeight="1">
      <x:c r="A6091" s="2" t="str">
        <x:v>TUV</x:v>
      </x:c>
      <x:c r="B6091" s="2" t="str">
        <x:v>income_ppp</x:v>
      </x:c>
      <x:c r="C6091" s="2" t="n">
        <x:v>5776.07849384845</x:v>
      </x:c>
      <x:c r="D6091" s="2" t="n">
        <x:v>2025</x:v>
      </x:c>
      <x:c r="E6091" s="2" t="str">
        <x:v>WB_income_ppp</x:v>
      </x:c>
      <x:c r="F6091" s="2" t="str">
        <x:v>GDP per capita, PPP (constant 2021 international $)</x:v>
      </x:c>
    </x:row>
    <x:row r="6092" ht="44" customHeight="1">
      <x:c r="A6092" s="2" t="str">
        <x:v>TUV</x:v>
      </x:c>
      <x:c r="B6092" s="2" t="str">
        <x:v>urban</x:v>
      </x:c>
      <x:c r="C6092" s="2" t="n">
        <x:v>65.4480709525093</x:v>
      </x:c>
      <x:c r="D6092" s="2" t="n">
        <x:v>2025</x:v>
      </x:c>
      <x:c r="E6092" s="2" t="str">
        <x:v>WB_urban</x:v>
      </x:c>
      <x:c r="F6092" s="2" t="str">
        <x:v>Urban population (% of total population)</x:v>
      </x:c>
    </x:row>
    <x:row r="6093" ht="44" customHeight="1">
      <x:c r="A6093" s="2" t="str">
        <x:v>TUV</x:v>
      </x:c>
      <x:c r="B6093" s="2" t="str">
        <x:v>inflation</x:v>
      </x:c>
      <x:c r="C6093" s="2" t="n">
        <x:v>0.5005807431527</x:v>
      </x:c>
      <x:c r="D6093" s="2" t="n">
        <x:v>2011</x:v>
      </x:c>
      <x:c r="E6093" s="2" t="str">
        <x:v>WB_inflation</x:v>
      </x:c>
      <x:c r="F6093" s="2" t="str">
        <x:v>Inflation, consumer prices (annual %)</x:v>
      </x:c>
    </x:row>
    <x:row r="6094" ht="44" customHeight="1">
      <x:c r="A6094" s="2" t="str">
        <x:v>TUV</x:v>
      </x:c>
      <x:c r="B6094" s="2" t="str">
        <x:v>food_index</x:v>
      </x:c>
      <x:c r="C6094" s="2" t="n">
        <x:v>110.82</x:v>
      </x:c>
      <x:c r="D6094" s="2" t="n">
        <x:v>2022</x:v>
      </x:c>
      <x:c r="E6094" s="2" t="str">
        <x:v>WB_food_index</x:v>
      </x:c>
      <x:c r="F6094" s="2" t="str">
        <x:v>Food production index (2014-2016 = 100)</x:v>
      </x:c>
    </x:row>
    <x:row r="6095" ht="44" customHeight="1">
      <x:c r="A6095" s="2" t="str">
        <x:v>TUV</x:v>
      </x:c>
      <x:c r="B6095" s="2" t="str">
        <x:v>food_import_share</x:v>
      </x:c>
      <x:c r="C6095" s="2" t="n">
        <x:v>21.5401842889413</x:v>
      </x:c>
      <x:c r="D6095" s="2" t="n">
        <x:v>2008</x:v>
      </x:c>
      <x:c r="E6095" s="2" t="str">
        <x:v>WB_food_import_share</x:v>
      </x:c>
      <x:c r="F6095" s="2" t="str">
        <x:v>Food imports (% of merchandise imports)</x:v>
      </x:c>
    </x:row>
    <x:row r="6096" ht="44" customHeight="1">
      <x:c r="A6096" s="2" t="str">
        <x:v>TUV</x:v>
      </x:c>
      <x:c r="B6096" s="2" t="str">
        <x:v>food_export_share</x:v>
      </x:c>
      <x:c r="C6096" s="2" t="n">
        <x:v>3.21704178860937</x:v>
      </x:c>
      <x:c r="D6096" s="2" t="n">
        <x:v>2004</x:v>
      </x:c>
      <x:c r="E6096" s="2" t="str">
        <x:v>WB_food_export_share</x:v>
      </x:c>
      <x:c r="F6096" s="2" t="str">
        <x:v>Food exports (% of merchandise exports)</x:v>
      </x:c>
    </x:row>
    <x:row r="6097" ht="44" customHeight="1">
      <x:c r="A6097" s="2" t="str">
        <x:v>TUV</x:v>
      </x:c>
      <x:c r="B6097" s="2" t="str">
        <x:v>imports_usd</x:v>
      </x:c>
      <x:c r="C6097" s="2" t="n">
        <x:v>27000000</x:v>
      </x:c>
      <x:c r="D6097" s="2" t="n">
        <x:v>2025</x:v>
      </x:c>
      <x:c r="E6097" s="2" t="str">
        <x:v>WB_imports_usd</x:v>
      </x:c>
      <x:c r="F6097" s="2" t="str">
        <x:v>Merchandise imports (current US$)</x:v>
      </x:c>
    </x:row>
    <x:row r="6098" ht="44" customHeight="1">
      <x:c r="A6098" s="2" t="str">
        <x:v>TUV</x:v>
      </x:c>
      <x:c r="B6098" s="2" t="str">
        <x:v>exports_usd</x:v>
      </x:c>
      <x:c r="C6098" s="2" t="n">
        <x:v>0</x:v>
      </x:c>
      <x:c r="D6098" s="2" t="n">
        <x:v>2025</x:v>
      </x:c>
      <x:c r="E6098" s="2" t="str">
        <x:v>WB_exports_usd</x:v>
      </x:c>
      <x:c r="F6098" s="2" t="str">
        <x:v>Merchandise exports (current US$)</x:v>
      </x:c>
    </x:row>
    <x:row r="6099" ht="44" customHeight="1">
      <x:c r="A6099" s="2" t="str">
        <x:v>TUV</x:v>
      </x:c>
      <x:c r="B6099" s="2" t="str">
        <x:v>cereal_yield</x:v>
      </x:c>
      <x:c r="C6099" s="2"/>
      <x:c r="D6099" s="2"/>
      <x:c r="E6099" s="2" t="str">
        <x:v>Missing</x:v>
      </x:c>
      <x:c r="F6099" s="2" t="str">
        <x:v>Cereal yield (kg per hectare)</x:v>
      </x:c>
    </x:row>
    <x:row r="6100" ht="44" customHeight="1">
      <x:c r="A6100" s="2" t="str">
        <x:v>TUV</x:v>
      </x:c>
      <x:c r="B6100" s="2" t="str">
        <x:v>water_stress</x:v>
      </x:c>
      <x:c r="C6100" s="2"/>
      <x:c r="D6100" s="2"/>
      <x:c r="E6100" s="2" t="str">
        <x:v>Missing</x:v>
      </x:c>
      <x:c r="F6100" s="2" t="str">
        <x:v>Level of water stress: freshwater withdrawal as a proportion of available freshwater resources</x:v>
      </x:c>
    </x:row>
    <x:row r="6101" ht="44" customHeight="1">
      <x:c r="A6101" s="2" t="str">
        <x:v>TUV</x:v>
      </x:c>
      <x:c r="B6101" s="2" t="str">
        <x:v>fertility</x:v>
      </x:c>
      <x:c r="C6101" s="2" t="n">
        <x:v>3.174</x:v>
      </x:c>
      <x:c r="D6101" s="2" t="n">
        <x:v>2024</x:v>
      </x:c>
      <x:c r="E6101" s="2" t="str">
        <x:v>WB_fertility</x:v>
      </x:c>
      <x:c r="F6101" s="2" t="str">
        <x:v>Fertility rate, total (births per woman)</x:v>
      </x:c>
    </x:row>
    <x:row r="6102" ht="44" customHeight="1">
      <x:c r="A6102" s="2" t="str">
        <x:v>TUV</x:v>
      </x:c>
      <x:c r="B6102" s="2" t="str">
        <x:v>life_expectancy</x:v>
      </x:c>
      <x:c r="C6102" s="2" t="n">
        <x:v>67.259</x:v>
      </x:c>
      <x:c r="D6102" s="2" t="n">
        <x:v>2024</x:v>
      </x:c>
      <x:c r="E6102" s="2" t="str">
        <x:v>WB_life_expectancy</x:v>
      </x:c>
      <x:c r="F6102" s="2" t="str">
        <x:v>Life expectancy at birth, total (years)</x:v>
      </x:c>
    </x:row>
    <x:row r="6103" ht="44" customHeight="1">
      <x:c r="A6103" s="2" t="str">
        <x:v>TUV</x:v>
      </x:c>
      <x:c r="B6103" s="2" t="str">
        <x:v>age_under15</x:v>
      </x:c>
      <x:c r="C6103" s="2" t="n">
        <x:v>33.0225453013064</x:v>
      </x:c>
      <x:c r="D6103" s="2" t="n">
        <x:v>2025</x:v>
      </x:c>
      <x:c r="E6103" s="2" t="str">
        <x:v>WB_age_under15</x:v>
      </x:c>
      <x:c r="F6103" s="2" t="str">
        <x:v>Population ages 0-14 (% of total population)</x:v>
      </x:c>
    </x:row>
    <x:row r="6104" ht="44" customHeight="1">
      <x:c r="A6104" s="2" t="str">
        <x:v>TUV</x:v>
      </x:c>
      <x:c r="B6104" s="2" t="str">
        <x:v>age_over65</x:v>
      </x:c>
      <x:c r="C6104" s="2" t="n">
        <x:v>7.04277286135693</x:v>
      </x:c>
      <x:c r="D6104" s="2" t="n">
        <x:v>2025</x:v>
      </x:c>
      <x:c r="E6104" s="2" t="str">
        <x:v>WB_age_over65</x:v>
      </x:c>
      <x:c r="F6104" s="2" t="str">
        <x:v>Population ages 65 and above (% of total population)</x:v>
      </x:c>
    </x:row>
    <x:row r="6105" ht="44" customHeight="1">
      <x:c r="A6105" s="2" t="str">
        <x:v>TUV</x:v>
      </x:c>
      <x:c r="B6105" s="2" t="str">
        <x:v>dependency_ratio</x:v>
      </x:c>
      <x:c r="C6105" s="2" t="n">
        <x:v>66.8483037440675</x:v>
      </x:c>
      <x:c r="D6105" s="2" t="n">
        <x:v>2025</x:v>
      </x:c>
      <x:c r="E6105" s="2" t="str">
        <x:v>WB_dependency_ratio</x:v>
      </x:c>
      <x:c r="F6105" s="2" t="str">
        <x:v>Age dependency ratio (% of working-age population)</x:v>
      </x:c>
    </x:row>
    <x:row r="6106" ht="44" customHeight="1">
      <x:c r="A6106" s="2" t="str">
        <x:v>TUV</x:v>
      </x:c>
      <x:c r="B6106" s="2" t="str">
        <x:v>net_migration</x:v>
      </x:c>
      <x:c r="C6106" s="2" t="n">
        <x:v>-255</x:v>
      </x:c>
      <x:c r="D6106" s="2" t="n">
        <x:v>2025</x:v>
      </x:c>
      <x:c r="E6106" s="2" t="str">
        <x:v>WB_net_migration</x:v>
      </x:c>
      <x:c r="F6106" s="2" t="str">
        <x:v>Net migration</x:v>
      </x:c>
    </x:row>
    <x:row r="6107" ht="44" customHeight="1">
      <x:c r="A6107" s="2" t="str">
        <x:v>TUV</x:v>
      </x:c>
      <x:c r="B6107" s="2" t="str">
        <x:v>real_gdp</x:v>
      </x:c>
      <x:c r="C6107" s="2" t="n">
        <x:v>42970405.4713124</x:v>
      </x:c>
      <x:c r="D6107" s="2" t="n">
        <x:v>2025</x:v>
      </x:c>
      <x:c r="E6107" s="2" t="str">
        <x:v>WB_real_gdp</x:v>
      </x:c>
      <x:c r="F6107" s="2" t="str">
        <x:v>GDP (constant 2015 US$)</x:v>
      </x:c>
    </x:row>
    <x:row r="6108" ht="44" customHeight="1">
      <x:c r="A6108" s="2" t="str">
        <x:v>TUV</x:v>
      </x:c>
      <x:c r="B6108" s="2" t="str">
        <x:v>gdp_growth</x:v>
      </x:c>
      <x:c r="C6108" s="2" t="n">
        <x:v>1.63934426229508</x:v>
      </x:c>
      <x:c r="D6108" s="2" t="n">
        <x:v>2025</x:v>
      </x:c>
      <x:c r="E6108" s="2" t="str">
        <x:v>WB_gdp_growth</x:v>
      </x:c>
      <x:c r="F6108" s="2" t="str">
        <x:v>GDP growth (annual %)</x:v>
      </x:c>
    </x:row>
    <x:row r="6109" ht="44" customHeight="1">
      <x:c r="A6109" s="2" t="str">
        <x:v>TUV</x:v>
      </x:c>
      <x:c r="B6109" s="2" t="str">
        <x:v>real_income</x:v>
      </x:c>
      <x:c r="C6109" s="2" t="n">
        <x:v>4527.01279723055</x:v>
      </x:c>
      <x:c r="D6109" s="2" t="n">
        <x:v>2025</x:v>
      </x:c>
      <x:c r="E6109" s="2" t="str">
        <x:v>WB_real_income</x:v>
      </x:c>
      <x:c r="F6109" s="2" t="str">
        <x:v>GDP per capita (constant 2015 US$)</x:v>
      </x:c>
    </x:row>
    <x:row r="6110" ht="44" customHeight="1">
      <x:c r="A6110" s="2" t="str">
        <x:v>TUV</x:v>
      </x:c>
      <x:c r="B6110" s="2" t="str">
        <x:v>agriculture_gdp</x:v>
      </x:c>
      <x:c r="C6110" s="2" t="n">
        <x:v>15.940855929328</x:v>
      </x:c>
      <x:c r="D6110" s="2" t="n">
        <x:v>2015</x:v>
      </x:c>
      <x:c r="E6110" s="2" t="str">
        <x:v>WB_agriculture_gdp</x:v>
      </x:c>
      <x:c r="F6110" s="2" t="str">
        <x:v>Agriculture, forestry, and fishing, value added (% of GDP)</x:v>
      </x:c>
    </x:row>
    <x:row r="6111" ht="44" customHeight="1">
      <x:c r="A6111" s="2" t="str">
        <x:v>TUV</x:v>
      </x:c>
      <x:c r="B6111" s="2" t="str">
        <x:v>poverty</x:v>
      </x:c>
      <x:c r="C6111" s="2" t="n">
        <x:v>9</x:v>
      </x:c>
      <x:c r="D6111" s="2" t="n">
        <x:v>2010</x:v>
      </x:c>
      <x:c r="E6111" s="2" t="str">
        <x:v>WB_poverty</x:v>
      </x:c>
      <x:c r="F6111" s="2" t="str">
        <x:v>Poverty headcount ratio at $3.00 a day (2021 PPP) (% of population)</x:v>
      </x:c>
    </x:row>
    <x:row r="6112" ht="44" customHeight="1">
      <x:c r="A6112" s="2" t="str">
        <x:v>TUV</x:v>
      </x:c>
      <x:c r="B6112" s="2" t="str">
        <x:v>gini</x:v>
      </x:c>
      <x:c r="C6112" s="2" t="n">
        <x:v>39.1</x:v>
      </x:c>
      <x:c r="D6112" s="2" t="n">
        <x:v>2010</x:v>
      </x:c>
      <x:c r="E6112" s="2" t="str">
        <x:v>WB_gini</x:v>
      </x:c>
      <x:c r="F6112" s="2" t="str">
        <x:v>Gini index</x:v>
      </x:c>
    </x:row>
    <x:row r="6113" ht="44" customHeight="1">
      <x:c r="A6113" s="2" t="str">
        <x:v>TUV</x:v>
      </x:c>
      <x:c r="B6113" s="2" t="str">
        <x:v>unemployment</x:v>
      </x:c>
      <x:c r="C6113" s="2"/>
      <x:c r="D6113" s="2"/>
      <x:c r="E6113" s="2" t="str">
        <x:v>Missing</x:v>
      </x:c>
      <x:c r="F6113" s="2" t="str">
        <x:v>Unemployment, total (% of total labor force) (modeled ILO estimate)</x:v>
      </x:c>
    </x:row>
    <x:row r="6114" ht="44" customHeight="1">
      <x:c r="A6114" s="2" t="str">
        <x:v>TUV</x:v>
      </x:c>
      <x:c r="B6114" s="2" t="str">
        <x:v>private_credit</x:v>
      </x:c>
      <x:c r="C6114" s="2"/>
      <x:c r="D6114" s="2"/>
      <x:c r="E6114" s="2" t="str">
        <x:v>Missing</x:v>
      </x:c>
      <x:c r="F6114" s="2" t="str">
        <x:v>Domestic credit to private sector (% of GDP)</x:v>
      </x:c>
    </x:row>
    <x:row r="6115" ht="44" customHeight="1">
      <x:c r="A6115" s="2" t="str">
        <x:v>TUV</x:v>
      </x:c>
      <x:c r="B6115" s="2" t="str">
        <x:v>lending_rate</x:v>
      </x:c>
      <x:c r="C6115" s="2"/>
      <x:c r="D6115" s="2"/>
      <x:c r="E6115" s="2" t="str">
        <x:v>Missing</x:v>
      </x:c>
      <x:c r="F6115" s="2" t="str">
        <x:v>Lending interest rate (%)</x:v>
      </x:c>
    </x:row>
    <x:row r="6116" ht="44" customHeight="1">
      <x:c r="A6116" s="2" t="str">
        <x:v>TUV</x:v>
      </x:c>
      <x:c r="B6116" s="2" t="str">
        <x:v>real_interest</x:v>
      </x:c>
      <x:c r="C6116" s="2"/>
      <x:c r="D6116" s="2"/>
      <x:c r="E6116" s="2" t="str">
        <x:v>Missing</x:v>
      </x:c>
      <x:c r="F6116" s="2" t="str">
        <x:v>Real interest rate (%)</x:v>
      </x:c>
    </x:row>
    <x:row r="6117" ht="44" customHeight="1">
      <x:c r="A6117" s="2" t="str">
        <x:v>TUV</x:v>
      </x:c>
      <x:c r="B6117" s="2" t="str">
        <x:v>government_debt</x:v>
      </x:c>
      <x:c r="C6117" s="2"/>
      <x:c r="D6117" s="2"/>
      <x:c r="E6117" s="2" t="str">
        <x:v>Missing</x:v>
      </x:c>
      <x:c r="F6117" s="2" t="str">
        <x:v>Central government debt, total (% of GDP)</x:v>
      </x:c>
    </x:row>
    <x:row r="6118" ht="44" customHeight="1">
      <x:c r="A6118" s="2" t="str">
        <x:v>TUV</x:v>
      </x:c>
      <x:c r="B6118" s="2" t="str">
        <x:v>electricity_access</x:v>
      </x:c>
      <x:c r="C6118" s="2" t="n">
        <x:v>100</x:v>
      </x:c>
      <x:c r="D6118" s="2" t="n">
        <x:v>2024</x:v>
      </x:c>
      <x:c r="E6118" s="2" t="str">
        <x:v>WB_electricity_access</x:v>
      </x:c>
      <x:c r="F6118" s="2" t="str">
        <x:v>Access to electricity (% of population)</x:v>
      </x:c>
    </x:row>
    <x:row r="6119" ht="44" customHeight="1">
      <x:c r="A6119" s="2" t="str">
        <x:v>TUV</x:v>
      </x:c>
      <x:c r="B6119" s="2" t="str">
        <x:v>irrigated_land</x:v>
      </x:c>
      <x:c r="C6119" s="2"/>
      <x:c r="D6119" s="2"/>
      <x:c r="E6119" s="2" t="str">
        <x:v>Missing</x:v>
      </x:c>
      <x:c r="F6119" s="2" t="str">
        <x:v>Agricultural irrigated land (% of total agricultural land)</x:v>
      </x:c>
    </x:row>
    <x:row r="6120" ht="44" customHeight="1">
      <x:c r="A6120" s="2" t="str">
        <x:v>TUV</x:v>
      </x:c>
      <x:c r="B6120" s="2" t="str">
        <x:v>cereal_area</x:v>
      </x:c>
      <x:c r="C6120" s="2"/>
      <x:c r="D6120" s="2"/>
      <x:c r="E6120" s="2" t="str">
        <x:v>Missing</x:v>
      </x:c>
      <x:c r="F6120" s="2" t="str">
        <x:v>Land under cereal production (hectares)</x:v>
      </x:c>
    </x:row>
    <x:row r="6121" ht="44" customHeight="1">
      <x:c r="A6121" s="2" t="str">
        <x:v>TUV</x:v>
      </x:c>
      <x:c r="B6121" s="2" t="str">
        <x:v>undernourishment</x:v>
      </x:c>
      <x:c r="C6121" s="2"/>
      <x:c r="D6121" s="2"/>
      <x:c r="E6121" s="2" t="str">
        <x:v>Missing</x:v>
      </x:c>
      <x:c r="F6121" s="2" t="str">
        <x:v>Prevalence of undernourishment (% of population)</x:v>
      </x:c>
    </x:row>
    <x:row r="6122" ht="44" customHeight="1">
      <x:c r="A6122" s="2" t="str">
        <x:v>TUV</x:v>
      </x:c>
      <x:c r="B6122" s="2" t="str">
        <x:v>agriculture_employment</x:v>
      </x:c>
      <x:c r="C6122" s="2"/>
      <x:c r="D6122" s="2"/>
      <x:c r="E6122" s="2" t="str">
        <x:v>Missing</x:v>
      </x:c>
      <x:c r="F6122" s="2" t="str">
        <x:v>Employment in agriculture (% of total employment) (modeled ILO estimate)</x:v>
      </x:c>
    </x:row>
    <x:row r="6123" ht="44" customHeight="1">
      <x:c r="A6123" s="2" t="str">
        <x:v>TUV</x:v>
      </x:c>
      <x:c r="B6123" s="2" t="str">
        <x:v>water_withdrawal</x:v>
      </x:c>
      <x:c r="C6123" s="2"/>
      <x:c r="D6123" s="2"/>
      <x:c r="E6123" s="2" t="str">
        <x:v>Missing</x:v>
      </x:c>
      <x:c r="F6123" s="2" t="str">
        <x:v>Annual freshwater withdrawals, total (% of internal resources)</x:v>
      </x:c>
    </x:row>
    <x:row r="6124" ht="44" customHeight="1">
      <x:c r="A6124" s="2" t="str">
        <x:v>TUR</x:v>
      </x:c>
      <x:c r="B6124" s="2" t="str">
        <x:v>population</x:v>
      </x:c>
      <x:c r="C6124" s="2" t="n">
        <x:v>85878556</x:v>
      </x:c>
      <x:c r="D6124" s="2" t="n">
        <x:v>2025</x:v>
      </x:c>
      <x:c r="E6124" s="2" t="str">
        <x:v>WB_population</x:v>
      </x:c>
      <x:c r="F6124" s="2" t="str">
        <x:v>Population, total</x:v>
      </x:c>
    </x:row>
    <x:row r="6125" ht="44" customHeight="1">
      <x:c r="A6125" s="2" t="str">
        <x:v>TUR</x:v>
      </x:c>
      <x:c r="B6125" s="2" t="str">
        <x:v>income_ppp</x:v>
      </x:c>
      <x:c r="C6125" s="2" t="n">
        <x:v>37300.7485739354</x:v>
      </x:c>
      <x:c r="D6125" s="2" t="n">
        <x:v>2025</x:v>
      </x:c>
      <x:c r="E6125" s="2" t="str">
        <x:v>WB_income_ppp</x:v>
      </x:c>
      <x:c r="F6125" s="2" t="str">
        <x:v>GDP per capita, PPP (constant 2021 international $)</x:v>
      </x:c>
    </x:row>
    <x:row r="6126" ht="44" customHeight="1">
      <x:c r="A6126" s="2" t="str">
        <x:v>TUR</x:v>
      </x:c>
      <x:c r="B6126" s="2" t="str">
        <x:v>urban</x:v>
      </x:c>
      <x:c r="C6126" s="2" t="n">
        <x:v>89.494060002186</x:v>
      </x:c>
      <x:c r="D6126" s="2" t="n">
        <x:v>2025</x:v>
      </x:c>
      <x:c r="E6126" s="2" t="str">
        <x:v>WB_urban</x:v>
      </x:c>
      <x:c r="F6126" s="2" t="str">
        <x:v>Urban population (% of total population)</x:v>
      </x:c>
    </x:row>
    <x:row r="6127" ht="44" customHeight="1">
      <x:c r="A6127" s="2" t="str">
        <x:v>TUR</x:v>
      </x:c>
      <x:c r="B6127" s="2" t="str">
        <x:v>inflation</x:v>
      </x:c>
      <x:c r="C6127" s="2" t="n">
        <x:v>34.8811629820306</x:v>
      </x:c>
      <x:c r="D6127" s="2" t="n">
        <x:v>2025</x:v>
      </x:c>
      <x:c r="E6127" s="2" t="str">
        <x:v>WB_inflation</x:v>
      </x:c>
      <x:c r="F6127" s="2" t="str">
        <x:v>Inflation, consumer prices (annual %)</x:v>
      </x:c>
    </x:row>
    <x:row r="6128" ht="44" customHeight="1">
      <x:c r="A6128" s="2" t="str">
        <x:v>TUR</x:v>
      </x:c>
      <x:c r="B6128" s="2" t="str">
        <x:v>food_index</x:v>
      </x:c>
      <x:c r="C6128" s="2" t="n">
        <x:v>128.92</x:v>
      </x:c>
      <x:c r="D6128" s="2" t="n">
        <x:v>2022</x:v>
      </x:c>
      <x:c r="E6128" s="2" t="str">
        <x:v>WB_food_index</x:v>
      </x:c>
      <x:c r="F6128" s="2" t="str">
        <x:v>Food production index (2014-2016 = 100)</x:v>
      </x:c>
    </x:row>
    <x:row r="6129" ht="44" customHeight="1">
      <x:c r="A6129" s="2" t="str">
        <x:v>TUR</x:v>
      </x:c>
      <x:c r="B6129" s="2" t="str">
        <x:v>food_import_share</x:v>
      </x:c>
      <x:c r="C6129" s="2" t="n">
        <x:v>6.21498601848316</x:v>
      </x:c>
      <x:c r="D6129" s="2" t="n">
        <x:v>2024</x:v>
      </x:c>
      <x:c r="E6129" s="2" t="str">
        <x:v>WB_food_import_share</x:v>
      </x:c>
      <x:c r="F6129" s="2" t="str">
        <x:v>Food imports (% of merchandise imports)</x:v>
      </x:c>
    </x:row>
    <x:row r="6130" ht="44" customHeight="1">
      <x:c r="A6130" s="2" t="str">
        <x:v>TUR</x:v>
      </x:c>
      <x:c r="B6130" s="2" t="str">
        <x:v>food_export_share</x:v>
      </x:c>
      <x:c r="C6130" s="2" t="n">
        <x:v>12.2786228424908</x:v>
      </x:c>
      <x:c r="D6130" s="2" t="n">
        <x:v>2024</x:v>
      </x:c>
      <x:c r="E6130" s="2" t="str">
        <x:v>WB_food_export_share</x:v>
      </x:c>
      <x:c r="F6130" s="2" t="str">
        <x:v>Food exports (% of merchandise exports)</x:v>
      </x:c>
    </x:row>
    <x:row r="6131" ht="44" customHeight="1">
      <x:c r="A6131" s="2" t="str">
        <x:v>TUR</x:v>
      </x:c>
      <x:c r="B6131" s="2" t="str">
        <x:v>imports_usd</x:v>
      </x:c>
      <x:c r="C6131" s="2" t="n">
        <x:v>365370000000</x:v>
      </x:c>
      <x:c r="D6131" s="2" t="n">
        <x:v>2025</x:v>
      </x:c>
      <x:c r="E6131" s="2" t="str">
        <x:v>WB_imports_usd</x:v>
      </x:c>
      <x:c r="F6131" s="2" t="str">
        <x:v>Merchandise imports (current US$)</x:v>
      </x:c>
    </x:row>
    <x:row r="6132" ht="44" customHeight="1">
      <x:c r="A6132" s="2" t="str">
        <x:v>TUR</x:v>
      </x:c>
      <x:c r="B6132" s="2" t="str">
        <x:v>exports_usd</x:v>
      </x:c>
      <x:c r="C6132" s="2" t="n">
        <x:v>273361000000</x:v>
      </x:c>
      <x:c r="D6132" s="2" t="n">
        <x:v>2025</x:v>
      </x:c>
      <x:c r="E6132" s="2" t="str">
        <x:v>WB_exports_usd</x:v>
      </x:c>
      <x:c r="F6132" s="2" t="str">
        <x:v>Merchandise exports (current US$)</x:v>
      </x:c>
    </x:row>
    <x:row r="6133" ht="44" customHeight="1">
      <x:c r="A6133" s="2" t="str">
        <x:v>TUR</x:v>
      </x:c>
      <x:c r="B6133" s="2" t="str">
        <x:v>cereal_yield</x:v>
      </x:c>
      <x:c r="C6133" s="2" t="n">
        <x:v>3428.7</x:v>
      </x:c>
      <x:c r="D6133" s="2" t="n">
        <x:v>2024</x:v>
      </x:c>
      <x:c r="E6133" s="2" t="str">
        <x:v>WB_cereal_yield</x:v>
      </x:c>
      <x:c r="F6133" s="2" t="str">
        <x:v>Cereal yield (kg per hectare)</x:v>
      </x:c>
    </x:row>
    <x:row r="6134" ht="44" customHeight="1">
      <x:c r="A6134" s="2" t="str">
        <x:v>TUR</x:v>
      </x:c>
      <x:c r="B6134" s="2" t="str">
        <x:v>water_stress</x:v>
      </x:c>
      <x:c r="C6134" s="2" t="n">
        <x:v>47.88653346</x:v>
      </x:c>
      <x:c r="D6134" s="2" t="n">
        <x:v>2022</x:v>
      </x:c>
      <x:c r="E6134" s="2" t="str">
        <x:v>WB_water_stress</x:v>
      </x:c>
      <x:c r="F6134" s="2" t="str">
        <x:v>Level of water stress: freshwater withdrawal as a proportion of available freshwater resources</x:v>
      </x:c>
    </x:row>
    <x:row r="6135" ht="44" customHeight="1">
      <x:c r="A6135" s="2" t="str">
        <x:v>TUR</x:v>
      </x:c>
      <x:c r="B6135" s="2" t="str">
        <x:v>fertility</x:v>
      </x:c>
      <x:c r="C6135" s="2" t="n">
        <x:v>1.48</x:v>
      </x:c>
      <x:c r="D6135" s="2" t="n">
        <x:v>2024</x:v>
      </x:c>
      <x:c r="E6135" s="2" t="str">
        <x:v>WB_fertility</x:v>
      </x:c>
      <x:c r="F6135" s="2" t="str">
        <x:v>Fertility rate, total (births per woman)</x:v>
      </x:c>
    </x:row>
    <x:row r="6136" ht="44" customHeight="1">
      <x:c r="A6136" s="2" t="str">
        <x:v>TUR</x:v>
      </x:c>
      <x:c r="B6136" s="2" t="str">
        <x:v>life_expectancy</x:v>
      </x:c>
      <x:c r="C6136" s="2" t="n">
        <x:v>77.421</x:v>
      </x:c>
      <x:c r="D6136" s="2" t="n">
        <x:v>2024</x:v>
      </x:c>
      <x:c r="E6136" s="2" t="str">
        <x:v>WB_life_expectancy</x:v>
      </x:c>
      <x:c r="F6136" s="2" t="str">
        <x:v>Life expectancy at birth, total (years)</x:v>
      </x:c>
    </x:row>
    <x:row r="6137" ht="44" customHeight="1">
      <x:c r="A6137" s="2" t="str">
        <x:v>TUR</x:v>
      </x:c>
      <x:c r="B6137" s="2" t="str">
        <x:v>age_under15</x:v>
      </x:c>
      <x:c r="C6137" s="2" t="n">
        <x:v>21.0229035096437</x:v>
      </x:c>
      <x:c r="D6137" s="2" t="n">
        <x:v>2025</x:v>
      </x:c>
      <x:c r="E6137" s="2" t="str">
        <x:v>WB_age_under15</x:v>
      </x:c>
      <x:c r="F6137" s="2" t="str">
        <x:v>Population ages 0-14 (% of total population)</x:v>
      </x:c>
    </x:row>
    <x:row r="6138" ht="44" customHeight="1">
      <x:c r="A6138" s="2" t="str">
        <x:v>TUR</x:v>
      </x:c>
      <x:c r="B6138" s="2" t="str">
        <x:v>age_over65</x:v>
      </x:c>
      <x:c r="C6138" s="2" t="n">
        <x:v>10.5709408311479</x:v>
      </x:c>
      <x:c r="D6138" s="2" t="n">
        <x:v>2025</x:v>
      </x:c>
      <x:c r="E6138" s="2" t="str">
        <x:v>WB_age_over65</x:v>
      </x:c>
      <x:c r="F6138" s="2" t="str">
        <x:v>Population ages 65 and above (% of total population)</x:v>
      </x:c>
    </x:row>
    <x:row r="6139" ht="44" customHeight="1">
      <x:c r="A6139" s="2" t="str">
        <x:v>TUR</x:v>
      </x:c>
      <x:c r="B6139" s="2" t="str">
        <x:v>dependency_ratio</x:v>
      </x:c>
      <x:c r="C6139" s="2" t="n">
        <x:v>46.1856736686322</x:v>
      </x:c>
      <x:c r="D6139" s="2" t="n">
        <x:v>2025</x:v>
      </x:c>
      <x:c r="E6139" s="2" t="str">
        <x:v>WB_dependency_ratio</x:v>
      </x:c>
      <x:c r="F6139" s="2" t="str">
        <x:v>Age dependency ratio (% of working-age population)</x:v>
      </x:c>
    </x:row>
    <x:row r="6140" ht="44" customHeight="1">
      <x:c r="A6140" s="2" t="str">
        <x:v>TUR</x:v>
      </x:c>
      <x:c r="B6140" s="2" t="str">
        <x:v>net_migration</x:v>
      </x:c>
      <x:c r="C6140" s="2" t="n">
        <x:v>-258205</x:v>
      </x:c>
      <x:c r="D6140" s="2" t="n">
        <x:v>2025</x:v>
      </x:c>
      <x:c r="E6140" s="2" t="str">
        <x:v>WB_net_migration</x:v>
      </x:c>
      <x:c r="F6140" s="2" t="str">
        <x:v>Net migration</x:v>
      </x:c>
    </x:row>
    <x:row r="6141" ht="44" customHeight="1">
      <x:c r="A6141" s="2" t="str">
        <x:v>TUR</x:v>
      </x:c>
      <x:c r="B6141" s="2" t="str">
        <x:v>real_gdp</x:v>
      </x:c>
      <x:c r="C6141" s="2" t="n">
        <x:v>1364019302183.26</x:v>
      </x:c>
      <x:c r="D6141" s="2" t="n">
        <x:v>2025</x:v>
      </x:c>
      <x:c r="E6141" s="2" t="str">
        <x:v>WB_real_gdp</x:v>
      </x:c>
      <x:c r="F6141" s="2" t="str">
        <x:v>GDP (constant 2015 US$)</x:v>
      </x:c>
    </x:row>
    <x:row r="6142" ht="44" customHeight="1">
      <x:c r="A6142" s="2" t="str">
        <x:v>TUR</x:v>
      </x:c>
      <x:c r="B6142" s="2" t="str">
        <x:v>gdp_growth</x:v>
      </x:c>
      <x:c r="C6142" s="2" t="n">
        <x:v>3.60462514082589</x:v>
      </x:c>
      <x:c r="D6142" s="2" t="n">
        <x:v>2025</x:v>
      </x:c>
      <x:c r="E6142" s="2" t="str">
        <x:v>WB_gdp_growth</x:v>
      </x:c>
      <x:c r="F6142" s="2" t="str">
        <x:v>GDP growth (annual %)</x:v>
      </x:c>
    </x:row>
    <x:row r="6143" ht="44" customHeight="1">
      <x:c r="A6143" s="2" t="str">
        <x:v>TUR</x:v>
      </x:c>
      <x:c r="B6143" s="2" t="str">
        <x:v>real_income</x:v>
      </x:c>
      <x:c r="C6143" s="2" t="n">
        <x:v>15883.1187401807</x:v>
      </x:c>
      <x:c r="D6143" s="2" t="n">
        <x:v>2025</x:v>
      </x:c>
      <x:c r="E6143" s="2" t="str">
        <x:v>WB_real_income</x:v>
      </x:c>
      <x:c r="F6143" s="2" t="str">
        <x:v>GDP per capita (constant 2015 US$)</x:v>
      </x:c>
    </x:row>
    <x:row r="6144" ht="44" customHeight="1">
      <x:c r="A6144" s="2" t="str">
        <x:v>TUR</x:v>
      </x:c>
      <x:c r="B6144" s="2" t="str">
        <x:v>agriculture_gdp</x:v>
      </x:c>
      <x:c r="C6144" s="2" t="n">
        <x:v>5.20951196750004</x:v>
      </x:c>
      <x:c r="D6144" s="2" t="n">
        <x:v>2025</x:v>
      </x:c>
      <x:c r="E6144" s="2" t="str">
        <x:v>WB_agriculture_gdp</x:v>
      </x:c>
      <x:c r="F6144" s="2" t="str">
        <x:v>Agriculture, forestry, and fishing, value added (% of GDP)</x:v>
      </x:c>
    </x:row>
    <x:row r="6145" ht="44" customHeight="1">
      <x:c r="A6145" s="2" t="str">
        <x:v>TUR</x:v>
      </x:c>
      <x:c r="B6145" s="2" t="str">
        <x:v>poverty</x:v>
      </x:c>
      <x:c r="C6145" s="2" t="n">
        <x:v>0.2</x:v>
      </x:c>
      <x:c r="D6145" s="2" t="n">
        <x:v>2023</x:v>
      </x:c>
      <x:c r="E6145" s="2" t="str">
        <x:v>WB_poverty</x:v>
      </x:c>
      <x:c r="F6145" s="2" t="str">
        <x:v>Poverty headcount ratio at $3.00 a day (2021 PPP) (% of population)</x:v>
      </x:c>
    </x:row>
    <x:row r="6146" ht="44" customHeight="1">
      <x:c r="A6146" s="2" t="str">
        <x:v>TUR</x:v>
      </x:c>
      <x:c r="B6146" s="2" t="str">
        <x:v>gini</x:v>
      </x:c>
      <x:c r="C6146" s="2" t="n">
        <x:v>43.7</x:v>
      </x:c>
      <x:c r="D6146" s="2" t="n">
        <x:v>2023</x:v>
      </x:c>
      <x:c r="E6146" s="2" t="str">
        <x:v>WB_gini</x:v>
      </x:c>
      <x:c r="F6146" s="2" t="str">
        <x:v>Gini index</x:v>
      </x:c>
    </x:row>
    <x:row r="6147" ht="44" customHeight="1">
      <x:c r="A6147" s="2" t="str">
        <x:v>TUR</x:v>
      </x:c>
      <x:c r="B6147" s="2" t="str">
        <x:v>unemployment</x:v>
      </x:c>
      <x:c r="C6147" s="2" t="n">
        <x:v>8.52</x:v>
      </x:c>
      <x:c r="D6147" s="2" t="n">
        <x:v>2025</x:v>
      </x:c>
      <x:c r="E6147" s="2" t="str">
        <x:v>WB_unemployment</x:v>
      </x:c>
      <x:c r="F6147" s="2" t="str">
        <x:v>Unemployment, total (% of total labor force) (modeled ILO estimate)</x:v>
      </x:c>
    </x:row>
    <x:row r="6148" ht="44" customHeight="1">
      <x:c r="A6148" s="2" t="str">
        <x:v>TUR</x:v>
      </x:c>
      <x:c r="B6148" s="2" t="str">
        <x:v>private_credit</x:v>
      </x:c>
      <x:c r="C6148" s="2" t="n">
        <x:v>45.7827602523781</x:v>
      </x:c>
      <x:c r="D6148" s="2" t="n">
        <x:v>2025</x:v>
      </x:c>
      <x:c r="E6148" s="2" t="str">
        <x:v>WB_private_credit</x:v>
      </x:c>
      <x:c r="F6148" s="2" t="str">
        <x:v>Domestic credit to private sector (% of GDP)</x:v>
      </x:c>
    </x:row>
    <x:row r="6149" ht="44" customHeight="1">
      <x:c r="A6149" s="2" t="str">
        <x:v>TUR</x:v>
      </x:c>
      <x:c r="B6149" s="2" t="str">
        <x:v>lending_rate</x:v>
      </x:c>
      <x:c r="C6149" s="2"/>
      <x:c r="D6149" s="2"/>
      <x:c r="E6149" s="2" t="str">
        <x:v>Missing</x:v>
      </x:c>
      <x:c r="F6149" s="2" t="str">
        <x:v>Lending interest rate (%)</x:v>
      </x:c>
    </x:row>
    <x:row r="6150" ht="44" customHeight="1">
      <x:c r="A6150" s="2" t="str">
        <x:v>TUR</x:v>
      </x:c>
      <x:c r="B6150" s="2" t="str">
        <x:v>real_interest</x:v>
      </x:c>
      <x:c r="C6150" s="2"/>
      <x:c r="D6150" s="2"/>
      <x:c r="E6150" s="2" t="str">
        <x:v>Missing</x:v>
      </x:c>
      <x:c r="F6150" s="2" t="str">
        <x:v>Real interest rate (%)</x:v>
      </x:c>
    </x:row>
    <x:row r="6151" ht="44" customHeight="1">
      <x:c r="A6151" s="2" t="str">
        <x:v>TUR</x:v>
      </x:c>
      <x:c r="B6151" s="2" t="str">
        <x:v>government_debt</x:v>
      </x:c>
      <x:c r="C6151" s="2" t="n">
        <x:v>26.6192344930079</x:v>
      </x:c>
      <x:c r="D6151" s="2" t="n">
        <x:v>2024</x:v>
      </x:c>
      <x:c r="E6151" s="2" t="str">
        <x:v>WB_government_debt</x:v>
      </x:c>
      <x:c r="F6151" s="2" t="str">
        <x:v>Central government debt, total (% of GDP)</x:v>
      </x:c>
    </x:row>
    <x:row r="6152" ht="44" customHeight="1">
      <x:c r="A6152" s="2" t="str">
        <x:v>TUR</x:v>
      </x:c>
      <x:c r="B6152" s="2" t="str">
        <x:v>electricity_access</x:v>
      </x:c>
      <x:c r="C6152" s="2" t="n">
        <x:v>100</x:v>
      </x:c>
      <x:c r="D6152" s="2" t="n">
        <x:v>2024</x:v>
      </x:c>
      <x:c r="E6152" s="2" t="str">
        <x:v>WB_electricity_access</x:v>
      </x:c>
      <x:c r="F6152" s="2" t="str">
        <x:v>Access to electricity (% of population)</x:v>
      </x:c>
    </x:row>
    <x:row r="6153" ht="44" customHeight="1">
      <x:c r="A6153" s="2" t="str">
        <x:v>TUR</x:v>
      </x:c>
      <x:c r="B6153" s="2" t="str">
        <x:v>irrigated_land</x:v>
      </x:c>
      <x:c r="C6153" s="2" t="n">
        <x:v>12.4676065097958</x:v>
      </x:c>
      <x:c r="D6153" s="2" t="n">
        <x:v>2023</x:v>
      </x:c>
      <x:c r="E6153" s="2" t="str">
        <x:v>WB_irrigated_land</x:v>
      </x:c>
      <x:c r="F6153" s="2" t="str">
        <x:v>Agricultural irrigated land (% of total agricultural land)</x:v>
      </x:c>
    </x:row>
    <x:row r="6154" ht="44" customHeight="1">
      <x:c r="A6154" s="2" t="str">
        <x:v>TUR</x:v>
      </x:c>
      <x:c r="B6154" s="2" t="str">
        <x:v>cereal_area</x:v>
      </x:c>
      <x:c r="C6154" s="2" t="n">
        <x:v>11379632</x:v>
      </x:c>
      <x:c r="D6154" s="2" t="n">
        <x:v>2024</x:v>
      </x:c>
      <x:c r="E6154" s="2" t="str">
        <x:v>WB_cereal_area</x:v>
      </x:c>
      <x:c r="F6154" s="2" t="str">
        <x:v>Land under cereal production (hectares)</x:v>
      </x:c>
    </x:row>
    <x:row r="6155" ht="44" customHeight="1">
      <x:c r="A6155" s="2" t="str">
        <x:v>TUR</x:v>
      </x:c>
      <x:c r="B6155" s="2" t="str">
        <x:v>undernourishment</x:v>
      </x:c>
      <x:c r="C6155" s="2" t="n">
        <x:v>2.5</x:v>
      </x:c>
      <x:c r="D6155" s="2" t="n">
        <x:v>2023</x:v>
      </x:c>
      <x:c r="E6155" s="2" t="str">
        <x:v>WB_undernourishment</x:v>
      </x:c>
      <x:c r="F6155" s="2" t="str">
        <x:v>Prevalence of undernourishment (% of population)</x:v>
      </x:c>
    </x:row>
    <x:row r="6156" ht="44" customHeight="1">
      <x:c r="A6156" s="2" t="str">
        <x:v>TUR</x:v>
      </x:c>
      <x:c r="B6156" s="2" t="str">
        <x:v>agriculture_employment</x:v>
      </x:c>
      <x:c r="C6156" s="2" t="n">
        <x:v>14.2199829949572</x:v>
      </x:c>
      <x:c r="D6156" s="2" t="n">
        <x:v>2025</x:v>
      </x:c>
      <x:c r="E6156" s="2" t="str">
        <x:v>WB_agriculture_employment</x:v>
      </x:c>
      <x:c r="F6156" s="2" t="str">
        <x:v>Employment in agriculture (% of total employment) (modeled ILO estimate)</x:v>
      </x:c>
    </x:row>
    <x:row r="6157" ht="44" customHeight="1">
      <x:c r="A6157" s="2" t="str">
        <x:v>TUR</x:v>
      </x:c>
      <x:c r="B6157" s="2" t="str">
        <x:v>water_withdrawal</x:v>
      </x:c>
      <x:c r="C6157" s="2" t="n">
        <x:v>28.4007224669604</x:v>
      </x:c>
      <x:c r="D6157" s="2" t="n">
        <x:v>2022</x:v>
      </x:c>
      <x:c r="E6157" s="2" t="str">
        <x:v>WB_water_withdrawal</x:v>
      </x:c>
      <x:c r="F6157" s="2" t="str">
        <x:v>Annual freshwater withdrawals, total (% of internal resources)</x:v>
      </x:c>
    </x:row>
    <x:row r="6158" ht="44" customHeight="1">
      <x:c r="A6158" s="2" t="str">
        <x:v>UGA</x:v>
      </x:c>
      <x:c r="B6158" s="2" t="str">
        <x:v>population</x:v>
      </x:c>
      <x:c r="C6158" s="2" t="n">
        <x:v>51384894</x:v>
      </x:c>
      <x:c r="D6158" s="2" t="n">
        <x:v>2025</x:v>
      </x:c>
      <x:c r="E6158" s="2" t="str">
        <x:v>WB_population</x:v>
      </x:c>
      <x:c r="F6158" s="2" t="str">
        <x:v>Population, total</x:v>
      </x:c>
    </x:row>
    <x:row r="6159" ht="44" customHeight="1">
      <x:c r="A6159" s="2" t="str">
        <x:v>UGA</x:v>
      </x:c>
      <x:c r="B6159" s="2" t="str">
        <x:v>income_ppp</x:v>
      </x:c>
      <x:c r="C6159" s="2" t="n">
        <x:v>2980.37942135501</x:v>
      </x:c>
      <x:c r="D6159" s="2" t="n">
        <x:v>2025</x:v>
      </x:c>
      <x:c r="E6159" s="2" t="str">
        <x:v>WB_income_ppp</x:v>
      </x:c>
      <x:c r="F6159" s="2" t="str">
        <x:v>GDP per capita, PPP (constant 2021 international $)</x:v>
      </x:c>
    </x:row>
    <x:row r="6160" ht="44" customHeight="1">
      <x:c r="A6160" s="2" t="str">
        <x:v>UGA</x:v>
      </x:c>
      <x:c r="B6160" s="2" t="str">
        <x:v>urban</x:v>
      </x:c>
      <x:c r="C6160" s="2" t="n">
        <x:v>31.9399557536617</x:v>
      </x:c>
      <x:c r="D6160" s="2" t="n">
        <x:v>2025</x:v>
      </x:c>
      <x:c r="E6160" s="2" t="str">
        <x:v>WB_urban</x:v>
      </x:c>
      <x:c r="F6160" s="2" t="str">
        <x:v>Urban population (% of total population)</x:v>
      </x:c>
    </x:row>
    <x:row r="6161" ht="44" customHeight="1">
      <x:c r="A6161" s="2" t="str">
        <x:v>UGA</x:v>
      </x:c>
      <x:c r="B6161" s="2" t="str">
        <x:v>inflation</x:v>
      </x:c>
      <x:c r="C6161" s="2" t="n">
        <x:v>3.58082784438067</x:v>
      </x:c>
      <x:c r="D6161" s="2" t="n">
        <x:v>2025</x:v>
      </x:c>
      <x:c r="E6161" s="2" t="str">
        <x:v>WB_inflation</x:v>
      </x:c>
      <x:c r="F6161" s="2" t="str">
        <x:v>Inflation, consumer prices (annual %)</x:v>
      </x:c>
    </x:row>
    <x:row r="6162" ht="44" customHeight="1">
      <x:c r="A6162" s="2" t="str">
        <x:v>UGA</x:v>
      </x:c>
      <x:c r="B6162" s="2" t="str">
        <x:v>food_index</x:v>
      </x:c>
      <x:c r="C6162" s="2" t="n">
        <x:v>135.53</x:v>
      </x:c>
      <x:c r="D6162" s="2" t="n">
        <x:v>2022</x:v>
      </x:c>
      <x:c r="E6162" s="2" t="str">
        <x:v>WB_food_index</x:v>
      </x:c>
      <x:c r="F6162" s="2" t="str">
        <x:v>Food production index (2014-2016 = 100)</x:v>
      </x:c>
    </x:row>
    <x:row r="6163" ht="44" customHeight="1">
      <x:c r="A6163" s="2" t="str">
        <x:v>UGA</x:v>
      </x:c>
      <x:c r="B6163" s="2" t="str">
        <x:v>food_import_share</x:v>
      </x:c>
      <x:c r="C6163" s="2" t="n">
        <x:v>10.735405652596</x:v>
      </x:c>
      <x:c r="D6163" s="2" t="n">
        <x:v>2024</x:v>
      </x:c>
      <x:c r="E6163" s="2" t="str">
        <x:v>WB_food_import_share</x:v>
      </x:c>
      <x:c r="F6163" s="2" t="str">
        <x:v>Food imports (% of merchandise imports)</x:v>
      </x:c>
    </x:row>
    <x:row r="6164" ht="44" customHeight="1">
      <x:c r="A6164" s="2" t="str">
        <x:v>UGA</x:v>
      </x:c>
      <x:c r="B6164" s="2" t="str">
        <x:v>food_export_share</x:v>
      </x:c>
      <x:c r="C6164" s="2" t="n">
        <x:v>39.3034202942322</x:v>
      </x:c>
      <x:c r="D6164" s="2" t="n">
        <x:v>2024</x:v>
      </x:c>
      <x:c r="E6164" s="2" t="str">
        <x:v>WB_food_export_share</x:v>
      </x:c>
      <x:c r="F6164" s="2" t="str">
        <x:v>Food exports (% of merchandise exports)</x:v>
      </x:c>
    </x:row>
    <x:row r="6165" ht="44" customHeight="1">
      <x:c r="A6165" s="2" t="str">
        <x:v>UGA</x:v>
      </x:c>
      <x:c r="B6165" s="2" t="str">
        <x:v>imports_usd</x:v>
      </x:c>
      <x:c r="C6165" s="2" t="n">
        <x:v>18400000000</x:v>
      </x:c>
      <x:c r="D6165" s="2" t="n">
        <x:v>2025</x:v>
      </x:c>
      <x:c r="E6165" s="2" t="str">
        <x:v>WB_imports_usd</x:v>
      </x:c>
      <x:c r="F6165" s="2" t="str">
        <x:v>Merchandise imports (current US$)</x:v>
      </x:c>
    </x:row>
    <x:row r="6166" ht="44" customHeight="1">
      <x:c r="A6166" s="2" t="str">
        <x:v>UGA</x:v>
      </x:c>
      <x:c r="B6166" s="2" t="str">
        <x:v>exports_usd</x:v>
      </x:c>
      <x:c r="C6166" s="2" t="n">
        <x:v>12500000000</x:v>
      </x:c>
      <x:c r="D6166" s="2" t="n">
        <x:v>2025</x:v>
      </x:c>
      <x:c r="E6166" s="2" t="str">
        <x:v>WB_exports_usd</x:v>
      </x:c>
      <x:c r="F6166" s="2" t="str">
        <x:v>Merchandise exports (current US$)</x:v>
      </x:c>
    </x:row>
    <x:row r="6167" ht="44" customHeight="1">
      <x:c r="A6167" s="2" t="str">
        <x:v>UGA</x:v>
      </x:c>
      <x:c r="B6167" s="2" t="str">
        <x:v>cereal_yield</x:v>
      </x:c>
      <x:c r="C6167" s="2" t="n">
        <x:v>1919.8</x:v>
      </x:c>
      <x:c r="D6167" s="2" t="n">
        <x:v>2024</x:v>
      </x:c>
      <x:c r="E6167" s="2" t="str">
        <x:v>WB_cereal_yield</x:v>
      </x:c>
      <x:c r="F6167" s="2" t="str">
        <x:v>Cereal yield (kg per hectare)</x:v>
      </x:c>
    </x:row>
    <x:row r="6168" ht="44" customHeight="1">
      <x:c r="A6168" s="2" t="str">
        <x:v>UGA</x:v>
      </x:c>
      <x:c r="B6168" s="2" t="str">
        <x:v>water_stress</x:v>
      </x:c>
      <x:c r="C6168" s="2" t="n">
        <x:v>5.82799634</x:v>
      </x:c>
      <x:c r="D6168" s="2" t="n">
        <x:v>2022</x:v>
      </x:c>
      <x:c r="E6168" s="2" t="str">
        <x:v>WB_water_stress</x:v>
      </x:c>
      <x:c r="F6168" s="2" t="str">
        <x:v>Level of water stress: freshwater withdrawal as a proportion of available freshwater resources</x:v>
      </x:c>
    </x:row>
    <x:row r="6169" ht="44" customHeight="1">
      <x:c r="A6169" s="2" t="str">
        <x:v>UGA</x:v>
      </x:c>
      <x:c r="B6169" s="2" t="str">
        <x:v>fertility</x:v>
      </x:c>
      <x:c r="C6169" s="2" t="n">
        <x:v>4.165</x:v>
      </x:c>
      <x:c r="D6169" s="2" t="n">
        <x:v>2024</x:v>
      </x:c>
      <x:c r="E6169" s="2" t="str">
        <x:v>WB_fertility</x:v>
      </x:c>
      <x:c r="F6169" s="2" t="str">
        <x:v>Fertility rate, total (births per woman)</x:v>
      </x:c>
    </x:row>
    <x:row r="6170" ht="44" customHeight="1">
      <x:c r="A6170" s="2" t="str">
        <x:v>UGA</x:v>
      </x:c>
      <x:c r="B6170" s="2" t="str">
        <x:v>life_expectancy</x:v>
      </x:c>
      <x:c r="C6170" s="2" t="n">
        <x:v>68.487</x:v>
      </x:c>
      <x:c r="D6170" s="2" t="n">
        <x:v>2024</x:v>
      </x:c>
      <x:c r="E6170" s="2" t="str">
        <x:v>WB_life_expectancy</x:v>
      </x:c>
      <x:c r="F6170" s="2" t="str">
        <x:v>Life expectancy at birth, total (years)</x:v>
      </x:c>
    </x:row>
    <x:row r="6171" ht="44" customHeight="1">
      <x:c r="A6171" s="2" t="str">
        <x:v>UGA</x:v>
      </x:c>
      <x:c r="B6171" s="2" t="str">
        <x:v>age_under15</x:v>
      </x:c>
      <x:c r="C6171" s="2" t="n">
        <x:v>43.1111622026505</x:v>
      </x:c>
      <x:c r="D6171" s="2" t="n">
        <x:v>2025</x:v>
      </x:c>
      <x:c r="E6171" s="2" t="str">
        <x:v>WB_age_under15</x:v>
      </x:c>
      <x:c r="F6171" s="2" t="str">
        <x:v>Population ages 0-14 (% of total population)</x:v>
      </x:c>
    </x:row>
    <x:row r="6172" ht="44" customHeight="1">
      <x:c r="A6172" s="2" t="str">
        <x:v>UGA</x:v>
      </x:c>
      <x:c r="B6172" s="2" t="str">
        <x:v>age_over65</x:v>
      </x:c>
      <x:c r="C6172" s="2" t="n">
        <x:v>2.22850221312123</x:v>
      </x:c>
      <x:c r="D6172" s="2" t="n">
        <x:v>2025</x:v>
      </x:c>
      <x:c r="E6172" s="2" t="str">
        <x:v>WB_age_over65</x:v>
      </x:c>
      <x:c r="F6172" s="2" t="str">
        <x:v>Population ages 65 and above (% of total population)</x:v>
      </x:c>
    </x:row>
    <x:row r="6173" ht="44" customHeight="1">
      <x:c r="A6173" s="2" t="str">
        <x:v>UGA</x:v>
      </x:c>
      <x:c r="B6173" s="2" t="str">
        <x:v>dependency_ratio</x:v>
      </x:c>
      <x:c r="C6173" s="2" t="n">
        <x:v>82.9480166289537</x:v>
      </x:c>
      <x:c r="D6173" s="2" t="n">
        <x:v>2025</x:v>
      </x:c>
      <x:c r="E6173" s="2" t="str">
        <x:v>WB_dependency_ratio</x:v>
      </x:c>
      <x:c r="F6173" s="2" t="str">
        <x:v>Age dependency ratio (% of working-age population)</x:v>
      </x:c>
    </x:row>
    <x:row r="6174" ht="44" customHeight="1">
      <x:c r="A6174" s="2" t="str">
        <x:v>UGA</x:v>
      </x:c>
      <x:c r="B6174" s="2" t="str">
        <x:v>net_migration</x:v>
      </x:c>
      <x:c r="C6174" s="2" t="n">
        <x:v>-119059</x:v>
      </x:c>
      <x:c r="D6174" s="2" t="n">
        <x:v>2025</x:v>
      </x:c>
      <x:c r="E6174" s="2" t="str">
        <x:v>WB_net_migration</x:v>
      </x:c>
      <x:c r="F6174" s="2" t="str">
        <x:v>Net migration</x:v>
      </x:c>
    </x:row>
    <x:row r="6175" ht="44" customHeight="1">
      <x:c r="A6175" s="2" t="str">
        <x:v>UGA</x:v>
      </x:c>
      <x:c r="B6175" s="2" t="str">
        <x:v>real_gdp</x:v>
      </x:c>
      <x:c r="C6175" s="2" t="n">
        <x:v>52442200144.5364</x:v>
      </x:c>
      <x:c r="D6175" s="2" t="n">
        <x:v>2025</x:v>
      </x:c>
      <x:c r="E6175" s="2" t="str">
        <x:v>WB_real_gdp</x:v>
      </x:c>
      <x:c r="F6175" s="2" t="str">
        <x:v>GDP (constant 2015 US$)</x:v>
      </x:c>
    </x:row>
    <x:row r="6176" ht="44" customHeight="1">
      <x:c r="A6176" s="2" t="str">
        <x:v>UGA</x:v>
      </x:c>
      <x:c r="B6176" s="2" t="str">
        <x:v>gdp_growth</x:v>
      </x:c>
      <x:c r="C6176" s="2" t="n">
        <x:v>6.33181157677313</x:v>
      </x:c>
      <x:c r="D6176" s="2" t="n">
        <x:v>2025</x:v>
      </x:c>
      <x:c r="E6176" s="2" t="str">
        <x:v>WB_gdp_growth</x:v>
      </x:c>
      <x:c r="F6176" s="2" t="str">
        <x:v>GDP growth (annual %)</x:v>
      </x:c>
    </x:row>
    <x:row r="6177" ht="44" customHeight="1">
      <x:c r="A6177" s="2" t="str">
        <x:v>UGA</x:v>
      </x:c>
      <x:c r="B6177" s="2" t="str">
        <x:v>real_income</x:v>
      </x:c>
      <x:c r="C6177" s="2" t="n">
        <x:v>1020.5762056167</x:v>
      </x:c>
      <x:c r="D6177" s="2" t="n">
        <x:v>2025</x:v>
      </x:c>
      <x:c r="E6177" s="2" t="str">
        <x:v>WB_real_income</x:v>
      </x:c>
      <x:c r="F6177" s="2" t="str">
        <x:v>GDP per capita (constant 2015 US$)</x:v>
      </x:c>
    </x:row>
    <x:row r="6178" ht="44" customHeight="1">
      <x:c r="A6178" s="2" t="str">
        <x:v>UGA</x:v>
      </x:c>
      <x:c r="B6178" s="2" t="str">
        <x:v>agriculture_gdp</x:v>
      </x:c>
      <x:c r="C6178" s="2" t="n">
        <x:v>26.1325416269988</x:v>
      </x:c>
      <x:c r="D6178" s="2" t="n">
        <x:v>2025</x:v>
      </x:c>
      <x:c r="E6178" s="2" t="str">
        <x:v>WB_agriculture_gdp</x:v>
      </x:c>
      <x:c r="F6178" s="2" t="str">
        <x:v>Agriculture, forestry, and fishing, value added (% of GDP)</x:v>
      </x:c>
    </x:row>
    <x:row r="6179" ht="44" customHeight="1">
      <x:c r="A6179" s="2" t="str">
        <x:v>UGA</x:v>
      </x:c>
      <x:c r="B6179" s="2" t="str">
        <x:v>poverty</x:v>
      </x:c>
      <x:c r="C6179" s="2" t="n">
        <x:v>59.8</x:v>
      </x:c>
      <x:c r="D6179" s="2" t="n">
        <x:v>2019</x:v>
      </x:c>
      <x:c r="E6179" s="2" t="str">
        <x:v>WB_poverty</x:v>
      </x:c>
      <x:c r="F6179" s="2" t="str">
        <x:v>Poverty headcount ratio at $3.00 a day (2021 PPP) (% of population)</x:v>
      </x:c>
    </x:row>
    <x:row r="6180" ht="44" customHeight="1">
      <x:c r="A6180" s="2" t="str">
        <x:v>UGA</x:v>
      </x:c>
      <x:c r="B6180" s="2" t="str">
        <x:v>gini</x:v>
      </x:c>
      <x:c r="C6180" s="2" t="n">
        <x:v>42.7</x:v>
      </x:c>
      <x:c r="D6180" s="2" t="n">
        <x:v>2019</x:v>
      </x:c>
      <x:c r="E6180" s="2" t="str">
        <x:v>WB_gini</x:v>
      </x:c>
      <x:c r="F6180" s="2" t="str">
        <x:v>Gini index</x:v>
      </x:c>
    </x:row>
    <x:row r="6181" ht="44" customHeight="1">
      <x:c r="A6181" s="2" t="str">
        <x:v>UGA</x:v>
      </x:c>
      <x:c r="B6181" s="2" t="str">
        <x:v>unemployment</x:v>
      </x:c>
      <x:c r="C6181" s="2" t="n">
        <x:v>2.746</x:v>
      </x:c>
      <x:c r="D6181" s="2" t="n">
        <x:v>2025</x:v>
      </x:c>
      <x:c r="E6181" s="2" t="str">
        <x:v>WB_unemployment</x:v>
      </x:c>
      <x:c r="F6181" s="2" t="str">
        <x:v>Unemployment, total (% of total labor force) (modeled ILO estimate)</x:v>
      </x:c>
    </x:row>
    <x:row r="6182" ht="44" customHeight="1">
      <x:c r="A6182" s="2" t="str">
        <x:v>UGA</x:v>
      </x:c>
      <x:c r="B6182" s="2" t="str">
        <x:v>private_credit</x:v>
      </x:c>
      <x:c r="C6182" s="2" t="n">
        <x:v>14.3001761811715</x:v>
      </x:c>
      <x:c r="D6182" s="2" t="n">
        <x:v>2024</x:v>
      </x:c>
      <x:c r="E6182" s="2" t="str">
        <x:v>WB_private_credit</x:v>
      </x:c>
      <x:c r="F6182" s="2" t="str">
        <x:v>Domestic credit to private sector (% of GDP)</x:v>
      </x:c>
    </x:row>
    <x:row r="6183" ht="44" customHeight="1">
      <x:c r="A6183" s="2" t="str">
        <x:v>UGA</x:v>
      </x:c>
      <x:c r="B6183" s="2" t="str">
        <x:v>lending_rate</x:v>
      </x:c>
      <x:c r="C6183" s="2" t="n">
        <x:v>19.8465587059191</x:v>
      </x:c>
      <x:c r="D6183" s="2" t="n">
        <x:v>2018</x:v>
      </x:c>
      <x:c r="E6183" s="2" t="str">
        <x:v>WB_lending_rate</x:v>
      </x:c>
      <x:c r="F6183" s="2" t="str">
        <x:v>Lending interest rate (%)</x:v>
      </x:c>
    </x:row>
    <x:row r="6184" ht="44" customHeight="1">
      <x:c r="A6184" s="2" t="str">
        <x:v>UGA</x:v>
      </x:c>
      <x:c r="B6184" s="2" t="str">
        <x:v>real_interest</x:v>
      </x:c>
      <x:c r="C6184" s="2" t="n">
        <x:v>14.7478688039364</x:v>
      </x:c>
      <x:c r="D6184" s="2" t="n">
        <x:v>2018</x:v>
      </x:c>
      <x:c r="E6184" s="2" t="str">
        <x:v>WB_real_interest</x:v>
      </x:c>
      <x:c r="F6184" s="2" t="str">
        <x:v>Real interest rate (%)</x:v>
      </x:c>
    </x:row>
    <x:row r="6185" ht="44" customHeight="1">
      <x:c r="A6185" s="2" t="str">
        <x:v>UGA</x:v>
      </x:c>
      <x:c r="B6185" s="2" t="str">
        <x:v>government_debt</x:v>
      </x:c>
      <x:c r="C6185" s="2" t="n">
        <x:v>54.4305525836671</x:v>
      </x:c>
      <x:c r="D6185" s="2" t="n">
        <x:v>2024</x:v>
      </x:c>
      <x:c r="E6185" s="2" t="str">
        <x:v>WB_government_debt</x:v>
      </x:c>
      <x:c r="F6185" s="2" t="str">
        <x:v>Central government debt, total (% of GDP)</x:v>
      </x:c>
    </x:row>
    <x:row r="6186" ht="44" customHeight="1">
      <x:c r="A6186" s="2" t="str">
        <x:v>UGA</x:v>
      </x:c>
      <x:c r="B6186" s="2" t="str">
        <x:v>electricity_access</x:v>
      </x:c>
      <x:c r="C6186" s="2" t="n">
        <x:v>55.3</x:v>
      </x:c>
      <x:c r="D6186" s="2" t="n">
        <x:v>2024</x:v>
      </x:c>
      <x:c r="E6186" s="2" t="str">
        <x:v>WB_electricity_access</x:v>
      </x:c>
      <x:c r="F6186" s="2" t="str">
        <x:v>Access to electricity (% of population)</x:v>
      </x:c>
    </x:row>
    <x:row r="6187" ht="44" customHeight="1">
      <x:c r="A6187" s="2" t="str">
        <x:v>UGA</x:v>
      </x:c>
      <x:c r="B6187" s="2" t="str">
        <x:v>irrigated_land</x:v>
      </x:c>
      <x:c r="C6187" s="2" t="n">
        <x:v>0.0733957682969129</x:v>
      </x:c>
      <x:c r="D6187" s="2" t="n">
        <x:v>2013</x:v>
      </x:c>
      <x:c r="E6187" s="2" t="str">
        <x:v>WB_irrigated_land</x:v>
      </x:c>
      <x:c r="F6187" s="2" t="str">
        <x:v>Agricultural irrigated land (% of total agricultural land)</x:v>
      </x:c>
    </x:row>
    <x:row r="6188" ht="44" customHeight="1">
      <x:c r="A6188" s="2" t="str">
        <x:v>UGA</x:v>
      </x:c>
      <x:c r="B6188" s="2" t="str">
        <x:v>cereal_area</x:v>
      </x:c>
      <x:c r="C6188" s="2" t="n">
        <x:v>2953368</x:v>
      </x:c>
      <x:c r="D6188" s="2" t="n">
        <x:v>2024</x:v>
      </x:c>
      <x:c r="E6188" s="2" t="str">
        <x:v>WB_cereal_area</x:v>
      </x:c>
      <x:c r="F6188" s="2" t="str">
        <x:v>Land under cereal production (hectares)</x:v>
      </x:c>
    </x:row>
    <x:row r="6189" ht="44" customHeight="1">
      <x:c r="A6189" s="2" t="str">
        <x:v>UGA</x:v>
      </x:c>
      <x:c r="B6189" s="2" t="str">
        <x:v>undernourishment</x:v>
      </x:c>
      <x:c r="C6189" s="2" t="n">
        <x:v>22</x:v>
      </x:c>
      <x:c r="D6189" s="2" t="n">
        <x:v>2023</x:v>
      </x:c>
      <x:c r="E6189" s="2" t="str">
        <x:v>WB_undernourishment</x:v>
      </x:c>
      <x:c r="F6189" s="2" t="str">
        <x:v>Prevalence of undernourishment (% of population)</x:v>
      </x:c>
    </x:row>
    <x:row r="6190" ht="44" customHeight="1">
      <x:c r="A6190" s="2" t="str">
        <x:v>UGA</x:v>
      </x:c>
      <x:c r="B6190" s="2" t="str">
        <x:v>agriculture_employment</x:v>
      </x:c>
      <x:c r="C6190" s="2" t="n">
        <x:v>64.8536445563912</x:v>
      </x:c>
      <x:c r="D6190" s="2" t="n">
        <x:v>2025</x:v>
      </x:c>
      <x:c r="E6190" s="2" t="str">
        <x:v>WB_agriculture_employment</x:v>
      </x:c>
      <x:c r="F6190" s="2" t="str">
        <x:v>Employment in agriculture (% of total employment) (modeled ILO estimate)</x:v>
      </x:c>
    </x:row>
    <x:row r="6191" ht="44" customHeight="1">
      <x:c r="A6191" s="2" t="str">
        <x:v>UGA</x:v>
      </x:c>
      <x:c r="B6191" s="2" t="str">
        <x:v>water_withdrawal</x:v>
      </x:c>
      <x:c r="C6191" s="2" t="n">
        <x:v>1.63333333333333</x:v>
      </x:c>
      <x:c r="D6191" s="2" t="n">
        <x:v>2022</x:v>
      </x:c>
      <x:c r="E6191" s="2" t="str">
        <x:v>WB_water_withdrawal</x:v>
      </x:c>
      <x:c r="F6191" s="2" t="str">
        <x:v>Annual freshwater withdrawals, total (% of internal resources)</x:v>
      </x:c>
    </x:row>
    <x:row r="6192" ht="44" customHeight="1">
      <x:c r="A6192" s="2" t="str">
        <x:v>UKR</x:v>
      </x:c>
      <x:c r="B6192" s="2" t="str">
        <x:v>population</x:v>
      </x:c>
      <x:c r="C6192" s="2" t="n">
        <x:v>38980376</x:v>
      </x:c>
      <x:c r="D6192" s="2" t="n">
        <x:v>2025</x:v>
      </x:c>
      <x:c r="E6192" s="2" t="str">
        <x:v>WB_population</x:v>
      </x:c>
      <x:c r="F6192" s="2" t="str">
        <x:v>Population, total</x:v>
      </x:c>
    </x:row>
    <x:row r="6193" ht="44" customHeight="1">
      <x:c r="A6193" s="2" t="str">
        <x:v>UKR</x:v>
      </x:c>
      <x:c r="B6193" s="2" t="str">
        <x:v>income_ppp</x:v>
      </x:c>
      <x:c r="C6193" s="2" t="n">
        <x:v>16155.0732421875</x:v>
      </x:c>
      <x:c r="D6193" s="2" t="n">
        <x:v>2025</x:v>
      </x:c>
      <x:c r="E6193" s="2" t="str">
        <x:v>WB_income_ppp</x:v>
      </x:c>
      <x:c r="F6193" s="2" t="str">
        <x:v>GDP per capita, PPP (constant 2021 international $)</x:v>
      </x:c>
    </x:row>
    <x:row r="6194" ht="44" customHeight="1">
      <x:c r="A6194" s="2" t="str">
        <x:v>UKR</x:v>
      </x:c>
      <x:c r="B6194" s="2" t="str">
        <x:v>urban</x:v>
      </x:c>
      <x:c r="C6194" s="2" t="n">
        <x:v>69.5954924645764</x:v>
      </x:c>
      <x:c r="D6194" s="2" t="n">
        <x:v>2025</x:v>
      </x:c>
      <x:c r="E6194" s="2" t="str">
        <x:v>WB_urban</x:v>
      </x:c>
      <x:c r="F6194" s="2" t="str">
        <x:v>Urban population (% of total population)</x:v>
      </x:c>
    </x:row>
    <x:row r="6195" ht="44" customHeight="1">
      <x:c r="A6195" s="2" t="str">
        <x:v>UKR</x:v>
      </x:c>
      <x:c r="B6195" s="2" t="str">
        <x:v>inflation</x:v>
      </x:c>
      <x:c r="C6195" s="2" t="n">
        <x:v>12.7303341026903</x:v>
      </x:c>
      <x:c r="D6195" s="2" t="n">
        <x:v>2025</x:v>
      </x:c>
      <x:c r="E6195" s="2" t="str">
        <x:v>WB_inflation</x:v>
      </x:c>
      <x:c r="F6195" s="2" t="str">
        <x:v>Inflation, consumer prices (annual %)</x:v>
      </x:c>
    </x:row>
    <x:row r="6196" ht="44" customHeight="1">
      <x:c r="A6196" s="2" t="str">
        <x:v>UKR</x:v>
      </x:c>
      <x:c r="B6196" s="2" t="str">
        <x:v>food_index</x:v>
      </x:c>
      <x:c r="C6196" s="2" t="n">
        <x:v>87.83</x:v>
      </x:c>
      <x:c r="D6196" s="2" t="n">
        <x:v>2022</x:v>
      </x:c>
      <x:c r="E6196" s="2" t="str">
        <x:v>WB_food_index</x:v>
      </x:c>
      <x:c r="F6196" s="2" t="str">
        <x:v>Food production index (2014-2016 = 100)</x:v>
      </x:c>
    </x:row>
    <x:row r="6197" ht="44" customHeight="1">
      <x:c r="A6197" s="2" t="str">
        <x:v>UKR</x:v>
      </x:c>
      <x:c r="B6197" s="2" t="str">
        <x:v>food_import_share</x:v>
      </x:c>
      <x:c r="C6197" s="2" t="n">
        <x:v>10.4875078767575</x:v>
      </x:c>
      <x:c r="D6197" s="2" t="n">
        <x:v>2024</x:v>
      </x:c>
      <x:c r="E6197" s="2" t="str">
        <x:v>WB_food_import_share</x:v>
      </x:c>
      <x:c r="F6197" s="2" t="str">
        <x:v>Food imports (% of merchandise imports)</x:v>
      </x:c>
    </x:row>
    <x:row r="6198" ht="44" customHeight="1">
      <x:c r="A6198" s="2" t="str">
        <x:v>UKR</x:v>
      </x:c>
      <x:c r="B6198" s="2" t="str">
        <x:v>food_export_share</x:v>
      </x:c>
      <x:c r="C6198" s="2" t="n">
        <x:v>58.6934533708002</x:v>
      </x:c>
      <x:c r="D6198" s="2" t="n">
        <x:v>2024</x:v>
      </x:c>
      <x:c r="E6198" s="2" t="str">
        <x:v>WB_food_export_share</x:v>
      </x:c>
      <x:c r="F6198" s="2" t="str">
        <x:v>Food exports (% of merchandise exports)</x:v>
      </x:c>
    </x:row>
    <x:row r="6199" ht="44" customHeight="1">
      <x:c r="A6199" s="2" t="str">
        <x:v>UKR</x:v>
      </x:c>
      <x:c r="B6199" s="2" t="str">
        <x:v>imports_usd</x:v>
      </x:c>
      <x:c r="C6199" s="2" t="n">
        <x:v>83573000000</x:v>
      </x:c>
      <x:c r="D6199" s="2" t="n">
        <x:v>2025</x:v>
      </x:c>
      <x:c r="E6199" s="2" t="str">
        <x:v>WB_imports_usd</x:v>
      </x:c>
      <x:c r="F6199" s="2" t="str">
        <x:v>Merchandise imports (current US$)</x:v>
      </x:c>
    </x:row>
    <x:row r="6200" ht="44" customHeight="1">
      <x:c r="A6200" s="2" t="str">
        <x:v>UKR</x:v>
      </x:c>
      <x:c r="B6200" s="2" t="str">
        <x:v>exports_usd</x:v>
      </x:c>
      <x:c r="C6200" s="2" t="n">
        <x:v>40368000000</x:v>
      </x:c>
      <x:c r="D6200" s="2" t="n">
        <x:v>2025</x:v>
      </x:c>
      <x:c r="E6200" s="2" t="str">
        <x:v>WB_exports_usd</x:v>
      </x:c>
      <x:c r="F6200" s="2" t="str">
        <x:v>Merchandise exports (current US$)</x:v>
      </x:c>
    </x:row>
    <x:row r="6201" ht="44" customHeight="1">
      <x:c r="A6201" s="2" t="str">
        <x:v>UKR</x:v>
      </x:c>
      <x:c r="B6201" s="2" t="str">
        <x:v>cereal_yield</x:v>
      </x:c>
      <x:c r="C6201" s="2" t="n">
        <x:v>5147.7</x:v>
      </x:c>
      <x:c r="D6201" s="2" t="n">
        <x:v>2024</x:v>
      </x:c>
      <x:c r="E6201" s="2" t="str">
        <x:v>WB_cereal_yield</x:v>
      </x:c>
      <x:c r="F6201" s="2" t="str">
        <x:v>Cereal yield (kg per hectare)</x:v>
      </x:c>
    </x:row>
    <x:row r="6202" ht="44" customHeight="1">
      <x:c r="A6202" s="2" t="str">
        <x:v>UKR</x:v>
      </x:c>
      <x:c r="B6202" s="2" t="str">
        <x:v>water_stress</x:v>
      </x:c>
      <x:c r="C6202" s="2" t="n">
        <x:v>6.298134232</x:v>
      </x:c>
      <x:c r="D6202" s="2" t="n">
        <x:v>2022</x:v>
      </x:c>
      <x:c r="E6202" s="2" t="str">
        <x:v>WB_water_stress</x:v>
      </x:c>
      <x:c r="F6202" s="2" t="str">
        <x:v>Level of water stress: freshwater withdrawal as a proportion of available freshwater resources</x:v>
      </x:c>
    </x:row>
    <x:row r="6203" ht="44" customHeight="1">
      <x:c r="A6203" s="2" t="str">
        <x:v>UKR</x:v>
      </x:c>
      <x:c r="B6203" s="2" t="str">
        <x:v>fertility</x:v>
      </x:c>
      <x:c r="C6203" s="2" t="n">
        <x:v>0.988</x:v>
      </x:c>
      <x:c r="D6203" s="2" t="n">
        <x:v>2024</x:v>
      </x:c>
      <x:c r="E6203" s="2" t="str">
        <x:v>WB_fertility</x:v>
      </x:c>
      <x:c r="F6203" s="2" t="str">
        <x:v>Fertility rate, total (births per woman)</x:v>
      </x:c>
    </x:row>
    <x:row r="6204" ht="44" customHeight="1">
      <x:c r="A6204" s="2" t="str">
        <x:v>UKR</x:v>
      </x:c>
      <x:c r="B6204" s="2" t="str">
        <x:v>life_expectancy</x:v>
      </x:c>
      <x:c r="C6204" s="2" t="n">
        <x:v>74.692</x:v>
      </x:c>
      <x:c r="D6204" s="2" t="n">
        <x:v>2024</x:v>
      </x:c>
      <x:c r="E6204" s="2" t="str">
        <x:v>WB_life_expectancy</x:v>
      </x:c>
      <x:c r="F6204" s="2" t="str">
        <x:v>Life expectancy at birth, total (years)</x:v>
      </x:c>
    </x:row>
    <x:row r="6205" ht="44" customHeight="1">
      <x:c r="A6205" s="2" t="str">
        <x:v>UKR</x:v>
      </x:c>
      <x:c r="B6205" s="2" t="str">
        <x:v>age_under15</x:v>
      </x:c>
      <x:c r="C6205" s="2" t="n">
        <x:v>13.6943867127605</x:v>
      </x:c>
      <x:c r="D6205" s="2" t="n">
        <x:v>2025</x:v>
      </x:c>
      <x:c r="E6205" s="2" t="str">
        <x:v>WB_age_under15</x:v>
      </x:c>
      <x:c r="F6205" s="2" t="str">
        <x:v>Population ages 0-14 (% of total population)</x:v>
      </x:c>
    </x:row>
    <x:row r="6206" ht="44" customHeight="1">
      <x:c r="A6206" s="2" t="str">
        <x:v>UKR</x:v>
      </x:c>
      <x:c r="B6206" s="2" t="str">
        <x:v>age_over65</x:v>
      </x:c>
      <x:c r="C6206" s="2" t="n">
        <x:v>18.9717382539904</x:v>
      </x:c>
      <x:c r="D6206" s="2" t="n">
        <x:v>2025</x:v>
      </x:c>
      <x:c r="E6206" s="2" t="str">
        <x:v>WB_age_over65</x:v>
      </x:c>
      <x:c r="F6206" s="2" t="str">
        <x:v>Population ages 65 and above (% of total population)</x:v>
      </x:c>
    </x:row>
    <x:row r="6207" ht="44" customHeight="1">
      <x:c r="A6207" s="2" t="str">
        <x:v>UKR</x:v>
      </x:c>
      <x:c r="B6207" s="2" t="str">
        <x:v>dependency_ratio</x:v>
      </x:c>
      <x:c r="C6207" s="2" t="n">
        <x:v>48.5136547806343</x:v>
      </x:c>
      <x:c r="D6207" s="2" t="n">
        <x:v>2025</x:v>
      </x:c>
      <x:c r="E6207" s="2" t="str">
        <x:v>WB_dependency_ratio</x:v>
      </x:c>
      <x:c r="F6207" s="2" t="str">
        <x:v>Age dependency ratio (% of working-age population)</x:v>
      </x:c>
    </x:row>
    <x:row r="6208" ht="44" customHeight="1">
      <x:c r="A6208" s="2" t="str">
        <x:v>UKR</x:v>
      </x:c>
      <x:c r="B6208" s="2" t="str">
        <x:v>net_migration</x:v>
      </x:c>
      <x:c r="C6208" s="2" t="n">
        <x:v>1702358</x:v>
      </x:c>
      <x:c r="D6208" s="2" t="n">
        <x:v>2025</x:v>
      </x:c>
      <x:c r="E6208" s="2" t="str">
        <x:v>WB_net_migration</x:v>
      </x:c>
      <x:c r="F6208" s="2" t="str">
        <x:v>Net migration</x:v>
      </x:c>
    </x:row>
    <x:row r="6209" ht="44" customHeight="1">
      <x:c r="A6209" s="2" t="str">
        <x:v>UKR</x:v>
      </x:c>
      <x:c r="B6209" s="2" t="str">
        <x:v>real_gdp</x:v>
      </x:c>
      <x:c r="C6209" s="2" t="n">
        <x:v>80225421017.1528</x:v>
      </x:c>
      <x:c r="D6209" s="2" t="n">
        <x:v>2025</x:v>
      </x:c>
      <x:c r="E6209" s="2" t="str">
        <x:v>WB_real_gdp</x:v>
      </x:c>
      <x:c r="F6209" s="2" t="str">
        <x:v>GDP (constant 2015 US$)</x:v>
      </x:c>
    </x:row>
    <x:row r="6210" ht="44" customHeight="1">
      <x:c r="A6210" s="2" t="str">
        <x:v>UKR</x:v>
      </x:c>
      <x:c r="B6210" s="2" t="str">
        <x:v>gdp_growth</x:v>
      </x:c>
      <x:c r="C6210" s="2" t="n">
        <x:v>1.82152376756284</x:v>
      </x:c>
      <x:c r="D6210" s="2" t="n">
        <x:v>2025</x:v>
      </x:c>
      <x:c r="E6210" s="2" t="str">
        <x:v>WB_gdp_growth</x:v>
      </x:c>
      <x:c r="F6210" s="2" t="str">
        <x:v>GDP growth (annual %)</x:v>
      </x:c>
    </x:row>
    <x:row r="6211" ht="44" customHeight="1">
      <x:c r="A6211" s="2" t="str">
        <x:v>UKR</x:v>
      </x:c>
      <x:c r="B6211" s="2" t="str">
        <x:v>real_income</x:v>
      </x:c>
      <x:c r="C6211" s="2" t="n">
        <x:v>2196.63818359375</x:v>
      </x:c>
      <x:c r="D6211" s="2" t="n">
        <x:v>2025</x:v>
      </x:c>
      <x:c r="E6211" s="2" t="str">
        <x:v>WB_real_income</x:v>
      </x:c>
      <x:c r="F6211" s="2" t="str">
        <x:v>GDP per capita (constant 2015 US$)</x:v>
      </x:c>
    </x:row>
    <x:row r="6212" ht="44" customHeight="1">
      <x:c r="A6212" s="2" t="str">
        <x:v>UKR</x:v>
      </x:c>
      <x:c r="B6212" s="2" t="str">
        <x:v>agriculture_gdp</x:v>
      </x:c>
      <x:c r="C6212" s="2" t="n">
        <x:v>7.57270528442222</x:v>
      </x:c>
      <x:c r="D6212" s="2" t="n">
        <x:v>2025</x:v>
      </x:c>
      <x:c r="E6212" s="2" t="str">
        <x:v>WB_agriculture_gdp</x:v>
      </x:c>
      <x:c r="F6212" s="2" t="str">
        <x:v>Agriculture, forestry, and fishing, value added (% of GDP)</x:v>
      </x:c>
    </x:row>
    <x:row r="6213" ht="44" customHeight="1">
      <x:c r="A6213" s="2" t="str">
        <x:v>UKR</x:v>
      </x:c>
      <x:c r="B6213" s="2" t="str">
        <x:v>poverty</x:v>
      </x:c>
      <x:c r="C6213" s="2" t="n">
        <x:v>0</x:v>
      </x:c>
      <x:c r="D6213" s="2" t="n">
        <x:v>2020</x:v>
      </x:c>
      <x:c r="E6213" s="2" t="str">
        <x:v>WB_poverty</x:v>
      </x:c>
      <x:c r="F6213" s="2" t="str">
        <x:v>Poverty headcount ratio at $3.00 a day (2021 PPP) (% of population)</x:v>
      </x:c>
    </x:row>
    <x:row r="6214" ht="44" customHeight="1">
      <x:c r="A6214" s="2" t="str">
        <x:v>UKR</x:v>
      </x:c>
      <x:c r="B6214" s="2" t="str">
        <x:v>gini</x:v>
      </x:c>
      <x:c r="C6214" s="2" t="n">
        <x:v>25.6</x:v>
      </x:c>
      <x:c r="D6214" s="2" t="n">
        <x:v>2020</x:v>
      </x:c>
      <x:c r="E6214" s="2" t="str">
        <x:v>WB_gini</x:v>
      </x:c>
      <x:c r="F6214" s="2" t="str">
        <x:v>Gini index</x:v>
      </x:c>
    </x:row>
    <x:row r="6215" ht="44" customHeight="1">
      <x:c r="A6215" s="2" t="str">
        <x:v>UKR</x:v>
      </x:c>
      <x:c r="B6215" s="2" t="str">
        <x:v>unemployment</x:v>
      </x:c>
      <x:c r="C6215" s="2" t="n">
        <x:v>9.834</x:v>
      </x:c>
      <x:c r="D6215" s="2" t="n">
        <x:v>2021</x:v>
      </x:c>
      <x:c r="E6215" s="2" t="str">
        <x:v>WB_unemployment</x:v>
      </x:c>
      <x:c r="F6215" s="2" t="str">
        <x:v>Unemployment, total (% of total labor force) (modeled ILO estimate)</x:v>
      </x:c>
    </x:row>
    <x:row r="6216" ht="44" customHeight="1">
      <x:c r="A6216" s="2" t="str">
        <x:v>UKR</x:v>
      </x:c>
      <x:c r="B6216" s="2" t="str">
        <x:v>private_credit</x:v>
      </x:c>
      <x:c r="C6216" s="2" t="n">
        <x:v>18.1641435001026</x:v>
      </x:c>
      <x:c r="D6216" s="2" t="n">
        <x:v>2024</x:v>
      </x:c>
      <x:c r="E6216" s="2" t="str">
        <x:v>WB_private_credit</x:v>
      </x:c>
      <x:c r="F6216" s="2" t="str">
        <x:v>Domestic credit to private sector (% of GDP)</x:v>
      </x:c>
    </x:row>
    <x:row r="6217" ht="44" customHeight="1">
      <x:c r="A6217" s="2" t="str">
        <x:v>UKR</x:v>
      </x:c>
      <x:c r="B6217" s="2" t="str">
        <x:v>lending_rate</x:v>
      </x:c>
      <x:c r="C6217" s="2" t="n">
        <x:v>19.7001583333333</x:v>
      </x:c>
      <x:c r="D6217" s="2" t="n">
        <x:v>2025</x:v>
      </x:c>
      <x:c r="E6217" s="2" t="str">
        <x:v>WB_lending_rate</x:v>
      </x:c>
      <x:c r="F6217" s="2" t="str">
        <x:v>Lending interest rate (%)</x:v>
      </x:c>
    </x:row>
    <x:row r="6218" ht="44" customHeight="1">
      <x:c r="A6218" s="2" t="str">
        <x:v>UKR</x:v>
      </x:c>
      <x:c r="B6218" s="2" t="str">
        <x:v>real_interest</x:v>
      </x:c>
      <x:c r="C6218" s="2" t="n">
        <x:v>4.56546021824596</x:v>
      </x:c>
      <x:c r="D6218" s="2" t="n">
        <x:v>2025</x:v>
      </x:c>
      <x:c r="E6218" s="2" t="str">
        <x:v>WB_real_interest</x:v>
      </x:c>
      <x:c r="F6218" s="2" t="str">
        <x:v>Real interest rate (%)</x:v>
      </x:c>
    </x:row>
    <x:row r="6219" ht="44" customHeight="1">
      <x:c r="A6219" s="2" t="str">
        <x:v>UKR</x:v>
      </x:c>
      <x:c r="B6219" s="2" t="str">
        <x:v>government_debt</x:v>
      </x:c>
      <x:c r="C6219" s="2" t="n">
        <x:v>58.7161850732326</x:v>
      </x:c>
      <x:c r="D6219" s="2" t="n">
        <x:v>2020</x:v>
      </x:c>
      <x:c r="E6219" s="2" t="str">
        <x:v>WB_government_debt</x:v>
      </x:c>
      <x:c r="F6219" s="2" t="str">
        <x:v>Central government debt, total (% of GDP)</x:v>
      </x:c>
    </x:row>
    <x:row r="6220" ht="44" customHeight="1">
      <x:c r="A6220" s="2" t="str">
        <x:v>UKR</x:v>
      </x:c>
      <x:c r="B6220" s="2" t="str">
        <x:v>electricity_access</x:v>
      </x:c>
      <x:c r="C6220" s="2" t="n">
        <x:v>100</x:v>
      </x:c>
      <x:c r="D6220" s="2" t="n">
        <x:v>2024</x:v>
      </x:c>
      <x:c r="E6220" s="2" t="str">
        <x:v>WB_electricity_access</x:v>
      </x:c>
      <x:c r="F6220" s="2" t="str">
        <x:v>Access to electricity (% of population)</x:v>
      </x:c>
    </x:row>
    <x:row r="6221" ht="44" customHeight="1">
      <x:c r="A6221" s="2" t="str">
        <x:v>UKR</x:v>
      </x:c>
      <x:c r="B6221" s="2" t="str">
        <x:v>irrigated_land</x:v>
      </x:c>
      <x:c r="C6221" s="2" t="n">
        <x:v>0.239645614969379</x:v>
      </x:c>
      <x:c r="D6221" s="2" t="n">
        <x:v>2023</x:v>
      </x:c>
      <x:c r="E6221" s="2" t="str">
        <x:v>WB_irrigated_land</x:v>
      </x:c>
      <x:c r="F6221" s="2" t="str">
        <x:v>Agricultural irrigated land (% of total agricultural land)</x:v>
      </x:c>
    </x:row>
    <x:row r="6222" ht="44" customHeight="1">
      <x:c r="A6222" s="2" t="str">
        <x:v>UKR</x:v>
      </x:c>
      <x:c r="B6222" s="2" t="str">
        <x:v>cereal_area</x:v>
      </x:c>
      <x:c r="C6222" s="2" t="n">
        <x:v>10811000</x:v>
      </x:c>
      <x:c r="D6222" s="2" t="n">
        <x:v>2024</x:v>
      </x:c>
      <x:c r="E6222" s="2" t="str">
        <x:v>WB_cereal_area</x:v>
      </x:c>
      <x:c r="F6222" s="2" t="str">
        <x:v>Land under cereal production (hectares)</x:v>
      </x:c>
    </x:row>
    <x:row r="6223" ht="44" customHeight="1">
      <x:c r="A6223" s="2" t="str">
        <x:v>UKR</x:v>
      </x:c>
      <x:c r="B6223" s="2" t="str">
        <x:v>undernourishment</x:v>
      </x:c>
      <x:c r="C6223" s="2" t="n">
        <x:v>6.9</x:v>
      </x:c>
      <x:c r="D6223" s="2" t="n">
        <x:v>2023</x:v>
      </x:c>
      <x:c r="E6223" s="2" t="str">
        <x:v>WB_undernourishment</x:v>
      </x:c>
      <x:c r="F6223" s="2" t="str">
        <x:v>Prevalence of undernourishment (% of population)</x:v>
      </x:c>
    </x:row>
    <x:row r="6224" ht="44" customHeight="1">
      <x:c r="A6224" s="2" t="str">
        <x:v>UKR</x:v>
      </x:c>
      <x:c r="B6224" s="2" t="str">
        <x:v>agriculture_employment</x:v>
      </x:c>
      <x:c r="C6224" s="2" t="n">
        <x:v>14.116201474496</x:v>
      </x:c>
      <x:c r="D6224" s="2" t="n">
        <x:v>2021</x:v>
      </x:c>
      <x:c r="E6224" s="2" t="str">
        <x:v>WB_agriculture_employment</x:v>
      </x:c>
      <x:c r="F6224" s="2" t="str">
        <x:v>Employment in agriculture (% of total employment) (modeled ILO estimate)</x:v>
      </x:c>
    </x:row>
    <x:row r="6225" ht="44" customHeight="1">
      <x:c r="A6225" s="2" t="str">
        <x:v>UKR</x:v>
      </x:c>
      <x:c r="B6225" s="2" t="str">
        <x:v>water_withdrawal</x:v>
      </x:c>
      <x:c r="C6225" s="2" t="n">
        <x:v>8.82196007259528</x:v>
      </x:c>
      <x:c r="D6225" s="2" t="n">
        <x:v>2022</x:v>
      </x:c>
      <x:c r="E6225" s="2" t="str">
        <x:v>WB_water_withdrawal</x:v>
      </x:c>
      <x:c r="F6225" s="2" t="str">
        <x:v>Annual freshwater withdrawals, total (% of internal resources)</x:v>
      </x:c>
    </x:row>
    <x:row r="6226" ht="44" customHeight="1">
      <x:c r="A6226" s="2" t="str">
        <x:v>ARE</x:v>
      </x:c>
      <x:c r="B6226" s="2" t="str">
        <x:v>population</x:v>
      </x:c>
      <x:c r="C6226" s="2" t="n">
        <x:v>11513149</x:v>
      </x:c>
      <x:c r="D6226" s="2" t="n">
        <x:v>2025</x:v>
      </x:c>
      <x:c r="E6226" s="2" t="str">
        <x:v>WB_population</x:v>
      </x:c>
      <x:c r="F6226" s="2" t="str">
        <x:v>Population, total</x:v>
      </x:c>
    </x:row>
    <x:row r="6227" ht="44" customHeight="1">
      <x:c r="A6227" s="2" t="str">
        <x:v>ARE</x:v>
      </x:c>
      <x:c r="B6227" s="2" t="str">
        <x:v>income_ppp</x:v>
      </x:c>
      <x:c r="C6227" s="2" t="n">
        <x:v>69701.785835525</x:v>
      </x:c>
      <x:c r="D6227" s="2" t="n">
        <x:v>2024</x:v>
      </x:c>
      <x:c r="E6227" s="2" t="str">
        <x:v>WB_income_ppp</x:v>
      </x:c>
      <x:c r="F6227" s="2" t="str">
        <x:v>GDP per capita, PPP (constant 2021 international $)</x:v>
      </x:c>
    </x:row>
    <x:row r="6228" ht="44" customHeight="1">
      <x:c r="A6228" s="2" t="str">
        <x:v>ARE</x:v>
      </x:c>
      <x:c r="B6228" s="2" t="str">
        <x:v>urban</x:v>
      </x:c>
      <x:c r="C6228" s="2" t="n">
        <x:v>85.9617641324017</x:v>
      </x:c>
      <x:c r="D6228" s="2" t="n">
        <x:v>2025</x:v>
      </x:c>
      <x:c r="E6228" s="2" t="str">
        <x:v>WB_urban</x:v>
      </x:c>
      <x:c r="F6228" s="2" t="str">
        <x:v>Urban population (% of total population)</x:v>
      </x:c>
    </x:row>
    <x:row r="6229" ht="44" customHeight="1">
      <x:c r="A6229" s="2" t="str">
        <x:v>ARE</x:v>
      </x:c>
      <x:c r="B6229" s="2" t="str">
        <x:v>inflation</x:v>
      </x:c>
      <x:c r="C6229" s="2" t="n">
        <x:v>1.250865245598</x:v>
      </x:c>
      <x:c r="D6229" s="2" t="n">
        <x:v>2025</x:v>
      </x:c>
      <x:c r="E6229" s="2" t="str">
        <x:v>WB_inflation</x:v>
      </x:c>
      <x:c r="F6229" s="2" t="str">
        <x:v>Inflation, consumer prices (annual %)</x:v>
      </x:c>
    </x:row>
    <x:row r="6230" ht="44" customHeight="1">
      <x:c r="A6230" s="2" t="str">
        <x:v>ARE</x:v>
      </x:c>
      <x:c r="B6230" s="2" t="str">
        <x:v>food_index</x:v>
      </x:c>
      <x:c r="C6230" s="2" t="n">
        <x:v>124.86</x:v>
      </x:c>
      <x:c r="D6230" s="2" t="n">
        <x:v>2022</x:v>
      </x:c>
      <x:c r="E6230" s="2" t="str">
        <x:v>WB_food_index</x:v>
      </x:c>
      <x:c r="F6230" s="2" t="str">
        <x:v>Food production index (2014-2016 = 100)</x:v>
      </x:c>
    </x:row>
    <x:row r="6231" ht="44" customHeight="1">
      <x:c r="A6231" s="2" t="str">
        <x:v>ARE</x:v>
      </x:c>
      <x:c r="B6231" s="2" t="str">
        <x:v>food_import_share</x:v>
      </x:c>
      <x:c r="C6231" s="2" t="n">
        <x:v>4.98896751809272</x:v>
      </x:c>
      <x:c r="D6231" s="2" t="n">
        <x:v>2023</x:v>
      </x:c>
      <x:c r="E6231" s="2" t="str">
        <x:v>WB_food_import_share</x:v>
      </x:c>
      <x:c r="F6231" s="2" t="str">
        <x:v>Food imports (% of merchandise imports)</x:v>
      </x:c>
    </x:row>
    <x:row r="6232" ht="44" customHeight="1">
      <x:c r="A6232" s="2" t="str">
        <x:v>ARE</x:v>
      </x:c>
      <x:c r="B6232" s="2" t="str">
        <x:v>food_export_share</x:v>
      </x:c>
      <x:c r="C6232" s="2" t="n">
        <x:v>2.89132651275323</x:v>
      </x:c>
      <x:c r="D6232" s="2" t="n">
        <x:v>2023</x:v>
      </x:c>
      <x:c r="E6232" s="2" t="str">
        <x:v>WB_food_export_share</x:v>
      </x:c>
      <x:c r="F6232" s="2" t="str">
        <x:v>Food exports (% of merchandise exports)</x:v>
      </x:c>
    </x:row>
    <x:row r="6233" ht="44" customHeight="1">
      <x:c r="A6233" s="2" t="str">
        <x:v>ARE</x:v>
      </x:c>
      <x:c r="B6233" s="2" t="str">
        <x:v>imports_usd</x:v>
      </x:c>
      <x:c r="C6233" s="2" t="n">
        <x:v>618875000000</x:v>
      </x:c>
      <x:c r="D6233" s="2" t="n">
        <x:v>2025</x:v>
      </x:c>
      <x:c r="E6233" s="2" t="str">
        <x:v>WB_imports_usd</x:v>
      </x:c>
      <x:c r="F6233" s="2" t="str">
        <x:v>Merchandise imports (current US$)</x:v>
      </x:c>
    </x:row>
    <x:row r="6234" ht="44" customHeight="1">
      <x:c r="A6234" s="2" t="str">
        <x:v>ARE</x:v>
      </x:c>
      <x:c r="B6234" s="2" t="str">
        <x:v>exports_usd</x:v>
      </x:c>
      <x:c r="C6234" s="2" t="n">
        <x:v>706671000000</x:v>
      </x:c>
      <x:c r="D6234" s="2" t="n">
        <x:v>2025</x:v>
      </x:c>
      <x:c r="E6234" s="2" t="str">
        <x:v>WB_exports_usd</x:v>
      </x:c>
      <x:c r="F6234" s="2" t="str">
        <x:v>Merchandise exports (current US$)</x:v>
      </x:c>
    </x:row>
    <x:row r="6235" ht="44" customHeight="1">
      <x:c r="A6235" s="2" t="str">
        <x:v>ARE</x:v>
      </x:c>
      <x:c r="B6235" s="2" t="str">
        <x:v>cereal_yield</x:v>
      </x:c>
      <x:c r="C6235" s="2" t="n">
        <x:v>23306.5</x:v>
      </x:c>
      <x:c r="D6235" s="2" t="n">
        <x:v>2023</x:v>
      </x:c>
      <x:c r="E6235" s="2" t="str">
        <x:v>WB_cereal_yield</x:v>
      </x:c>
      <x:c r="F6235" s="2" t="str">
        <x:v>Cereal yield (kg per hectare)</x:v>
      </x:c>
    </x:row>
    <x:row r="6236" ht="44" customHeight="1">
      <x:c r="A6236" s="2" t="str">
        <x:v>ARE</x:v>
      </x:c>
      <x:c r="B6236" s="2" t="str">
        <x:v>water_stress</x:v>
      </x:c>
      <x:c r="C6236" s="2" t="n">
        <x:v>1509.933333</x:v>
      </x:c>
      <x:c r="D6236" s="2" t="n">
        <x:v>2022</x:v>
      </x:c>
      <x:c r="E6236" s="2" t="str">
        <x:v>WB_water_stress</x:v>
      </x:c>
      <x:c r="F6236" s="2" t="str">
        <x:v>Level of water stress: freshwater withdrawal as a proportion of available freshwater resources</x:v>
      </x:c>
    </x:row>
    <x:row r="6237" ht="44" customHeight="1">
      <x:c r="A6237" s="2" t="str">
        <x:v>ARE</x:v>
      </x:c>
      <x:c r="B6237" s="2" t="str">
        <x:v>fertility</x:v>
      </x:c>
      <x:c r="C6237" s="2" t="n">
        <x:v>1.213</x:v>
      </x:c>
      <x:c r="D6237" s="2" t="n">
        <x:v>2024</x:v>
      </x:c>
      <x:c r="E6237" s="2" t="str">
        <x:v>WB_fertility</x:v>
      </x:c>
      <x:c r="F6237" s="2" t="str">
        <x:v>Fertility rate, total (births per woman)</x:v>
      </x:c>
    </x:row>
    <x:row r="6238" ht="44" customHeight="1">
      <x:c r="A6238" s="2" t="str">
        <x:v>ARE</x:v>
      </x:c>
      <x:c r="B6238" s="2" t="str">
        <x:v>life_expectancy</x:v>
      </x:c>
      <x:c r="C6238" s="2" t="n">
        <x:v>83.069</x:v>
      </x:c>
      <x:c r="D6238" s="2" t="n">
        <x:v>2024</x:v>
      </x:c>
      <x:c r="E6238" s="2" t="str">
        <x:v>WB_life_expectancy</x:v>
      </x:c>
      <x:c r="F6238" s="2" t="str">
        <x:v>Life expectancy at birth, total (years)</x:v>
      </x:c>
    </x:row>
    <x:row r="6239" ht="44" customHeight="1">
      <x:c r="A6239" s="2" t="str">
        <x:v>ARE</x:v>
      </x:c>
      <x:c r="B6239" s="2" t="str">
        <x:v>age_under15</x:v>
      </x:c>
      <x:c r="C6239" s="2" t="n">
        <x:v>15.9773973206416</x:v>
      </x:c>
      <x:c r="D6239" s="2" t="n">
        <x:v>2025</x:v>
      </x:c>
      <x:c r="E6239" s="2" t="str">
        <x:v>WB_age_under15</x:v>
      </x:c>
      <x:c r="F6239" s="2" t="str">
        <x:v>Population ages 0-14 (% of total population)</x:v>
      </x:c>
    </x:row>
    <x:row r="6240" ht="44" customHeight="1">
      <x:c r="A6240" s="2" t="str">
        <x:v>ARE</x:v>
      </x:c>
      <x:c r="B6240" s="2" t="str">
        <x:v>age_over65</x:v>
      </x:c>
      <x:c r="C6240" s="2" t="n">
        <x:v>1.79231447206064</x:v>
      </x:c>
      <x:c r="D6240" s="2" t="n">
        <x:v>2025</x:v>
      </x:c>
      <x:c r="E6240" s="2" t="str">
        <x:v>WB_age_over65</x:v>
      </x:c>
      <x:c r="F6240" s="2" t="str">
        <x:v>Population ages 65 and above (% of total population)</x:v>
      </x:c>
    </x:row>
    <x:row r="6241" ht="44" customHeight="1">
      <x:c r="A6241" s="2" t="str">
        <x:v>ARE</x:v>
      </x:c>
      <x:c r="B6241" s="2" t="str">
        <x:v>dependency_ratio</x:v>
      </x:c>
      <x:c r="C6241" s="2" t="n">
        <x:v>21.609697214495</x:v>
      </x:c>
      <x:c r="D6241" s="2" t="n">
        <x:v>2025</x:v>
      </x:c>
      <x:c r="E6241" s="2" t="str">
        <x:v>WB_dependency_ratio</x:v>
      </x:c>
      <x:c r="F6241" s="2" t="str">
        <x:v>Age dependency ratio (% of working-age population)</x:v>
      </x:c>
    </x:row>
    <x:row r="6242" ht="44" customHeight="1">
      <x:c r="A6242" s="2" t="str">
        <x:v>ARE</x:v>
      </x:c>
      <x:c r="B6242" s="2" t="str">
        <x:v>net_migration</x:v>
      </x:c>
      <x:c r="C6242" s="2" t="n">
        <x:v>158634</x:v>
      </x:c>
      <x:c r="D6242" s="2" t="n">
        <x:v>2025</x:v>
      </x:c>
      <x:c r="E6242" s="2" t="str">
        <x:v>WB_net_migration</x:v>
      </x:c>
      <x:c r="F6242" s="2" t="str">
        <x:v>Net migration</x:v>
      </x:c>
    </x:row>
    <x:row r="6243" ht="44" customHeight="1">
      <x:c r="A6243" s="2" t="str">
        <x:v>ARE</x:v>
      </x:c>
      <x:c r="B6243" s="2" t="str">
        <x:v>real_gdp</x:v>
      </x:c>
      <x:c r="C6243" s="2" t="n">
        <x:v>457093718948.957</x:v>
      </x:c>
      <x:c r="D6243" s="2" t="n">
        <x:v>2024</x:v>
      </x:c>
      <x:c r="E6243" s="2" t="str">
        <x:v>WB_real_gdp</x:v>
      </x:c>
      <x:c r="F6243" s="2" t="str">
        <x:v>GDP (constant 2015 US$)</x:v>
      </x:c>
    </x:row>
    <x:row r="6244" ht="44" customHeight="1">
      <x:c r="A6244" s="2" t="str">
        <x:v>ARE</x:v>
      </x:c>
      <x:c r="B6244" s="2" t="str">
        <x:v>gdp_growth</x:v>
      </x:c>
      <x:c r="C6244" s="2" t="n">
        <x:v>3.99181200361831</x:v>
      </x:c>
      <x:c r="D6244" s="2" t="n">
        <x:v>2024</x:v>
      </x:c>
      <x:c r="E6244" s="2" t="str">
        <x:v>WB_gdp_growth</x:v>
      </x:c>
      <x:c r="F6244" s="2" t="str">
        <x:v>GDP growth (annual %)</x:v>
      </x:c>
    </x:row>
    <x:row r="6245" ht="44" customHeight="1">
      <x:c r="A6245" s="2" t="str">
        <x:v>ARE</x:v>
      </x:c>
      <x:c r="B6245" s="2" t="str">
        <x:v>real_income</x:v>
      </x:c>
      <x:c r="C6245" s="2" t="n">
        <x:v>41605.4138706908</x:v>
      </x:c>
      <x:c r="D6245" s="2" t="n">
        <x:v>2024</x:v>
      </x:c>
      <x:c r="E6245" s="2" t="str">
        <x:v>WB_real_income</x:v>
      </x:c>
      <x:c r="F6245" s="2" t="str">
        <x:v>GDP per capita (constant 2015 US$)</x:v>
      </x:c>
    </x:row>
    <x:row r="6246" ht="44" customHeight="1">
      <x:c r="A6246" s="2" t="str">
        <x:v>ARE</x:v>
      </x:c>
      <x:c r="B6246" s="2" t="str">
        <x:v>agriculture_gdp</x:v>
      </x:c>
      <x:c r="C6246" s="2" t="n">
        <x:v>0.76944375258092</x:v>
      </x:c>
      <x:c r="D6246" s="2" t="n">
        <x:v>2024</x:v>
      </x:c>
      <x:c r="E6246" s="2" t="str">
        <x:v>WB_agriculture_gdp</x:v>
      </x:c>
      <x:c r="F6246" s="2" t="str">
        <x:v>Agriculture, forestry, and fishing, value added (% of GDP)</x:v>
      </x:c>
    </x:row>
    <x:row r="6247" ht="44" customHeight="1">
      <x:c r="A6247" s="2" t="str">
        <x:v>ARE</x:v>
      </x:c>
      <x:c r="B6247" s="2" t="str">
        <x:v>poverty</x:v>
      </x:c>
      <x:c r="C6247" s="2" t="n">
        <x:v>0</x:v>
      </x:c>
      <x:c r="D6247" s="2" t="n">
        <x:v>2018</x:v>
      </x:c>
      <x:c r="E6247" s="2" t="str">
        <x:v>WB_poverty</x:v>
      </x:c>
      <x:c r="F6247" s="2" t="str">
        <x:v>Poverty headcount ratio at $3.00 a day (2021 PPP) (% of population)</x:v>
      </x:c>
    </x:row>
    <x:row r="6248" ht="44" customHeight="1">
      <x:c r="A6248" s="2" t="str">
        <x:v>ARE</x:v>
      </x:c>
      <x:c r="B6248" s="2" t="str">
        <x:v>gini</x:v>
      </x:c>
      <x:c r="C6248" s="2" t="n">
        <x:v>26.4</x:v>
      </x:c>
      <x:c r="D6248" s="2" t="n">
        <x:v>2018</x:v>
      </x:c>
      <x:c r="E6248" s="2" t="str">
        <x:v>WB_gini</x:v>
      </x:c>
      <x:c r="F6248" s="2" t="str">
        <x:v>Gini index</x:v>
      </x:c>
    </x:row>
    <x:row r="6249" ht="44" customHeight="1">
      <x:c r="A6249" s="2" t="str">
        <x:v>ARE</x:v>
      </x:c>
      <x:c r="B6249" s="2" t="str">
        <x:v>unemployment</x:v>
      </x:c>
      <x:c r="C6249" s="2" t="n">
        <x:v>2.174</x:v>
      </x:c>
      <x:c r="D6249" s="2" t="n">
        <x:v>2025</x:v>
      </x:c>
      <x:c r="E6249" s="2" t="str">
        <x:v>WB_unemployment</x:v>
      </x:c>
      <x:c r="F6249" s="2" t="str">
        <x:v>Unemployment, total (% of total labor force) (modeled ILO estimate)</x:v>
      </x:c>
    </x:row>
    <x:row r="6250" ht="44" customHeight="1">
      <x:c r="A6250" s="2" t="str">
        <x:v>ARE</x:v>
      </x:c>
      <x:c r="B6250" s="2" t="str">
        <x:v>private_credit</x:v>
      </x:c>
      <x:c r="C6250" s="2" t="n">
        <x:v>65.4574311816346</x:v>
      </x:c>
      <x:c r="D6250" s="2" t="n">
        <x:v>2022</x:v>
      </x:c>
      <x:c r="E6250" s="2" t="str">
        <x:v>WB_private_credit</x:v>
      </x:c>
      <x:c r="F6250" s="2" t="str">
        <x:v>Domestic credit to private sector (% of GDP)</x:v>
      </x:c>
    </x:row>
    <x:row r="6251" ht="44" customHeight="1">
      <x:c r="A6251" s="2" t="str">
        <x:v>ARE</x:v>
      </x:c>
      <x:c r="B6251" s="2" t="str">
        <x:v>lending_rate</x:v>
      </x:c>
      <x:c r="C6251" s="2"/>
      <x:c r="D6251" s="2"/>
      <x:c r="E6251" s="2" t="str">
        <x:v>Missing</x:v>
      </x:c>
      <x:c r="F6251" s="2" t="str">
        <x:v>Lending interest rate (%)</x:v>
      </x:c>
    </x:row>
    <x:row r="6252" ht="44" customHeight="1">
      <x:c r="A6252" s="2" t="str">
        <x:v>ARE</x:v>
      </x:c>
      <x:c r="B6252" s="2" t="str">
        <x:v>real_interest</x:v>
      </x:c>
      <x:c r="C6252" s="2"/>
      <x:c r="D6252" s="2"/>
      <x:c r="E6252" s="2" t="str">
        <x:v>Missing</x:v>
      </x:c>
      <x:c r="F6252" s="2" t="str">
        <x:v>Real interest rate (%)</x:v>
      </x:c>
    </x:row>
    <x:row r="6253" ht="44" customHeight="1">
      <x:c r="A6253" s="2" t="str">
        <x:v>ARE</x:v>
      </x:c>
      <x:c r="B6253" s="2" t="str">
        <x:v>government_debt</x:v>
      </x:c>
      <x:c r="C6253" s="2" t="n">
        <x:v>1.80326819075483</x:v>
      </x:c>
      <x:c r="D6253" s="2" t="n">
        <x:v>2013</x:v>
      </x:c>
      <x:c r="E6253" s="2" t="str">
        <x:v>WB_government_debt</x:v>
      </x:c>
      <x:c r="F6253" s="2" t="str">
        <x:v>Central government debt, total (% of GDP)</x:v>
      </x:c>
    </x:row>
    <x:row r="6254" ht="44" customHeight="1">
      <x:c r="A6254" s="2" t="str">
        <x:v>ARE</x:v>
      </x:c>
      <x:c r="B6254" s="2" t="str">
        <x:v>electricity_access</x:v>
      </x:c>
      <x:c r="C6254" s="2" t="n">
        <x:v>100</x:v>
      </x:c>
      <x:c r="D6254" s="2" t="n">
        <x:v>2024</x:v>
      </x:c>
      <x:c r="E6254" s="2" t="str">
        <x:v>WB_electricity_access</x:v>
      </x:c>
      <x:c r="F6254" s="2" t="str">
        <x:v>Access to electricity (% of population)</x:v>
      </x:c>
    </x:row>
    <x:row r="6255" ht="44" customHeight="1">
      <x:c r="A6255" s="2" t="str">
        <x:v>ARE</x:v>
      </x:c>
      <x:c r="B6255" s="2" t="str">
        <x:v>irrigated_land</x:v>
      </x:c>
      <x:c r="C6255" s="2" t="n">
        <x:v>23.9875191375522</x:v>
      </x:c>
      <x:c r="D6255" s="2" t="n">
        <x:v>2023</x:v>
      </x:c>
      <x:c r="E6255" s="2" t="str">
        <x:v>WB_irrigated_land</x:v>
      </x:c>
      <x:c r="F6255" s="2" t="str">
        <x:v>Agricultural irrigated land (% of total agricultural land)</x:v>
      </x:c>
    </x:row>
    <x:row r="6256" ht="44" customHeight="1">
      <x:c r="A6256" s="2" t="str">
        <x:v>ARE</x:v>
      </x:c>
      <x:c r="B6256" s="2" t="str">
        <x:v>cereal_area</x:v>
      </x:c>
      <x:c r="C6256" s="2" t="n">
        <x:v>945</x:v>
      </x:c>
      <x:c r="D6256" s="2" t="n">
        <x:v>2023</x:v>
      </x:c>
      <x:c r="E6256" s="2" t="str">
        <x:v>WB_cereal_area</x:v>
      </x:c>
      <x:c r="F6256" s="2" t="str">
        <x:v>Land under cereal production (hectares)</x:v>
      </x:c>
    </x:row>
    <x:row r="6257" ht="44" customHeight="1">
      <x:c r="A6257" s="2" t="str">
        <x:v>ARE</x:v>
      </x:c>
      <x:c r="B6257" s="2" t="str">
        <x:v>undernourishment</x:v>
      </x:c>
      <x:c r="C6257" s="2" t="n">
        <x:v>2.5</x:v>
      </x:c>
      <x:c r="D6257" s="2" t="n">
        <x:v>2023</x:v>
      </x:c>
      <x:c r="E6257" s="2" t="str">
        <x:v>WB_undernourishment</x:v>
      </x:c>
      <x:c r="F6257" s="2" t="str">
        <x:v>Prevalence of undernourishment (% of population)</x:v>
      </x:c>
    </x:row>
    <x:row r="6258" ht="44" customHeight="1">
      <x:c r="A6258" s="2" t="str">
        <x:v>ARE</x:v>
      </x:c>
      <x:c r="B6258" s="2" t="str">
        <x:v>agriculture_employment</x:v>
      </x:c>
      <x:c r="C6258" s="2" t="n">
        <x:v>1.43785178348385</x:v>
      </x:c>
      <x:c r="D6258" s="2" t="n">
        <x:v>2025</x:v>
      </x:c>
      <x:c r="E6258" s="2" t="str">
        <x:v>WB_agriculture_employment</x:v>
      </x:c>
      <x:c r="F6258" s="2" t="str">
        <x:v>Employment in agriculture (% of total employment) (modeled ILO estimate)</x:v>
      </x:c>
    </x:row>
    <x:row r="6259" ht="44" customHeight="1">
      <x:c r="A6259" s="2" t="str">
        <x:v>ARE</x:v>
      </x:c>
      <x:c r="B6259" s="2" t="str">
        <x:v>water_withdrawal</x:v>
      </x:c>
      <x:c r="C6259" s="2" t="n">
        <x:v>1509.93333333333</x:v>
      </x:c>
      <x:c r="D6259" s="2" t="n">
        <x:v>2022</x:v>
      </x:c>
      <x:c r="E6259" s="2" t="str">
        <x:v>WB_water_withdrawal</x:v>
      </x:c>
      <x:c r="F6259" s="2" t="str">
        <x:v>Annual freshwater withdrawals, total (% of internal resources)</x:v>
      </x:c>
    </x:row>
    <x:row r="6260" ht="44" customHeight="1">
      <x:c r="A6260" s="2" t="str">
        <x:v>GBR</x:v>
      </x:c>
      <x:c r="B6260" s="2" t="str">
        <x:v>population</x:v>
      </x:c>
      <x:c r="C6260" s="2" t="n">
        <x:v>69487000</x:v>
      </x:c>
      <x:c r="D6260" s="2" t="n">
        <x:v>2025</x:v>
      </x:c>
      <x:c r="E6260" s="2" t="str">
        <x:v>WB_population</x:v>
      </x:c>
      <x:c r="F6260" s="2" t="str">
        <x:v>Population, total</x:v>
      </x:c>
    </x:row>
    <x:row r="6261" ht="44" customHeight="1">
      <x:c r="A6261" s="2" t="str">
        <x:v>GBR</x:v>
      </x:c>
      <x:c r="B6261" s="2" t="str">
        <x:v>income_ppp</x:v>
      </x:c>
      <x:c r="C6261" s="2" t="n">
        <x:v>53993.1172607885</x:v>
      </x:c>
      <x:c r="D6261" s="2" t="n">
        <x:v>2025</x:v>
      </x:c>
      <x:c r="E6261" s="2" t="str">
        <x:v>WB_income_ppp</x:v>
      </x:c>
      <x:c r="F6261" s="2" t="str">
        <x:v>GDP per capita, PPP (constant 2021 international $)</x:v>
      </x:c>
    </x:row>
    <x:row r="6262" ht="44" customHeight="1">
      <x:c r="A6262" s="2" t="str">
        <x:v>GBR</x:v>
      </x:c>
      <x:c r="B6262" s="2" t="str">
        <x:v>urban</x:v>
      </x:c>
      <x:c r="C6262" s="2" t="n">
        <x:v>83.323608078271</x:v>
      </x:c>
      <x:c r="D6262" s="2" t="n">
        <x:v>2025</x:v>
      </x:c>
      <x:c r="E6262" s="2" t="str">
        <x:v>WB_urban</x:v>
      </x:c>
      <x:c r="F6262" s="2" t="str">
        <x:v>Urban population (% of total population)</x:v>
      </x:c>
    </x:row>
    <x:row r="6263" ht="44" customHeight="1">
      <x:c r="A6263" s="2" t="str">
        <x:v>GBR</x:v>
      </x:c>
      <x:c r="B6263" s="2" t="str">
        <x:v>inflation</x:v>
      </x:c>
      <x:c r="C6263" s="2" t="n">
        <x:v>3.88306881626</x:v>
      </x:c>
      <x:c r="D6263" s="2" t="n">
        <x:v>2025</x:v>
      </x:c>
      <x:c r="E6263" s="2" t="str">
        <x:v>WB_inflation</x:v>
      </x:c>
      <x:c r="F6263" s="2" t="str">
        <x:v>Inflation, consumer prices (annual %)</x:v>
      </x:c>
    </x:row>
    <x:row r="6264" ht="44" customHeight="1">
      <x:c r="A6264" s="2" t="str">
        <x:v>GBR</x:v>
      </x:c>
      <x:c r="B6264" s="2" t="str">
        <x:v>food_index</x:v>
      </x:c>
      <x:c r="C6264" s="2" t="n">
        <x:v>101.24</x:v>
      </x:c>
      <x:c r="D6264" s="2" t="n">
        <x:v>2022</x:v>
      </x:c>
      <x:c r="E6264" s="2" t="str">
        <x:v>WB_food_index</x:v>
      </x:c>
      <x:c r="F6264" s="2" t="str">
        <x:v>Food production index (2014-2016 = 100)</x:v>
      </x:c>
    </x:row>
    <x:row r="6265" ht="44" customHeight="1">
      <x:c r="A6265" s="2" t="str">
        <x:v>GBR</x:v>
      </x:c>
      <x:c r="B6265" s="2" t="str">
        <x:v>food_import_share</x:v>
      </x:c>
      <x:c r="C6265" s="2" t="n">
        <x:v>9.80685809428767</x:v>
      </x:c>
      <x:c r="D6265" s="2" t="n">
        <x:v>2025</x:v>
      </x:c>
      <x:c r="E6265" s="2" t="str">
        <x:v>WB_food_import_share</x:v>
      </x:c>
      <x:c r="F6265" s="2" t="str">
        <x:v>Food imports (% of merchandise imports)</x:v>
      </x:c>
    </x:row>
    <x:row r="6266" ht="44" customHeight="1">
      <x:c r="A6266" s="2" t="str">
        <x:v>GBR</x:v>
      </x:c>
      <x:c r="B6266" s="2" t="str">
        <x:v>food_export_share</x:v>
      </x:c>
      <x:c r="C6266" s="2" t="n">
        <x:v>6.6624992004027</x:v>
      </x:c>
      <x:c r="D6266" s="2" t="n">
        <x:v>2025</x:v>
      </x:c>
      <x:c r="E6266" s="2" t="str">
        <x:v>WB_food_export_share</x:v>
      </x:c>
      <x:c r="F6266" s="2" t="str">
        <x:v>Food exports (% of merchandise exports)</x:v>
      </x:c>
    </x:row>
    <x:row r="6267" ht="44" customHeight="1">
      <x:c r="A6267" s="2" t="str">
        <x:v>GBR</x:v>
      </x:c>
      <x:c r="B6267" s="2" t="str">
        <x:v>imports_usd</x:v>
      </x:c>
      <x:c r="C6267" s="2" t="n">
        <x:v>948641000000</x:v>
      </x:c>
      <x:c r="D6267" s="2" t="n">
        <x:v>2025</x:v>
      </x:c>
      <x:c r="E6267" s="2" t="str">
        <x:v>WB_imports_usd</x:v>
      </x:c>
      <x:c r="F6267" s="2" t="str">
        <x:v>Merchandise imports (current US$)</x:v>
      </x:c>
    </x:row>
    <x:row r="6268" ht="44" customHeight="1">
      <x:c r="A6268" s="2" t="str">
        <x:v>GBR</x:v>
      </x:c>
      <x:c r="B6268" s="2" t="str">
        <x:v>exports_usd</x:v>
      </x:c>
      <x:c r="C6268" s="2" t="n">
        <x:v>555829000000</x:v>
      </x:c>
      <x:c r="D6268" s="2" t="n">
        <x:v>2025</x:v>
      </x:c>
      <x:c r="E6268" s="2" t="str">
        <x:v>WB_exports_usd</x:v>
      </x:c>
      <x:c r="F6268" s="2" t="str">
        <x:v>Merchandise exports (current US$)</x:v>
      </x:c>
    </x:row>
    <x:row r="6269" ht="44" customHeight="1">
      <x:c r="A6269" s="2" t="str">
        <x:v>GBR</x:v>
      </x:c>
      <x:c r="B6269" s="2" t="str">
        <x:v>cereal_yield</x:v>
      </x:c>
      <x:c r="C6269" s="2" t="n">
        <x:v>7137.9</x:v>
      </x:c>
      <x:c r="D6269" s="2" t="n">
        <x:v>2023</x:v>
      </x:c>
      <x:c r="E6269" s="2" t="str">
        <x:v>WB_cereal_yield</x:v>
      </x:c>
      <x:c r="F6269" s="2" t="str">
        <x:v>Cereal yield (kg per hectare)</x:v>
      </x:c>
    </x:row>
    <x:row r="6270" ht="44" customHeight="1">
      <x:c r="A6270" s="2" t="str">
        <x:v>GBR</x:v>
      </x:c>
      <x:c r="B6270" s="2" t="str">
        <x:v>water_stress</x:v>
      </x:c>
      <x:c r="C6270" s="2" t="n">
        <x:v>14.35464621</x:v>
      </x:c>
      <x:c r="D6270" s="2" t="n">
        <x:v>2022</x:v>
      </x:c>
      <x:c r="E6270" s="2" t="str">
        <x:v>WB_water_stress</x:v>
      </x:c>
      <x:c r="F6270" s="2" t="str">
        <x:v>Level of water stress: freshwater withdrawal as a proportion of available freshwater resources</x:v>
      </x:c>
    </x:row>
    <x:row r="6271" ht="44" customHeight="1">
      <x:c r="A6271" s="2" t="str">
        <x:v>GBR</x:v>
      </x:c>
      <x:c r="B6271" s="2" t="str">
        <x:v>fertility</x:v>
      </x:c>
      <x:c r="C6271" s="2" t="n">
        <x:v>1.551</x:v>
      </x:c>
      <x:c r="D6271" s="2" t="n">
        <x:v>2024</x:v>
      </x:c>
      <x:c r="E6271" s="2" t="str">
        <x:v>WB_fertility</x:v>
      </x:c>
      <x:c r="F6271" s="2" t="str">
        <x:v>Fertility rate, total (births per woman)</x:v>
      </x:c>
    </x:row>
    <x:row r="6272" ht="44" customHeight="1">
      <x:c r="A6272" s="2" t="str">
        <x:v>GBR</x:v>
      </x:c>
      <x:c r="B6272" s="2" t="str">
        <x:v>life_expectancy</x:v>
      </x:c>
      <x:c r="C6272" s="2" t="n">
        <x:v>81.3868536585366</x:v>
      </x:c>
      <x:c r="D6272" s="2" t="n">
        <x:v>2024</x:v>
      </x:c>
      <x:c r="E6272" s="2" t="str">
        <x:v>WB_life_expectancy</x:v>
      </x:c>
      <x:c r="F6272" s="2" t="str">
        <x:v>Life expectancy at birth, total (years)</x:v>
      </x:c>
    </x:row>
    <x:row r="6273" ht="44" customHeight="1">
      <x:c r="A6273" s="2" t="str">
        <x:v>GBR</x:v>
      </x:c>
      <x:c r="B6273" s="2" t="str">
        <x:v>age_under15</x:v>
      </x:c>
      <x:c r="C6273" s="2" t="n">
        <x:v>16.9647729892849</x:v>
      </x:c>
      <x:c r="D6273" s="2" t="n">
        <x:v>2025</x:v>
      </x:c>
      <x:c r="E6273" s="2" t="str">
        <x:v>WB_age_under15</x:v>
      </x:c>
      <x:c r="F6273" s="2" t="str">
        <x:v>Population ages 0-14 (% of total population)</x:v>
      </x:c>
    </x:row>
    <x:row r="6274" ht="44" customHeight="1">
      <x:c r="A6274" s="2" t="str">
        <x:v>GBR</x:v>
      </x:c>
      <x:c r="B6274" s="2" t="str">
        <x:v>age_over65</x:v>
      </x:c>
      <x:c r="C6274" s="2" t="n">
        <x:v>19.7026932546935</x:v>
      </x:c>
      <x:c r="D6274" s="2" t="n">
        <x:v>2025</x:v>
      </x:c>
      <x:c r="E6274" s="2" t="str">
        <x:v>WB_age_over65</x:v>
      </x:c>
      <x:c r="F6274" s="2" t="str">
        <x:v>Population ages 65 and above (% of total population)</x:v>
      </x:c>
    </x:row>
    <x:row r="6275" ht="44" customHeight="1">
      <x:c r="A6275" s="2" t="str">
        <x:v>GBR</x:v>
      </x:c>
      <x:c r="B6275" s="2" t="str">
        <x:v>dependency_ratio</x:v>
      </x:c>
      <x:c r="C6275" s="2" t="n">
        <x:v>57.8967293083298</x:v>
      </x:c>
      <x:c r="D6275" s="2" t="n">
        <x:v>2025</x:v>
      </x:c>
      <x:c r="E6275" s="2" t="str">
        <x:v>WB_dependency_ratio</x:v>
      </x:c>
      <x:c r="F6275" s="2" t="str">
        <x:v>Age dependency ratio (% of working-age population)</x:v>
      </x:c>
    </x:row>
    <x:row r="6276" ht="44" customHeight="1">
      <x:c r="A6276" s="2" t="str">
        <x:v>GBR</x:v>
      </x:c>
      <x:c r="B6276" s="2" t="str">
        <x:v>net_migration</x:v>
      </x:c>
      <x:c r="C6276" s="2" t="n">
        <x:v>389911</x:v>
      </x:c>
      <x:c r="D6276" s="2" t="n">
        <x:v>2025</x:v>
      </x:c>
      <x:c r="E6276" s="2" t="str">
        <x:v>WB_net_migration</x:v>
      </x:c>
      <x:c r="F6276" s="2" t="str">
        <x:v>Net migration</x:v>
      </x:c>
    </x:row>
    <x:row r="6277" ht="44" customHeight="1">
      <x:c r="A6277" s="2" t="str">
        <x:v>GBR</x:v>
      </x:c>
      <x:c r="B6277" s="2" t="str">
        <x:v>real_gdp</x:v>
      </x:c>
      <x:c r="C6277" s="2" t="n">
        <x:v>3364704178220.16</x:v>
      </x:c>
      <x:c r="D6277" s="2" t="n">
        <x:v>2025</x:v>
      </x:c>
      <x:c r="E6277" s="2" t="str">
        <x:v>WB_real_gdp</x:v>
      </x:c>
      <x:c r="F6277" s="2" t="str">
        <x:v>GDP (constant 2015 US$)</x:v>
      </x:c>
    </x:row>
    <x:row r="6278" ht="44" customHeight="1">
      <x:c r="A6278" s="2" t="str">
        <x:v>GBR</x:v>
      </x:c>
      <x:c r="B6278" s="2" t="str">
        <x:v>gdp_growth</x:v>
      </x:c>
      <x:c r="C6278" s="2" t="n">
        <x:v>1.38844207858726</x:v>
      </x:c>
      <x:c r="D6278" s="2" t="n">
        <x:v>2025</x:v>
      </x:c>
      <x:c r="E6278" s="2" t="str">
        <x:v>WB_gdp_growth</x:v>
      </x:c>
      <x:c r="F6278" s="2" t="str">
        <x:v>GDP growth (annual %)</x:v>
      </x:c>
    </x:row>
    <x:row r="6279" ht="44" customHeight="1">
      <x:c r="A6279" s="2" t="str">
        <x:v>GBR</x:v>
      </x:c>
      <x:c r="B6279" s="2" t="str">
        <x:v>real_income</x:v>
      </x:c>
      <x:c r="C6279" s="2" t="n">
        <x:v>48422.0671236369</x:v>
      </x:c>
      <x:c r="D6279" s="2" t="n">
        <x:v>2025</x:v>
      </x:c>
      <x:c r="E6279" s="2" t="str">
        <x:v>WB_real_income</x:v>
      </x:c>
      <x:c r="F6279" s="2" t="str">
        <x:v>GDP per capita (constant 2015 US$)</x:v>
      </x:c>
    </x:row>
    <x:row r="6280" ht="44" customHeight="1">
      <x:c r="A6280" s="2" t="str">
        <x:v>GBR</x:v>
      </x:c>
      <x:c r="B6280" s="2" t="str">
        <x:v>agriculture_gdp</x:v>
      </x:c>
      <x:c r="C6280" s="2" t="n">
        <x:v>0.639963472014016</x:v>
      </x:c>
      <x:c r="D6280" s="2" t="n">
        <x:v>2025</x:v>
      </x:c>
      <x:c r="E6280" s="2" t="str">
        <x:v>WB_agriculture_gdp</x:v>
      </x:c>
      <x:c r="F6280" s="2" t="str">
        <x:v>Agriculture, forestry, and fishing, value added (% of GDP)</x:v>
      </x:c>
    </x:row>
    <x:row r="6281" ht="44" customHeight="1">
      <x:c r="A6281" s="2" t="str">
        <x:v>GBR</x:v>
      </x:c>
      <x:c r="B6281" s="2" t="str">
        <x:v>poverty</x:v>
      </x:c>
      <x:c r="C6281" s="2" t="n">
        <x:v>0.4</x:v>
      </x:c>
      <x:c r="D6281" s="2" t="n">
        <x:v>2021</x:v>
      </x:c>
      <x:c r="E6281" s="2" t="str">
        <x:v>WB_poverty</x:v>
      </x:c>
      <x:c r="F6281" s="2" t="str">
        <x:v>Poverty headcount ratio at $3.00 a day (2021 PPP) (% of population)</x:v>
      </x:c>
    </x:row>
    <x:row r="6282" ht="44" customHeight="1">
      <x:c r="A6282" s="2" t="str">
        <x:v>GBR</x:v>
      </x:c>
      <x:c r="B6282" s="2" t="str">
        <x:v>gini</x:v>
      </x:c>
      <x:c r="C6282" s="2" t="n">
        <x:v>32.4</x:v>
      </x:c>
      <x:c r="D6282" s="2" t="n">
        <x:v>2021</x:v>
      </x:c>
      <x:c r="E6282" s="2" t="str">
        <x:v>WB_gini</x:v>
      </x:c>
      <x:c r="F6282" s="2" t="str">
        <x:v>Gini index</x:v>
      </x:c>
    </x:row>
    <x:row r="6283" ht="44" customHeight="1">
      <x:c r="A6283" s="2" t="str">
        <x:v>GBR</x:v>
      </x:c>
      <x:c r="B6283" s="2" t="str">
        <x:v>unemployment</x:v>
      </x:c>
      <x:c r="C6283" s="2" t="n">
        <x:v>4.746</x:v>
      </x:c>
      <x:c r="D6283" s="2" t="n">
        <x:v>2025</x:v>
      </x:c>
      <x:c r="E6283" s="2" t="str">
        <x:v>WB_unemployment</x:v>
      </x:c>
      <x:c r="F6283" s="2" t="str">
        <x:v>Unemployment, total (% of total labor force) (modeled ILO estimate)</x:v>
      </x:c>
    </x:row>
    <x:row r="6284" ht="44" customHeight="1">
      <x:c r="A6284" s="2" t="str">
        <x:v>GBR</x:v>
      </x:c>
      <x:c r="B6284" s="2" t="str">
        <x:v>private_credit</x:v>
      </x:c>
      <x:c r="C6284" s="2" t="n">
        <x:v>112.372018963535</x:v>
      </x:c>
      <x:c r="D6284" s="2" t="n">
        <x:v>2024</x:v>
      </x:c>
      <x:c r="E6284" s="2" t="str">
        <x:v>WB_private_credit</x:v>
      </x:c>
      <x:c r="F6284" s="2" t="str">
        <x:v>Domestic credit to private sector (% of GDP)</x:v>
      </x:c>
    </x:row>
    <x:row r="6285" ht="44" customHeight="1">
      <x:c r="A6285" s="2" t="str">
        <x:v>GBR</x:v>
      </x:c>
      <x:c r="B6285" s="2" t="str">
        <x:v>lending_rate</x:v>
      </x:c>
      <x:c r="C6285" s="2" t="n">
        <x:v>0.5</x:v>
      </x:c>
      <x:c r="D6285" s="2" t="n">
        <x:v>2014</x:v>
      </x:c>
      <x:c r="E6285" s="2" t="str">
        <x:v>WB_lending_rate</x:v>
      </x:c>
      <x:c r="F6285" s="2" t="str">
        <x:v>Lending interest rate (%)</x:v>
      </x:c>
    </x:row>
    <x:row r="6286" ht="44" customHeight="1">
      <x:c r="A6286" s="2" t="str">
        <x:v>GBR</x:v>
      </x:c>
      <x:c r="B6286" s="2" t="str">
        <x:v>real_interest</x:v>
      </x:c>
      <x:c r="C6286" s="2" t="n">
        <x:v>-1.0787978449774</x:v>
      </x:c>
      <x:c r="D6286" s="2" t="n">
        <x:v>2014</x:v>
      </x:c>
      <x:c r="E6286" s="2" t="str">
        <x:v>WB_real_interest</x:v>
      </x:c>
      <x:c r="F6286" s="2" t="str">
        <x:v>Real interest rate (%)</x:v>
      </x:c>
    </x:row>
    <x:row r="6287" ht="44" customHeight="1">
      <x:c r="A6287" s="2" t="str">
        <x:v>GBR</x:v>
      </x:c>
      <x:c r="B6287" s="2" t="str">
        <x:v>government_debt</x:v>
      </x:c>
      <x:c r="C6287" s="2" t="n">
        <x:v>130.735888365813</x:v>
      </x:c>
      <x:c r="D6287" s="2" t="n">
        <x:v>2024</x:v>
      </x:c>
      <x:c r="E6287" s="2" t="str">
        <x:v>WB_government_debt</x:v>
      </x:c>
      <x:c r="F6287" s="2" t="str">
        <x:v>Central government debt, total (% of GDP)</x:v>
      </x:c>
    </x:row>
    <x:row r="6288" ht="44" customHeight="1">
      <x:c r="A6288" s="2" t="str">
        <x:v>GBR</x:v>
      </x:c>
      <x:c r="B6288" s="2" t="str">
        <x:v>electricity_access</x:v>
      </x:c>
      <x:c r="C6288" s="2" t="n">
        <x:v>100</x:v>
      </x:c>
      <x:c r="D6288" s="2" t="n">
        <x:v>2024</x:v>
      </x:c>
      <x:c r="E6288" s="2" t="str">
        <x:v>WB_electricity_access</x:v>
      </x:c>
      <x:c r="F6288" s="2" t="str">
        <x:v>Access to electricity (% of population)</x:v>
      </x:c>
    </x:row>
    <x:row r="6289" ht="44" customHeight="1">
      <x:c r="A6289" s="2" t="str">
        <x:v>GBR</x:v>
      </x:c>
      <x:c r="B6289" s="2" t="str">
        <x:v>irrigated_land</x:v>
      </x:c>
      <x:c r="C6289" s="2" t="n">
        <x:v>0.413905093911878</x:v>
      </x:c>
      <x:c r="D6289" s="2" t="n">
        <x:v>2018</x:v>
      </x:c>
      <x:c r="E6289" s="2" t="str">
        <x:v>WB_irrigated_land</x:v>
      </x:c>
      <x:c r="F6289" s="2" t="str">
        <x:v>Agricultural irrigated land (% of total agricultural land)</x:v>
      </x:c>
    </x:row>
    <x:row r="6290" ht="44" customHeight="1">
      <x:c r="A6290" s="2" t="str">
        <x:v>GBR</x:v>
      </x:c>
      <x:c r="B6290" s="2" t="str">
        <x:v>cereal_area</x:v>
      </x:c>
      <x:c r="C6290" s="2" t="n">
        <x:v>3088787</x:v>
      </x:c>
      <x:c r="D6290" s="2" t="n">
        <x:v>2023</x:v>
      </x:c>
      <x:c r="E6290" s="2" t="str">
        <x:v>WB_cereal_area</x:v>
      </x:c>
      <x:c r="F6290" s="2" t="str">
        <x:v>Land under cereal production (hectares)</x:v>
      </x:c>
    </x:row>
    <x:row r="6291" ht="44" customHeight="1">
      <x:c r="A6291" s="2" t="str">
        <x:v>GBR</x:v>
      </x:c>
      <x:c r="B6291" s="2" t="str">
        <x:v>undernourishment</x:v>
      </x:c>
      <x:c r="C6291" s="2" t="n">
        <x:v>2.5</x:v>
      </x:c>
      <x:c r="D6291" s="2" t="n">
        <x:v>2023</x:v>
      </x:c>
      <x:c r="E6291" s="2" t="str">
        <x:v>WB_undernourishment</x:v>
      </x:c>
      <x:c r="F6291" s="2" t="str">
        <x:v>Prevalence of undernourishment (% of population)</x:v>
      </x:c>
    </x:row>
    <x:row r="6292" ht="44" customHeight="1">
      <x:c r="A6292" s="2" t="str">
        <x:v>GBR</x:v>
      </x:c>
      <x:c r="B6292" s="2" t="str">
        <x:v>agriculture_employment</x:v>
      </x:c>
      <x:c r="C6292" s="2" t="n">
        <x:v>0.851258697821586</x:v>
      </x:c>
      <x:c r="D6292" s="2" t="n">
        <x:v>2025</x:v>
      </x:c>
      <x:c r="E6292" s="2" t="str">
        <x:v>WB_agriculture_employment</x:v>
      </x:c>
      <x:c r="F6292" s="2" t="str">
        <x:v>Employment in agriculture (% of total employment) (modeled ILO estimate)</x:v>
      </x:c>
    </x:row>
    <x:row r="6293" ht="44" customHeight="1">
      <x:c r="A6293" s="2" t="str">
        <x:v>GBR</x:v>
      </x:c>
      <x:c r="B6293" s="2" t="str">
        <x:v>water_withdrawal</x:v>
      </x:c>
      <x:c r="C6293" s="2" t="n">
        <x:v>5.80620689655172</x:v>
      </x:c>
      <x:c r="D6293" s="2" t="n">
        <x:v>2022</x:v>
      </x:c>
      <x:c r="E6293" s="2" t="str">
        <x:v>WB_water_withdrawal</x:v>
      </x:c>
      <x:c r="F6293" s="2" t="str">
        <x:v>Annual freshwater withdrawals, total (% of internal resources)</x:v>
      </x:c>
    </x:row>
    <x:row r="6294" ht="44" customHeight="1">
      <x:c r="A6294" s="2" t="str">
        <x:v>TZA</x:v>
      </x:c>
      <x:c r="B6294" s="2" t="str">
        <x:v>population</x:v>
      </x:c>
      <x:c r="C6294" s="2" t="n">
        <x:v>70545865</x:v>
      </x:c>
      <x:c r="D6294" s="2" t="n">
        <x:v>2025</x:v>
      </x:c>
      <x:c r="E6294" s="2" t="str">
        <x:v>WB_population</x:v>
      </x:c>
      <x:c r="F6294" s="2" t="str">
        <x:v>Population, total</x:v>
      </x:c>
    </x:row>
    <x:row r="6295" ht="44" customHeight="1">
      <x:c r="A6295" s="2" t="str">
        <x:v>TZA</x:v>
      </x:c>
      <x:c r="B6295" s="2" t="str">
        <x:v>income_ppp</x:v>
      </x:c>
      <x:c r="C6295" s="2" t="n">
        <x:v>3820.61181640625</x:v>
      </x:c>
      <x:c r="D6295" s="2" t="n">
        <x:v>2025</x:v>
      </x:c>
      <x:c r="E6295" s="2" t="str">
        <x:v>WB_income_ppp</x:v>
      </x:c>
      <x:c r="F6295" s="2" t="str">
        <x:v>GDP per capita, PPP (constant 2021 international $)</x:v>
      </x:c>
    </x:row>
    <x:row r="6296" ht="44" customHeight="1">
      <x:c r="A6296" s="2" t="str">
        <x:v>TZA</x:v>
      </x:c>
      <x:c r="B6296" s="2" t="str">
        <x:v>urban</x:v>
      </x:c>
      <x:c r="C6296" s="2" t="n">
        <x:v>36.8833115936643</x:v>
      </x:c>
      <x:c r="D6296" s="2" t="n">
        <x:v>2025</x:v>
      </x:c>
      <x:c r="E6296" s="2" t="str">
        <x:v>WB_urban</x:v>
      </x:c>
      <x:c r="F6296" s="2" t="str">
        <x:v>Urban population (% of total population)</x:v>
      </x:c>
    </x:row>
    <x:row r="6297" ht="44" customHeight="1">
      <x:c r="A6297" s="2" t="str">
        <x:v>TZA</x:v>
      </x:c>
      <x:c r="B6297" s="2" t="str">
        <x:v>inflation</x:v>
      </x:c>
      <x:c r="C6297" s="2" t="n">
        <x:v>3.32697361316105</x:v>
      </x:c>
      <x:c r="D6297" s="2" t="n">
        <x:v>2025</x:v>
      </x:c>
      <x:c r="E6297" s="2" t="str">
        <x:v>WB_inflation</x:v>
      </x:c>
      <x:c r="F6297" s="2" t="str">
        <x:v>Inflation, consumer prices (annual %)</x:v>
      </x:c>
    </x:row>
    <x:row r="6298" ht="44" customHeight="1">
      <x:c r="A6298" s="2" t="str">
        <x:v>TZA</x:v>
      </x:c>
      <x:c r="B6298" s="2" t="str">
        <x:v>food_index</x:v>
      </x:c>
      <x:c r="C6298" s="2" t="n">
        <x:v>109.9</x:v>
      </x:c>
      <x:c r="D6298" s="2" t="n">
        <x:v>2022</x:v>
      </x:c>
      <x:c r="E6298" s="2" t="str">
        <x:v>WB_food_index</x:v>
      </x:c>
      <x:c r="F6298" s="2" t="str">
        <x:v>Food production index (2014-2016 = 100)</x:v>
      </x:c>
    </x:row>
    <x:row r="6299" ht="44" customHeight="1">
      <x:c r="A6299" s="2" t="str">
        <x:v>TZA</x:v>
      </x:c>
      <x:c r="B6299" s="2" t="str">
        <x:v>food_import_share</x:v>
      </x:c>
      <x:c r="C6299" s="2" t="n">
        <x:v>9.1943422547416</x:v>
      </x:c>
      <x:c r="D6299" s="2" t="n">
        <x:v>2024</x:v>
      </x:c>
      <x:c r="E6299" s="2" t="str">
        <x:v>WB_food_import_share</x:v>
      </x:c>
      <x:c r="F6299" s="2" t="str">
        <x:v>Food imports (% of merchandise imports)</x:v>
      </x:c>
    </x:row>
    <x:row r="6300" ht="44" customHeight="1">
      <x:c r="A6300" s="2" t="str">
        <x:v>TZA</x:v>
      </x:c>
      <x:c r="B6300" s="2" t="str">
        <x:v>food_export_share</x:v>
      </x:c>
      <x:c r="C6300" s="2" t="n">
        <x:v>37.38883915761</x:v>
      </x:c>
      <x:c r="D6300" s="2" t="n">
        <x:v>2024</x:v>
      </x:c>
      <x:c r="E6300" s="2" t="str">
        <x:v>WB_food_export_share</x:v>
      </x:c>
      <x:c r="F6300" s="2" t="str">
        <x:v>Food exports (% of merchandise exports)</x:v>
      </x:c>
    </x:row>
    <x:row r="6301" ht="44" customHeight="1">
      <x:c r="A6301" s="2" t="str">
        <x:v>TZA</x:v>
      </x:c>
      <x:c r="B6301" s="2" t="str">
        <x:v>imports_usd</x:v>
      </x:c>
      <x:c r="C6301" s="2" t="n">
        <x:v>14810000000</x:v>
      </x:c>
      <x:c r="D6301" s="2" t="n">
        <x:v>2025</x:v>
      </x:c>
      <x:c r="E6301" s="2" t="str">
        <x:v>WB_imports_usd</x:v>
      </x:c>
      <x:c r="F6301" s="2" t="str">
        <x:v>Merchandise imports (current US$)</x:v>
      </x:c>
    </x:row>
    <x:row r="6302" ht="44" customHeight="1">
      <x:c r="A6302" s="2" t="str">
        <x:v>TZA</x:v>
      </x:c>
      <x:c r="B6302" s="2" t="str">
        <x:v>exports_usd</x:v>
      </x:c>
      <x:c r="C6302" s="2" t="n">
        <x:v>9956000000</x:v>
      </x:c>
      <x:c r="D6302" s="2" t="n">
        <x:v>2025</x:v>
      </x:c>
      <x:c r="E6302" s="2" t="str">
        <x:v>WB_exports_usd</x:v>
      </x:c>
      <x:c r="F6302" s="2" t="str">
        <x:v>Merchandise exports (current US$)</x:v>
      </x:c>
    </x:row>
    <x:row r="6303" ht="44" customHeight="1">
      <x:c r="A6303" s="2" t="str">
        <x:v>TZA</x:v>
      </x:c>
      <x:c r="B6303" s="2" t="str">
        <x:v>cereal_yield</x:v>
      </x:c>
      <x:c r="C6303" s="2" t="n">
        <x:v>1961.1</x:v>
      </x:c>
      <x:c r="D6303" s="2" t="n">
        <x:v>2023</x:v>
      </x:c>
      <x:c r="E6303" s="2" t="str">
        <x:v>WB_cereal_yield</x:v>
      </x:c>
      <x:c r="F6303" s="2" t="str">
        <x:v>Cereal yield (kg per hectare)</x:v>
      </x:c>
    </x:row>
    <x:row r="6304" ht="44" customHeight="1">
      <x:c r="A6304" s="2" t="str">
        <x:v>TZA</x:v>
      </x:c>
      <x:c r="B6304" s="2" t="str">
        <x:v>water_stress</x:v>
      </x:c>
      <x:c r="C6304" s="2" t="n">
        <x:v>12.96324081</x:v>
      </x:c>
      <x:c r="D6304" s="2" t="n">
        <x:v>2022</x:v>
      </x:c>
      <x:c r="E6304" s="2" t="str">
        <x:v>WB_water_stress</x:v>
      </x:c>
      <x:c r="F6304" s="2" t="str">
        <x:v>Level of water stress: freshwater withdrawal as a proportion of available freshwater resources</x:v>
      </x:c>
    </x:row>
    <x:row r="6305" ht="44" customHeight="1">
      <x:c r="A6305" s="2" t="str">
        <x:v>TZA</x:v>
      </x:c>
      <x:c r="B6305" s="2" t="str">
        <x:v>fertility</x:v>
      </x:c>
      <x:c r="C6305" s="2" t="n">
        <x:v>4.541</x:v>
      </x:c>
      <x:c r="D6305" s="2" t="n">
        <x:v>2024</x:v>
      </x:c>
      <x:c r="E6305" s="2" t="str">
        <x:v>WB_fertility</x:v>
      </x:c>
      <x:c r="F6305" s="2" t="str">
        <x:v>Fertility rate, total (births per woman)</x:v>
      </x:c>
    </x:row>
    <x:row r="6306" ht="44" customHeight="1">
      <x:c r="A6306" s="2" t="str">
        <x:v>TZA</x:v>
      </x:c>
      <x:c r="B6306" s="2" t="str">
        <x:v>life_expectancy</x:v>
      </x:c>
      <x:c r="C6306" s="2" t="n">
        <x:v>67.212</x:v>
      </x:c>
      <x:c r="D6306" s="2" t="n">
        <x:v>2024</x:v>
      </x:c>
      <x:c r="E6306" s="2" t="str">
        <x:v>WB_life_expectancy</x:v>
      </x:c>
      <x:c r="F6306" s="2" t="str">
        <x:v>Life expectancy at birth, total (years)</x:v>
      </x:c>
    </x:row>
    <x:row r="6307" ht="44" customHeight="1">
      <x:c r="A6307" s="2" t="str">
        <x:v>TZA</x:v>
      </x:c>
      <x:c r="B6307" s="2" t="str">
        <x:v>age_under15</x:v>
      </x:c>
      <x:c r="C6307" s="2" t="n">
        <x:v>42.3404922457184</x:v>
      </x:c>
      <x:c r="D6307" s="2" t="n">
        <x:v>2025</x:v>
      </x:c>
      <x:c r="E6307" s="2" t="str">
        <x:v>WB_age_under15</x:v>
      </x:c>
      <x:c r="F6307" s="2" t="str">
        <x:v>Population ages 0-14 (% of total population)</x:v>
      </x:c>
    </x:row>
    <x:row r="6308" ht="44" customHeight="1">
      <x:c r="A6308" s="2" t="str">
        <x:v>TZA</x:v>
      </x:c>
      <x:c r="B6308" s="2" t="str">
        <x:v>age_over65</x:v>
      </x:c>
      <x:c r="C6308" s="2" t="n">
        <x:v>3.04176368097549</x:v>
      </x:c>
      <x:c r="D6308" s="2" t="n">
        <x:v>2025</x:v>
      </x:c>
      <x:c r="E6308" s="2" t="str">
        <x:v>WB_age_over65</x:v>
      </x:c>
      <x:c r="F6308" s="2" t="str">
        <x:v>Population ages 65 and above (% of total population)</x:v>
      </x:c>
    </x:row>
    <x:row r="6309" ht="44" customHeight="1">
      <x:c r="A6309" s="2" t="str">
        <x:v>TZA</x:v>
      </x:c>
      <x:c r="B6309" s="2" t="str">
        <x:v>dependency_ratio</x:v>
      </x:c>
      <x:c r="C6309" s="2" t="n">
        <x:v>83.0906817860939</x:v>
      </x:c>
      <x:c r="D6309" s="2" t="n">
        <x:v>2025</x:v>
      </x:c>
      <x:c r="E6309" s="2" t="str">
        <x:v>WB_dependency_ratio</x:v>
      </x:c>
      <x:c r="F6309" s="2" t="str">
        <x:v>Age dependency ratio (% of working-age population)</x:v>
      </x:c>
    </x:row>
    <x:row r="6310" ht="44" customHeight="1">
      <x:c r="A6310" s="2" t="str">
        <x:v>TZA</x:v>
      </x:c>
      <x:c r="B6310" s="2" t="str">
        <x:v>net_migration</x:v>
      </x:c>
      <x:c r="C6310" s="2" t="n">
        <x:v>-12730</x:v>
      </x:c>
      <x:c r="D6310" s="2" t="n">
        <x:v>2025</x:v>
      </x:c>
      <x:c r="E6310" s="2" t="str">
        <x:v>WB_net_migration</x:v>
      </x:c>
      <x:c r="F6310" s="2" t="str">
        <x:v>Net migration</x:v>
      </x:c>
    </x:row>
    <x:row r="6311" ht="44" customHeight="1">
      <x:c r="A6311" s="2" t="str">
        <x:v>TZA</x:v>
      </x:c>
      <x:c r="B6311" s="2" t="str">
        <x:v>real_gdp</x:v>
      </x:c>
      <x:c r="C6311" s="2" t="n">
        <x:v>78821459765.6257</x:v>
      </x:c>
      <x:c r="D6311" s="2" t="n">
        <x:v>2025</x:v>
      </x:c>
      <x:c r="E6311" s="2" t="str">
        <x:v>WB_real_gdp</x:v>
      </x:c>
      <x:c r="F6311" s="2" t="str">
        <x:v>GDP (constant 2015 US$)</x:v>
      </x:c>
    </x:row>
    <x:row r="6312" ht="44" customHeight="1">
      <x:c r="A6312" s="2" t="str">
        <x:v>TZA</x:v>
      </x:c>
      <x:c r="B6312" s="2" t="str">
        <x:v>gdp_growth</x:v>
      </x:c>
      <x:c r="C6312" s="2" t="n">
        <x:v>5.85286828692739</x:v>
      </x:c>
      <x:c r="D6312" s="2" t="n">
        <x:v>2025</x:v>
      </x:c>
      <x:c r="E6312" s="2" t="str">
        <x:v>WB_gdp_growth</x:v>
      </x:c>
      <x:c r="F6312" s="2" t="str">
        <x:v>GDP growth (annual %)</x:v>
      </x:c>
    </x:row>
    <x:row r="6313" ht="44" customHeight="1">
      <x:c r="A6313" s="2" t="str">
        <x:v>TZA</x:v>
      </x:c>
      <x:c r="B6313" s="2" t="str">
        <x:v>real_income</x:v>
      </x:c>
      <x:c r="C6313" s="2" t="n">
        <x:v>1153.17529296875</x:v>
      </x:c>
      <x:c r="D6313" s="2" t="n">
        <x:v>2025</x:v>
      </x:c>
      <x:c r="E6313" s="2" t="str">
        <x:v>WB_real_income</x:v>
      </x:c>
      <x:c r="F6313" s="2" t="str">
        <x:v>GDP per capita (constant 2015 US$)</x:v>
      </x:c>
    </x:row>
    <x:row r="6314" ht="44" customHeight="1">
      <x:c r="A6314" s="2" t="str">
        <x:v>TZA</x:v>
      </x:c>
      <x:c r="B6314" s="2" t="str">
        <x:v>agriculture_gdp</x:v>
      </x:c>
      <x:c r="C6314" s="2" t="n">
        <x:v>22.9094775894812</x:v>
      </x:c>
      <x:c r="D6314" s="2" t="n">
        <x:v>2025</x:v>
      </x:c>
      <x:c r="E6314" s="2" t="str">
        <x:v>WB_agriculture_gdp</x:v>
      </x:c>
      <x:c r="F6314" s="2" t="str">
        <x:v>Agriculture, forestry, and fishing, value added (% of GDP)</x:v>
      </x:c>
    </x:row>
    <x:row r="6315" ht="44" customHeight="1">
      <x:c r="A6315" s="2" t="str">
        <x:v>TZA</x:v>
      </x:c>
      <x:c r="B6315" s="2" t="str">
        <x:v>poverty</x:v>
      </x:c>
      <x:c r="C6315" s="2" t="n">
        <x:v>51.3</x:v>
      </x:c>
      <x:c r="D6315" s="2" t="n">
        <x:v>2018</x:v>
      </x:c>
      <x:c r="E6315" s="2" t="str">
        <x:v>WB_poverty</x:v>
      </x:c>
      <x:c r="F6315" s="2" t="str">
        <x:v>Poverty headcount ratio at $3.00 a day (2021 PPP) (% of population)</x:v>
      </x:c>
    </x:row>
    <x:row r="6316" ht="44" customHeight="1">
      <x:c r="A6316" s="2" t="str">
        <x:v>TZA</x:v>
      </x:c>
      <x:c r="B6316" s="2" t="str">
        <x:v>gini</x:v>
      </x:c>
      <x:c r="C6316" s="2" t="n">
        <x:v>40.5</x:v>
      </x:c>
      <x:c r="D6316" s="2" t="n">
        <x:v>2018</x:v>
      </x:c>
      <x:c r="E6316" s="2" t="str">
        <x:v>WB_gini</x:v>
      </x:c>
      <x:c r="F6316" s="2" t="str">
        <x:v>Gini index</x:v>
      </x:c>
    </x:row>
    <x:row r="6317" ht="44" customHeight="1">
      <x:c r="A6317" s="2" t="str">
        <x:v>TZA</x:v>
      </x:c>
      <x:c r="B6317" s="2" t="str">
        <x:v>unemployment</x:v>
      </x:c>
      <x:c r="C6317" s="2" t="n">
        <x:v>1.572</x:v>
      </x:c>
      <x:c r="D6317" s="2" t="n">
        <x:v>2025</x:v>
      </x:c>
      <x:c r="E6317" s="2" t="str">
        <x:v>WB_unemployment</x:v>
      </x:c>
      <x:c r="F6317" s="2" t="str">
        <x:v>Unemployment, total (% of total labor force) (modeled ILO estimate)</x:v>
      </x:c>
    </x:row>
    <x:row r="6318" ht="44" customHeight="1">
      <x:c r="A6318" s="2" t="str">
        <x:v>TZA</x:v>
      </x:c>
      <x:c r="B6318" s="2" t="str">
        <x:v>private_credit</x:v>
      </x:c>
      <x:c r="C6318" s="2" t="n">
        <x:v>16.6720456471052</x:v>
      </x:c>
      <x:c r="D6318" s="2" t="n">
        <x:v>2024</x:v>
      </x:c>
      <x:c r="E6318" s="2" t="str">
        <x:v>WB_private_credit</x:v>
      </x:c>
      <x:c r="F6318" s="2" t="str">
        <x:v>Domestic credit to private sector (% of GDP)</x:v>
      </x:c>
    </x:row>
    <x:row r="6319" ht="44" customHeight="1">
      <x:c r="A6319" s="2" t="str">
        <x:v>TZA</x:v>
      </x:c>
      <x:c r="B6319" s="2" t="str">
        <x:v>lending_rate</x:v>
      </x:c>
      <x:c r="C6319" s="2" t="n">
        <x:v>16.6795341089585</x:v>
      </x:c>
      <x:c r="D6319" s="2" t="n">
        <x:v>2020</x:v>
      </x:c>
      <x:c r="E6319" s="2" t="str">
        <x:v>WB_lending_rate</x:v>
      </x:c>
      <x:c r="F6319" s="2" t="str">
        <x:v>Lending interest rate (%)</x:v>
      </x:c>
    </x:row>
    <x:row r="6320" ht="44" customHeight="1">
      <x:c r="A6320" s="2" t="str">
        <x:v>TZA</x:v>
      </x:c>
      <x:c r="B6320" s="2" t="str">
        <x:v>real_interest</x:v>
      </x:c>
      <x:c r="C6320" s="2" t="n">
        <x:v>9.63750201577468</x:v>
      </x:c>
      <x:c r="D6320" s="2" t="n">
        <x:v>2020</x:v>
      </x:c>
      <x:c r="E6320" s="2" t="str">
        <x:v>WB_real_interest</x:v>
      </x:c>
      <x:c r="F6320" s="2" t="str">
        <x:v>Real interest rate (%)</x:v>
      </x:c>
    </x:row>
    <x:row r="6321" ht="44" customHeight="1">
      <x:c r="A6321" s="2" t="str">
        <x:v>TZA</x:v>
      </x:c>
      <x:c r="B6321" s="2" t="str">
        <x:v>government_debt</x:v>
      </x:c>
      <x:c r="C6321" s="2"/>
      <x:c r="D6321" s="2"/>
      <x:c r="E6321" s="2" t="str">
        <x:v>Missing</x:v>
      </x:c>
      <x:c r="F6321" s="2" t="str">
        <x:v>Central government debt, total (% of GDP)</x:v>
      </x:c>
    </x:row>
    <x:row r="6322" ht="44" customHeight="1">
      <x:c r="A6322" s="2" t="str">
        <x:v>TZA</x:v>
      </x:c>
      <x:c r="B6322" s="2" t="str">
        <x:v>electricity_access</x:v>
      </x:c>
      <x:c r="C6322" s="2" t="n">
        <x:v>52.4</x:v>
      </x:c>
      <x:c r="D6322" s="2" t="n">
        <x:v>2024</x:v>
      </x:c>
      <x:c r="E6322" s="2" t="str">
        <x:v>WB_electricity_access</x:v>
      </x:c>
      <x:c r="F6322" s="2" t="str">
        <x:v>Access to electricity (% of population)</x:v>
      </x:c>
    </x:row>
    <x:row r="6323" ht="44" customHeight="1">
      <x:c r="A6323" s="2" t="str">
        <x:v>TZA</x:v>
      </x:c>
      <x:c r="B6323" s="2" t="str">
        <x:v>irrigated_land</x:v>
      </x:c>
      <x:c r="C6323" s="2"/>
      <x:c r="D6323" s="2"/>
      <x:c r="E6323" s="2" t="str">
        <x:v>Missing</x:v>
      </x:c>
      <x:c r="F6323" s="2" t="str">
        <x:v>Agricultural irrigated land (% of total agricultural land)</x:v>
      </x:c>
    </x:row>
    <x:row r="6324" ht="44" customHeight="1">
      <x:c r="A6324" s="2" t="str">
        <x:v>TZA</x:v>
      </x:c>
      <x:c r="B6324" s="2" t="str">
        <x:v>cereal_area</x:v>
      </x:c>
      <x:c r="C6324" s="2" t="n">
        <x:v>6521443</x:v>
      </x:c>
      <x:c r="D6324" s="2" t="n">
        <x:v>2023</x:v>
      </x:c>
      <x:c r="E6324" s="2" t="str">
        <x:v>WB_cereal_area</x:v>
      </x:c>
      <x:c r="F6324" s="2" t="str">
        <x:v>Land under cereal production (hectares)</x:v>
      </x:c>
    </x:row>
    <x:row r="6325" ht="44" customHeight="1">
      <x:c r="A6325" s="2" t="str">
        <x:v>TZA</x:v>
      </x:c>
      <x:c r="B6325" s="2" t="str">
        <x:v>undernourishment</x:v>
      </x:c>
      <x:c r="C6325" s="2" t="n">
        <x:v>20.2</x:v>
      </x:c>
      <x:c r="D6325" s="2" t="n">
        <x:v>2023</x:v>
      </x:c>
      <x:c r="E6325" s="2" t="str">
        <x:v>WB_undernourishment</x:v>
      </x:c>
      <x:c r="F6325" s="2" t="str">
        <x:v>Prevalence of undernourishment (% of population)</x:v>
      </x:c>
    </x:row>
    <x:row r="6326" ht="44" customHeight="1">
      <x:c r="A6326" s="2" t="str">
        <x:v>TZA</x:v>
      </x:c>
      <x:c r="B6326" s="2" t="str">
        <x:v>agriculture_employment</x:v>
      </x:c>
      <x:c r="C6326" s="2" t="n">
        <x:v>64.571791454879</x:v>
      </x:c>
      <x:c r="D6326" s="2" t="n">
        <x:v>2025</x:v>
      </x:c>
      <x:c r="E6326" s="2" t="str">
        <x:v>WB_agriculture_employment</x:v>
      </x:c>
      <x:c r="F6326" s="2" t="str">
        <x:v>Employment in agriculture (% of total employment) (modeled ILO estimate)</x:v>
      </x:c>
    </x:row>
    <x:row r="6327" ht="44" customHeight="1">
      <x:c r="A6327" s="2" t="str">
        <x:v>TZA</x:v>
      </x:c>
      <x:c r="B6327" s="2" t="str">
        <x:v>water_withdrawal</x:v>
      </x:c>
      <x:c r="C6327" s="2" t="n">
        <x:v>6.17142857142857</x:v>
      </x:c>
      <x:c r="D6327" s="2" t="n">
        <x:v>2022</x:v>
      </x:c>
      <x:c r="E6327" s="2" t="str">
        <x:v>WB_water_withdrawal</x:v>
      </x:c>
      <x:c r="F6327" s="2" t="str">
        <x:v>Annual freshwater withdrawals, total (% of internal resources)</x:v>
      </x:c>
    </x:row>
    <x:row r="6328" ht="44" customHeight="1">
      <x:c r="A6328" s="2" t="str">
        <x:v>USA</x:v>
      </x:c>
      <x:c r="B6328" s="2" t="str">
        <x:v>population</x:v>
      </x:c>
      <x:c r="C6328" s="2" t="n">
        <x:v>341784857</x:v>
      </x:c>
      <x:c r="D6328" s="2" t="n">
        <x:v>2025</x:v>
      </x:c>
      <x:c r="E6328" s="2" t="str">
        <x:v>WB_population</x:v>
      </x:c>
      <x:c r="F6328" s="2" t="str">
        <x:v>Population, total</x:v>
      </x:c>
    </x:row>
    <x:row r="6329" ht="44" customHeight="1">
      <x:c r="A6329" s="2" t="str">
        <x:v>USA</x:v>
      </x:c>
      <x:c r="B6329" s="2" t="str">
        <x:v>income_ppp</x:v>
      </x:c>
      <x:c r="C6329" s="2" t="n">
        <x:v>76931.3106990408</x:v>
      </x:c>
      <x:c r="D6329" s="2" t="n">
        <x:v>2025</x:v>
      </x:c>
      <x:c r="E6329" s="2" t="str">
        <x:v>WB_income_ppp</x:v>
      </x:c>
      <x:c r="F6329" s="2" t="str">
        <x:v>GDP per capita, PPP (constant 2021 international $)</x:v>
      </x:c>
    </x:row>
    <x:row r="6330" ht="44" customHeight="1">
      <x:c r="A6330" s="2" t="str">
        <x:v>USA</x:v>
      </x:c>
      <x:c r="B6330" s="2" t="str">
        <x:v>urban</x:v>
      </x:c>
      <x:c r="C6330" s="2" t="n">
        <x:v>80.1921733027869</x:v>
      </x:c>
      <x:c r="D6330" s="2" t="n">
        <x:v>2025</x:v>
      </x:c>
      <x:c r="E6330" s="2" t="str">
        <x:v>WB_urban</x:v>
      </x:c>
      <x:c r="F6330" s="2" t="str">
        <x:v>Urban population (% of total population)</x:v>
      </x:c>
    </x:row>
    <x:row r="6331" ht="44" customHeight="1">
      <x:c r="A6331" s="2" t="str">
        <x:v>USA</x:v>
      </x:c>
      <x:c r="B6331" s="2" t="str">
        <x:v>inflation</x:v>
      </x:c>
      <x:c r="C6331" s="2" t="n">
        <x:v>2.94952520485207</x:v>
      </x:c>
      <x:c r="D6331" s="2" t="n">
        <x:v>2024</x:v>
      </x:c>
      <x:c r="E6331" s="2" t="str">
        <x:v>WB_inflation</x:v>
      </x:c>
      <x:c r="F6331" s="2" t="str">
        <x:v>Inflation, consumer prices (annual %)</x:v>
      </x:c>
    </x:row>
    <x:row r="6332" ht="44" customHeight="1">
      <x:c r="A6332" s="2" t="str">
        <x:v>USA</x:v>
      </x:c>
      <x:c r="B6332" s="2" t="str">
        <x:v>food_index</x:v>
      </x:c>
      <x:c r="C6332" s="2" t="n">
        <x:v>100.86</x:v>
      </x:c>
      <x:c r="D6332" s="2" t="n">
        <x:v>2022</x:v>
      </x:c>
      <x:c r="E6332" s="2" t="str">
        <x:v>WB_food_index</x:v>
      </x:c>
      <x:c r="F6332" s="2" t="str">
        <x:v>Food production index (2014-2016 = 100)</x:v>
      </x:c>
    </x:row>
    <x:row r="6333" ht="44" customHeight="1">
      <x:c r="A6333" s="2" t="str">
        <x:v>USA</x:v>
      </x:c>
      <x:c r="B6333" s="2" t="str">
        <x:v>food_import_share</x:v>
      </x:c>
      <x:c r="C6333" s="2" t="n">
        <x:v>6.93248541682915</x:v>
      </x:c>
      <x:c r="D6333" s="2" t="n">
        <x:v>2024</x:v>
      </x:c>
      <x:c r="E6333" s="2" t="str">
        <x:v>WB_food_import_share</x:v>
      </x:c>
      <x:c r="F6333" s="2" t="str">
        <x:v>Food imports (% of merchandise imports)</x:v>
      </x:c>
    </x:row>
    <x:row r="6334" ht="44" customHeight="1">
      <x:c r="A6334" s="2" t="str">
        <x:v>USA</x:v>
      </x:c>
      <x:c r="B6334" s="2" t="str">
        <x:v>food_export_share</x:v>
      </x:c>
      <x:c r="C6334" s="2" t="n">
        <x:v>9.45041427880191</x:v>
      </x:c>
      <x:c r="D6334" s="2" t="n">
        <x:v>2024</x:v>
      </x:c>
      <x:c r="E6334" s="2" t="str">
        <x:v>WB_food_export_share</x:v>
      </x:c>
      <x:c r="F6334" s="2" t="str">
        <x:v>Food exports (% of merchandise exports)</x:v>
      </x:c>
    </x:row>
    <x:row r="6335" ht="44" customHeight="1">
      <x:c r="A6335" s="2" t="str">
        <x:v>USA</x:v>
      </x:c>
      <x:c r="B6335" s="2" t="str">
        <x:v>imports_usd</x:v>
      </x:c>
      <x:c r="C6335" s="2" t="n">
        <x:v>3506554000000</x:v>
      </x:c>
      <x:c r="D6335" s="2" t="n">
        <x:v>2025</x:v>
      </x:c>
      <x:c r="E6335" s="2" t="str">
        <x:v>WB_imports_usd</x:v>
      </x:c>
      <x:c r="F6335" s="2" t="str">
        <x:v>Merchandise imports (current US$)</x:v>
      </x:c>
    </x:row>
    <x:row r="6336" ht="44" customHeight="1">
      <x:c r="A6336" s="2" t="str">
        <x:v>USA</x:v>
      </x:c>
      <x:c r="B6336" s="2" t="str">
        <x:v>exports_usd</x:v>
      </x:c>
      <x:c r="C6336" s="2" t="n">
        <x:v>2185220000000</x:v>
      </x:c>
      <x:c r="D6336" s="2" t="n">
        <x:v>2025</x:v>
      </x:c>
      <x:c r="E6336" s="2" t="str">
        <x:v>WB_exports_usd</x:v>
      </x:c>
      <x:c r="F6336" s="2" t="str">
        <x:v>Merchandise exports (current US$)</x:v>
      </x:c>
    </x:row>
    <x:row r="6337" ht="44" customHeight="1">
      <x:c r="A6337" s="2" t="str">
        <x:v>USA</x:v>
      </x:c>
      <x:c r="B6337" s="2" t="str">
        <x:v>cereal_yield</x:v>
      </x:c>
      <x:c r="C6337" s="2" t="n">
        <x:v>8413.5</x:v>
      </x:c>
      <x:c r="D6337" s="2" t="n">
        <x:v>2024</x:v>
      </x:c>
      <x:c r="E6337" s="2" t="str">
        <x:v>WB_cereal_yield</x:v>
      </x:c>
      <x:c r="F6337" s="2" t="str">
        <x:v>Cereal yield (kg per hectare)</x:v>
      </x:c>
    </x:row>
    <x:row r="6338" ht="44" customHeight="1">
      <x:c r="A6338" s="2" t="str">
        <x:v>USA</x:v>
      </x:c>
      <x:c r="B6338" s="2" t="str">
        <x:v>water_stress</x:v>
      </x:c>
      <x:c r="C6338" s="2" t="n">
        <x:v>28.15525982</x:v>
      </x:c>
      <x:c r="D6338" s="2" t="n">
        <x:v>2022</x:v>
      </x:c>
      <x:c r="E6338" s="2" t="str">
        <x:v>WB_water_stress</x:v>
      </x:c>
      <x:c r="F6338" s="2" t="str">
        <x:v>Level of water stress: freshwater withdrawal as a proportion of available freshwater resources</x:v>
      </x:c>
    </x:row>
    <x:row r="6339" ht="44" customHeight="1">
      <x:c r="A6339" s="2" t="str">
        <x:v>USA</x:v>
      </x:c>
      <x:c r="B6339" s="2" t="str">
        <x:v>fertility</x:v>
      </x:c>
      <x:c r="C6339" s="2" t="n">
        <x:v>1.6265</x:v>
      </x:c>
      <x:c r="D6339" s="2" t="n">
        <x:v>2024</x:v>
      </x:c>
      <x:c r="E6339" s="2" t="str">
        <x:v>WB_fertility</x:v>
      </x:c>
      <x:c r="F6339" s="2" t="str">
        <x:v>Fertility rate, total (births per woman)</x:v>
      </x:c>
    </x:row>
    <x:row r="6340" ht="44" customHeight="1">
      <x:c r="A6340" s="2" t="str">
        <x:v>USA</x:v>
      </x:c>
      <x:c r="B6340" s="2" t="str">
        <x:v>life_expectancy</x:v>
      </x:c>
      <x:c r="C6340" s="2" t="n">
        <x:v>78.890243902439</x:v>
      </x:c>
      <x:c r="D6340" s="2" t="n">
        <x:v>2024</x:v>
      </x:c>
      <x:c r="E6340" s="2" t="str">
        <x:v>WB_life_expectancy</x:v>
      </x:c>
      <x:c r="F6340" s="2" t="str">
        <x:v>Life expectancy at birth, total (years)</x:v>
      </x:c>
    </x:row>
    <x:row r="6341" ht="44" customHeight="1">
      <x:c r="A6341" s="2" t="str">
        <x:v>USA</x:v>
      </x:c>
      <x:c r="B6341" s="2" t="str">
        <x:v>age_under15</x:v>
      </x:c>
      <x:c r="C6341" s="2" t="n">
        <x:v>17.0990415161586</x:v>
      </x:c>
      <x:c r="D6341" s="2" t="n">
        <x:v>2025</x:v>
      </x:c>
      <x:c r="E6341" s="2" t="str">
        <x:v>WB_age_under15</x:v>
      </x:c>
      <x:c r="F6341" s="2" t="str">
        <x:v>Population ages 0-14 (% of total population)</x:v>
      </x:c>
    </x:row>
    <x:row r="6342" ht="44" customHeight="1">
      <x:c r="A6342" s="2" t="str">
        <x:v>USA</x:v>
      </x:c>
      <x:c r="B6342" s="2" t="str">
        <x:v>age_over65</x:v>
      </x:c>
      <x:c r="C6342" s="2" t="n">
        <x:v>18.387224828496</x:v>
      </x:c>
      <x:c r="D6342" s="2" t="n">
        <x:v>2025</x:v>
      </x:c>
      <x:c r="E6342" s="2" t="str">
        <x:v>WB_age_over65</x:v>
      </x:c>
      <x:c r="F6342" s="2" t="str">
        <x:v>Population ages 65 and above (% of total population)</x:v>
      </x:c>
    </x:row>
    <x:row r="6343" ht="44" customHeight="1">
      <x:c r="A6343" s="2" t="str">
        <x:v>USA</x:v>
      </x:c>
      <x:c r="B6343" s="2" t="str">
        <x:v>dependency_ratio</x:v>
      </x:c>
      <x:c r="C6343" s="2" t="n">
        <x:v>55.0057553311598</x:v>
      </x:c>
      <x:c r="D6343" s="2" t="n">
        <x:v>2025</x:v>
      </x:c>
      <x:c r="E6343" s="2" t="str">
        <x:v>WB_dependency_ratio</x:v>
      </x:c>
      <x:c r="F6343" s="2" t="str">
        <x:v>Age dependency ratio (% of working-age population)</x:v>
      </x:c>
    </x:row>
    <x:row r="6344" ht="44" customHeight="1">
      <x:c r="A6344" s="2" t="str">
        <x:v>USA</x:v>
      </x:c>
      <x:c r="B6344" s="2" t="str">
        <x:v>net_migration</x:v>
      </x:c>
      <x:c r="C6344" s="2" t="n">
        <x:v>1230663</x:v>
      </x:c>
      <x:c r="D6344" s="2" t="n">
        <x:v>2025</x:v>
      </x:c>
      <x:c r="E6344" s="2" t="str">
        <x:v>WB_net_migration</x:v>
      </x:c>
      <x:c r="F6344" s="2" t="str">
        <x:v>Net migration</x:v>
      </x:c>
    </x:row>
    <x:row r="6345" ht="44" customHeight="1">
      <x:c r="A6345" s="2" t="str">
        <x:v>USA</x:v>
      </x:c>
      <x:c r="B6345" s="2" t="str">
        <x:v>real_gdp</x:v>
      </x:c>
      <x:c r="C6345" s="2" t="n">
        <x:v>23222782186839.4</x:v>
      </x:c>
      <x:c r="D6345" s="2" t="n">
        <x:v>2025</x:v>
      </x:c>
      <x:c r="E6345" s="2" t="str">
        <x:v>WB_real_gdp</x:v>
      </x:c>
      <x:c r="F6345" s="2" t="str">
        <x:v>GDP (constant 2015 US$)</x:v>
      </x:c>
    </x:row>
    <x:row r="6346" ht="44" customHeight="1">
      <x:c r="A6346" s="2" t="str">
        <x:v>USA</x:v>
      </x:c>
      <x:c r="B6346" s="2" t="str">
        <x:v>gdp_growth</x:v>
      </x:c>
      <x:c r="C6346" s="2" t="n">
        <x:v>2.16138195623856</x:v>
      </x:c>
      <x:c r="D6346" s="2" t="n">
        <x:v>2025</x:v>
      </x:c>
      <x:c r="E6346" s="2" t="str">
        <x:v>WB_gdp_growth</x:v>
      </x:c>
      <x:c r="F6346" s="2" t="str">
        <x:v>GDP growth (annual %)</x:v>
      </x:c>
    </x:row>
    <x:row r="6347" ht="44" customHeight="1">
      <x:c r="A6347" s="2" t="str">
        <x:v>USA</x:v>
      </x:c>
      <x:c r="B6347" s="2" t="str">
        <x:v>real_income</x:v>
      </x:c>
      <x:c r="C6347" s="2" t="n">
        <x:v>67945.6146497427</x:v>
      </x:c>
      <x:c r="D6347" s="2" t="n">
        <x:v>2025</x:v>
      </x:c>
      <x:c r="E6347" s="2" t="str">
        <x:v>WB_real_income</x:v>
      </x:c>
      <x:c r="F6347" s="2" t="str">
        <x:v>GDP per capita (constant 2015 US$)</x:v>
      </x:c>
    </x:row>
    <x:row r="6348" ht="44" customHeight="1">
      <x:c r="A6348" s="2" t="str">
        <x:v>USA</x:v>
      </x:c>
      <x:c r="B6348" s="2" t="str">
        <x:v>agriculture_gdp</x:v>
      </x:c>
      <x:c r="C6348" s="2" t="n">
        <x:v>0.942961672907101</x:v>
      </x:c>
      <x:c r="D6348" s="2" t="n">
        <x:v>2021</x:v>
      </x:c>
      <x:c r="E6348" s="2" t="str">
        <x:v>WB_agriculture_gdp</x:v>
      </x:c>
      <x:c r="F6348" s="2" t="str">
        <x:v>Agriculture, forestry, and fishing, value added (% of GDP)</x:v>
      </x:c>
    </x:row>
    <x:row r="6349" ht="44" customHeight="1">
      <x:c r="A6349" s="2" t="str">
        <x:v>USA</x:v>
      </x:c>
      <x:c r="B6349" s="2" t="str">
        <x:v>poverty</x:v>
      </x:c>
      <x:c r="C6349" s="2" t="n">
        <x:v>1.1</x:v>
      </x:c>
      <x:c r="D6349" s="2" t="n">
        <x:v>2024</x:v>
      </x:c>
      <x:c r="E6349" s="2" t="str">
        <x:v>WB_poverty</x:v>
      </x:c>
      <x:c r="F6349" s="2" t="str">
        <x:v>Poverty headcount ratio at $3.00 a day (2021 PPP) (% of population)</x:v>
      </x:c>
    </x:row>
    <x:row r="6350" ht="44" customHeight="1">
      <x:c r="A6350" s="2" t="str">
        <x:v>USA</x:v>
      </x:c>
      <x:c r="B6350" s="2" t="str">
        <x:v>gini</x:v>
      </x:c>
      <x:c r="C6350" s="2" t="n">
        <x:v>41.8</x:v>
      </x:c>
      <x:c r="D6350" s="2" t="n">
        <x:v>2024</x:v>
      </x:c>
      <x:c r="E6350" s="2" t="str">
        <x:v>WB_gini</x:v>
      </x:c>
      <x:c r="F6350" s="2" t="str">
        <x:v>Gini index</x:v>
      </x:c>
    </x:row>
    <x:row r="6351" ht="44" customHeight="1">
      <x:c r="A6351" s="2" t="str">
        <x:v>USA</x:v>
      </x:c>
      <x:c r="B6351" s="2" t="str">
        <x:v>unemployment</x:v>
      </x:c>
      <x:c r="C6351" s="2" t="n">
        <x:v>4.198</x:v>
      </x:c>
      <x:c r="D6351" s="2" t="n">
        <x:v>2025</x:v>
      </x:c>
      <x:c r="E6351" s="2" t="str">
        <x:v>WB_unemployment</x:v>
      </x:c>
      <x:c r="F6351" s="2" t="str">
        <x:v>Unemployment, total (% of total labor force) (modeled ILO estimate)</x:v>
      </x:c>
    </x:row>
    <x:row r="6352" ht="44" customHeight="1">
      <x:c r="A6352" s="2" t="str">
        <x:v>USA</x:v>
      </x:c>
      <x:c r="B6352" s="2" t="str">
        <x:v>private_credit</x:v>
      </x:c>
      <x:c r="C6352" s="2" t="n">
        <x:v>201.266130729677</x:v>
      </x:c>
      <x:c r="D6352" s="2" t="n">
        <x:v>2025</x:v>
      </x:c>
      <x:c r="E6352" s="2" t="str">
        <x:v>WB_private_credit</x:v>
      </x:c>
      <x:c r="F6352" s="2" t="str">
        <x:v>Domestic credit to private sector (% of GDP)</x:v>
      </x:c>
    </x:row>
    <x:row r="6353" ht="44" customHeight="1">
      <x:c r="A6353" s="2" t="str">
        <x:v>USA</x:v>
      </x:c>
      <x:c r="B6353" s="2" t="str">
        <x:v>lending_rate</x:v>
      </x:c>
      <x:c r="C6353" s="2" t="n">
        <x:v>3.25</x:v>
      </x:c>
      <x:c r="D6353" s="2" t="n">
        <x:v>2021</x:v>
      </x:c>
      <x:c r="E6353" s="2" t="str">
        <x:v>WB_lending_rate</x:v>
      </x:c>
      <x:c r="F6353" s="2" t="str">
        <x:v>Lending interest rate (%)</x:v>
      </x:c>
    </x:row>
    <x:row r="6354" ht="44" customHeight="1">
      <x:c r="A6354" s="2" t="str">
        <x:v>USA</x:v>
      </x:c>
      <x:c r="B6354" s="2" t="str">
        <x:v>real_interest</x:v>
      </x:c>
      <x:c r="C6354" s="2" t="n">
        <x:v>-1.25567664234207</x:v>
      </x:c>
      <x:c r="D6354" s="2" t="n">
        <x:v>2021</x:v>
      </x:c>
      <x:c r="E6354" s="2" t="str">
        <x:v>WB_real_interest</x:v>
      </x:c>
      <x:c r="F6354" s="2" t="str">
        <x:v>Real interest rate (%)</x:v>
      </x:c>
    </x:row>
    <x:row r="6355" ht="44" customHeight="1">
      <x:c r="A6355" s="2" t="str">
        <x:v>USA</x:v>
      </x:c>
      <x:c r="B6355" s="2" t="str">
        <x:v>government_debt</x:v>
      </x:c>
      <x:c r="C6355" s="2" t="n">
        <x:v>115.768352618316</x:v>
      </x:c>
      <x:c r="D6355" s="2" t="n">
        <x:v>2024</x:v>
      </x:c>
      <x:c r="E6355" s="2" t="str">
        <x:v>WB_government_debt</x:v>
      </x:c>
      <x:c r="F6355" s="2" t="str">
        <x:v>Central government debt, total (% of GDP)</x:v>
      </x:c>
    </x:row>
    <x:row r="6356" ht="44" customHeight="1">
      <x:c r="A6356" s="2" t="str">
        <x:v>USA</x:v>
      </x:c>
      <x:c r="B6356" s="2" t="str">
        <x:v>electricity_access</x:v>
      </x:c>
      <x:c r="C6356" s="2" t="n">
        <x:v>100</x:v>
      </x:c>
      <x:c r="D6356" s="2" t="n">
        <x:v>2024</x:v>
      </x:c>
      <x:c r="E6356" s="2" t="str">
        <x:v>WB_electricity_access</x:v>
      </x:c>
      <x:c r="F6356" s="2" t="str">
        <x:v>Access to electricity (% of population)</x:v>
      </x:c>
    </x:row>
    <x:row r="6357" ht="44" customHeight="1">
      <x:c r="A6357" s="2" t="str">
        <x:v>USA</x:v>
      </x:c>
      <x:c r="B6357" s="2" t="str">
        <x:v>irrigated_land</x:v>
      </x:c>
      <x:c r="C6357" s="2" t="n">
        <x:v>5.10106306843818</x:v>
      </x:c>
      <x:c r="D6357" s="2" t="n">
        <x:v>2023</x:v>
      </x:c>
      <x:c r="E6357" s="2" t="str">
        <x:v>WB_irrigated_land</x:v>
      </x:c>
      <x:c r="F6357" s="2" t="str">
        <x:v>Agricultural irrigated land (% of total agricultural land)</x:v>
      </x:c>
    </x:row>
    <x:row r="6358" ht="44" customHeight="1">
      <x:c r="A6358" s="2" t="str">
        <x:v>USA</x:v>
      </x:c>
      <x:c r="B6358" s="2" t="str">
        <x:v>cereal_area</x:v>
      </x:c>
      <x:c r="C6358" s="2" t="n">
        <x:v>54078269</x:v>
      </x:c>
      <x:c r="D6358" s="2" t="n">
        <x:v>2024</x:v>
      </x:c>
      <x:c r="E6358" s="2" t="str">
        <x:v>WB_cereal_area</x:v>
      </x:c>
      <x:c r="F6358" s="2" t="str">
        <x:v>Land under cereal production (hectares)</x:v>
      </x:c>
    </x:row>
    <x:row r="6359" ht="44" customHeight="1">
      <x:c r="A6359" s="2" t="str">
        <x:v>USA</x:v>
      </x:c>
      <x:c r="B6359" s="2" t="str">
        <x:v>undernourishment</x:v>
      </x:c>
      <x:c r="C6359" s="2" t="n">
        <x:v>2.5</x:v>
      </x:c>
      <x:c r="D6359" s="2" t="n">
        <x:v>2023</x:v>
      </x:c>
      <x:c r="E6359" s="2" t="str">
        <x:v>WB_undernourishment</x:v>
      </x:c>
      <x:c r="F6359" s="2" t="str">
        <x:v>Prevalence of undernourishment (% of population)</x:v>
      </x:c>
    </x:row>
    <x:row r="6360" ht="44" customHeight="1">
      <x:c r="A6360" s="2" t="str">
        <x:v>USA</x:v>
      </x:c>
      <x:c r="B6360" s="2" t="str">
        <x:v>agriculture_employment</x:v>
      </x:c>
      <x:c r="C6360" s="2" t="n">
        <x:v>1.52494439217106</x:v>
      </x:c>
      <x:c r="D6360" s="2" t="n">
        <x:v>2025</x:v>
      </x:c>
      <x:c r="E6360" s="2" t="str">
        <x:v>WB_agriculture_employment</x:v>
      </x:c>
      <x:c r="F6360" s="2" t="str">
        <x:v>Employment in agriculture (% of total employment) (modeled ILO estimate)</x:v>
      </x:c>
    </x:row>
    <x:row r="6361" ht="44" customHeight="1">
      <x:c r="A6361" s="2" t="str">
        <x:v>USA</x:v>
      </x:c>
      <x:c r="B6361" s="2" t="str">
        <x:v>water_withdrawal</x:v>
      </x:c>
      <x:c r="C6361" s="2" t="n">
        <x:v>15.7661462029808</x:v>
      </x:c>
      <x:c r="D6361" s="2" t="n">
        <x:v>2022</x:v>
      </x:c>
      <x:c r="E6361" s="2" t="str">
        <x:v>WB_water_withdrawal</x:v>
      </x:c>
      <x:c r="F6361" s="2" t="str">
        <x:v>Annual freshwater withdrawals, total (% of internal resources)</x:v>
      </x:c>
    </x:row>
    <x:row r="6362" ht="44" customHeight="1">
      <x:c r="A6362" s="2" t="str">
        <x:v>URY</x:v>
      </x:c>
      <x:c r="B6362" s="2" t="str">
        <x:v>population</x:v>
      </x:c>
      <x:c r="C6362" s="2" t="n">
        <x:v>3384688</x:v>
      </x:c>
      <x:c r="D6362" s="2" t="n">
        <x:v>2025</x:v>
      </x:c>
      <x:c r="E6362" s="2" t="str">
        <x:v>WB_population</x:v>
      </x:c>
      <x:c r="F6362" s="2" t="str">
        <x:v>Population, total</x:v>
      </x:c>
    </x:row>
    <x:row r="6363" ht="44" customHeight="1">
      <x:c r="A6363" s="2" t="str">
        <x:v>URY</x:v>
      </x:c>
      <x:c r="B6363" s="2" t="str">
        <x:v>income_ppp</x:v>
      </x:c>
      <x:c r="C6363" s="2" t="n">
        <x:v>32741.6246877908</x:v>
      </x:c>
      <x:c r="D6363" s="2" t="n">
        <x:v>2025</x:v>
      </x:c>
      <x:c r="E6363" s="2" t="str">
        <x:v>WB_income_ppp</x:v>
      </x:c>
      <x:c r="F6363" s="2" t="str">
        <x:v>GDP per capita, PPP (constant 2021 international $)</x:v>
      </x:c>
    </x:row>
    <x:row r="6364" ht="44" customHeight="1">
      <x:c r="A6364" s="2" t="str">
        <x:v>URY</x:v>
      </x:c>
      <x:c r="B6364" s="2" t="str">
        <x:v>urban</x:v>
      </x:c>
      <x:c r="C6364" s="2" t="n">
        <x:v>95.6537192104085</x:v>
      </x:c>
      <x:c r="D6364" s="2" t="n">
        <x:v>2025</x:v>
      </x:c>
      <x:c r="E6364" s="2" t="str">
        <x:v>WB_urban</x:v>
      </x:c>
      <x:c r="F6364" s="2" t="str">
        <x:v>Urban population (% of total population)</x:v>
      </x:c>
    </x:row>
    <x:row r="6365" ht="44" customHeight="1">
      <x:c r="A6365" s="2" t="str">
        <x:v>URY</x:v>
      </x:c>
      <x:c r="B6365" s="2" t="str">
        <x:v>inflation</x:v>
      </x:c>
      <x:c r="C6365" s="2" t="n">
        <x:v>4.65032720433324</x:v>
      </x:c>
      <x:c r="D6365" s="2" t="n">
        <x:v>2025</x:v>
      </x:c>
      <x:c r="E6365" s="2" t="str">
        <x:v>WB_inflation</x:v>
      </x:c>
      <x:c r="F6365" s="2" t="str">
        <x:v>Inflation, consumer prices (annual %)</x:v>
      </x:c>
    </x:row>
    <x:row r="6366" ht="44" customHeight="1">
      <x:c r="A6366" s="2" t="str">
        <x:v>URY</x:v>
      </x:c>
      <x:c r="B6366" s="2" t="str">
        <x:v>food_index</x:v>
      </x:c>
      <x:c r="C6366" s="2" t="n">
        <x:v>97.82</x:v>
      </x:c>
      <x:c r="D6366" s="2" t="n">
        <x:v>2022</x:v>
      </x:c>
      <x:c r="E6366" s="2" t="str">
        <x:v>WB_food_index</x:v>
      </x:c>
      <x:c r="F6366" s="2" t="str">
        <x:v>Food production index (2014-2016 = 100)</x:v>
      </x:c>
    </x:row>
    <x:row r="6367" ht="44" customHeight="1">
      <x:c r="A6367" s="2" t="str">
        <x:v>URY</x:v>
      </x:c>
      <x:c r="B6367" s="2" t="str">
        <x:v>food_import_share</x:v>
      </x:c>
      <x:c r="C6367" s="2" t="n">
        <x:v>14.0505307821022</x:v>
      </x:c>
      <x:c r="D6367" s="2" t="n">
        <x:v>2024</x:v>
      </x:c>
      <x:c r="E6367" s="2" t="str">
        <x:v>WB_food_import_share</x:v>
      </x:c>
      <x:c r="F6367" s="2" t="str">
        <x:v>Food imports (% of merchandise imports)</x:v>
      </x:c>
    </x:row>
    <x:row r="6368" ht="44" customHeight="1">
      <x:c r="A6368" s="2" t="str">
        <x:v>URY</x:v>
      </x:c>
      <x:c r="B6368" s="2" t="str">
        <x:v>food_export_share</x:v>
      </x:c>
      <x:c r="C6368" s="2" t="n">
        <x:v>65.3158952074284</x:v>
      </x:c>
      <x:c r="D6368" s="2" t="n">
        <x:v>2024</x:v>
      </x:c>
      <x:c r="E6368" s="2" t="str">
        <x:v>WB_food_export_share</x:v>
      </x:c>
      <x:c r="F6368" s="2" t="str">
        <x:v>Food exports (% of merchandise exports)</x:v>
      </x:c>
    </x:row>
    <x:row r="6369" ht="44" customHeight="1">
      <x:c r="A6369" s="2" t="str">
        <x:v>URY</x:v>
      </x:c>
      <x:c r="B6369" s="2" t="str">
        <x:v>imports_usd</x:v>
      </x:c>
      <x:c r="C6369" s="2" t="n">
        <x:v>12950000000</x:v>
      </x:c>
      <x:c r="D6369" s="2" t="n">
        <x:v>2025</x:v>
      </x:c>
      <x:c r="E6369" s="2" t="str">
        <x:v>WB_imports_usd</x:v>
      </x:c>
      <x:c r="F6369" s="2" t="str">
        <x:v>Merchandise imports (current US$)</x:v>
      </x:c>
    </x:row>
    <x:row r="6370" ht="44" customHeight="1">
      <x:c r="A6370" s="2" t="str">
        <x:v>URY</x:v>
      </x:c>
      <x:c r="B6370" s="2" t="str">
        <x:v>exports_usd</x:v>
      </x:c>
      <x:c r="C6370" s="2" t="n">
        <x:v>11230000000</x:v>
      </x:c>
      <x:c r="D6370" s="2" t="n">
        <x:v>2025</x:v>
      </x:c>
      <x:c r="E6370" s="2" t="str">
        <x:v>WB_exports_usd</x:v>
      </x:c>
      <x:c r="F6370" s="2" t="str">
        <x:v>Merchandise exports (current US$)</x:v>
      </x:c>
    </x:row>
    <x:row r="6371" ht="44" customHeight="1">
      <x:c r="A6371" s="2" t="str">
        <x:v>URY</x:v>
      </x:c>
      <x:c r="B6371" s="2" t="str">
        <x:v>cereal_yield</x:v>
      </x:c>
      <x:c r="C6371" s="2" t="n">
        <x:v>5057.7</x:v>
      </x:c>
      <x:c r="D6371" s="2" t="n">
        <x:v>2024</x:v>
      </x:c>
      <x:c r="E6371" s="2" t="str">
        <x:v>WB_cereal_yield</x:v>
      </x:c>
      <x:c r="F6371" s="2" t="str">
        <x:v>Cereal yield (kg per hectare)</x:v>
      </x:c>
    </x:row>
    <x:row r="6372" ht="44" customHeight="1">
      <x:c r="A6372" s="2" t="str">
        <x:v>URY</x:v>
      </x:c>
      <x:c r="B6372" s="2" t="str">
        <x:v>water_stress</x:v>
      </x:c>
      <x:c r="C6372" s="2" t="n">
        <x:v>12.05201437</x:v>
      </x:c>
      <x:c r="D6372" s="2" t="n">
        <x:v>2022</x:v>
      </x:c>
      <x:c r="E6372" s="2" t="str">
        <x:v>WB_water_stress</x:v>
      </x:c>
      <x:c r="F6372" s="2" t="str">
        <x:v>Level of water stress: freshwater withdrawal as a proportion of available freshwater resources</x:v>
      </x:c>
    </x:row>
    <x:row r="6373" ht="44" customHeight="1">
      <x:c r="A6373" s="2" t="str">
        <x:v>URY</x:v>
      </x:c>
      <x:c r="B6373" s="2" t="str">
        <x:v>fertility</x:v>
      </x:c>
      <x:c r="C6373" s="2" t="n">
        <x:v>1.397</x:v>
      </x:c>
      <x:c r="D6373" s="2" t="n">
        <x:v>2024</x:v>
      </x:c>
      <x:c r="E6373" s="2" t="str">
        <x:v>WB_fertility</x:v>
      </x:c>
      <x:c r="F6373" s="2" t="str">
        <x:v>Fertility rate, total (births per woman)</x:v>
      </x:c>
    </x:row>
    <x:row r="6374" ht="44" customHeight="1">
      <x:c r="A6374" s="2" t="str">
        <x:v>URY</x:v>
      </x:c>
      <x:c r="B6374" s="2" t="str">
        <x:v>life_expectancy</x:v>
      </x:c>
      <x:c r="C6374" s="2" t="n">
        <x:v>78.287</x:v>
      </x:c>
      <x:c r="D6374" s="2" t="n">
        <x:v>2024</x:v>
      </x:c>
      <x:c r="E6374" s="2" t="str">
        <x:v>WB_life_expectancy</x:v>
      </x:c>
      <x:c r="F6374" s="2" t="str">
        <x:v>Life expectancy at birth, total (years)</x:v>
      </x:c>
    </x:row>
    <x:row r="6375" ht="44" customHeight="1">
      <x:c r="A6375" s="2" t="str">
        <x:v>URY</x:v>
      </x:c>
      <x:c r="B6375" s="2" t="str">
        <x:v>age_under15</x:v>
      </x:c>
      <x:c r="C6375" s="2" t="n">
        <x:v>17.8970557995301</x:v>
      </x:c>
      <x:c r="D6375" s="2" t="n">
        <x:v>2025</x:v>
      </x:c>
      <x:c r="E6375" s="2" t="str">
        <x:v>WB_age_under15</x:v>
      </x:c>
      <x:c r="F6375" s="2" t="str">
        <x:v>Population ages 0-14 (% of total population)</x:v>
      </x:c>
    </x:row>
    <x:row r="6376" ht="44" customHeight="1">
      <x:c r="A6376" s="2" t="str">
        <x:v>URY</x:v>
      </x:c>
      <x:c r="B6376" s="2" t="str">
        <x:v>age_over65</x:v>
      </x:c>
      <x:c r="C6376" s="2" t="n">
        <x:v>16.2818995428825</x:v>
      </x:c>
      <x:c r="D6376" s="2" t="n">
        <x:v>2025</x:v>
      </x:c>
      <x:c r="E6376" s="2" t="str">
        <x:v>WB_age_over65</x:v>
      </x:c>
      <x:c r="F6376" s="2" t="str">
        <x:v>Population ages 65 and above (% of total population)</x:v>
      </x:c>
    </x:row>
    <x:row r="6377" ht="44" customHeight="1">
      <x:c r="A6377" s="2" t="str">
        <x:v>URY</x:v>
      </x:c>
      <x:c r="B6377" s="2" t="str">
        <x:v>dependency_ratio</x:v>
      </x:c>
      <x:c r="C6377" s="2" t="n">
        <x:v>51.9270485228497</x:v>
      </x:c>
      <x:c r="D6377" s="2" t="n">
        <x:v>2025</x:v>
      </x:c>
      <x:c r="E6377" s="2" t="str">
        <x:v>WB_dependency_ratio</x:v>
      </x:c>
      <x:c r="F6377" s="2" t="str">
        <x:v>Age dependency ratio (% of working-age population)</x:v>
      </x:c>
    </x:row>
    <x:row r="6378" ht="44" customHeight="1">
      <x:c r="A6378" s="2" t="str">
        <x:v>URY</x:v>
      </x:c>
      <x:c r="B6378" s="2" t="str">
        <x:v>net_migration</x:v>
      </x:c>
      <x:c r="C6378" s="2" t="n">
        <x:v>-1338</x:v>
      </x:c>
      <x:c r="D6378" s="2" t="n">
        <x:v>2025</x:v>
      </x:c>
      <x:c r="E6378" s="2" t="str">
        <x:v>WB_net_migration</x:v>
      </x:c>
      <x:c r="F6378" s="2" t="str">
        <x:v>Net migration</x:v>
      </x:c>
    </x:row>
    <x:row r="6379" ht="44" customHeight="1">
      <x:c r="A6379" s="2" t="str">
        <x:v>URY</x:v>
      </x:c>
      <x:c r="B6379" s="2" t="str">
        <x:v>real_gdp</x:v>
      </x:c>
      <x:c r="C6379" s="2" t="n">
        <x:v>65576691278.1303</x:v>
      </x:c>
      <x:c r="D6379" s="2" t="n">
        <x:v>2025</x:v>
      </x:c>
      <x:c r="E6379" s="2" t="str">
        <x:v>WB_real_gdp</x:v>
      </x:c>
      <x:c r="F6379" s="2" t="str">
        <x:v>GDP (constant 2015 US$)</x:v>
      </x:c>
    </x:row>
    <x:row r="6380" ht="44" customHeight="1">
      <x:c r="A6380" s="2" t="str">
        <x:v>URY</x:v>
      </x:c>
      <x:c r="B6380" s="2" t="str">
        <x:v>gdp_growth</x:v>
      </x:c>
      <x:c r="C6380" s="2" t="n">
        <x:v>1.78471117082752</x:v>
      </x:c>
      <x:c r="D6380" s="2" t="n">
        <x:v>2025</x:v>
      </x:c>
      <x:c r="E6380" s="2" t="str">
        <x:v>WB_gdp_growth</x:v>
      </x:c>
      <x:c r="F6380" s="2" t="str">
        <x:v>GDP growth (annual %)</x:v>
      </x:c>
    </x:row>
    <x:row r="6381" ht="44" customHeight="1">
      <x:c r="A6381" s="2" t="str">
        <x:v>URY</x:v>
      </x:c>
      <x:c r="B6381" s="2" t="str">
        <x:v>real_income</x:v>
      </x:c>
      <x:c r="C6381" s="2" t="n">
        <x:v>19374.5158425622</x:v>
      </x:c>
      <x:c r="D6381" s="2" t="n">
        <x:v>2025</x:v>
      </x:c>
      <x:c r="E6381" s="2" t="str">
        <x:v>WB_real_income</x:v>
      </x:c>
      <x:c r="F6381" s="2" t="str">
        <x:v>GDP per capita (constant 2015 US$)</x:v>
      </x:c>
    </x:row>
    <x:row r="6382" ht="44" customHeight="1">
      <x:c r="A6382" s="2" t="str">
        <x:v>URY</x:v>
      </x:c>
      <x:c r="B6382" s="2" t="str">
        <x:v>agriculture_gdp</x:v>
      </x:c>
      <x:c r="C6382" s="2" t="n">
        <x:v>6.3800077320062</x:v>
      </x:c>
      <x:c r="D6382" s="2" t="n">
        <x:v>2025</x:v>
      </x:c>
      <x:c r="E6382" s="2" t="str">
        <x:v>WB_agriculture_gdp</x:v>
      </x:c>
      <x:c r="F6382" s="2" t="str">
        <x:v>Agriculture, forestry, and fishing, value added (% of GDP)</x:v>
      </x:c>
    </x:row>
    <x:row r="6383" ht="44" customHeight="1">
      <x:c r="A6383" s="2" t="str">
        <x:v>URY</x:v>
      </x:c>
      <x:c r="B6383" s="2" t="str">
        <x:v>poverty</x:v>
      </x:c>
      <x:c r="C6383" s="2" t="n">
        <x:v>0.2</x:v>
      </x:c>
      <x:c r="D6383" s="2" t="n">
        <x:v>2024</x:v>
      </x:c>
      <x:c r="E6383" s="2" t="str">
        <x:v>WB_poverty</x:v>
      </x:c>
      <x:c r="F6383" s="2" t="str">
        <x:v>Poverty headcount ratio at $3.00 a day (2021 PPP) (% of population)</x:v>
      </x:c>
    </x:row>
    <x:row r="6384" ht="44" customHeight="1">
      <x:c r="A6384" s="2" t="str">
        <x:v>URY</x:v>
      </x:c>
      <x:c r="B6384" s="2" t="str">
        <x:v>gini</x:v>
      </x:c>
      <x:c r="C6384" s="2" t="n">
        <x:v>40</x:v>
      </x:c>
      <x:c r="D6384" s="2" t="n">
        <x:v>2024</x:v>
      </x:c>
      <x:c r="E6384" s="2" t="str">
        <x:v>WB_gini</x:v>
      </x:c>
      <x:c r="F6384" s="2" t="str">
        <x:v>Gini index</x:v>
      </x:c>
    </x:row>
    <x:row r="6385" ht="44" customHeight="1">
      <x:c r="A6385" s="2" t="str">
        <x:v>URY</x:v>
      </x:c>
      <x:c r="B6385" s="2" t="str">
        <x:v>unemployment</x:v>
      </x:c>
      <x:c r="C6385" s="2" t="n">
        <x:v>7.516</x:v>
      </x:c>
      <x:c r="D6385" s="2" t="n">
        <x:v>2025</x:v>
      </x:c>
      <x:c r="E6385" s="2" t="str">
        <x:v>WB_unemployment</x:v>
      </x:c>
      <x:c r="F6385" s="2" t="str">
        <x:v>Unemployment, total (% of total labor force) (modeled ILO estimate)</x:v>
      </x:c>
    </x:row>
    <x:row r="6386" ht="44" customHeight="1">
      <x:c r="A6386" s="2" t="str">
        <x:v>URY</x:v>
      </x:c>
      <x:c r="B6386" s="2" t="str">
        <x:v>private_credit</x:v>
      </x:c>
      <x:c r="C6386" s="2" t="n">
        <x:v>30.7576062622997</x:v>
      </x:c>
      <x:c r="D6386" s="2" t="n">
        <x:v>2025</x:v>
      </x:c>
      <x:c r="E6386" s="2" t="str">
        <x:v>WB_private_credit</x:v>
      </x:c>
      <x:c r="F6386" s="2" t="str">
        <x:v>Domestic credit to private sector (% of GDP)</x:v>
      </x:c>
    </x:row>
    <x:row r="6387" ht="44" customHeight="1">
      <x:c r="A6387" s="2" t="str">
        <x:v>URY</x:v>
      </x:c>
      <x:c r="B6387" s="2" t="str">
        <x:v>lending_rate</x:v>
      </x:c>
      <x:c r="C6387" s="2" t="n">
        <x:v>10.0619986594372</x:v>
      </x:c>
      <x:c r="D6387" s="2" t="n">
        <x:v>2025</x:v>
      </x:c>
      <x:c r="E6387" s="2" t="str">
        <x:v>WB_lending_rate</x:v>
      </x:c>
      <x:c r="F6387" s="2" t="str">
        <x:v>Lending interest rate (%)</x:v>
      </x:c>
    </x:row>
    <x:row r="6388" ht="44" customHeight="1">
      <x:c r="A6388" s="2" t="str">
        <x:v>URY</x:v>
      </x:c>
      <x:c r="B6388" s="2" t="str">
        <x:v>real_interest</x:v>
      </x:c>
      <x:c r="C6388" s="2" t="n">
        <x:v>5.4909850919097</x:v>
      </x:c>
      <x:c r="D6388" s="2" t="n">
        <x:v>2025</x:v>
      </x:c>
      <x:c r="E6388" s="2" t="str">
        <x:v>WB_real_interest</x:v>
      </x:c>
      <x:c r="F6388" s="2" t="str">
        <x:v>Real interest rate (%)</x:v>
      </x:c>
    </x:row>
    <x:row r="6389" ht="44" customHeight="1">
      <x:c r="A6389" s="2" t="str">
        <x:v>URY</x:v>
      </x:c>
      <x:c r="B6389" s="2" t="str">
        <x:v>government_debt</x:v>
      </x:c>
      <x:c r="C6389" s="2" t="n">
        <x:v>65.3068312327003</x:v>
      </x:c>
      <x:c r="D6389" s="2" t="n">
        <x:v>2024</x:v>
      </x:c>
      <x:c r="E6389" s="2" t="str">
        <x:v>WB_government_debt</x:v>
      </x:c>
      <x:c r="F6389" s="2" t="str">
        <x:v>Central government debt, total (% of GDP)</x:v>
      </x:c>
    </x:row>
    <x:row r="6390" ht="44" customHeight="1">
      <x:c r="A6390" s="2" t="str">
        <x:v>URY</x:v>
      </x:c>
      <x:c r="B6390" s="2" t="str">
        <x:v>electricity_access</x:v>
      </x:c>
      <x:c r="C6390" s="2" t="n">
        <x:v>100</x:v>
      </x:c>
      <x:c r="D6390" s="2" t="n">
        <x:v>2024</x:v>
      </x:c>
      <x:c r="E6390" s="2" t="str">
        <x:v>WB_electricity_access</x:v>
      </x:c>
      <x:c r="F6390" s="2" t="str">
        <x:v>Access to electricity (% of population)</x:v>
      </x:c>
    </x:row>
    <x:row r="6391" ht="44" customHeight="1">
      <x:c r="A6391" s="2" t="str">
        <x:v>URY</x:v>
      </x:c>
      <x:c r="B6391" s="2" t="str">
        <x:v>irrigated_land</x:v>
      </x:c>
      <x:c r="C6391" s="2" t="n">
        <x:v>1.57144065168983</x:v>
      </x:c>
      <x:c r="D6391" s="2" t="n">
        <x:v>2018</x:v>
      </x:c>
      <x:c r="E6391" s="2" t="str">
        <x:v>WB_irrigated_land</x:v>
      </x:c>
      <x:c r="F6391" s="2" t="str">
        <x:v>Agricultural irrigated land (% of total agricultural land)</x:v>
      </x:c>
    </x:row>
    <x:row r="6392" ht="44" customHeight="1">
      <x:c r="A6392" s="2" t="str">
        <x:v>URY</x:v>
      </x:c>
      <x:c r="B6392" s="2" t="str">
        <x:v>cereal_area</x:v>
      </x:c>
      <x:c r="C6392" s="2" t="n">
        <x:v>813974</x:v>
      </x:c>
      <x:c r="D6392" s="2" t="n">
        <x:v>2024</x:v>
      </x:c>
      <x:c r="E6392" s="2" t="str">
        <x:v>WB_cereal_area</x:v>
      </x:c>
      <x:c r="F6392" s="2" t="str">
        <x:v>Land under cereal production (hectares)</x:v>
      </x:c>
    </x:row>
    <x:row r="6393" ht="44" customHeight="1">
      <x:c r="A6393" s="2" t="str">
        <x:v>URY</x:v>
      </x:c>
      <x:c r="B6393" s="2" t="str">
        <x:v>undernourishment</x:v>
      </x:c>
      <x:c r="C6393" s="2" t="n">
        <x:v>2.5</x:v>
      </x:c>
      <x:c r="D6393" s="2" t="n">
        <x:v>2023</x:v>
      </x:c>
      <x:c r="E6393" s="2" t="str">
        <x:v>WB_undernourishment</x:v>
      </x:c>
      <x:c r="F6393" s="2" t="str">
        <x:v>Prevalence of undernourishment (% of population)</x:v>
      </x:c>
    </x:row>
    <x:row r="6394" ht="44" customHeight="1">
      <x:c r="A6394" s="2" t="str">
        <x:v>URY</x:v>
      </x:c>
      <x:c r="B6394" s="2" t="str">
        <x:v>agriculture_employment</x:v>
      </x:c>
      <x:c r="C6394" s="2" t="n">
        <x:v>8.07077350824949</x:v>
      </x:c>
      <x:c r="D6394" s="2" t="n">
        <x:v>2025</x:v>
      </x:c>
      <x:c r="E6394" s="2" t="str">
        <x:v>WB_agriculture_employment</x:v>
      </x:c>
      <x:c r="F6394" s="2" t="str">
        <x:v>Employment in agriculture (% of total employment) (modeled ILO estimate)</x:v>
      </x:c>
    </x:row>
    <x:row r="6395" ht="44" customHeight="1">
      <x:c r="A6395" s="2" t="str">
        <x:v>URY</x:v>
      </x:c>
      <x:c r="B6395" s="2" t="str">
        <x:v>water_withdrawal</x:v>
      </x:c>
      <x:c r="C6395" s="2" t="n">
        <x:v>4.88877806399132</x:v>
      </x:c>
      <x:c r="D6395" s="2" t="n">
        <x:v>2022</x:v>
      </x:c>
      <x:c r="E6395" s="2" t="str">
        <x:v>WB_water_withdrawal</x:v>
      </x:c>
      <x:c r="F6395" s="2" t="str">
        <x:v>Annual freshwater withdrawals, total (% of internal resources)</x:v>
      </x:c>
    </x:row>
    <x:row r="6396" ht="44" customHeight="1">
      <x:c r="A6396" s="2" t="str">
        <x:v>UZB</x:v>
      </x:c>
      <x:c r="B6396" s="2" t="str">
        <x:v>population</x:v>
      </x:c>
      <x:c r="C6396" s="2" t="n">
        <x:v>37053428</x:v>
      </x:c>
      <x:c r="D6396" s="2" t="n">
        <x:v>2025</x:v>
      </x:c>
      <x:c r="E6396" s="2" t="str">
        <x:v>WB_population</x:v>
      </x:c>
      <x:c r="F6396" s="2" t="str">
        <x:v>Population, total</x:v>
      </x:c>
    </x:row>
    <x:row r="6397" ht="44" customHeight="1">
      <x:c r="A6397" s="2" t="str">
        <x:v>UZB</x:v>
      </x:c>
      <x:c r="B6397" s="2" t="str">
        <x:v>income_ppp</x:v>
      </x:c>
      <x:c r="C6397" s="2" t="n">
        <x:v>11622.8556243531</x:v>
      </x:c>
      <x:c r="D6397" s="2" t="n">
        <x:v>2025</x:v>
      </x:c>
      <x:c r="E6397" s="2" t="str">
        <x:v>WB_income_ppp</x:v>
      </x:c>
      <x:c r="F6397" s="2" t="str">
        <x:v>GDP per capita, PPP (constant 2021 international $)</x:v>
      </x:c>
    </x:row>
    <x:row r="6398" ht="44" customHeight="1">
      <x:c r="A6398" s="2" t="str">
        <x:v>UZB</x:v>
      </x:c>
      <x:c r="B6398" s="2" t="str">
        <x:v>urban</x:v>
      </x:c>
      <x:c r="C6398" s="2" t="n">
        <x:v>51.0173495084299</x:v>
      </x:c>
      <x:c r="D6398" s="2" t="n">
        <x:v>2025</x:v>
      </x:c>
      <x:c r="E6398" s="2" t="str">
        <x:v>WB_urban</x:v>
      </x:c>
      <x:c r="F6398" s="2" t="str">
        <x:v>Urban population (% of total population)</x:v>
      </x:c>
    </x:row>
    <x:row r="6399" ht="44" customHeight="1">
      <x:c r="A6399" s="2" t="str">
        <x:v>UZB</x:v>
      </x:c>
      <x:c r="B6399" s="2" t="str">
        <x:v>inflation</x:v>
      </x:c>
      <x:c r="C6399" s="2" t="n">
        <x:v>8.79638847052461</x:v>
      </x:c>
      <x:c r="D6399" s="2" t="n">
        <x:v>2025</x:v>
      </x:c>
      <x:c r="E6399" s="2" t="str">
        <x:v>WB_inflation</x:v>
      </x:c>
      <x:c r="F6399" s="2" t="str">
        <x:v>Inflation, consumer prices (annual %)</x:v>
      </x:c>
    </x:row>
    <x:row r="6400" ht="44" customHeight="1">
      <x:c r="A6400" s="2" t="str">
        <x:v>UZB</x:v>
      </x:c>
      <x:c r="B6400" s="2" t="str">
        <x:v>food_index</x:v>
      </x:c>
      <x:c r="C6400" s="2" t="n">
        <x:v>114.43</x:v>
      </x:c>
      <x:c r="D6400" s="2" t="n">
        <x:v>2022</x:v>
      </x:c>
      <x:c r="E6400" s="2" t="str">
        <x:v>WB_food_index</x:v>
      </x:c>
      <x:c r="F6400" s="2" t="str">
        <x:v>Food production index (2014-2016 = 100)</x:v>
      </x:c>
    </x:row>
    <x:row r="6401" ht="44" customHeight="1">
      <x:c r="A6401" s="2" t="str">
        <x:v>UZB</x:v>
      </x:c>
      <x:c r="B6401" s="2" t="str">
        <x:v>food_import_share</x:v>
      </x:c>
      <x:c r="C6401" s="2" t="n">
        <x:v>12.4465276916948</x:v>
      </x:c>
      <x:c r="D6401" s="2" t="n">
        <x:v>2024</x:v>
      </x:c>
      <x:c r="E6401" s="2" t="str">
        <x:v>WB_food_import_share</x:v>
      </x:c>
      <x:c r="F6401" s="2" t="str">
        <x:v>Food imports (% of merchandise imports)</x:v>
      </x:c>
    </x:row>
    <x:row r="6402" ht="44" customHeight="1">
      <x:c r="A6402" s="2" t="str">
        <x:v>UZB</x:v>
      </x:c>
      <x:c r="B6402" s="2" t="str">
        <x:v>food_export_share</x:v>
      </x:c>
      <x:c r="C6402" s="2" t="n">
        <x:v>11.4325457008419</x:v>
      </x:c>
      <x:c r="D6402" s="2" t="n">
        <x:v>2024</x:v>
      </x:c>
      <x:c r="E6402" s="2" t="str">
        <x:v>WB_food_export_share</x:v>
      </x:c>
      <x:c r="F6402" s="2" t="str">
        <x:v>Food exports (% of merchandise exports)</x:v>
      </x:c>
    </x:row>
    <x:row r="6403" ht="44" customHeight="1">
      <x:c r="A6403" s="2" t="str">
        <x:v>UZB</x:v>
      </x:c>
      <x:c r="B6403" s="2" t="str">
        <x:v>imports_usd</x:v>
      </x:c>
      <x:c r="C6403" s="2" t="n">
        <x:v>41746000000</x:v>
      </x:c>
      <x:c r="D6403" s="2" t="n">
        <x:v>2025</x:v>
      </x:c>
      <x:c r="E6403" s="2" t="str">
        <x:v>WB_imports_usd</x:v>
      </x:c>
      <x:c r="F6403" s="2" t="str">
        <x:v>Merchandise imports (current US$)</x:v>
      </x:c>
    </x:row>
    <x:row r="6404" ht="44" customHeight="1">
      <x:c r="A6404" s="2" t="str">
        <x:v>UZB</x:v>
      </x:c>
      <x:c r="B6404" s="2" t="str">
        <x:v>exports_usd</x:v>
      </x:c>
      <x:c r="C6404" s="2" t="n">
        <x:v>23654000000</x:v>
      </x:c>
      <x:c r="D6404" s="2" t="n">
        <x:v>2025</x:v>
      </x:c>
      <x:c r="E6404" s="2" t="str">
        <x:v>WB_exports_usd</x:v>
      </x:c>
      <x:c r="F6404" s="2" t="str">
        <x:v>Merchandise exports (current US$)</x:v>
      </x:c>
    </x:row>
    <x:row r="6405" ht="44" customHeight="1">
      <x:c r="A6405" s="2" t="str">
        <x:v>UZB</x:v>
      </x:c>
      <x:c r="B6405" s="2" t="str">
        <x:v>cereal_yield</x:v>
      </x:c>
      <x:c r="C6405" s="2" t="n">
        <x:v>5343.6</x:v>
      </x:c>
      <x:c r="D6405" s="2" t="n">
        <x:v>2023</x:v>
      </x:c>
      <x:c r="E6405" s="2" t="str">
        <x:v>WB_cereal_yield</x:v>
      </x:c>
      <x:c r="F6405" s="2" t="str">
        <x:v>Cereal yield (kg per hectare)</x:v>
      </x:c>
    </x:row>
    <x:row r="6406" ht="44" customHeight="1">
      <x:c r="A6406" s="2" t="str">
        <x:v>UZB</x:v>
      </x:c>
      <x:c r="B6406" s="2" t="str">
        <x:v>water_stress</x:v>
      </x:c>
      <x:c r="C6406" s="2" t="n">
        <x:v>123.0283912</x:v>
      </x:c>
      <x:c r="D6406" s="2" t="n">
        <x:v>2022</x:v>
      </x:c>
      <x:c r="E6406" s="2" t="str">
        <x:v>WB_water_stress</x:v>
      </x:c>
      <x:c r="F6406" s="2" t="str">
        <x:v>Level of water stress: freshwater withdrawal as a proportion of available freshwater resources</x:v>
      </x:c>
    </x:row>
    <x:row r="6407" ht="44" customHeight="1">
      <x:c r="A6407" s="2" t="str">
        <x:v>UZB</x:v>
      </x:c>
      <x:c r="B6407" s="2" t="str">
        <x:v>fertility</x:v>
      </x:c>
      <x:c r="C6407" s="2" t="n">
        <x:v>3.486</x:v>
      </x:c>
      <x:c r="D6407" s="2" t="n">
        <x:v>2024</x:v>
      </x:c>
      <x:c r="E6407" s="2" t="str">
        <x:v>WB_fertility</x:v>
      </x:c>
      <x:c r="F6407" s="2" t="str">
        <x:v>Fertility rate, total (births per woman)</x:v>
      </x:c>
    </x:row>
    <x:row r="6408" ht="44" customHeight="1">
      <x:c r="A6408" s="2" t="str">
        <x:v>UZB</x:v>
      </x:c>
      <x:c r="B6408" s="2" t="str">
        <x:v>life_expectancy</x:v>
      </x:c>
      <x:c r="C6408" s="2" t="n">
        <x:v>72.528</x:v>
      </x:c>
      <x:c r="D6408" s="2" t="n">
        <x:v>2024</x:v>
      </x:c>
      <x:c r="E6408" s="2" t="str">
        <x:v>WB_life_expectancy</x:v>
      </x:c>
      <x:c r="F6408" s="2" t="str">
        <x:v>Life expectancy at birth, total (years)</x:v>
      </x:c>
    </x:row>
    <x:row r="6409" ht="44" customHeight="1">
      <x:c r="A6409" s="2" t="str">
        <x:v>UZB</x:v>
      </x:c>
      <x:c r="B6409" s="2" t="str">
        <x:v>age_under15</x:v>
      </x:c>
      <x:c r="C6409" s="2" t="n">
        <x:v>31.2904692650839</x:v>
      </x:c>
      <x:c r="D6409" s="2" t="n">
        <x:v>2025</x:v>
      </x:c>
      <x:c r="E6409" s="2" t="str">
        <x:v>WB_age_under15</x:v>
      </x:c>
      <x:c r="F6409" s="2" t="str">
        <x:v>Population ages 0-14 (% of total population)</x:v>
      </x:c>
    </x:row>
    <x:row r="6410" ht="44" customHeight="1">
      <x:c r="A6410" s="2" t="str">
        <x:v>UZB</x:v>
      </x:c>
      <x:c r="B6410" s="2" t="str">
        <x:v>age_over65</x:v>
      </x:c>
      <x:c r="C6410" s="2" t="n">
        <x:v>6.06931428854572</x:v>
      </x:c>
      <x:c r="D6410" s="2" t="n">
        <x:v>2025</x:v>
      </x:c>
      <x:c r="E6410" s="2" t="str">
        <x:v>WB_age_over65</x:v>
      </x:c>
      <x:c r="F6410" s="2" t="str">
        <x:v>Population ages 65 and above (% of total population)</x:v>
      </x:c>
    </x:row>
    <x:row r="6411" ht="44" customHeight="1">
      <x:c r="A6411" s="2" t="str">
        <x:v>UZB</x:v>
      </x:c>
      <x:c r="B6411" s="2" t="str">
        <x:v>dependency_ratio</x:v>
      </x:c>
      <x:c r="C6411" s="2" t="n">
        <x:v>59.6418459559503</x:v>
      </x:c>
      <x:c r="D6411" s="2" t="n">
        <x:v>2025</x:v>
      </x:c>
      <x:c r="E6411" s="2" t="str">
        <x:v>WB_dependency_ratio</x:v>
      </x:c>
      <x:c r="F6411" s="2" t="str">
        <x:v>Age dependency ratio (% of working-age population)</x:v>
      </x:c>
    </x:row>
    <x:row r="6412" ht="44" customHeight="1">
      <x:c r="A6412" s="2" t="str">
        <x:v>UZB</x:v>
      </x:c>
      <x:c r="B6412" s="2" t="str">
        <x:v>net_migration</x:v>
      </x:c>
      <x:c r="C6412" s="2" t="n">
        <x:v>-6987</x:v>
      </x:c>
      <x:c r="D6412" s="2" t="n">
        <x:v>2025</x:v>
      </x:c>
      <x:c r="E6412" s="2" t="str">
        <x:v>WB_net_migration</x:v>
      </x:c>
      <x:c r="F6412" s="2" t="str">
        <x:v>Net migration</x:v>
      </x:c>
    </x:row>
    <x:row r="6413" ht="44" customHeight="1">
      <x:c r="A6413" s="2" t="str">
        <x:v>UZB</x:v>
      </x:c>
      <x:c r="B6413" s="2" t="str">
        <x:v>real_gdp</x:v>
      </x:c>
      <x:c r="C6413" s="2" t="n">
        <x:v>175361956576.381</x:v>
      </x:c>
      <x:c r="D6413" s="2" t="n">
        <x:v>2025</x:v>
      </x:c>
      <x:c r="E6413" s="2" t="str">
        <x:v>WB_real_gdp</x:v>
      </x:c>
      <x:c r="F6413" s="2" t="str">
        <x:v>GDP (constant 2015 US$)</x:v>
      </x:c>
    </x:row>
    <x:row r="6414" ht="44" customHeight="1">
      <x:c r="A6414" s="2" t="str">
        <x:v>UZB</x:v>
      </x:c>
      <x:c r="B6414" s="2" t="str">
        <x:v>gdp_growth</x:v>
      </x:c>
      <x:c r="C6414" s="2" t="n">
        <x:v>7.69962477932913</x:v>
      </x:c>
      <x:c r="D6414" s="2" t="n">
        <x:v>2025</x:v>
      </x:c>
      <x:c r="E6414" s="2" t="str">
        <x:v>WB_gdp_growth</x:v>
      </x:c>
      <x:c r="F6414" s="2" t="str">
        <x:v>GDP growth (annual %)</x:v>
      </x:c>
    </x:row>
    <x:row r="6415" ht="44" customHeight="1">
      <x:c r="A6415" s="2" t="str">
        <x:v>UZB</x:v>
      </x:c>
      <x:c r="B6415" s="2" t="str">
        <x:v>real_income</x:v>
      </x:c>
      <x:c r="C6415" s="2" t="n">
        <x:v>4732.67835236137</x:v>
      </x:c>
      <x:c r="D6415" s="2" t="n">
        <x:v>2025</x:v>
      </x:c>
      <x:c r="E6415" s="2" t="str">
        <x:v>WB_real_income</x:v>
      </x:c>
      <x:c r="F6415" s="2" t="str">
        <x:v>GDP per capita (constant 2015 US$)</x:v>
      </x:c>
    </x:row>
    <x:row r="6416" ht="44" customHeight="1">
      <x:c r="A6416" s="2" t="str">
        <x:v>UZB</x:v>
      </x:c>
      <x:c r="B6416" s="2" t="str">
        <x:v>agriculture_gdp</x:v>
      </x:c>
      <x:c r="C6416" s="2" t="n">
        <x:v>16.5595763193311</x:v>
      </x:c>
      <x:c r="D6416" s="2" t="n">
        <x:v>2025</x:v>
      </x:c>
      <x:c r="E6416" s="2" t="str">
        <x:v>WB_agriculture_gdp</x:v>
      </x:c>
      <x:c r="F6416" s="2" t="str">
        <x:v>Agriculture, forestry, and fishing, value added (% of GDP)</x:v>
      </x:c>
    </x:row>
    <x:row r="6417" ht="44" customHeight="1">
      <x:c r="A6417" s="2" t="str">
        <x:v>UZB</x:v>
      </x:c>
      <x:c r="B6417" s="2" t="str">
        <x:v>poverty</x:v>
      </x:c>
      <x:c r="C6417" s="2" t="n">
        <x:v>2.3</x:v>
      </x:c>
      <x:c r="D6417" s="2" t="n">
        <x:v>2025</x:v>
      </x:c>
      <x:c r="E6417" s="2" t="str">
        <x:v>WB_poverty</x:v>
      </x:c>
      <x:c r="F6417" s="2" t="str">
        <x:v>Poverty headcount ratio at $3.00 a day (2021 PPP) (% of population)</x:v>
      </x:c>
    </x:row>
    <x:row r="6418" ht="44" customHeight="1">
      <x:c r="A6418" s="2" t="str">
        <x:v>UZB</x:v>
      </x:c>
      <x:c r="B6418" s="2" t="str">
        <x:v>gini</x:v>
      </x:c>
      <x:c r="C6418" s="2" t="n">
        <x:v>32.7</x:v>
      </x:c>
      <x:c r="D6418" s="2" t="n">
        <x:v>2025</x:v>
      </x:c>
      <x:c r="E6418" s="2" t="str">
        <x:v>WB_gini</x:v>
      </x:c>
      <x:c r="F6418" s="2" t="str">
        <x:v>Gini index</x:v>
      </x:c>
    </x:row>
    <x:row r="6419" ht="44" customHeight="1">
      <x:c r="A6419" s="2" t="str">
        <x:v>UZB</x:v>
      </x:c>
      <x:c r="B6419" s="2" t="str">
        <x:v>unemployment</x:v>
      </x:c>
      <x:c r="C6419" s="2" t="n">
        <x:v>4.622</x:v>
      </x:c>
      <x:c r="D6419" s="2" t="n">
        <x:v>2025</x:v>
      </x:c>
      <x:c r="E6419" s="2" t="str">
        <x:v>WB_unemployment</x:v>
      </x:c>
      <x:c r="F6419" s="2" t="str">
        <x:v>Unemployment, total (% of total labor force) (modeled ILO estimate)</x:v>
      </x:c>
    </x:row>
    <x:row r="6420" ht="44" customHeight="1">
      <x:c r="A6420" s="2" t="str">
        <x:v>UZB</x:v>
      </x:c>
      <x:c r="B6420" s="2" t="str">
        <x:v>private_credit</x:v>
      </x:c>
      <x:c r="C6420" s="2" t="n">
        <x:v>31.2090160739317</x:v>
      </x:c>
      <x:c r="D6420" s="2" t="n">
        <x:v>2025</x:v>
      </x:c>
      <x:c r="E6420" s="2" t="str">
        <x:v>WB_private_credit</x:v>
      </x:c>
      <x:c r="F6420" s="2" t="str">
        <x:v>Domestic credit to private sector (% of GDP)</x:v>
      </x:c>
    </x:row>
    <x:row r="6421" ht="44" customHeight="1">
      <x:c r="A6421" s="2" t="str">
        <x:v>UZB</x:v>
      </x:c>
      <x:c r="B6421" s="2" t="str">
        <x:v>lending_rate</x:v>
      </x:c>
      <x:c r="C6421" s="2" t="n">
        <x:v>23.1339383845928</x:v>
      </x:c>
      <x:c r="D6421" s="2" t="n">
        <x:v>2024</x:v>
      </x:c>
      <x:c r="E6421" s="2" t="str">
        <x:v>WB_lending_rate</x:v>
      </x:c>
      <x:c r="F6421" s="2" t="str">
        <x:v>Lending interest rate (%)</x:v>
      </x:c>
    </x:row>
    <x:row r="6422" ht="44" customHeight="1">
      <x:c r="A6422" s="2" t="str">
        <x:v>UZB</x:v>
      </x:c>
      <x:c r="B6422" s="2" t="str">
        <x:v>real_interest</x:v>
      </x:c>
      <x:c r="C6422" s="2" t="n">
        <x:v>7.94619590257576</x:v>
      </x:c>
      <x:c r="D6422" s="2" t="n">
        <x:v>2024</x:v>
      </x:c>
      <x:c r="E6422" s="2" t="str">
        <x:v>WB_real_interest</x:v>
      </x:c>
      <x:c r="F6422" s="2" t="str">
        <x:v>Real interest rate (%)</x:v>
      </x:c>
    </x:row>
    <x:row r="6423" ht="44" customHeight="1">
      <x:c r="A6423" s="2" t="str">
        <x:v>UZB</x:v>
      </x:c>
      <x:c r="B6423" s="2" t="str">
        <x:v>government_debt</x:v>
      </x:c>
      <x:c r="C6423" s="2"/>
      <x:c r="D6423" s="2"/>
      <x:c r="E6423" s="2" t="str">
        <x:v>Missing</x:v>
      </x:c>
      <x:c r="F6423" s="2" t="str">
        <x:v>Central government debt, total (% of GDP)</x:v>
      </x:c>
    </x:row>
    <x:row r="6424" ht="44" customHeight="1">
      <x:c r="A6424" s="2" t="str">
        <x:v>UZB</x:v>
      </x:c>
      <x:c r="B6424" s="2" t="str">
        <x:v>electricity_access</x:v>
      </x:c>
      <x:c r="C6424" s="2" t="n">
        <x:v>100</x:v>
      </x:c>
      <x:c r="D6424" s="2" t="n">
        <x:v>2024</x:v>
      </x:c>
      <x:c r="E6424" s="2" t="str">
        <x:v>WB_electricity_access</x:v>
      </x:c>
      <x:c r="F6424" s="2" t="str">
        <x:v>Access to electricity (% of population)</x:v>
      </x:c>
    </x:row>
    <x:row r="6425" ht="44" customHeight="1">
      <x:c r="A6425" s="2" t="str">
        <x:v>UZB</x:v>
      </x:c>
      <x:c r="B6425" s="2" t="str">
        <x:v>irrigated_land</x:v>
      </x:c>
      <x:c r="C6425" s="2" t="n">
        <x:v>14.5825189586428</x:v>
      </x:c>
      <x:c r="D6425" s="2" t="n">
        <x:v>2023</x:v>
      </x:c>
      <x:c r="E6425" s="2" t="str">
        <x:v>WB_irrigated_land</x:v>
      </x:c>
      <x:c r="F6425" s="2" t="str">
        <x:v>Agricultural irrigated land (% of total agricultural land)</x:v>
      </x:c>
    </x:row>
    <x:row r="6426" ht="44" customHeight="1">
      <x:c r="A6426" s="2" t="str">
        <x:v>UZB</x:v>
      </x:c>
      <x:c r="B6426" s="2" t="str">
        <x:v>cereal_area</x:v>
      </x:c>
      <x:c r="C6426" s="2" t="n">
        <x:v>1480604</x:v>
      </x:c>
      <x:c r="D6426" s="2" t="n">
        <x:v>2023</x:v>
      </x:c>
      <x:c r="E6426" s="2" t="str">
        <x:v>WB_cereal_area</x:v>
      </x:c>
      <x:c r="F6426" s="2" t="str">
        <x:v>Land under cereal production (hectares)</x:v>
      </x:c>
    </x:row>
    <x:row r="6427" ht="44" customHeight="1">
      <x:c r="A6427" s="2" t="str">
        <x:v>UZB</x:v>
      </x:c>
      <x:c r="B6427" s="2" t="str">
        <x:v>undernourishment</x:v>
      </x:c>
      <x:c r="C6427" s="2" t="n">
        <x:v>2.5</x:v>
      </x:c>
      <x:c r="D6427" s="2" t="n">
        <x:v>2023</x:v>
      </x:c>
      <x:c r="E6427" s="2" t="str">
        <x:v>WB_undernourishment</x:v>
      </x:c>
      <x:c r="F6427" s="2" t="str">
        <x:v>Prevalence of undernourishment (% of population)</x:v>
      </x:c>
    </x:row>
    <x:row r="6428" ht="44" customHeight="1">
      <x:c r="A6428" s="2" t="str">
        <x:v>UZB</x:v>
      </x:c>
      <x:c r="B6428" s="2" t="str">
        <x:v>agriculture_employment</x:v>
      </x:c>
      <x:c r="C6428" s="2" t="n">
        <x:v>25.1978529929594</x:v>
      </x:c>
      <x:c r="D6428" s="2" t="n">
        <x:v>2025</x:v>
      </x:c>
      <x:c r="E6428" s="2" t="str">
        <x:v>WB_agriculture_employment</x:v>
      </x:c>
      <x:c r="F6428" s="2" t="str">
        <x:v>Employment in agriculture (% of total employment) (modeled ILO estimate)</x:v>
      </x:c>
    </x:row>
    <x:row r="6429" ht="44" customHeight="1">
      <x:c r="A6429" s="2" t="str">
        <x:v>UZB</x:v>
      </x:c>
      <x:c r="B6429" s="2" t="str">
        <x:v>water_withdrawal</x:v>
      </x:c>
      <x:c r="C6429" s="2" t="n">
        <x:v>262.545899632803</x:v>
      </x:c>
      <x:c r="D6429" s="2" t="n">
        <x:v>2022</x:v>
      </x:c>
      <x:c r="E6429" s="2" t="str">
        <x:v>WB_water_withdrawal</x:v>
      </x:c>
      <x:c r="F6429" s="2" t="str">
        <x:v>Annual freshwater withdrawals, total (% of internal resources)</x:v>
      </x:c>
    </x:row>
    <x:row r="6430" ht="44" customHeight="1">
      <x:c r="A6430" s="2" t="str">
        <x:v>VUT</x:v>
      </x:c>
      <x:c r="B6430" s="2" t="str">
        <x:v>population</x:v>
      </x:c>
      <x:c r="C6430" s="2" t="n">
        <x:v>335169</x:v>
      </x:c>
      <x:c r="D6430" s="2" t="n">
        <x:v>2025</x:v>
      </x:c>
      <x:c r="E6430" s="2" t="str">
        <x:v>WB_population</x:v>
      </x:c>
      <x:c r="F6430" s="2" t="str">
        <x:v>Population, total</x:v>
      </x:c>
    </x:row>
    <x:row r="6431" ht="44" customHeight="1">
      <x:c r="A6431" s="2" t="str">
        <x:v>VUT</x:v>
      </x:c>
      <x:c r="B6431" s="2" t="str">
        <x:v>income_ppp</x:v>
      </x:c>
      <x:c r="C6431" s="2" t="n">
        <x:v>3866.99814901674</x:v>
      </x:c>
      <x:c r="D6431" s="2" t="n">
        <x:v>2025</x:v>
      </x:c>
      <x:c r="E6431" s="2" t="str">
        <x:v>WB_income_ppp</x:v>
      </x:c>
      <x:c r="F6431" s="2" t="str">
        <x:v>GDP per capita, PPP (constant 2021 international $)</x:v>
      </x:c>
    </x:row>
    <x:row r="6432" ht="44" customHeight="1">
      <x:c r="A6432" s="2" t="str">
        <x:v>VUT</x:v>
      </x:c>
      <x:c r="B6432" s="2" t="str">
        <x:v>urban</x:v>
      </x:c>
      <x:c r="C6432" s="2" t="n">
        <x:v>22.3219888836722</x:v>
      </x:c>
      <x:c r="D6432" s="2" t="n">
        <x:v>2025</x:v>
      </x:c>
      <x:c r="E6432" s="2" t="str">
        <x:v>WB_urban</x:v>
      </x:c>
      <x:c r="F6432" s="2" t="str">
        <x:v>Urban population (% of total population)</x:v>
      </x:c>
    </x:row>
    <x:row r="6433" ht="44" customHeight="1">
      <x:c r="A6433" s="2" t="str">
        <x:v>VUT</x:v>
      </x:c>
      <x:c r="B6433" s="2" t="str">
        <x:v>inflation</x:v>
      </x:c>
      <x:c r="C6433" s="2" t="n">
        <x:v>0.656455142231905</x:v>
      </x:c>
      <x:c r="D6433" s="2" t="n">
        <x:v>2025</x:v>
      </x:c>
      <x:c r="E6433" s="2" t="str">
        <x:v>WB_inflation</x:v>
      </x:c>
      <x:c r="F6433" s="2" t="str">
        <x:v>Inflation, consumer prices (annual %)</x:v>
      </x:c>
    </x:row>
    <x:row r="6434" ht="44" customHeight="1">
      <x:c r="A6434" s="2" t="str">
        <x:v>VUT</x:v>
      </x:c>
      <x:c r="B6434" s="2" t="str">
        <x:v>food_index</x:v>
      </x:c>
      <x:c r="C6434" s="2" t="n">
        <x:v>82.96</x:v>
      </x:c>
      <x:c r="D6434" s="2" t="n">
        <x:v>2022</x:v>
      </x:c>
      <x:c r="E6434" s="2" t="str">
        <x:v>WB_food_index</x:v>
      </x:c>
      <x:c r="F6434" s="2" t="str">
        <x:v>Food production index (2014-2016 = 100)</x:v>
      </x:c>
    </x:row>
    <x:row r="6435" ht="44" customHeight="1">
      <x:c r="A6435" s="2" t="str">
        <x:v>VUT</x:v>
      </x:c>
      <x:c r="B6435" s="2" t="str">
        <x:v>food_import_share</x:v>
      </x:c>
      <x:c r="C6435" s="2" t="n">
        <x:v>24.9641300838347</x:v>
      </x:c>
      <x:c r="D6435" s="2" t="n">
        <x:v>2011</x:v>
      </x:c>
      <x:c r="E6435" s="2" t="str">
        <x:v>WB_food_import_share</x:v>
      </x:c>
      <x:c r="F6435" s="2" t="str">
        <x:v>Food imports (% of merchandise imports)</x:v>
      </x:c>
    </x:row>
    <x:row r="6436" ht="44" customHeight="1">
      <x:c r="A6436" s="2" t="str">
        <x:v>VUT</x:v>
      </x:c>
      <x:c r="B6436" s="2" t="str">
        <x:v>food_export_share</x:v>
      </x:c>
      <x:c r="C6436" s="2" t="n">
        <x:v>85.3184324760241</x:v>
      </x:c>
      <x:c r="D6436" s="2" t="n">
        <x:v>2011</x:v>
      </x:c>
      <x:c r="E6436" s="2" t="str">
        <x:v>WB_food_export_share</x:v>
      </x:c>
      <x:c r="F6436" s="2" t="str">
        <x:v>Food exports (% of merchandise exports)</x:v>
      </x:c>
    </x:row>
    <x:row r="6437" ht="44" customHeight="1">
      <x:c r="A6437" s="2" t="str">
        <x:v>VUT</x:v>
      </x:c>
      <x:c r="B6437" s="2" t="str">
        <x:v>imports_usd</x:v>
      </x:c>
      <x:c r="C6437" s="2" t="n">
        <x:v>515000000</x:v>
      </x:c>
      <x:c r="D6437" s="2" t="n">
        <x:v>2025</x:v>
      </x:c>
      <x:c r="E6437" s="2" t="str">
        <x:v>WB_imports_usd</x:v>
      </x:c>
      <x:c r="F6437" s="2" t="str">
        <x:v>Merchandise imports (current US$)</x:v>
      </x:c>
    </x:row>
    <x:row r="6438" ht="44" customHeight="1">
      <x:c r="A6438" s="2" t="str">
        <x:v>VUT</x:v>
      </x:c>
      <x:c r="B6438" s="2" t="str">
        <x:v>exports_usd</x:v>
      </x:c>
      <x:c r="C6438" s="2" t="n">
        <x:v>78000000</x:v>
      </x:c>
      <x:c r="D6438" s="2" t="n">
        <x:v>2025</x:v>
      </x:c>
      <x:c r="E6438" s="2" t="str">
        <x:v>WB_exports_usd</x:v>
      </x:c>
      <x:c r="F6438" s="2" t="str">
        <x:v>Merchandise exports (current US$)</x:v>
      </x:c>
    </x:row>
    <x:row r="6439" ht="44" customHeight="1">
      <x:c r="A6439" s="2" t="str">
        <x:v>VUT</x:v>
      </x:c>
      <x:c r="B6439" s="2" t="str">
        <x:v>cereal_yield</x:v>
      </x:c>
      <x:c r="C6439" s="2" t="n">
        <x:v>636.2</x:v>
      </x:c>
      <x:c r="D6439" s="2" t="n">
        <x:v>2024</x:v>
      </x:c>
      <x:c r="E6439" s="2" t="str">
        <x:v>WB_cereal_yield</x:v>
      </x:c>
      <x:c r="F6439" s="2" t="str">
        <x:v>Cereal yield (kg per hectare)</x:v>
      </x:c>
    </x:row>
    <x:row r="6440" ht="44" customHeight="1">
      <x:c r="A6440" s="2" t="str">
        <x:v>VUT</x:v>
      </x:c>
      <x:c r="B6440" s="2" t="str">
        <x:v>water_stress</x:v>
      </x:c>
      <x:c r="C6440" s="2"/>
      <x:c r="D6440" s="2"/>
      <x:c r="E6440" s="2" t="str">
        <x:v>Missing</x:v>
      </x:c>
      <x:c r="F6440" s="2" t="str">
        <x:v>Level of water stress: freshwater withdrawal as a proportion of available freshwater resources</x:v>
      </x:c>
    </x:row>
    <x:row r="6441" ht="44" customHeight="1">
      <x:c r="A6441" s="2" t="str">
        <x:v>VUT</x:v>
      </x:c>
      <x:c r="B6441" s="2" t="str">
        <x:v>fertility</x:v>
      </x:c>
      <x:c r="C6441" s="2" t="n">
        <x:v>3.569</x:v>
      </x:c>
      <x:c r="D6441" s="2" t="n">
        <x:v>2024</x:v>
      </x:c>
      <x:c r="E6441" s="2" t="str">
        <x:v>WB_fertility</x:v>
      </x:c>
      <x:c r="F6441" s="2" t="str">
        <x:v>Fertility rate, total (births per woman)</x:v>
      </x:c>
    </x:row>
    <x:row r="6442" ht="44" customHeight="1">
      <x:c r="A6442" s="2" t="str">
        <x:v>VUT</x:v>
      </x:c>
      <x:c r="B6442" s="2" t="str">
        <x:v>life_expectancy</x:v>
      </x:c>
      <x:c r="C6442" s="2" t="n">
        <x:v>71.654</x:v>
      </x:c>
      <x:c r="D6442" s="2" t="n">
        <x:v>2024</x:v>
      </x:c>
      <x:c r="E6442" s="2" t="str">
        <x:v>WB_life_expectancy</x:v>
      </x:c>
      <x:c r="F6442" s="2" t="str">
        <x:v>Life expectancy at birth, total (years)</x:v>
      </x:c>
    </x:row>
    <x:row r="6443" ht="44" customHeight="1">
      <x:c r="A6443" s="2" t="str">
        <x:v>VUT</x:v>
      </x:c>
      <x:c r="B6443" s="2" t="str">
        <x:v>age_under15</x:v>
      </x:c>
      <x:c r="C6443" s="2" t="n">
        <x:v>37.9617446720908</x:v>
      </x:c>
      <x:c r="D6443" s="2" t="n">
        <x:v>2025</x:v>
      </x:c>
      <x:c r="E6443" s="2" t="str">
        <x:v>WB_age_under15</x:v>
      </x:c>
      <x:c r="F6443" s="2" t="str">
        <x:v>Population ages 0-14 (% of total population)</x:v>
      </x:c>
    </x:row>
    <x:row r="6444" ht="44" customHeight="1">
      <x:c r="A6444" s="2" t="str">
        <x:v>VUT</x:v>
      </x:c>
      <x:c r="B6444" s="2" t="str">
        <x:v>age_over65</x:v>
      </x:c>
      <x:c r="C6444" s="2" t="n">
        <x:v>4.3788357515164</x:v>
      </x:c>
      <x:c r="D6444" s="2" t="n">
        <x:v>2025</x:v>
      </x:c>
      <x:c r="E6444" s="2" t="str">
        <x:v>WB_age_over65</x:v>
      </x:c>
      <x:c r="F6444" s="2" t="str">
        <x:v>Population ages 65 and above (% of total population)</x:v>
      </x:c>
    </x:row>
    <x:row r="6445" ht="44" customHeight="1">
      <x:c r="A6445" s="2" t="str">
        <x:v>VUT</x:v>
      </x:c>
      <x:c r="B6445" s="2" t="str">
        <x:v>dependency_ratio</x:v>
      </x:c>
      <x:c r="C6445" s="2" t="n">
        <x:v>73.4322689475672</x:v>
      </x:c>
      <x:c r="D6445" s="2" t="n">
        <x:v>2025</x:v>
      </x:c>
      <x:c r="E6445" s="2" t="str">
        <x:v>WB_dependency_ratio</x:v>
      </x:c>
      <x:c r="F6445" s="2" t="str">
        <x:v>Age dependency ratio (% of working-age population)</x:v>
      </x:c>
    </x:row>
    <x:row r="6446" ht="44" customHeight="1">
      <x:c r="A6446" s="2" t="str">
        <x:v>VUT</x:v>
      </x:c>
      <x:c r="B6446" s="2" t="str">
        <x:v>net_migration</x:v>
      </x:c>
      <x:c r="C6446" s="2" t="n">
        <x:v>-52</x:v>
      </x:c>
      <x:c r="D6446" s="2" t="n">
        <x:v>2025</x:v>
      </x:c>
      <x:c r="E6446" s="2" t="str">
        <x:v>WB_net_migration</x:v>
      </x:c>
      <x:c r="F6446" s="2" t="str">
        <x:v>Net migration</x:v>
      </x:c>
    </x:row>
    <x:row r="6447" ht="44" customHeight="1">
      <x:c r="A6447" s="2" t="str">
        <x:v>VUT</x:v>
      </x:c>
      <x:c r="B6447" s="2" t="str">
        <x:v>real_gdp</x:v>
      </x:c>
      <x:c r="C6447" s="2" t="n">
        <x:v>1088971965.11482</x:v>
      </x:c>
      <x:c r="D6447" s="2" t="n">
        <x:v>2025</x:v>
      </x:c>
      <x:c r="E6447" s="2" t="str">
        <x:v>WB_real_gdp</x:v>
      </x:c>
      <x:c r="F6447" s="2" t="str">
        <x:v>GDP (constant 2015 US$)</x:v>
      </x:c>
    </x:row>
    <x:row r="6448" ht="44" customHeight="1">
      <x:c r="A6448" s="2" t="str">
        <x:v>VUT</x:v>
      </x:c>
      <x:c r="B6448" s="2" t="str">
        <x:v>gdp_growth</x:v>
      </x:c>
      <x:c r="C6448" s="2" t="n">
        <x:v>3.05357824026483</x:v>
      </x:c>
      <x:c r="D6448" s="2" t="n">
        <x:v>2025</x:v>
      </x:c>
      <x:c r="E6448" s="2" t="str">
        <x:v>WB_gdp_growth</x:v>
      </x:c>
      <x:c r="F6448" s="2" t="str">
        <x:v>GDP growth (annual %)</x:v>
      </x:c>
    </x:row>
    <x:row r="6449" ht="44" customHeight="1">
      <x:c r="A6449" s="2" t="str">
        <x:v>VUT</x:v>
      </x:c>
      <x:c r="B6449" s="2" t="str">
        <x:v>real_income</x:v>
      </x:c>
      <x:c r="C6449" s="2" t="n">
        <x:v>3249.02352280438</x:v>
      </x:c>
      <x:c r="D6449" s="2" t="n">
        <x:v>2025</x:v>
      </x:c>
      <x:c r="E6449" s="2" t="str">
        <x:v>WB_real_income</x:v>
      </x:c>
      <x:c r="F6449" s="2" t="str">
        <x:v>GDP per capita (constant 2015 US$)</x:v>
      </x:c>
    </x:row>
    <x:row r="6450" ht="44" customHeight="1">
      <x:c r="A6450" s="2" t="str">
        <x:v>VUT</x:v>
      </x:c>
      <x:c r="B6450" s="2" t="str">
        <x:v>agriculture_gdp</x:v>
      </x:c>
      <x:c r="C6450" s="2" t="n">
        <x:v>26.6274867298977</x:v>
      </x:c>
      <x:c r="D6450" s="2" t="n">
        <x:v>2024</x:v>
      </x:c>
      <x:c r="E6450" s="2" t="str">
        <x:v>WB_agriculture_gdp</x:v>
      </x:c>
      <x:c r="F6450" s="2" t="str">
        <x:v>Agriculture, forestry, and fishing, value added (% of GDP)</x:v>
      </x:c>
    </x:row>
    <x:row r="6451" ht="44" customHeight="1">
      <x:c r="A6451" s="2" t="str">
        <x:v>VUT</x:v>
      </x:c>
      <x:c r="B6451" s="2" t="str">
        <x:v>poverty</x:v>
      </x:c>
      <x:c r="C6451" s="2" t="n">
        <x:v>19.5</x:v>
      </x:c>
      <x:c r="D6451" s="2" t="n">
        <x:v>2019</x:v>
      </x:c>
      <x:c r="E6451" s="2" t="str">
        <x:v>WB_poverty</x:v>
      </x:c>
      <x:c r="F6451" s="2" t="str">
        <x:v>Poverty headcount ratio at $3.00 a day (2021 PPP) (% of population)</x:v>
      </x:c>
    </x:row>
    <x:row r="6452" ht="44" customHeight="1">
      <x:c r="A6452" s="2" t="str">
        <x:v>VUT</x:v>
      </x:c>
      <x:c r="B6452" s="2" t="str">
        <x:v>gini</x:v>
      </x:c>
      <x:c r="C6452" s="2" t="n">
        <x:v>32.3</x:v>
      </x:c>
      <x:c r="D6452" s="2" t="n">
        <x:v>2019</x:v>
      </x:c>
      <x:c r="E6452" s="2" t="str">
        <x:v>WB_gini</x:v>
      </x:c>
      <x:c r="F6452" s="2" t="str">
        <x:v>Gini index</x:v>
      </x:c>
    </x:row>
    <x:row r="6453" ht="44" customHeight="1">
      <x:c r="A6453" s="2" t="str">
        <x:v>VUT</x:v>
      </x:c>
      <x:c r="B6453" s="2" t="str">
        <x:v>unemployment</x:v>
      </x:c>
      <x:c r="C6453" s="2" t="n">
        <x:v>5.073</x:v>
      </x:c>
      <x:c r="D6453" s="2" t="n">
        <x:v>2025</x:v>
      </x:c>
      <x:c r="E6453" s="2" t="str">
        <x:v>WB_unemployment</x:v>
      </x:c>
      <x:c r="F6453" s="2" t="str">
        <x:v>Unemployment, total (% of total labor force) (modeled ILO estimate)</x:v>
      </x:c>
    </x:row>
    <x:row r="6454" ht="44" customHeight="1">
      <x:c r="A6454" s="2" t="str">
        <x:v>VUT</x:v>
      </x:c>
      <x:c r="B6454" s="2" t="str">
        <x:v>private_credit</x:v>
      </x:c>
      <x:c r="C6454" s="2" t="n">
        <x:v>48.5223122227179</x:v>
      </x:c>
      <x:c r="D6454" s="2" t="n">
        <x:v>2024</x:v>
      </x:c>
      <x:c r="E6454" s="2" t="str">
        <x:v>WB_private_credit</x:v>
      </x:c>
      <x:c r="F6454" s="2" t="str">
        <x:v>Domestic credit to private sector (% of GDP)</x:v>
      </x:c>
    </x:row>
    <x:row r="6455" ht="44" customHeight="1">
      <x:c r="A6455" s="2" t="str">
        <x:v>VUT</x:v>
      </x:c>
      <x:c r="B6455" s="2" t="str">
        <x:v>lending_rate</x:v>
      </x:c>
      <x:c r="C6455" s="2" t="n">
        <x:v>8.44888888888889</x:v>
      </x:c>
      <x:c r="D6455" s="2" t="n">
        <x:v>2025</x:v>
      </x:c>
      <x:c r="E6455" s="2" t="str">
        <x:v>WB_lending_rate</x:v>
      </x:c>
      <x:c r="F6455" s="2" t="str">
        <x:v>Lending interest rate (%)</x:v>
      </x:c>
    </x:row>
    <x:row r="6456" ht="44" customHeight="1">
      <x:c r="A6456" s="2" t="str">
        <x:v>VUT</x:v>
      </x:c>
      <x:c r="B6456" s="2" t="str">
        <x:v>real_interest</x:v>
      </x:c>
      <x:c r="C6456" s="2" t="n">
        <x:v>6.12848921933187</x:v>
      </x:c>
      <x:c r="D6456" s="2" t="n">
        <x:v>2025</x:v>
      </x:c>
      <x:c r="E6456" s="2" t="str">
        <x:v>WB_real_interest</x:v>
      </x:c>
      <x:c r="F6456" s="2" t="str">
        <x:v>Real interest rate (%)</x:v>
      </x:c>
    </x:row>
    <x:row r="6457" ht="44" customHeight="1">
      <x:c r="A6457" s="2" t="str">
        <x:v>VUT</x:v>
      </x:c>
      <x:c r="B6457" s="2" t="str">
        <x:v>government_debt</x:v>
      </x:c>
      <x:c r="C6457" s="2" t="n">
        <x:v>67.9251282486115</x:v>
      </x:c>
      <x:c r="D6457" s="2" t="n">
        <x:v>2023</x:v>
      </x:c>
      <x:c r="E6457" s="2" t="str">
        <x:v>WB_government_debt</x:v>
      </x:c>
      <x:c r="F6457" s="2" t="str">
        <x:v>Central government debt, total (% of GDP)</x:v>
      </x:c>
    </x:row>
    <x:row r="6458" ht="44" customHeight="1">
      <x:c r="A6458" s="2" t="str">
        <x:v>VUT</x:v>
      </x:c>
      <x:c r="B6458" s="2" t="str">
        <x:v>electricity_access</x:v>
      </x:c>
      <x:c r="C6458" s="2" t="n">
        <x:v>65.5</x:v>
      </x:c>
      <x:c r="D6458" s="2" t="n">
        <x:v>2024</x:v>
      </x:c>
      <x:c r="E6458" s="2" t="str">
        <x:v>WB_electricity_access</x:v>
      </x:c>
      <x:c r="F6458" s="2" t="str">
        <x:v>Access to electricity (% of population)</x:v>
      </x:c>
    </x:row>
    <x:row r="6459" ht="44" customHeight="1">
      <x:c r="A6459" s="2" t="str">
        <x:v>VUT</x:v>
      </x:c>
      <x:c r="B6459" s="2" t="str">
        <x:v>irrigated_land</x:v>
      </x:c>
      <x:c r="C6459" s="2"/>
      <x:c r="D6459" s="2"/>
      <x:c r="E6459" s="2" t="str">
        <x:v>Missing</x:v>
      </x:c>
      <x:c r="F6459" s="2" t="str">
        <x:v>Agricultural irrigated land (% of total agricultural land)</x:v>
      </x:c>
    </x:row>
    <x:row r="6460" ht="44" customHeight="1">
      <x:c r="A6460" s="2" t="str">
        <x:v>VUT</x:v>
      </x:c>
      <x:c r="B6460" s="2" t="str">
        <x:v>cereal_area</x:v>
      </x:c>
      <x:c r="C6460" s="2" t="n">
        <x:v>1549</x:v>
      </x:c>
      <x:c r="D6460" s="2" t="n">
        <x:v>2024</x:v>
      </x:c>
      <x:c r="E6460" s="2" t="str">
        <x:v>WB_cereal_area</x:v>
      </x:c>
      <x:c r="F6460" s="2" t="str">
        <x:v>Land under cereal production (hectares)</x:v>
      </x:c>
    </x:row>
    <x:row r="6461" ht="44" customHeight="1">
      <x:c r="A6461" s="2" t="str">
        <x:v>VUT</x:v>
      </x:c>
      <x:c r="B6461" s="2" t="str">
        <x:v>undernourishment</x:v>
      </x:c>
      <x:c r="C6461" s="2" t="n">
        <x:v>7.2</x:v>
      </x:c>
      <x:c r="D6461" s="2" t="n">
        <x:v>2023</x:v>
      </x:c>
      <x:c r="E6461" s="2" t="str">
        <x:v>WB_undernourishment</x:v>
      </x:c>
      <x:c r="F6461" s="2" t="str">
        <x:v>Prevalence of undernourishment (% of population)</x:v>
      </x:c>
    </x:row>
    <x:row r="6462" ht="44" customHeight="1">
      <x:c r="A6462" s="2" t="str">
        <x:v>VUT</x:v>
      </x:c>
      <x:c r="B6462" s="2" t="str">
        <x:v>agriculture_employment</x:v>
      </x:c>
      <x:c r="C6462" s="2" t="n">
        <x:v>44.5275583686422</x:v>
      </x:c>
      <x:c r="D6462" s="2" t="n">
        <x:v>2025</x:v>
      </x:c>
      <x:c r="E6462" s="2" t="str">
        <x:v>WB_agriculture_employment</x:v>
      </x:c>
      <x:c r="F6462" s="2" t="str">
        <x:v>Employment in agriculture (% of total employment) (modeled ILO estimate)</x:v>
      </x:c>
    </x:row>
    <x:row r="6463" ht="44" customHeight="1">
      <x:c r="A6463" s="2" t="str">
        <x:v>VUT</x:v>
      </x:c>
      <x:c r="B6463" s="2" t="str">
        <x:v>water_withdrawal</x:v>
      </x:c>
      <x:c r="C6463" s="2"/>
      <x:c r="D6463" s="2"/>
      <x:c r="E6463" s="2" t="str">
        <x:v>Missing</x:v>
      </x:c>
      <x:c r="F6463" s="2" t="str">
        <x:v>Annual freshwater withdrawals, total (% of internal resources)</x:v>
      </x:c>
    </x:row>
    <x:row r="6464" ht="44" customHeight="1">
      <x:c r="A6464" s="2" t="str">
        <x:v>VEN</x:v>
      </x:c>
      <x:c r="B6464" s="2" t="str">
        <x:v>population</x:v>
      </x:c>
      <x:c r="C6464" s="2" t="n">
        <x:v>28516896</x:v>
      </x:c>
      <x:c r="D6464" s="2" t="n">
        <x:v>2025</x:v>
      </x:c>
      <x:c r="E6464" s="2" t="str">
        <x:v>WB_population</x:v>
      </x:c>
      <x:c r="F6464" s="2" t="str">
        <x:v>Population, total</x:v>
      </x:c>
    </x:row>
    <x:row r="6465" ht="44" customHeight="1">
      <x:c r="A6465" s="2" t="str">
        <x:v>VEN</x:v>
      </x:c>
      <x:c r="B6465" s="2" t="str">
        <x:v>income_ppp</x:v>
      </x:c>
      <x:c r="C6465" s="2"/>
      <x:c r="D6465" s="2"/>
      <x:c r="E6465" s="2" t="str">
        <x:v>Missing</x:v>
      </x:c>
      <x:c r="F6465" s="2" t="str">
        <x:v>GDP per capita, PPP (constant 2021 international $)</x:v>
      </x:c>
    </x:row>
    <x:row r="6466" ht="44" customHeight="1">
      <x:c r="A6466" s="2" t="str">
        <x:v>VEN</x:v>
      </x:c>
      <x:c r="B6466" s="2" t="str">
        <x:v>urban</x:v>
      </x:c>
      <x:c r="C6466" s="2" t="n">
        <x:v>89.3219112298988</x:v>
      </x:c>
      <x:c r="D6466" s="2" t="n">
        <x:v>2025</x:v>
      </x:c>
      <x:c r="E6466" s="2" t="str">
        <x:v>WB_urban</x:v>
      </x:c>
      <x:c r="F6466" s="2" t="str">
        <x:v>Urban population (% of total population)</x:v>
      </x:c>
    </x:row>
    <x:row r="6467" ht="44" customHeight="1">
      <x:c r="A6467" s="2" t="str">
        <x:v>VEN</x:v>
      </x:c>
      <x:c r="B6467" s="2" t="str">
        <x:v>inflation</x:v>
      </x:c>
      <x:c r="C6467" s="2" t="n">
        <x:v>254.948534781816</x:v>
      </x:c>
      <x:c r="D6467" s="2" t="n">
        <x:v>2016</x:v>
      </x:c>
      <x:c r="E6467" s="2" t="str">
        <x:v>WB_inflation</x:v>
      </x:c>
      <x:c r="F6467" s="2" t="str">
        <x:v>Inflation, consumer prices (annual %)</x:v>
      </x:c>
    </x:row>
    <x:row r="6468" ht="44" customHeight="1">
      <x:c r="A6468" s="2" t="str">
        <x:v>VEN</x:v>
      </x:c>
      <x:c r="B6468" s="2" t="str">
        <x:v>food_index</x:v>
      </x:c>
      <x:c r="C6468" s="2" t="n">
        <x:v>89.88</x:v>
      </x:c>
      <x:c r="D6468" s="2" t="n">
        <x:v>2022</x:v>
      </x:c>
      <x:c r="E6468" s="2" t="str">
        <x:v>WB_food_index</x:v>
      </x:c>
      <x:c r="F6468" s="2" t="str">
        <x:v>Food production index (2014-2016 = 100)</x:v>
      </x:c>
    </x:row>
    <x:row r="6469" ht="44" customHeight="1">
      <x:c r="A6469" s="2" t="str">
        <x:v>VEN</x:v>
      </x:c>
      <x:c r="B6469" s="2" t="str">
        <x:v>food_import_share</x:v>
      </x:c>
      <x:c r="C6469" s="2" t="n">
        <x:v>18.4102886870736</x:v>
      </x:c>
      <x:c r="D6469" s="2" t="n">
        <x:v>2013</x:v>
      </x:c>
      <x:c r="E6469" s="2" t="str">
        <x:v>WB_food_import_share</x:v>
      </x:c>
      <x:c r="F6469" s="2" t="str">
        <x:v>Food imports (% of merchandise imports)</x:v>
      </x:c>
    </x:row>
    <x:row r="6470" ht="44" customHeight="1">
      <x:c r="A6470" s="2" t="str">
        <x:v>VEN</x:v>
      </x:c>
      <x:c r="B6470" s="2" t="str">
        <x:v>food_export_share</x:v>
      </x:c>
      <x:c r="C6470" s="2" t="n">
        <x:v>0.0426406748965278</x:v>
      </x:c>
      <x:c r="D6470" s="2" t="n">
        <x:v>2013</x:v>
      </x:c>
      <x:c r="E6470" s="2" t="str">
        <x:v>WB_food_export_share</x:v>
      </x:c>
      <x:c r="F6470" s="2" t="str">
        <x:v>Food exports (% of merchandise exports)</x:v>
      </x:c>
    </x:row>
    <x:row r="6471" ht="44" customHeight="1">
      <x:c r="A6471" s="2" t="str">
        <x:v>VEN</x:v>
      </x:c>
      <x:c r="B6471" s="2" t="str">
        <x:v>imports_usd</x:v>
      </x:c>
      <x:c r="C6471" s="2" t="n">
        <x:v>13805000000</x:v>
      </x:c>
      <x:c r="D6471" s="2" t="n">
        <x:v>2025</x:v>
      </x:c>
      <x:c r="E6471" s="2" t="str">
        <x:v>WB_imports_usd</x:v>
      </x:c>
      <x:c r="F6471" s="2" t="str">
        <x:v>Merchandise imports (current US$)</x:v>
      </x:c>
    </x:row>
    <x:row r="6472" ht="44" customHeight="1">
      <x:c r="A6472" s="2" t="str">
        <x:v>VEN</x:v>
      </x:c>
      <x:c r="B6472" s="2" t="str">
        <x:v>exports_usd</x:v>
      </x:c>
      <x:c r="C6472" s="2" t="n">
        <x:v>8600000000</x:v>
      </x:c>
      <x:c r="D6472" s="2" t="n">
        <x:v>2025</x:v>
      </x:c>
      <x:c r="E6472" s="2" t="str">
        <x:v>WB_exports_usd</x:v>
      </x:c>
      <x:c r="F6472" s="2" t="str">
        <x:v>Merchandise exports (current US$)</x:v>
      </x:c>
    </x:row>
    <x:row r="6473" ht="44" customHeight="1">
      <x:c r="A6473" s="2" t="str">
        <x:v>VEN</x:v>
      </x:c>
      <x:c r="B6473" s="2" t="str">
        <x:v>cereal_yield</x:v>
      </x:c>
      <x:c r="C6473" s="2" t="n">
        <x:v>4079.9</x:v>
      </x:c>
      <x:c r="D6473" s="2" t="n">
        <x:v>2023</x:v>
      </x:c>
      <x:c r="E6473" s="2" t="str">
        <x:v>WB_cereal_yield</x:v>
      </x:c>
      <x:c r="F6473" s="2" t="str">
        <x:v>Cereal yield (kg per hectare)</x:v>
      </x:c>
    </x:row>
    <x:row r="6474" ht="44" customHeight="1">
      <x:c r="A6474" s="2" t="str">
        <x:v>VEN</x:v>
      </x:c>
      <x:c r="B6474" s="2" t="str">
        <x:v>water_stress</x:v>
      </x:c>
      <x:c r="C6474" s="2" t="n">
        <x:v>7.540366667</x:v>
      </x:c>
      <x:c r="D6474" s="2" t="n">
        <x:v>2022</x:v>
      </x:c>
      <x:c r="E6474" s="2" t="str">
        <x:v>WB_water_stress</x:v>
      </x:c>
      <x:c r="F6474" s="2" t="str">
        <x:v>Level of water stress: freshwater withdrawal as a proportion of available freshwater resources</x:v>
      </x:c>
    </x:row>
    <x:row r="6475" ht="44" customHeight="1">
      <x:c r="A6475" s="2" t="str">
        <x:v>VEN</x:v>
      </x:c>
      <x:c r="B6475" s="2" t="str">
        <x:v>fertility</x:v>
      </x:c>
      <x:c r="C6475" s="2" t="n">
        <x:v>2.077</x:v>
      </x:c>
      <x:c r="D6475" s="2" t="n">
        <x:v>2024</x:v>
      </x:c>
      <x:c r="E6475" s="2" t="str">
        <x:v>WB_fertility</x:v>
      </x:c>
      <x:c r="F6475" s="2" t="str">
        <x:v>Fertility rate, total (births per woman)</x:v>
      </x:c>
    </x:row>
    <x:row r="6476" ht="44" customHeight="1">
      <x:c r="A6476" s="2" t="str">
        <x:v>VEN</x:v>
      </x:c>
      <x:c r="B6476" s="2" t="str">
        <x:v>life_expectancy</x:v>
      </x:c>
      <x:c r="C6476" s="2" t="n">
        <x:v>72.673</x:v>
      </x:c>
      <x:c r="D6476" s="2" t="n">
        <x:v>2024</x:v>
      </x:c>
      <x:c r="E6476" s="2" t="str">
        <x:v>WB_life_expectancy</x:v>
      </x:c>
      <x:c r="F6476" s="2" t="str">
        <x:v>Life expectancy at birth, total (years)</x:v>
      </x:c>
    </x:row>
    <x:row r="6477" ht="44" customHeight="1">
      <x:c r="A6477" s="2" t="str">
        <x:v>VEN</x:v>
      </x:c>
      <x:c r="B6477" s="2" t="str">
        <x:v>age_under15</x:v>
      </x:c>
      <x:c r="C6477" s="2" t="n">
        <x:v>24.9159954154898</x:v>
      </x:c>
      <x:c r="D6477" s="2" t="n">
        <x:v>2025</x:v>
      </x:c>
      <x:c r="E6477" s="2" t="str">
        <x:v>WB_age_under15</x:v>
      </x:c>
      <x:c r="F6477" s="2" t="str">
        <x:v>Population ages 0-14 (% of total population)</x:v>
      </x:c>
    </x:row>
    <x:row r="6478" ht="44" customHeight="1">
      <x:c r="A6478" s="2" t="str">
        <x:v>VEN</x:v>
      </x:c>
      <x:c r="B6478" s="2" t="str">
        <x:v>age_over65</x:v>
      </x:c>
      <x:c r="C6478" s="2" t="n">
        <x:v>10.0182554931645</x:v>
      </x:c>
      <x:c r="D6478" s="2" t="n">
        <x:v>2025</x:v>
      </x:c>
      <x:c r="E6478" s="2" t="str">
        <x:v>WB_age_over65</x:v>
      </x:c>
      <x:c r="F6478" s="2" t="str">
        <x:v>Population ages 65 and above (% of total population)</x:v>
      </x:c>
    </x:row>
    <x:row r="6479" ht="44" customHeight="1">
      <x:c r="A6479" s="2" t="str">
        <x:v>VEN</x:v>
      </x:c>
      <x:c r="B6479" s="2" t="str">
        <x:v>dependency_ratio</x:v>
      </x:c>
      <x:c r="C6479" s="2" t="n">
        <x:v>53.6906919485552</x:v>
      </x:c>
      <x:c r="D6479" s="2" t="n">
        <x:v>2025</x:v>
      </x:c>
      <x:c r="E6479" s="2" t="str">
        <x:v>WB_dependency_ratio</x:v>
      </x:c>
      <x:c r="F6479" s="2" t="str">
        <x:v>Age dependency ratio (% of working-age population)</x:v>
      </x:c>
    </x:row>
    <x:row r="6480" ht="44" customHeight="1">
      <x:c r="A6480" s="2" t="str">
        <x:v>VEN</x:v>
      </x:c>
      <x:c r="B6480" s="2" t="str">
        <x:v>net_migration</x:v>
      </x:c>
      <x:c r="C6480" s="2" t="n">
        <x:v>-100467</x:v>
      </x:c>
      <x:c r="D6480" s="2" t="n">
        <x:v>2025</x:v>
      </x:c>
      <x:c r="E6480" s="2" t="str">
        <x:v>WB_net_migration</x:v>
      </x:c>
      <x:c r="F6480" s="2" t="str">
        <x:v>Net migration</x:v>
      </x:c>
    </x:row>
    <x:row r="6481" ht="44" customHeight="1">
      <x:c r="A6481" s="2" t="str">
        <x:v>VEN</x:v>
      </x:c>
      <x:c r="B6481" s="2" t="str">
        <x:v>real_gdp</x:v>
      </x:c>
      <x:c r="C6481" s="2" t="n">
        <x:v>43312814116.9084</x:v>
      </x:c>
      <x:c r="D6481" s="2" t="n">
        <x:v>2025</x:v>
      </x:c>
      <x:c r="E6481" s="2" t="str">
        <x:v>WB_real_gdp</x:v>
      </x:c>
      <x:c r="F6481" s="2" t="str">
        <x:v>GDP (constant 2015 US$)</x:v>
      </x:c>
    </x:row>
    <x:row r="6482" ht="44" customHeight="1">
      <x:c r="A6482" s="2" t="str">
        <x:v>VEN</x:v>
      </x:c>
      <x:c r="B6482" s="2" t="str">
        <x:v>gdp_growth</x:v>
      </x:c>
      <x:c r="C6482" s="2" t="n">
        <x:v>1.57068062827224</x:v>
      </x:c>
      <x:c r="D6482" s="2" t="n">
        <x:v>2025</x:v>
      </x:c>
      <x:c r="E6482" s="2" t="str">
        <x:v>WB_gdp_growth</x:v>
      </x:c>
      <x:c r="F6482" s="2" t="str">
        <x:v>GDP growth (annual %)</x:v>
      </x:c>
    </x:row>
    <x:row r="6483" ht="44" customHeight="1">
      <x:c r="A6483" s="2" t="str">
        <x:v>VEN</x:v>
      </x:c>
      <x:c r="B6483" s="2" t="str">
        <x:v>real_income</x:v>
      </x:c>
      <x:c r="C6483" s="2" t="n">
        <x:v>1518.84742704495</x:v>
      </x:c>
      <x:c r="D6483" s="2" t="n">
        <x:v>2025</x:v>
      </x:c>
      <x:c r="E6483" s="2" t="str">
        <x:v>WB_real_income</x:v>
      </x:c>
      <x:c r="F6483" s="2" t="str">
        <x:v>GDP per capita (constant 2015 US$)</x:v>
      </x:c>
    </x:row>
    <x:row r="6484" ht="44" customHeight="1">
      <x:c r="A6484" s="2" t="str">
        <x:v>VEN</x:v>
      </x:c>
      <x:c r="B6484" s="2" t="str">
        <x:v>agriculture_gdp</x:v>
      </x:c>
      <x:c r="C6484" s="2" t="n">
        <x:v>0</x:v>
      </x:c>
      <x:c r="D6484" s="2" t="n">
        <x:v>2011</x:v>
      </x:c>
      <x:c r="E6484" s="2" t="str">
        <x:v>WB_agriculture_gdp</x:v>
      </x:c>
      <x:c r="F6484" s="2" t="str">
        <x:v>Agriculture, forestry, and fishing, value added (% of GDP)</x:v>
      </x:c>
    </x:row>
    <x:row r="6485" ht="44" customHeight="1">
      <x:c r="A6485" s="2" t="str">
        <x:v>VEN</x:v>
      </x:c>
      <x:c r="B6485" s="2" t="str">
        <x:v>poverty</x:v>
      </x:c>
      <x:c r="C6485" s="2" t="n">
        <x:v>9.7</x:v>
      </x:c>
      <x:c r="D6485" s="2" t="n">
        <x:v>2006</x:v>
      </x:c>
      <x:c r="E6485" s="2" t="str">
        <x:v>WB_poverty</x:v>
      </x:c>
      <x:c r="F6485" s="2" t="str">
        <x:v>Poverty headcount ratio at $3.00 a day (2021 PPP) (% of population)</x:v>
      </x:c>
    </x:row>
    <x:row r="6486" ht="44" customHeight="1">
      <x:c r="A6486" s="2" t="str">
        <x:v>VEN</x:v>
      </x:c>
      <x:c r="B6486" s="2" t="str">
        <x:v>gini</x:v>
      </x:c>
      <x:c r="C6486" s="2" t="n">
        <x:v>44.7</x:v>
      </x:c>
      <x:c r="D6486" s="2" t="n">
        <x:v>2006</x:v>
      </x:c>
      <x:c r="E6486" s="2" t="str">
        <x:v>WB_gini</x:v>
      </x:c>
      <x:c r="F6486" s="2" t="str">
        <x:v>Gini index</x:v>
      </x:c>
    </x:row>
    <x:row r="6487" ht="44" customHeight="1">
      <x:c r="A6487" s="2" t="str">
        <x:v>VEN</x:v>
      </x:c>
      <x:c r="B6487" s="2" t="str">
        <x:v>unemployment</x:v>
      </x:c>
      <x:c r="C6487" s="2" t="n">
        <x:v>5.307</x:v>
      </x:c>
      <x:c r="D6487" s="2" t="n">
        <x:v>2025</x:v>
      </x:c>
      <x:c r="E6487" s="2" t="str">
        <x:v>WB_unemployment</x:v>
      </x:c>
      <x:c r="F6487" s="2" t="str">
        <x:v>Unemployment, total (% of total labor force) (modeled ILO estimate)</x:v>
      </x:c>
    </x:row>
    <x:row r="6488" ht="44" customHeight="1">
      <x:c r="A6488" s="2" t="str">
        <x:v>VEN</x:v>
      </x:c>
      <x:c r="B6488" s="2" t="str">
        <x:v>private_credit</x:v>
      </x:c>
      <x:c r="C6488" s="2" t="n">
        <x:v>27.472799415793</x:v>
      </x:c>
      <x:c r="D6488" s="2" t="n">
        <x:v>2013</x:v>
      </x:c>
      <x:c r="E6488" s="2" t="str">
        <x:v>WB_private_credit</x:v>
      </x:c>
      <x:c r="F6488" s="2" t="str">
        <x:v>Domestic credit to private sector (% of GDP)</x:v>
      </x:c>
    </x:row>
    <x:row r="6489" ht="44" customHeight="1">
      <x:c r="A6489" s="2" t="str">
        <x:v>VEN</x:v>
      </x:c>
      <x:c r="B6489" s="2" t="str">
        <x:v>lending_rate</x:v>
      </x:c>
      <x:c r="C6489" s="2" t="n">
        <x:v>21.0591666666667</x:v>
      </x:c>
      <x:c r="D6489" s="2" t="n">
        <x:v>2017</x:v>
      </x:c>
      <x:c r="E6489" s="2" t="str">
        <x:v>WB_lending_rate</x:v>
      </x:c>
      <x:c r="F6489" s="2" t="str">
        <x:v>Lending interest rate (%)</x:v>
      </x:c>
    </x:row>
    <x:row r="6490" ht="44" customHeight="1">
      <x:c r="A6490" s="2" t="str">
        <x:v>VEN</x:v>
      </x:c>
      <x:c r="B6490" s="2" t="str">
        <x:v>real_interest</x:v>
      </x:c>
      <x:c r="C6490" s="2" t="n">
        <x:v>-89.4719970296214</x:v>
      </x:c>
      <x:c r="D6490" s="2" t="n">
        <x:v>2017</x:v>
      </x:c>
      <x:c r="E6490" s="2" t="str">
        <x:v>WB_real_interest</x:v>
      </x:c>
      <x:c r="F6490" s="2" t="str">
        <x:v>Real interest rate (%)</x:v>
      </x:c>
    </x:row>
    <x:row r="6491" ht="44" customHeight="1">
      <x:c r="A6491" s="2" t="str">
        <x:v>VEN</x:v>
      </x:c>
      <x:c r="B6491" s="2" t="str">
        <x:v>government_debt</x:v>
      </x:c>
      <x:c r="C6491" s="2"/>
      <x:c r="D6491" s="2"/>
      <x:c r="E6491" s="2" t="str">
        <x:v>Missing</x:v>
      </x:c>
      <x:c r="F6491" s="2" t="str">
        <x:v>Central government debt, total (% of GDP)</x:v>
      </x:c>
    </x:row>
    <x:row r="6492" ht="44" customHeight="1">
      <x:c r="A6492" s="2" t="str">
        <x:v>VEN</x:v>
      </x:c>
      <x:c r="B6492" s="2" t="str">
        <x:v>electricity_access</x:v>
      </x:c>
      <x:c r="C6492" s="2" t="n">
        <x:v>100</x:v>
      </x:c>
      <x:c r="D6492" s="2" t="n">
        <x:v>2024</x:v>
      </x:c>
      <x:c r="E6492" s="2" t="str">
        <x:v>WB_electricity_access</x:v>
      </x:c>
      <x:c r="F6492" s="2" t="str">
        <x:v>Access to electricity (% of population)</x:v>
      </x:c>
    </x:row>
    <x:row r="6493" ht="44" customHeight="1">
      <x:c r="A6493" s="2" t="str">
        <x:v>VEN</x:v>
      </x:c>
      <x:c r="B6493" s="2" t="str">
        <x:v>irrigated_land</x:v>
      </x:c>
      <x:c r="C6493" s="2" t="n">
        <x:v>3.16805046616262</x:v>
      </x:c>
      <x:c r="D6493" s="2" t="n">
        <x:v>2007</x:v>
      </x:c>
      <x:c r="E6493" s="2" t="str">
        <x:v>WB_irrigated_land</x:v>
      </x:c>
      <x:c r="F6493" s="2" t="str">
        <x:v>Agricultural irrigated land (% of total agricultural land)</x:v>
      </x:c>
    </x:row>
    <x:row r="6494" ht="44" customHeight="1">
      <x:c r="A6494" s="2" t="str">
        <x:v>VEN</x:v>
      </x:c>
      <x:c r="B6494" s="2" t="str">
        <x:v>cereal_area</x:v>
      </x:c>
      <x:c r="C6494" s="2" t="n">
        <x:v>515056</x:v>
      </x:c>
      <x:c r="D6494" s="2" t="n">
        <x:v>2023</x:v>
      </x:c>
      <x:c r="E6494" s="2" t="str">
        <x:v>WB_cereal_area</x:v>
      </x:c>
      <x:c r="F6494" s="2" t="str">
        <x:v>Land under cereal production (hectares)</x:v>
      </x:c>
    </x:row>
    <x:row r="6495" ht="44" customHeight="1">
      <x:c r="A6495" s="2" t="str">
        <x:v>VEN</x:v>
      </x:c>
      <x:c r="B6495" s="2" t="str">
        <x:v>undernourishment</x:v>
      </x:c>
      <x:c r="C6495" s="2" t="n">
        <x:v>5.9</x:v>
      </x:c>
      <x:c r="D6495" s="2" t="n">
        <x:v>2023</x:v>
      </x:c>
      <x:c r="E6495" s="2" t="str">
        <x:v>WB_undernourishment</x:v>
      </x:c>
      <x:c r="F6495" s="2" t="str">
        <x:v>Prevalence of undernourishment (% of population)</x:v>
      </x:c>
    </x:row>
    <x:row r="6496" ht="44" customHeight="1">
      <x:c r="A6496" s="2" t="str">
        <x:v>VEN</x:v>
      </x:c>
      <x:c r="B6496" s="2" t="str">
        <x:v>agriculture_employment</x:v>
      </x:c>
      <x:c r="C6496" s="2" t="n">
        <x:v>8.87472626253569</x:v>
      </x:c>
      <x:c r="D6496" s="2" t="n">
        <x:v>2025</x:v>
      </x:c>
      <x:c r="E6496" s="2" t="str">
        <x:v>WB_agriculture_employment</x:v>
      </x:c>
      <x:c r="F6496" s="2" t="str">
        <x:v>Employment in agriculture (% of total employment) (modeled ILO estimate)</x:v>
      </x:c>
    </x:row>
    <x:row r="6497" ht="44" customHeight="1">
      <x:c r="A6497" s="2" t="str">
        <x:v>VEN</x:v>
      </x:c>
      <x:c r="B6497" s="2" t="str">
        <x:v>water_withdrawal</x:v>
      </x:c>
      <x:c r="C6497" s="2" t="n">
        <x:v>2.81007453416149</x:v>
      </x:c>
      <x:c r="D6497" s="2" t="n">
        <x:v>2022</x:v>
      </x:c>
      <x:c r="E6497" s="2" t="str">
        <x:v>WB_water_withdrawal</x:v>
      </x:c>
      <x:c r="F6497" s="2" t="str">
        <x:v>Annual freshwater withdrawals, total (% of internal resources)</x:v>
      </x:c>
    </x:row>
    <x:row r="6498" ht="44" customHeight="1">
      <x:c r="A6498" s="2" t="str">
        <x:v>VNM</x:v>
      </x:c>
      <x:c r="B6498" s="2" t="str">
        <x:v>population</x:v>
      </x:c>
      <x:c r="C6498" s="2" t="n">
        <x:v>101598527</x:v>
      </x:c>
      <x:c r="D6498" s="2" t="n">
        <x:v>2025</x:v>
      </x:c>
      <x:c r="E6498" s="2" t="str">
        <x:v>WB_population</x:v>
      </x:c>
      <x:c r="F6498" s="2" t="str">
        <x:v>Population, total</x:v>
      </x:c>
    </x:row>
    <x:row r="6499" ht="44" customHeight="1">
      <x:c r="A6499" s="2" t="str">
        <x:v>VNM</x:v>
      </x:c>
      <x:c r="B6499" s="2" t="str">
        <x:v>income_ppp</x:v>
      </x:c>
      <x:c r="C6499" s="2" t="n">
        <x:v>15457.3499403547</x:v>
      </x:c>
      <x:c r="D6499" s="2" t="n">
        <x:v>2025</x:v>
      </x:c>
      <x:c r="E6499" s="2" t="str">
        <x:v>WB_income_ppp</x:v>
      </x:c>
      <x:c r="F6499" s="2" t="str">
        <x:v>GDP per capita, PPP (constant 2021 international $)</x:v>
      </x:c>
    </x:row>
    <x:row r="6500" ht="44" customHeight="1">
      <x:c r="A6500" s="2" t="str">
        <x:v>VNM</x:v>
      </x:c>
      <x:c r="B6500" s="2" t="str">
        <x:v>urban</x:v>
      </x:c>
      <x:c r="C6500" s="2" t="n">
        <x:v>38.8299160351294</x:v>
      </x:c>
      <x:c r="D6500" s="2" t="n">
        <x:v>2025</x:v>
      </x:c>
      <x:c r="E6500" s="2" t="str">
        <x:v>WB_urban</x:v>
      </x:c>
      <x:c r="F6500" s="2" t="str">
        <x:v>Urban population (% of total population)</x:v>
      </x:c>
    </x:row>
    <x:row r="6501" ht="44" customHeight="1">
      <x:c r="A6501" s="2" t="str">
        <x:v>VNM</x:v>
      </x:c>
      <x:c r="B6501" s="2" t="str">
        <x:v>inflation</x:v>
      </x:c>
      <x:c r="C6501" s="2" t="n">
        <x:v>3.3099931421974</x:v>
      </x:c>
      <x:c r="D6501" s="2" t="n">
        <x:v>2025</x:v>
      </x:c>
      <x:c r="E6501" s="2" t="str">
        <x:v>WB_inflation</x:v>
      </x:c>
      <x:c r="F6501" s="2" t="str">
        <x:v>Inflation, consumer prices (annual %)</x:v>
      </x:c>
    </x:row>
    <x:row r="6502" ht="44" customHeight="1">
      <x:c r="A6502" s="2" t="str">
        <x:v>VNM</x:v>
      </x:c>
      <x:c r="B6502" s="2" t="str">
        <x:v>food_index</x:v>
      </x:c>
      <x:c r="C6502" s="2" t="n">
        <x:v>113.65</x:v>
      </x:c>
      <x:c r="D6502" s="2" t="n">
        <x:v>2022</x:v>
      </x:c>
      <x:c r="E6502" s="2" t="str">
        <x:v>WB_food_index</x:v>
      </x:c>
      <x:c r="F6502" s="2" t="str">
        <x:v>Food production index (2014-2016 = 100)</x:v>
      </x:c>
    </x:row>
    <x:row r="6503" ht="44" customHeight="1">
      <x:c r="A6503" s="2" t="str">
        <x:v>VNM</x:v>
      </x:c>
      <x:c r="B6503" s="2" t="str">
        <x:v>food_import_share</x:v>
      </x:c>
      <x:c r="C6503" s="2" t="n">
        <x:v>8.79902680198845</x:v>
      </x:c>
      <x:c r="D6503" s="2" t="n">
        <x:v>2023</x:v>
      </x:c>
      <x:c r="E6503" s="2" t="str">
        <x:v>WB_food_import_share</x:v>
      </x:c>
      <x:c r="F6503" s="2" t="str">
        <x:v>Food imports (% of merchandise imports)</x:v>
      </x:c>
    </x:row>
    <x:row r="6504" ht="44" customHeight="1">
      <x:c r="A6504" s="2" t="str">
        <x:v>VNM</x:v>
      </x:c>
      <x:c r="B6504" s="2" t="str">
        <x:v>food_export_share</x:v>
      </x:c>
      <x:c r="C6504" s="2" t="n">
        <x:v>9.36226903673916</x:v>
      </x:c>
      <x:c r="D6504" s="2" t="n">
        <x:v>2023</x:v>
      </x:c>
      <x:c r="E6504" s="2" t="str">
        <x:v>WB_food_export_share</x:v>
      </x:c>
      <x:c r="F6504" s="2" t="str">
        <x:v>Food exports (% of merchandise exports)</x:v>
      </x:c>
    </x:row>
    <x:row r="6505" ht="44" customHeight="1">
      <x:c r="A6505" s="2" t="str">
        <x:v>VNM</x:v>
      </x:c>
      <x:c r="B6505" s="2" t="str">
        <x:v>imports_usd</x:v>
      </x:c>
      <x:c r="C6505" s="2" t="n">
        <x:v>453778000000</x:v>
      </x:c>
      <x:c r="D6505" s="2" t="n">
        <x:v>2025</x:v>
      </x:c>
      <x:c r="E6505" s="2" t="str">
        <x:v>WB_imports_usd</x:v>
      </x:c>
      <x:c r="F6505" s="2" t="str">
        <x:v>Merchandise imports (current US$)</x:v>
      </x:c>
    </x:row>
    <x:row r="6506" ht="44" customHeight="1">
      <x:c r="A6506" s="2" t="str">
        <x:v>VNM</x:v>
      </x:c>
      <x:c r="B6506" s="2" t="str">
        <x:v>exports_usd</x:v>
      </x:c>
      <x:c r="C6506" s="2" t="n">
        <x:v>472929000000</x:v>
      </x:c>
      <x:c r="D6506" s="2" t="n">
        <x:v>2025</x:v>
      </x:c>
      <x:c r="E6506" s="2" t="str">
        <x:v>WB_exports_usd</x:v>
      </x:c>
      <x:c r="F6506" s="2" t="str">
        <x:v>Merchandise exports (current US$)</x:v>
      </x:c>
    </x:row>
    <x:row r="6507" ht="44" customHeight="1">
      <x:c r="A6507" s="2" t="str">
        <x:v>VNM</x:v>
      </x:c>
      <x:c r="B6507" s="2" t="str">
        <x:v>cereal_yield</x:v>
      </x:c>
      <x:c r="C6507" s="2" t="n">
        <x:v>5995.3</x:v>
      </x:c>
      <x:c r="D6507" s="2" t="n">
        <x:v>2023</x:v>
      </x:c>
      <x:c r="E6507" s="2" t="str">
        <x:v>WB_cereal_yield</x:v>
      </x:c>
      <x:c r="F6507" s="2" t="str">
        <x:v>Cereal yield (kg per hectare)</x:v>
      </x:c>
    </x:row>
    <x:row r="6508" ht="44" customHeight="1">
      <x:c r="A6508" s="2" t="str">
        <x:v>VNM</x:v>
      </x:c>
      <x:c r="B6508" s="2" t="str">
        <x:v>water_stress</x:v>
      </x:c>
      <x:c r="C6508" s="2" t="n">
        <x:v>18.13031538</x:v>
      </x:c>
      <x:c r="D6508" s="2" t="n">
        <x:v>2022</x:v>
      </x:c>
      <x:c r="E6508" s="2" t="str">
        <x:v>WB_water_stress</x:v>
      </x:c>
      <x:c r="F6508" s="2" t="str">
        <x:v>Level of water stress: freshwater withdrawal as a proportion of available freshwater resources</x:v>
      </x:c>
    </x:row>
    <x:row r="6509" ht="44" customHeight="1">
      <x:c r="A6509" s="2" t="str">
        <x:v>VNM</x:v>
      </x:c>
      <x:c r="B6509" s="2" t="str">
        <x:v>fertility</x:v>
      </x:c>
      <x:c r="C6509" s="2" t="n">
        <x:v>1.895</x:v>
      </x:c>
      <x:c r="D6509" s="2" t="n">
        <x:v>2024</x:v>
      </x:c>
      <x:c r="E6509" s="2" t="str">
        <x:v>WB_fertility</x:v>
      </x:c>
      <x:c r="F6509" s="2" t="str">
        <x:v>Fertility rate, total (births per woman)</x:v>
      </x:c>
    </x:row>
    <x:row r="6510" ht="44" customHeight="1">
      <x:c r="A6510" s="2" t="str">
        <x:v>VNM</x:v>
      </x:c>
      <x:c r="B6510" s="2" t="str">
        <x:v>life_expectancy</x:v>
      </x:c>
      <x:c r="C6510" s="2" t="n">
        <x:v>74.736</x:v>
      </x:c>
      <x:c r="D6510" s="2" t="n">
        <x:v>2024</x:v>
      </x:c>
      <x:c r="E6510" s="2" t="str">
        <x:v>WB_life_expectancy</x:v>
      </x:c>
      <x:c r="F6510" s="2" t="str">
        <x:v>Life expectancy at birth, total (years)</x:v>
      </x:c>
    </x:row>
    <x:row r="6511" ht="44" customHeight="1">
      <x:c r="A6511" s="2" t="str">
        <x:v>VNM</x:v>
      </x:c>
      <x:c r="B6511" s="2" t="str">
        <x:v>age_under15</x:v>
      </x:c>
      <x:c r="C6511" s="2" t="n">
        <x:v>22.8560173908821</x:v>
      </x:c>
      <x:c r="D6511" s="2" t="n">
        <x:v>2025</x:v>
      </x:c>
      <x:c r="E6511" s="2" t="str">
        <x:v>WB_age_under15</x:v>
      </x:c>
      <x:c r="F6511" s="2" t="str">
        <x:v>Population ages 0-14 (% of total population)</x:v>
      </x:c>
    </x:row>
    <x:row r="6512" ht="44" customHeight="1">
      <x:c r="A6512" s="2" t="str">
        <x:v>VNM</x:v>
      </x:c>
      <x:c r="B6512" s="2" t="str">
        <x:v>age_over65</x:v>
      </x:c>
      <x:c r="C6512" s="2" t="n">
        <x:v>9.49453578200007</x:v>
      </x:c>
      <x:c r="D6512" s="2" t="n">
        <x:v>2025</x:v>
      </x:c>
      <x:c r="E6512" s="2" t="str">
        <x:v>WB_age_over65</x:v>
      </x:c>
      <x:c r="F6512" s="2" t="str">
        <x:v>Population ages 65 and above (% of total population)</x:v>
      </x:c>
    </x:row>
    <x:row r="6513" ht="44" customHeight="1">
      <x:c r="A6513" s="2" t="str">
        <x:v>VNM</x:v>
      </x:c>
      <x:c r="B6513" s="2" t="str">
        <x:v>dependency_ratio</x:v>
      </x:c>
      <x:c r="C6513" s="2" t="n">
        <x:v>47.8208691230641</x:v>
      </x:c>
      <x:c r="D6513" s="2" t="n">
        <x:v>2025</x:v>
      </x:c>
      <x:c r="E6513" s="2" t="str">
        <x:v>WB_dependency_ratio</x:v>
      </x:c>
      <x:c r="F6513" s="2" t="str">
        <x:v>Age dependency ratio (% of working-age population)</x:v>
      </x:c>
    </x:row>
    <x:row r="6514" ht="44" customHeight="1">
      <x:c r="A6514" s="2" t="str">
        <x:v>VNM</x:v>
      </x:c>
      <x:c r="B6514" s="2" t="str">
        <x:v>net_migration</x:v>
      </x:c>
      <x:c r="C6514" s="2" t="n">
        <x:v>-48171</x:v>
      </x:c>
      <x:c r="D6514" s="2" t="n">
        <x:v>2025</x:v>
      </x:c>
      <x:c r="E6514" s="2" t="str">
        <x:v>WB_net_migration</x:v>
      </x:c>
      <x:c r="F6514" s="2" t="str">
        <x:v>Net migration</x:v>
      </x:c>
    </x:row>
    <x:row r="6515" ht="44" customHeight="1">
      <x:c r="A6515" s="2" t="str">
        <x:v>VNM</x:v>
      </x:c>
      <x:c r="B6515" s="2" t="str">
        <x:v>real_gdp</x:v>
      </x:c>
      <x:c r="C6515" s="2" t="n">
        <x:v>437707289646.964</x:v>
      </x:c>
      <x:c r="D6515" s="2" t="n">
        <x:v>2025</x:v>
      </x:c>
      <x:c r="E6515" s="2" t="str">
        <x:v>WB_real_gdp</x:v>
      </x:c>
      <x:c r="F6515" s="2" t="str">
        <x:v>GDP (constant 2015 US$)</x:v>
      </x:c>
    </x:row>
    <x:row r="6516" ht="44" customHeight="1">
      <x:c r="A6516" s="2" t="str">
        <x:v>VNM</x:v>
      </x:c>
      <x:c r="B6516" s="2" t="str">
        <x:v>gdp_growth</x:v>
      </x:c>
      <x:c r="C6516" s="2" t="n">
        <x:v>8.01882998978245</x:v>
      </x:c>
      <x:c r="D6516" s="2" t="n">
        <x:v>2025</x:v>
      </x:c>
      <x:c r="E6516" s="2" t="str">
        <x:v>WB_gdp_growth</x:v>
      </x:c>
      <x:c r="F6516" s="2" t="str">
        <x:v>GDP growth (annual %)</x:v>
      </x:c>
    </x:row>
    <x:row r="6517" ht="44" customHeight="1">
      <x:c r="A6517" s="2" t="str">
        <x:v>VNM</x:v>
      </x:c>
      <x:c r="B6517" s="2" t="str">
        <x:v>real_income</x:v>
      </x:c>
      <x:c r="C6517" s="2" t="n">
        <x:v>4308.20507512834</x:v>
      </x:c>
      <x:c r="D6517" s="2" t="n">
        <x:v>2025</x:v>
      </x:c>
      <x:c r="E6517" s="2" t="str">
        <x:v>WB_real_income</x:v>
      </x:c>
      <x:c r="F6517" s="2" t="str">
        <x:v>GDP per capita (constant 2015 US$)</x:v>
      </x:c>
    </x:row>
    <x:row r="6518" ht="44" customHeight="1">
      <x:c r="A6518" s="2" t="str">
        <x:v>VNM</x:v>
      </x:c>
      <x:c r="B6518" s="2" t="str">
        <x:v>agriculture_gdp</x:v>
      </x:c>
      <x:c r="C6518" s="2" t="n">
        <x:v>11.6440301326976</x:v>
      </x:c>
      <x:c r="D6518" s="2" t="n">
        <x:v>2025</x:v>
      </x:c>
      <x:c r="E6518" s="2" t="str">
        <x:v>WB_agriculture_gdp</x:v>
      </x:c>
      <x:c r="F6518" s="2" t="str">
        <x:v>Agriculture, forestry, and fishing, value added (% of GDP)</x:v>
      </x:c>
    </x:row>
    <x:row r="6519" ht="44" customHeight="1">
      <x:c r="A6519" s="2" t="str">
        <x:v>VNM</x:v>
      </x:c>
      <x:c r="B6519" s="2" t="str">
        <x:v>poverty</x:v>
      </x:c>
      <x:c r="C6519" s="2" t="n">
        <x:v>1.6</x:v>
      </x:c>
      <x:c r="D6519" s="2" t="n">
        <x:v>2022</x:v>
      </x:c>
      <x:c r="E6519" s="2" t="str">
        <x:v>WB_poverty</x:v>
      </x:c>
      <x:c r="F6519" s="2" t="str">
        <x:v>Poverty headcount ratio at $3.00 a day (2021 PPP) (% of population)</x:v>
      </x:c>
    </x:row>
    <x:row r="6520" ht="44" customHeight="1">
      <x:c r="A6520" s="2" t="str">
        <x:v>VNM</x:v>
      </x:c>
      <x:c r="B6520" s="2" t="str">
        <x:v>gini</x:v>
      </x:c>
      <x:c r="C6520" s="2" t="n">
        <x:v>36.1</x:v>
      </x:c>
      <x:c r="D6520" s="2" t="n">
        <x:v>2022</x:v>
      </x:c>
      <x:c r="E6520" s="2" t="str">
        <x:v>WB_gini</x:v>
      </x:c>
      <x:c r="F6520" s="2" t="str">
        <x:v>Gini index</x:v>
      </x:c>
    </x:row>
    <x:row r="6521" ht="44" customHeight="1">
      <x:c r="A6521" s="2" t="str">
        <x:v>VNM</x:v>
      </x:c>
      <x:c r="B6521" s="2" t="str">
        <x:v>unemployment</x:v>
      </x:c>
      <x:c r="C6521" s="2" t="n">
        <x:v>1.523</x:v>
      </x:c>
      <x:c r="D6521" s="2" t="n">
        <x:v>2025</x:v>
      </x:c>
      <x:c r="E6521" s="2" t="str">
        <x:v>WB_unemployment</x:v>
      </x:c>
      <x:c r="F6521" s="2" t="str">
        <x:v>Unemployment, total (% of total labor force) (modeled ILO estimate)</x:v>
      </x:c>
    </x:row>
    <x:row r="6522" ht="44" customHeight="1">
      <x:c r="A6522" s="2" t="str">
        <x:v>VNM</x:v>
      </x:c>
      <x:c r="B6522" s="2" t="str">
        <x:v>private_credit</x:v>
      </x:c>
      <x:c r="C6522" s="2" t="n">
        <x:v>124.961478822546</x:v>
      </x:c>
      <x:c r="D6522" s="2" t="n">
        <x:v>2022</x:v>
      </x:c>
      <x:c r="E6522" s="2" t="str">
        <x:v>WB_private_credit</x:v>
      </x:c>
      <x:c r="F6522" s="2" t="str">
        <x:v>Domestic credit to private sector (% of GDP)</x:v>
      </x:c>
    </x:row>
    <x:row r="6523" ht="44" customHeight="1">
      <x:c r="A6523" s="2" t="str">
        <x:v>VNM</x:v>
      </x:c>
      <x:c r="B6523" s="2" t="str">
        <x:v>lending_rate</x:v>
      </x:c>
      <x:c r="C6523" s="2" t="n">
        <x:v>9.323</x:v>
      </x:c>
      <x:c r="D6523" s="2" t="n">
        <x:v>2023</x:v>
      </x:c>
      <x:c r="E6523" s="2" t="str">
        <x:v>WB_lending_rate</x:v>
      </x:c>
      <x:c r="F6523" s="2" t="str">
        <x:v>Lending interest rate (%)</x:v>
      </x:c>
    </x:row>
    <x:row r="6524" ht="44" customHeight="1">
      <x:c r="A6524" s="2" t="str">
        <x:v>VNM</x:v>
      </x:c>
      <x:c r="B6524" s="2" t="str">
        <x:v>real_interest</x:v>
      </x:c>
      <x:c r="C6524" s="2" t="n">
        <x:v>7.006330785335</x:v>
      </x:c>
      <x:c r="D6524" s="2" t="n">
        <x:v>2023</x:v>
      </x:c>
      <x:c r="E6524" s="2" t="str">
        <x:v>WB_real_interest</x:v>
      </x:c>
      <x:c r="F6524" s="2" t="str">
        <x:v>Real interest rate (%)</x:v>
      </x:c>
    </x:row>
    <x:row r="6525" ht="44" customHeight="1">
      <x:c r="A6525" s="2" t="str">
        <x:v>VNM</x:v>
      </x:c>
      <x:c r="B6525" s="2" t="str">
        <x:v>government_debt</x:v>
      </x:c>
      <x:c r="C6525" s="2"/>
      <x:c r="D6525" s="2"/>
      <x:c r="E6525" s="2" t="str">
        <x:v>Missing</x:v>
      </x:c>
      <x:c r="F6525" s="2" t="str">
        <x:v>Central government debt, total (% of GDP)</x:v>
      </x:c>
    </x:row>
    <x:row r="6526" ht="44" customHeight="1">
      <x:c r="A6526" s="2" t="str">
        <x:v>VNM</x:v>
      </x:c>
      <x:c r="B6526" s="2" t="str">
        <x:v>electricity_access</x:v>
      </x:c>
      <x:c r="C6526" s="2" t="n">
        <x:v>100</x:v>
      </x:c>
      <x:c r="D6526" s="2" t="n">
        <x:v>2024</x:v>
      </x:c>
      <x:c r="E6526" s="2" t="str">
        <x:v>WB_electricity_access</x:v>
      </x:c>
      <x:c r="F6526" s="2" t="str">
        <x:v>Access to electricity (% of population)</x:v>
      </x:c>
    </x:row>
    <x:row r="6527" ht="44" customHeight="1">
      <x:c r="A6527" s="2" t="str">
        <x:v>VNM</x:v>
      </x:c>
      <x:c r="B6527" s="2" t="str">
        <x:v>irrigated_land</x:v>
      </x:c>
      <x:c r="C6527" s="2"/>
      <x:c r="D6527" s="2"/>
      <x:c r="E6527" s="2" t="str">
        <x:v>Missing</x:v>
      </x:c>
      <x:c r="F6527" s="2" t="str">
        <x:v>Agricultural irrigated land (% of total agricultural land)</x:v>
      </x:c>
    </x:row>
    <x:row r="6528" ht="44" customHeight="1">
      <x:c r="A6528" s="2" t="str">
        <x:v>VNM</x:v>
      </x:c>
      <x:c r="B6528" s="2" t="str">
        <x:v>cereal_area</x:v>
      </x:c>
      <x:c r="C6528" s="2" t="n">
        <x:v>7995586</x:v>
      </x:c>
      <x:c r="D6528" s="2" t="n">
        <x:v>2023</x:v>
      </x:c>
      <x:c r="E6528" s="2" t="str">
        <x:v>WB_cereal_area</x:v>
      </x:c>
      <x:c r="F6528" s="2" t="str">
        <x:v>Land under cereal production (hectares)</x:v>
      </x:c>
    </x:row>
    <x:row r="6529" ht="44" customHeight="1">
      <x:c r="A6529" s="2" t="str">
        <x:v>VNM</x:v>
      </x:c>
      <x:c r="B6529" s="2" t="str">
        <x:v>undernourishment</x:v>
      </x:c>
      <x:c r="C6529" s="2" t="n">
        <x:v>5.3</x:v>
      </x:c>
      <x:c r="D6529" s="2" t="n">
        <x:v>2023</x:v>
      </x:c>
      <x:c r="E6529" s="2" t="str">
        <x:v>WB_undernourishment</x:v>
      </x:c>
      <x:c r="F6529" s="2" t="str">
        <x:v>Prevalence of undernourishment (% of population)</x:v>
      </x:c>
    </x:row>
    <x:row r="6530" ht="44" customHeight="1">
      <x:c r="A6530" s="2" t="str">
        <x:v>VNM</x:v>
      </x:c>
      <x:c r="B6530" s="2" t="str">
        <x:v>agriculture_employment</x:v>
      </x:c>
      <x:c r="C6530" s="2" t="n">
        <x:v>25.0433926775449</x:v>
      </x:c>
      <x:c r="D6530" s="2" t="n">
        <x:v>2025</x:v>
      </x:c>
      <x:c r="E6530" s="2" t="str">
        <x:v>WB_agriculture_employment</x:v>
      </x:c>
      <x:c r="F6530" s="2" t="str">
        <x:v>Employment in agriculture (% of total employment) (modeled ILO estimate)</x:v>
      </x:c>
    </x:row>
    <x:row r="6531" ht="44" customHeight="1">
      <x:c r="A6531" s="2" t="str">
        <x:v>VNM</x:v>
      </x:c>
      <x:c r="B6531" s="2" t="str">
        <x:v>water_withdrawal</x:v>
      </x:c>
      <x:c r="C6531" s="2" t="n">
        <x:v>22.7761393355962</x:v>
      </x:c>
      <x:c r="D6531" s="2" t="n">
        <x:v>2022</x:v>
      </x:c>
      <x:c r="E6531" s="2" t="str">
        <x:v>WB_water_withdrawal</x:v>
      </x:c>
      <x:c r="F6531" s="2" t="str">
        <x:v>Annual freshwater withdrawals, total (% of internal resources)</x:v>
      </x:c>
    </x:row>
    <x:row r="6532" ht="44" customHeight="1">
      <x:c r="A6532" s="2" t="str">
        <x:v>YEM</x:v>
      </x:c>
      <x:c r="B6532" s="2" t="str">
        <x:v>population</x:v>
      </x:c>
      <x:c r="C6532" s="2" t="n">
        <x:v>41773878</x:v>
      </x:c>
      <x:c r="D6532" s="2" t="n">
        <x:v>2025</x:v>
      </x:c>
      <x:c r="E6532" s="2" t="str">
        <x:v>WB_population</x:v>
      </x:c>
      <x:c r="F6532" s="2" t="str">
        <x:v>Population, total</x:v>
      </x:c>
    </x:row>
    <x:row r="6533" ht="44" customHeight="1">
      <x:c r="A6533" s="2" t="str">
        <x:v>YEM</x:v>
      </x:c>
      <x:c r="B6533" s="2" t="str">
        <x:v>income_ppp</x:v>
      </x:c>
      <x:c r="C6533" s="2"/>
      <x:c r="D6533" s="2"/>
      <x:c r="E6533" s="2" t="str">
        <x:v>Missing</x:v>
      </x:c>
      <x:c r="F6533" s="2" t="str">
        <x:v>GDP per capita, PPP (constant 2021 international $)</x:v>
      </x:c>
    </x:row>
    <x:row r="6534" ht="44" customHeight="1">
      <x:c r="A6534" s="2" t="str">
        <x:v>YEM</x:v>
      </x:c>
      <x:c r="B6534" s="2" t="str">
        <x:v>urban</x:v>
      </x:c>
      <x:c r="C6534" s="2" t="n">
        <x:v>37.0336664607078</x:v>
      </x:c>
      <x:c r="D6534" s="2" t="n">
        <x:v>2025</x:v>
      </x:c>
      <x:c r="E6534" s="2" t="str">
        <x:v>WB_urban</x:v>
      </x:c>
      <x:c r="F6534" s="2" t="str">
        <x:v>Urban population (% of total population)</x:v>
      </x:c>
    </x:row>
    <x:row r="6535" ht="44" customHeight="1">
      <x:c r="A6535" s="2" t="str">
        <x:v>YEM</x:v>
      </x:c>
      <x:c r="B6535" s="2" t="str">
        <x:v>inflation</x:v>
      </x:c>
      <x:c r="C6535" s="2" t="n">
        <x:v>8.10472583623915</x:v>
      </x:c>
      <x:c r="D6535" s="2" t="n">
        <x:v>2014</x:v>
      </x:c>
      <x:c r="E6535" s="2" t="str">
        <x:v>WB_inflation</x:v>
      </x:c>
      <x:c r="F6535" s="2" t="str">
        <x:v>Inflation, consumer prices (annual %)</x:v>
      </x:c>
    </x:row>
    <x:row r="6536" ht="44" customHeight="1">
      <x:c r="A6536" s="2" t="str">
        <x:v>YEM</x:v>
      </x:c>
      <x:c r="B6536" s="2" t="str">
        <x:v>food_index</x:v>
      </x:c>
      <x:c r="C6536" s="2" t="n">
        <x:v>118.29</x:v>
      </x:c>
      <x:c r="D6536" s="2" t="n">
        <x:v>2022</x:v>
      </x:c>
      <x:c r="E6536" s="2" t="str">
        <x:v>WB_food_index</x:v>
      </x:c>
      <x:c r="F6536" s="2" t="str">
        <x:v>Food production index (2014-2016 = 100)</x:v>
      </x:c>
    </x:row>
    <x:row r="6537" ht="44" customHeight="1">
      <x:c r="A6537" s="2" t="str">
        <x:v>YEM</x:v>
      </x:c>
      <x:c r="B6537" s="2" t="str">
        <x:v>food_import_share</x:v>
      </x:c>
      <x:c r="C6537" s="2" t="n">
        <x:v>39.0913660243153</x:v>
      </x:c>
      <x:c r="D6537" s="2" t="n">
        <x:v>2019</x:v>
      </x:c>
      <x:c r="E6537" s="2" t="str">
        <x:v>WB_food_import_share</x:v>
      </x:c>
      <x:c r="F6537" s="2" t="str">
        <x:v>Food imports (% of merchandise imports)</x:v>
      </x:c>
    </x:row>
    <x:row r="6538" ht="44" customHeight="1">
      <x:c r="A6538" s="2" t="str">
        <x:v>YEM</x:v>
      </x:c>
      <x:c r="B6538" s="2" t="str">
        <x:v>food_export_share</x:v>
      </x:c>
      <x:c r="C6538" s="2" t="n">
        <x:v>99.2851482821471</x:v>
      </x:c>
      <x:c r="D6538" s="2" t="n">
        <x:v>2019</x:v>
      </x:c>
      <x:c r="E6538" s="2" t="str">
        <x:v>WB_food_export_share</x:v>
      </x:c>
      <x:c r="F6538" s="2" t="str">
        <x:v>Food exports (% of merchandise exports)</x:v>
      </x:c>
    </x:row>
    <x:row r="6539" ht="44" customHeight="1">
      <x:c r="A6539" s="2" t="str">
        <x:v>YEM</x:v>
      </x:c>
      <x:c r="B6539" s="2" t="str">
        <x:v>imports_usd</x:v>
      </x:c>
      <x:c r="C6539" s="2" t="n">
        <x:v>4649000000</x:v>
      </x:c>
      <x:c r="D6539" s="2" t="n">
        <x:v>2025</x:v>
      </x:c>
      <x:c r="E6539" s="2" t="str">
        <x:v>WB_imports_usd</x:v>
      </x:c>
      <x:c r="F6539" s="2" t="str">
        <x:v>Merchandise imports (current US$)</x:v>
      </x:c>
    </x:row>
    <x:row r="6540" ht="44" customHeight="1">
      <x:c r="A6540" s="2" t="str">
        <x:v>YEM</x:v>
      </x:c>
      <x:c r="B6540" s="2" t="str">
        <x:v>exports_usd</x:v>
      </x:c>
      <x:c r="C6540" s="2" t="n">
        <x:v>196000000</x:v>
      </x:c>
      <x:c r="D6540" s="2" t="n">
        <x:v>2025</x:v>
      </x:c>
      <x:c r="E6540" s="2" t="str">
        <x:v>WB_exports_usd</x:v>
      </x:c>
      <x:c r="F6540" s="2" t="str">
        <x:v>Merchandise exports (current US$)</x:v>
      </x:c>
    </x:row>
    <x:row r="6541" ht="44" customHeight="1">
      <x:c r="A6541" s="2" t="str">
        <x:v>YEM</x:v>
      </x:c>
      <x:c r="B6541" s="2" t="str">
        <x:v>cereal_yield</x:v>
      </x:c>
      <x:c r="C6541" s="2" t="n">
        <x:v>801.1</x:v>
      </x:c>
      <x:c r="D6541" s="2" t="n">
        <x:v>2023</x:v>
      </x:c>
      <x:c r="E6541" s="2" t="str">
        <x:v>WB_cereal_yield</x:v>
      </x:c>
      <x:c r="F6541" s="2" t="str">
        <x:v>Cereal yield (kg per hectare)</x:v>
      </x:c>
    </x:row>
    <x:row r="6542" ht="44" customHeight="1">
      <x:c r="A6542" s="2" t="str">
        <x:v>YEM</x:v>
      </x:c>
      <x:c r="B6542" s="2" t="str">
        <x:v>water_stress</x:v>
      </x:c>
      <x:c r="C6542" s="2" t="n">
        <x:v>169.7619048</x:v>
      </x:c>
      <x:c r="D6542" s="2" t="n">
        <x:v>2022</x:v>
      </x:c>
      <x:c r="E6542" s="2" t="str">
        <x:v>WB_water_stress</x:v>
      </x:c>
      <x:c r="F6542" s="2" t="str">
        <x:v>Level of water stress: freshwater withdrawal as a proportion of available freshwater resources</x:v>
      </x:c>
    </x:row>
    <x:row r="6543" ht="44" customHeight="1">
      <x:c r="A6543" s="2" t="str">
        <x:v>YEM</x:v>
      </x:c>
      <x:c r="B6543" s="2" t="str">
        <x:v>fertility</x:v>
      </x:c>
      <x:c r="C6543" s="2" t="n">
        <x:v>4.499</x:v>
      </x:c>
      <x:c r="D6543" s="2" t="n">
        <x:v>2024</x:v>
      </x:c>
      <x:c r="E6543" s="2" t="str">
        <x:v>WB_fertility</x:v>
      </x:c>
      <x:c r="F6543" s="2" t="str">
        <x:v>Fertility rate, total (births per woman)</x:v>
      </x:c>
    </x:row>
    <x:row r="6544" ht="44" customHeight="1">
      <x:c r="A6544" s="2" t="str">
        <x:v>YEM</x:v>
      </x:c>
      <x:c r="B6544" s="2" t="str">
        <x:v>life_expectancy</x:v>
      </x:c>
      <x:c r="C6544" s="2" t="n">
        <x:v>69.439</x:v>
      </x:c>
      <x:c r="D6544" s="2" t="n">
        <x:v>2024</x:v>
      </x:c>
      <x:c r="E6544" s="2" t="str">
        <x:v>WB_life_expectancy</x:v>
      </x:c>
      <x:c r="F6544" s="2" t="str">
        <x:v>Life expectancy at birth, total (years)</x:v>
      </x:c>
    </x:row>
    <x:row r="6545" ht="44" customHeight="1">
      <x:c r="A6545" s="2" t="str">
        <x:v>YEM</x:v>
      </x:c>
      <x:c r="B6545" s="2" t="str">
        <x:v>age_under15</x:v>
      </x:c>
      <x:c r="C6545" s="2" t="n">
        <x:v>41.0204008473956</x:v>
      </x:c>
      <x:c r="D6545" s="2" t="n">
        <x:v>2025</x:v>
      </x:c>
      <x:c r="E6545" s="2" t="str">
        <x:v>WB_age_under15</x:v>
      </x:c>
      <x:c r="F6545" s="2" t="str">
        <x:v>Population ages 0-14 (% of total population)</x:v>
      </x:c>
    </x:row>
    <x:row r="6546" ht="44" customHeight="1">
      <x:c r="A6546" s="2" t="str">
        <x:v>YEM</x:v>
      </x:c>
      <x:c r="B6546" s="2" t="str">
        <x:v>age_over65</x:v>
      </x:c>
      <x:c r="C6546" s="2" t="n">
        <x:v>2.54534547337627</x:v>
      </x:c>
      <x:c r="D6546" s="2" t="n">
        <x:v>2025</x:v>
      </x:c>
      <x:c r="E6546" s="2" t="str">
        <x:v>WB_age_over65</x:v>
      </x:c>
      <x:c r="F6546" s="2" t="str">
        <x:v>Population ages 65 and above (% of total population)</x:v>
      </x:c>
    </x:row>
    <x:row r="6547" ht="44" customHeight="1">
      <x:c r="A6547" s="2" t="str">
        <x:v>YEM</x:v>
      </x:c>
      <x:c r="B6547" s="2" t="str">
        <x:v>dependency_ratio</x:v>
      </x:c>
      <x:c r="C6547" s="2" t="n">
        <x:v>77.1973485559311</x:v>
      </x:c>
      <x:c r="D6547" s="2" t="n">
        <x:v>2025</x:v>
      </x:c>
      <x:c r="E6547" s="2" t="str">
        <x:v>WB_dependency_ratio</x:v>
      </x:c>
      <x:c r="F6547" s="2" t="str">
        <x:v>Age dependency ratio (% of working-age population)</x:v>
      </x:c>
    </x:row>
    <x:row r="6548" ht="44" customHeight="1">
      <x:c r="A6548" s="2" t="str">
        <x:v>YEM</x:v>
      </x:c>
      <x:c r="B6548" s="2" t="str">
        <x:v>net_migration</x:v>
      </x:c>
      <x:c r="C6548" s="2" t="n">
        <x:v>-16291</x:v>
      </x:c>
      <x:c r="D6548" s="2" t="n">
        <x:v>2025</x:v>
      </x:c>
      <x:c r="E6548" s="2" t="str">
        <x:v>WB_net_migration</x:v>
      </x:c>
      <x:c r="F6548" s="2" t="str">
        <x:v>Net migration</x:v>
      </x:c>
    </x:row>
    <x:row r="6549" ht="44" customHeight="1">
      <x:c r="A6549" s="2" t="str">
        <x:v>YEM</x:v>
      </x:c>
      <x:c r="B6549" s="2" t="str">
        <x:v>real_gdp</x:v>
      </x:c>
      <x:c r="C6549" s="2" t="n">
        <x:v>36789138480.0859</x:v>
      </x:c>
      <x:c r="D6549" s="2" t="n">
        <x:v>2018</x:v>
      </x:c>
      <x:c r="E6549" s="2" t="str">
        <x:v>WB_real_gdp</x:v>
      </x:c>
      <x:c r="F6549" s="2" t="str">
        <x:v>GDP (constant 2015 US$)</x:v>
      </x:c>
    </x:row>
    <x:row r="6550" ht="44" customHeight="1">
      <x:c r="A6550" s="2" t="str">
        <x:v>YEM</x:v>
      </x:c>
      <x:c r="B6550" s="2" t="str">
        <x:v>gdp_growth</x:v>
      </x:c>
      <x:c r="C6550" s="2" t="n">
        <x:v>0.752447592962554</x:v>
      </x:c>
      <x:c r="D6550" s="2" t="n">
        <x:v>2018</x:v>
      </x:c>
      <x:c r="E6550" s="2" t="str">
        <x:v>WB_gdp_growth</x:v>
      </x:c>
      <x:c r="F6550" s="2" t="str">
        <x:v>GDP growth (annual %)</x:v>
      </x:c>
    </x:row>
    <x:row r="6551" ht="44" customHeight="1">
      <x:c r="A6551" s="2" t="str">
        <x:v>YEM</x:v>
      </x:c>
      <x:c r="B6551" s="2" t="str">
        <x:v>real_income</x:v>
      </x:c>
      <x:c r="C6551" s="2" t="n">
        <x:v>1079.32938366255</x:v>
      </x:c>
      <x:c r="D6551" s="2" t="n">
        <x:v>2018</x:v>
      </x:c>
      <x:c r="E6551" s="2" t="str">
        <x:v>WB_real_income</x:v>
      </x:c>
      <x:c r="F6551" s="2" t="str">
        <x:v>GDP per capita (constant 2015 US$)</x:v>
      </x:c>
    </x:row>
    <x:row r="6552" ht="44" customHeight="1">
      <x:c r="A6552" s="2" t="str">
        <x:v>YEM</x:v>
      </x:c>
      <x:c r="B6552" s="2" t="str">
        <x:v>agriculture_gdp</x:v>
      </x:c>
      <x:c r="C6552" s="2" t="n">
        <x:v>28.7451403146812</x:v>
      </x:c>
      <x:c r="D6552" s="2" t="n">
        <x:v>2018</x:v>
      </x:c>
      <x:c r="E6552" s="2" t="str">
        <x:v>WB_agriculture_gdp</x:v>
      </x:c>
      <x:c r="F6552" s="2" t="str">
        <x:v>Agriculture, forestry, and fishing, value added (% of GDP)</x:v>
      </x:c>
    </x:row>
    <x:row r="6553" ht="44" customHeight="1">
      <x:c r="A6553" s="2" t="str">
        <x:v>YEM</x:v>
      </x:c>
      <x:c r="B6553" s="2" t="str">
        <x:v>poverty</x:v>
      </x:c>
      <x:c r="C6553" s="2" t="n">
        <x:v>33.3</x:v>
      </x:c>
      <x:c r="D6553" s="2" t="n">
        <x:v>2014</x:v>
      </x:c>
      <x:c r="E6553" s="2" t="str">
        <x:v>WB_poverty</x:v>
      </x:c>
      <x:c r="F6553" s="2" t="str">
        <x:v>Poverty headcount ratio at $3.00 a day (2021 PPP) (% of population)</x:v>
      </x:c>
    </x:row>
    <x:row r="6554" ht="44" customHeight="1">
      <x:c r="A6554" s="2" t="str">
        <x:v>YEM</x:v>
      </x:c>
      <x:c r="B6554" s="2" t="str">
        <x:v>gini</x:v>
      </x:c>
      <x:c r="C6554" s="2" t="n">
        <x:v>36.7</x:v>
      </x:c>
      <x:c r="D6554" s="2" t="n">
        <x:v>2014</x:v>
      </x:c>
      <x:c r="E6554" s="2" t="str">
        <x:v>WB_gini</x:v>
      </x:c>
      <x:c r="F6554" s="2" t="str">
        <x:v>Gini index</x:v>
      </x:c>
    </x:row>
    <x:row r="6555" ht="44" customHeight="1">
      <x:c r="A6555" s="2" t="str">
        <x:v>YEM</x:v>
      </x:c>
      <x:c r="B6555" s="2" t="str">
        <x:v>unemployment</x:v>
      </x:c>
      <x:c r="C6555" s="2" t="n">
        <x:v>17.322</x:v>
      </x:c>
      <x:c r="D6555" s="2" t="n">
        <x:v>2025</x:v>
      </x:c>
      <x:c r="E6555" s="2" t="str">
        <x:v>WB_unemployment</x:v>
      </x:c>
      <x:c r="F6555" s="2" t="str">
        <x:v>Unemployment, total (% of total labor force) (modeled ILO estimate)</x:v>
      </x:c>
    </x:row>
    <x:row r="6556" ht="44" customHeight="1">
      <x:c r="A6556" s="2" t="str">
        <x:v>YEM</x:v>
      </x:c>
      <x:c r="B6556" s="2" t="str">
        <x:v>private_credit</x:v>
      </x:c>
      <x:c r="C6556" s="2" t="n">
        <x:v>5.63671954137487</x:v>
      </x:c>
      <x:c r="D6556" s="2" t="n">
        <x:v>2013</x:v>
      </x:c>
      <x:c r="E6556" s="2" t="str">
        <x:v>WB_private_credit</x:v>
      </x:c>
      <x:c r="F6556" s="2" t="str">
        <x:v>Domestic credit to private sector (% of GDP)</x:v>
      </x:c>
    </x:row>
    <x:row r="6557" ht="44" customHeight="1">
      <x:c r="A6557" s="2" t="str">
        <x:v>YEM</x:v>
      </x:c>
      <x:c r="B6557" s="2" t="str">
        <x:v>lending_rate</x:v>
      </x:c>
      <x:c r="C6557" s="2" t="n">
        <x:v>22.0833333333333</x:v>
      </x:c>
      <x:c r="D6557" s="2" t="n">
        <x:v>2013</x:v>
      </x:c>
      <x:c r="E6557" s="2" t="str">
        <x:v>WB_lending_rate</x:v>
      </x:c>
      <x:c r="F6557" s="2" t="str">
        <x:v>Lending interest rate (%)</x:v>
      </x:c>
    </x:row>
    <x:row r="6558" ht="44" customHeight="1">
      <x:c r="A6558" s="2" t="str">
        <x:v>YEM</x:v>
      </x:c>
      <x:c r="B6558" s="2" t="str">
        <x:v>real_interest</x:v>
      </x:c>
      <x:c r="C6558" s="2" t="n">
        <x:v>11.7887549277275</x:v>
      </x:c>
      <x:c r="D6558" s="2" t="n">
        <x:v>2013</x:v>
      </x:c>
      <x:c r="E6558" s="2" t="str">
        <x:v>WB_real_interest</x:v>
      </x:c>
      <x:c r="F6558" s="2" t="str">
        <x:v>Real interest rate (%)</x:v>
      </x:c>
    </x:row>
    <x:row r="6559" ht="44" customHeight="1">
      <x:c r="A6559" s="2" t="str">
        <x:v>YEM</x:v>
      </x:c>
      <x:c r="B6559" s="2" t="str">
        <x:v>government_debt</x:v>
      </x:c>
      <x:c r="C6559" s="2"/>
      <x:c r="D6559" s="2"/>
      <x:c r="E6559" s="2" t="str">
        <x:v>Missing</x:v>
      </x:c>
      <x:c r="F6559" s="2" t="str">
        <x:v>Central government debt, total (% of GDP)</x:v>
      </x:c>
    </x:row>
    <x:row r="6560" ht="44" customHeight="1">
      <x:c r="A6560" s="2" t="str">
        <x:v>YEM</x:v>
      </x:c>
      <x:c r="B6560" s="2" t="str">
        <x:v>electricity_access</x:v>
      </x:c>
      <x:c r="C6560" s="2" t="n">
        <x:v>86.3</x:v>
      </x:c>
      <x:c r="D6560" s="2" t="n">
        <x:v>2024</x:v>
      </x:c>
      <x:c r="E6560" s="2" t="str">
        <x:v>WB_electricity_access</x:v>
      </x:c>
      <x:c r="F6560" s="2" t="str">
        <x:v>Access to electricity (% of population)</x:v>
      </x:c>
    </x:row>
    <x:row r="6561" ht="44" customHeight="1">
      <x:c r="A6561" s="2" t="str">
        <x:v>YEM</x:v>
      </x:c>
      <x:c r="B6561" s="2" t="str">
        <x:v>irrigated_land</x:v>
      </x:c>
      <x:c r="C6561" s="2"/>
      <x:c r="D6561" s="2"/>
      <x:c r="E6561" s="2" t="str">
        <x:v>Missing</x:v>
      </x:c>
      <x:c r="F6561" s="2" t="str">
        <x:v>Agricultural irrigated land (% of total agricultural land)</x:v>
      </x:c>
    </x:row>
    <x:row r="6562" ht="44" customHeight="1">
      <x:c r="A6562" s="2" t="str">
        <x:v>YEM</x:v>
      </x:c>
      <x:c r="B6562" s="2" t="str">
        <x:v>cereal_area</x:v>
      </x:c>
      <x:c r="C6562" s="2" t="n">
        <x:v>543000</x:v>
      </x:c>
      <x:c r="D6562" s="2" t="n">
        <x:v>2023</x:v>
      </x:c>
      <x:c r="E6562" s="2" t="str">
        <x:v>WB_cereal_area</x:v>
      </x:c>
      <x:c r="F6562" s="2" t="str">
        <x:v>Land under cereal production (hectares)</x:v>
      </x:c>
    </x:row>
    <x:row r="6563" ht="44" customHeight="1">
      <x:c r="A6563" s="2" t="str">
        <x:v>YEM</x:v>
      </x:c>
      <x:c r="B6563" s="2" t="str">
        <x:v>undernourishment</x:v>
      </x:c>
      <x:c r="C6563" s="2"/>
      <x:c r="D6563" s="2"/>
      <x:c r="E6563" s="2" t="str">
        <x:v>Missing</x:v>
      </x:c>
      <x:c r="F6563" s="2" t="str">
        <x:v>Prevalence of undernourishment (% of population)</x:v>
      </x:c>
    </x:row>
    <x:row r="6564" ht="44" customHeight="1">
      <x:c r="A6564" s="2" t="str">
        <x:v>YEM</x:v>
      </x:c>
      <x:c r="B6564" s="2" t="str">
        <x:v>agriculture_employment</x:v>
      </x:c>
      <x:c r="C6564" s="2" t="n">
        <x:v>31.6169333772096</x:v>
      </x:c>
      <x:c r="D6564" s="2" t="n">
        <x:v>2025</x:v>
      </x:c>
      <x:c r="E6564" s="2" t="str">
        <x:v>WB_agriculture_employment</x:v>
      </x:c>
      <x:c r="F6564" s="2" t="str">
        <x:v>Employment in agriculture (% of total employment) (modeled ILO estimate)</x:v>
      </x:c>
    </x:row>
    <x:row r="6565" ht="44" customHeight="1">
      <x:c r="A6565" s="2" t="str">
        <x:v>YEM</x:v>
      </x:c>
      <x:c r="B6565" s="2" t="str">
        <x:v>water_withdrawal</x:v>
      </x:c>
      <x:c r="C6565" s="2" t="n">
        <x:v>169.761904761905</x:v>
      </x:c>
      <x:c r="D6565" s="2" t="n">
        <x:v>2022</x:v>
      </x:c>
      <x:c r="E6565" s="2" t="str">
        <x:v>WB_water_withdrawal</x:v>
      </x:c>
      <x:c r="F6565" s="2" t="str">
        <x:v>Annual freshwater withdrawals, total (% of internal resources)</x:v>
      </x:c>
    </x:row>
    <x:row r="6566" ht="44" customHeight="1">
      <x:c r="A6566" s="2" t="str">
        <x:v>ZMB</x:v>
      </x:c>
      <x:c r="B6566" s="2" t="str">
        <x:v>population</x:v>
      </x:c>
      <x:c r="C6566" s="2" t="n">
        <x:v>21913874</x:v>
      </x:c>
      <x:c r="D6566" s="2" t="n">
        <x:v>2025</x:v>
      </x:c>
      <x:c r="E6566" s="2" t="str">
        <x:v>WB_population</x:v>
      </x:c>
      <x:c r="F6566" s="2" t="str">
        <x:v>Population, total</x:v>
      </x:c>
    </x:row>
    <x:row r="6567" ht="44" customHeight="1">
      <x:c r="A6567" s="2" t="str">
        <x:v>ZMB</x:v>
      </x:c>
      <x:c r="B6567" s="2" t="str">
        <x:v>income_ppp</x:v>
      </x:c>
      <x:c r="C6567" s="2" t="n">
        <x:v>3742.25646316492</x:v>
      </x:c>
      <x:c r="D6567" s="2" t="n">
        <x:v>2025</x:v>
      </x:c>
      <x:c r="E6567" s="2" t="str">
        <x:v>WB_income_ppp</x:v>
      </x:c>
      <x:c r="F6567" s="2" t="str">
        <x:v>GDP per capita, PPP (constant 2021 international $)</x:v>
      </x:c>
    </x:row>
    <x:row r="6568" ht="44" customHeight="1">
      <x:c r="A6568" s="2" t="str">
        <x:v>ZMB</x:v>
      </x:c>
      <x:c r="B6568" s="2" t="str">
        <x:v>urban</x:v>
      </x:c>
      <x:c r="C6568" s="2" t="n">
        <x:v>45.9171510161461</x:v>
      </x:c>
      <x:c r="D6568" s="2" t="n">
        <x:v>2025</x:v>
      </x:c>
      <x:c r="E6568" s="2" t="str">
        <x:v>WB_urban</x:v>
      </x:c>
      <x:c r="F6568" s="2" t="str">
        <x:v>Urban population (% of total population)</x:v>
      </x:c>
    </x:row>
    <x:row r="6569" ht="44" customHeight="1">
      <x:c r="A6569" s="2" t="str">
        <x:v>ZMB</x:v>
      </x:c>
      <x:c r="B6569" s="2" t="str">
        <x:v>inflation</x:v>
      </x:c>
      <x:c r="C6569" s="2" t="n">
        <x:v>13.9099095827735</x:v>
      </x:c>
      <x:c r="D6569" s="2" t="n">
        <x:v>2025</x:v>
      </x:c>
      <x:c r="E6569" s="2" t="str">
        <x:v>WB_inflation</x:v>
      </x:c>
      <x:c r="F6569" s="2" t="str">
        <x:v>Inflation, consumer prices (annual %)</x:v>
      </x:c>
    </x:row>
    <x:row r="6570" ht="44" customHeight="1">
      <x:c r="A6570" s="2" t="str">
        <x:v>ZMB</x:v>
      </x:c>
      <x:c r="B6570" s="2" t="str">
        <x:v>food_index</x:v>
      </x:c>
      <x:c r="C6570" s="2" t="n">
        <x:v>119.91</x:v>
      </x:c>
      <x:c r="D6570" s="2" t="n">
        <x:v>2022</x:v>
      </x:c>
      <x:c r="E6570" s="2" t="str">
        <x:v>WB_food_index</x:v>
      </x:c>
      <x:c r="F6570" s="2" t="str">
        <x:v>Food production index (2014-2016 = 100)</x:v>
      </x:c>
    </x:row>
    <x:row r="6571" ht="44" customHeight="1">
      <x:c r="A6571" s="2" t="str">
        <x:v>ZMB</x:v>
      </x:c>
      <x:c r="B6571" s="2" t="str">
        <x:v>food_import_share</x:v>
      </x:c>
      <x:c r="C6571" s="2" t="n">
        <x:v>7.83076143578051</x:v>
      </x:c>
      <x:c r="D6571" s="2" t="n">
        <x:v>2024</x:v>
      </x:c>
      <x:c r="E6571" s="2" t="str">
        <x:v>WB_food_import_share</x:v>
      </x:c>
      <x:c r="F6571" s="2" t="str">
        <x:v>Food imports (% of merchandise imports)</x:v>
      </x:c>
    </x:row>
    <x:row r="6572" ht="44" customHeight="1">
      <x:c r="A6572" s="2" t="str">
        <x:v>ZMB</x:v>
      </x:c>
      <x:c r="B6572" s="2" t="str">
        <x:v>food_export_share</x:v>
      </x:c>
      <x:c r="C6572" s="2" t="n">
        <x:v>8.74864770469916</x:v>
      </x:c>
      <x:c r="D6572" s="2" t="n">
        <x:v>2024</x:v>
      </x:c>
      <x:c r="E6572" s="2" t="str">
        <x:v>WB_food_export_share</x:v>
      </x:c>
      <x:c r="F6572" s="2" t="str">
        <x:v>Food exports (% of merchandise exports)</x:v>
      </x:c>
    </x:row>
    <x:row r="6573" ht="44" customHeight="1">
      <x:c r="A6573" s="2" t="str">
        <x:v>ZMB</x:v>
      </x:c>
      <x:c r="B6573" s="2" t="str">
        <x:v>imports_usd</x:v>
      </x:c>
      <x:c r="C6573" s="2" t="n">
        <x:v>13171000000</x:v>
      </x:c>
      <x:c r="D6573" s="2" t="n">
        <x:v>2025</x:v>
      </x:c>
      <x:c r="E6573" s="2" t="str">
        <x:v>WB_imports_usd</x:v>
      </x:c>
      <x:c r="F6573" s="2" t="str">
        <x:v>Merchandise imports (current US$)</x:v>
      </x:c>
    </x:row>
    <x:row r="6574" ht="44" customHeight="1">
      <x:c r="A6574" s="2" t="str">
        <x:v>ZMB</x:v>
      </x:c>
      <x:c r="B6574" s="2" t="str">
        <x:v>exports_usd</x:v>
      </x:c>
      <x:c r="C6574" s="2" t="n">
        <x:v>13314000000</x:v>
      </x:c>
      <x:c r="D6574" s="2" t="n">
        <x:v>2025</x:v>
      </x:c>
      <x:c r="E6574" s="2" t="str">
        <x:v>WB_exports_usd</x:v>
      </x:c>
      <x:c r="F6574" s="2" t="str">
        <x:v>Merchandise exports (current US$)</x:v>
      </x:c>
    </x:row>
    <x:row r="6575" ht="44" customHeight="1">
      <x:c r="A6575" s="2" t="str">
        <x:v>ZMB</x:v>
      </x:c>
      <x:c r="B6575" s="2" t="str">
        <x:v>cereal_yield</x:v>
      </x:c>
      <x:c r="C6575" s="2" t="n">
        <x:v>2343.8</x:v>
      </x:c>
      <x:c r="D6575" s="2" t="n">
        <x:v>2023</x:v>
      </x:c>
      <x:c r="E6575" s="2" t="str">
        <x:v>WB_cereal_yield</x:v>
      </x:c>
      <x:c r="F6575" s="2" t="str">
        <x:v>Cereal yield (kg per hectare)</x:v>
      </x:c>
    </x:row>
    <x:row r="6576" ht="44" customHeight="1">
      <x:c r="A6576" s="2" t="str">
        <x:v>ZMB</x:v>
      </x:c>
      <x:c r="B6576" s="2" t="str">
        <x:v>water_stress</x:v>
      </x:c>
      <x:c r="C6576" s="2" t="n">
        <x:v>2.835497836</x:v>
      </x:c>
      <x:c r="D6576" s="2" t="n">
        <x:v>2022</x:v>
      </x:c>
      <x:c r="E6576" s="2" t="str">
        <x:v>WB_water_stress</x:v>
      </x:c>
      <x:c r="F6576" s="2" t="str">
        <x:v>Level of water stress: freshwater withdrawal as a proportion of available freshwater resources</x:v>
      </x:c>
    </x:row>
    <x:row r="6577" ht="44" customHeight="1">
      <x:c r="A6577" s="2" t="str">
        <x:v>ZMB</x:v>
      </x:c>
      <x:c r="B6577" s="2" t="str">
        <x:v>fertility</x:v>
      </x:c>
      <x:c r="C6577" s="2" t="n">
        <x:v>4.036</x:v>
      </x:c>
      <x:c r="D6577" s="2" t="n">
        <x:v>2024</x:v>
      </x:c>
      <x:c r="E6577" s="2" t="str">
        <x:v>WB_fertility</x:v>
      </x:c>
      <x:c r="F6577" s="2" t="str">
        <x:v>Fertility rate, total (births per woman)</x:v>
      </x:c>
    </x:row>
    <x:row r="6578" ht="44" customHeight="1">
      <x:c r="A6578" s="2" t="str">
        <x:v>ZMB</x:v>
      </x:c>
      <x:c r="B6578" s="2" t="str">
        <x:v>life_expectancy</x:v>
      </x:c>
      <x:c r="C6578" s="2" t="n">
        <x:v>66.528</x:v>
      </x:c>
      <x:c r="D6578" s="2" t="n">
        <x:v>2024</x:v>
      </x:c>
      <x:c r="E6578" s="2" t="str">
        <x:v>WB_life_expectancy</x:v>
      </x:c>
      <x:c r="F6578" s="2" t="str">
        <x:v>Life expectancy at birth, total (years)</x:v>
      </x:c>
    </x:row>
    <x:row r="6579" ht="44" customHeight="1">
      <x:c r="A6579" s="2" t="str">
        <x:v>ZMB</x:v>
      </x:c>
      <x:c r="B6579" s="2" t="str">
        <x:v>age_under15</x:v>
      </x:c>
      <x:c r="C6579" s="2" t="n">
        <x:v>40.9710213721225</x:v>
      </x:c>
      <x:c r="D6579" s="2" t="n">
        <x:v>2025</x:v>
      </x:c>
      <x:c r="E6579" s="2" t="str">
        <x:v>WB_age_under15</x:v>
      </x:c>
      <x:c r="F6579" s="2" t="str">
        <x:v>Population ages 0-14 (% of total population)</x:v>
      </x:c>
    </x:row>
    <x:row r="6580" ht="44" customHeight="1">
      <x:c r="A6580" s="2" t="str">
        <x:v>ZMB</x:v>
      </x:c>
      <x:c r="B6580" s="2" t="str">
        <x:v>age_over65</x:v>
      </x:c>
      <x:c r="C6580" s="2" t="n">
        <x:v>2.00005028777659</x:v>
      </x:c>
      <x:c r="D6580" s="2" t="n">
        <x:v>2025</x:v>
      </x:c>
      <x:c r="E6580" s="2" t="str">
        <x:v>WB_age_over65</x:v>
      </x:c>
      <x:c r="F6580" s="2" t="str">
        <x:v>Population ages 65 and above (% of total population)</x:v>
      </x:c>
    </x:row>
    <x:row r="6581" ht="44" customHeight="1">
      <x:c r="A6581" s="2" t="str">
        <x:v>ZMB</x:v>
      </x:c>
      <x:c r="B6581" s="2" t="str">
        <x:v>dependency_ratio</x:v>
      </x:c>
      <x:c r="C6581" s="2" t="n">
        <x:v>75.3495969672683</x:v>
      </x:c>
      <x:c r="D6581" s="2" t="n">
        <x:v>2025</x:v>
      </x:c>
      <x:c r="E6581" s="2" t="str">
        <x:v>WB_dependency_ratio</x:v>
      </x:c>
      <x:c r="F6581" s="2" t="str">
        <x:v>Age dependency ratio (% of working-age population)</x:v>
      </x:c>
    </x:row>
    <x:row r="6582" ht="44" customHeight="1">
      <x:c r="A6582" s="2" t="str">
        <x:v>ZMB</x:v>
      </x:c>
      <x:c r="B6582" s="2" t="str">
        <x:v>net_migration</x:v>
      </x:c>
      <x:c r="C6582" s="2" t="n">
        <x:v>6562</x:v>
      </x:c>
      <x:c r="D6582" s="2" t="n">
        <x:v>2025</x:v>
      </x:c>
      <x:c r="E6582" s="2" t="str">
        <x:v>WB_net_migration</x:v>
      </x:c>
      <x:c r="F6582" s="2" t="str">
        <x:v>Net migration</x:v>
      </x:c>
    </x:row>
    <x:row r="6583" ht="44" customHeight="1">
      <x:c r="A6583" s="2" t="str">
        <x:v>ZMB</x:v>
      </x:c>
      <x:c r="B6583" s="2" t="str">
        <x:v>real_gdp</x:v>
      </x:c>
      <x:c r="C6583" s="2" t="n">
        <x:v>29710290472.2068</x:v>
      </x:c>
      <x:c r="D6583" s="2" t="n">
        <x:v>2025</x:v>
      </x:c>
      <x:c r="E6583" s="2" t="str">
        <x:v>WB_real_gdp</x:v>
      </x:c>
      <x:c r="F6583" s="2" t="str">
        <x:v>GDP (constant 2015 US$)</x:v>
      </x:c>
    </x:row>
    <x:row r="6584" ht="44" customHeight="1">
      <x:c r="A6584" s="2" t="str">
        <x:v>ZMB</x:v>
      </x:c>
      <x:c r="B6584" s="2" t="str">
        <x:v>gdp_growth</x:v>
      </x:c>
      <x:c r="C6584" s="2" t="n">
        <x:v>3.75772836763902</x:v>
      </x:c>
      <x:c r="D6584" s="2" t="n">
        <x:v>2025</x:v>
      </x:c>
      <x:c r="E6584" s="2" t="str">
        <x:v>WB_gdp_growth</x:v>
      </x:c>
      <x:c r="F6584" s="2" t="str">
        <x:v>GDP growth (annual %)</x:v>
      </x:c>
    </x:row>
    <x:row r="6585" ht="44" customHeight="1">
      <x:c r="A6585" s="2" t="str">
        <x:v>ZMB</x:v>
      </x:c>
      <x:c r="B6585" s="2" t="str">
        <x:v>real_income</x:v>
      </x:c>
      <x:c r="C6585" s="2" t="n">
        <x:v>1355.77536277733</x:v>
      </x:c>
      <x:c r="D6585" s="2" t="n">
        <x:v>2025</x:v>
      </x:c>
      <x:c r="E6585" s="2" t="str">
        <x:v>WB_real_income</x:v>
      </x:c>
      <x:c r="F6585" s="2" t="str">
        <x:v>GDP per capita (constant 2015 US$)</x:v>
      </x:c>
    </x:row>
    <x:row r="6586" ht="44" customHeight="1">
      <x:c r="A6586" s="2" t="str">
        <x:v>ZMB</x:v>
      </x:c>
      <x:c r="B6586" s="2" t="str">
        <x:v>agriculture_gdp</x:v>
      </x:c>
      <x:c r="C6586" s="2" t="n">
        <x:v>4.10574926168725</x:v>
      </x:c>
      <x:c r="D6586" s="2" t="n">
        <x:v>2025</x:v>
      </x:c>
      <x:c r="E6586" s="2" t="str">
        <x:v>WB_agriculture_gdp</x:v>
      </x:c>
      <x:c r="F6586" s="2" t="str">
        <x:v>Agriculture, forestry, and fishing, value added (% of GDP)</x:v>
      </x:c>
    </x:row>
    <x:row r="6587" ht="44" customHeight="1">
      <x:c r="A6587" s="2" t="str">
        <x:v>ZMB</x:v>
      </x:c>
      <x:c r="B6587" s="2" t="str">
        <x:v>poverty</x:v>
      </x:c>
      <x:c r="C6587" s="2" t="n">
        <x:v>71.7</x:v>
      </x:c>
      <x:c r="D6587" s="2" t="n">
        <x:v>2022</x:v>
      </x:c>
      <x:c r="E6587" s="2" t="str">
        <x:v>WB_poverty</x:v>
      </x:c>
      <x:c r="F6587" s="2" t="str">
        <x:v>Poverty headcount ratio at $3.00 a day (2021 PPP) (% of population)</x:v>
      </x:c>
    </x:row>
    <x:row r="6588" ht="44" customHeight="1">
      <x:c r="A6588" s="2" t="str">
        <x:v>ZMB</x:v>
      </x:c>
      <x:c r="B6588" s="2" t="str">
        <x:v>gini</x:v>
      </x:c>
      <x:c r="C6588" s="2" t="n">
        <x:v>51.5</x:v>
      </x:c>
      <x:c r="D6588" s="2" t="n">
        <x:v>2022</x:v>
      </x:c>
      <x:c r="E6588" s="2" t="str">
        <x:v>WB_gini</x:v>
      </x:c>
      <x:c r="F6588" s="2" t="str">
        <x:v>Gini index</x:v>
      </x:c>
    </x:row>
    <x:row r="6589" ht="44" customHeight="1">
      <x:c r="A6589" s="2" t="str">
        <x:v>ZMB</x:v>
      </x:c>
      <x:c r="B6589" s="2" t="str">
        <x:v>unemployment</x:v>
      </x:c>
      <x:c r="C6589" s="2" t="n">
        <x:v>5.918</x:v>
      </x:c>
      <x:c r="D6589" s="2" t="n">
        <x:v>2025</x:v>
      </x:c>
      <x:c r="E6589" s="2" t="str">
        <x:v>WB_unemployment</x:v>
      </x:c>
      <x:c r="F6589" s="2" t="str">
        <x:v>Unemployment, total (% of total labor force) (modeled ILO estimate)</x:v>
      </x:c>
    </x:row>
    <x:row r="6590" ht="44" customHeight="1">
      <x:c r="A6590" s="2" t="str">
        <x:v>ZMB</x:v>
      </x:c>
      <x:c r="B6590" s="2" t="str">
        <x:v>private_credit</x:v>
      </x:c>
      <x:c r="C6590" s="2" t="n">
        <x:v>17.0073799722572</x:v>
      </x:c>
      <x:c r="D6590" s="2" t="n">
        <x:v>2024</x:v>
      </x:c>
      <x:c r="E6590" s="2" t="str">
        <x:v>WB_private_credit</x:v>
      </x:c>
      <x:c r="F6590" s="2" t="str">
        <x:v>Domestic credit to private sector (% of GDP)</x:v>
      </x:c>
    </x:row>
    <x:row r="6591" ht="44" customHeight="1">
      <x:c r="A6591" s="2" t="str">
        <x:v>ZMB</x:v>
      </x:c>
      <x:c r="B6591" s="2" t="str">
        <x:v>lending_rate</x:v>
      </x:c>
      <x:c r="C6591" s="2" t="n">
        <x:v>9.47916666666667</x:v>
      </x:c>
      <x:c r="D6591" s="2" t="n">
        <x:v>2020</x:v>
      </x:c>
      <x:c r="E6591" s="2" t="str">
        <x:v>WB_lending_rate</x:v>
      </x:c>
      <x:c r="F6591" s="2" t="str">
        <x:v>Lending interest rate (%)</x:v>
      </x:c>
    </x:row>
    <x:row r="6592" ht="44" customHeight="1">
      <x:c r="A6592" s="2" t="str">
        <x:v>ZMB</x:v>
      </x:c>
      <x:c r="B6592" s="2" t="str">
        <x:v>real_interest</x:v>
      </x:c>
      <x:c r="C6592" s="2" t="n">
        <x:v>-3.89303245264567</x:v>
      </x:c>
      <x:c r="D6592" s="2" t="n">
        <x:v>2020</x:v>
      </x:c>
      <x:c r="E6592" s="2" t="str">
        <x:v>WB_real_interest</x:v>
      </x:c>
      <x:c r="F6592" s="2" t="str">
        <x:v>Real interest rate (%)</x:v>
      </x:c>
    </x:row>
    <x:row r="6593" ht="44" customHeight="1">
      <x:c r="A6593" s="2" t="str">
        <x:v>ZMB</x:v>
      </x:c>
      <x:c r="B6593" s="2" t="str">
        <x:v>government_debt</x:v>
      </x:c>
      <x:c r="C6593" s="2" t="n">
        <x:v>71.4111761686383</x:v>
      </x:c>
      <x:c r="D6593" s="2" t="n">
        <x:v>2021</x:v>
      </x:c>
      <x:c r="E6593" s="2" t="str">
        <x:v>WB_government_debt</x:v>
      </x:c>
      <x:c r="F6593" s="2" t="str">
        <x:v>Central government debt, total (% of GDP)</x:v>
      </x:c>
    </x:row>
    <x:row r="6594" ht="44" customHeight="1">
      <x:c r="A6594" s="2" t="str">
        <x:v>ZMB</x:v>
      </x:c>
      <x:c r="B6594" s="2" t="str">
        <x:v>electricity_access</x:v>
      </x:c>
      <x:c r="C6594" s="2" t="n">
        <x:v>53.6</x:v>
      </x:c>
      <x:c r="D6594" s="2" t="n">
        <x:v>2024</x:v>
      </x:c>
      <x:c r="E6594" s="2" t="str">
        <x:v>WB_electricity_access</x:v>
      </x:c>
      <x:c r="F6594" s="2" t="str">
        <x:v>Access to electricity (% of population)</x:v>
      </x:c>
    </x:row>
    <x:row r="6595" ht="44" customHeight="1">
      <x:c r="A6595" s="2" t="str">
        <x:v>ZMB</x:v>
      </x:c>
      <x:c r="B6595" s="2" t="str">
        <x:v>irrigated_land</x:v>
      </x:c>
      <x:c r="C6595" s="2"/>
      <x:c r="D6595" s="2"/>
      <x:c r="E6595" s="2" t="str">
        <x:v>Missing</x:v>
      </x:c>
      <x:c r="F6595" s="2" t="str">
        <x:v>Agricultural irrigated land (% of total agricultural land)</x:v>
      </x:c>
    </x:row>
    <x:row r="6596" ht="44" customHeight="1">
      <x:c r="A6596" s="2" t="str">
        <x:v>ZMB</x:v>
      </x:c>
      <x:c r="B6596" s="2" t="str">
        <x:v>cereal_area</x:v>
      </x:c>
      <x:c r="C6596" s="2" t="n">
        <x:v>1561098</x:v>
      </x:c>
      <x:c r="D6596" s="2" t="n">
        <x:v>2023</x:v>
      </x:c>
      <x:c r="E6596" s="2" t="str">
        <x:v>WB_cereal_area</x:v>
      </x:c>
      <x:c r="F6596" s="2" t="str">
        <x:v>Land under cereal production (hectares)</x:v>
      </x:c>
    </x:row>
    <x:row r="6597" ht="44" customHeight="1">
      <x:c r="A6597" s="2" t="str">
        <x:v>ZMB</x:v>
      </x:c>
      <x:c r="B6597" s="2" t="str">
        <x:v>undernourishment</x:v>
      </x:c>
      <x:c r="C6597" s="2" t="n">
        <x:v>37.2</x:v>
      </x:c>
      <x:c r="D6597" s="2" t="n">
        <x:v>2023</x:v>
      </x:c>
      <x:c r="E6597" s="2" t="str">
        <x:v>WB_undernourishment</x:v>
      </x:c>
      <x:c r="F6597" s="2" t="str">
        <x:v>Prevalence of undernourishment (% of population)</x:v>
      </x:c>
    </x:row>
    <x:row r="6598" ht="44" customHeight="1">
      <x:c r="A6598" s="2" t="str">
        <x:v>ZMB</x:v>
      </x:c>
      <x:c r="B6598" s="2" t="str">
        <x:v>agriculture_employment</x:v>
      </x:c>
      <x:c r="C6598" s="2" t="n">
        <x:v>54.5286060377699</x:v>
      </x:c>
      <x:c r="D6598" s="2" t="n">
        <x:v>2025</x:v>
      </x:c>
      <x:c r="E6598" s="2" t="str">
        <x:v>WB_agriculture_employment</x:v>
      </x:c>
      <x:c r="F6598" s="2" t="str">
        <x:v>Employment in agriculture (% of total employment) (modeled ILO estimate)</x:v>
      </x:c>
    </x:row>
    <x:row r="6599" ht="44" customHeight="1">
      <x:c r="A6599" s="2" t="str">
        <x:v>ZMB</x:v>
      </x:c>
      <x:c r="B6599" s="2" t="str">
        <x:v>water_withdrawal</x:v>
      </x:c>
      <x:c r="C6599" s="2" t="n">
        <x:v>1.96009975062344</x:v>
      </x:c>
      <x:c r="D6599" s="2" t="n">
        <x:v>2022</x:v>
      </x:c>
      <x:c r="E6599" s="2" t="str">
        <x:v>WB_water_withdrawal</x:v>
      </x:c>
      <x:c r="F6599" s="2" t="str">
        <x:v>Annual freshwater withdrawals, total (% of internal resources)</x:v>
      </x:c>
    </x:row>
    <x:row r="6600" ht="44" customHeight="1">
      <x:c r="A6600" s="2" t="str">
        <x:v>ZWE</x:v>
      </x:c>
      <x:c r="B6600" s="2" t="str">
        <x:v>population</x:v>
      </x:c>
      <x:c r="C6600" s="2" t="n">
        <x:v>16950795</x:v>
      </x:c>
      <x:c r="D6600" s="2" t="n">
        <x:v>2025</x:v>
      </x:c>
      <x:c r="E6600" s="2" t="str">
        <x:v>WB_population</x:v>
      </x:c>
      <x:c r="F6600" s="2" t="str">
        <x:v>Population, total</x:v>
      </x:c>
    </x:row>
    <x:row r="6601" ht="44" customHeight="1">
      <x:c r="A6601" s="2" t="str">
        <x:v>ZWE</x:v>
      </x:c>
      <x:c r="B6601" s="2" t="str">
        <x:v>income_ppp</x:v>
      </x:c>
      <x:c r="C6601" s="2" t="n">
        <x:v>5529.23310016154</x:v>
      </x:c>
      <x:c r="D6601" s="2" t="n">
        <x:v>2025</x:v>
      </x:c>
      <x:c r="E6601" s="2" t="str">
        <x:v>WB_income_ppp</x:v>
      </x:c>
      <x:c r="F6601" s="2" t="str">
        <x:v>GDP per capita, PPP (constant 2021 international $)</x:v>
      </x:c>
    </x:row>
    <x:row r="6602" ht="44" customHeight="1">
      <x:c r="A6602" s="2" t="str">
        <x:v>ZWE</x:v>
      </x:c>
      <x:c r="B6602" s="2" t="str">
        <x:v>urban</x:v>
      </x:c>
      <x:c r="C6602" s="2" t="n">
        <x:v>40.4951287431452</x:v>
      </x:c>
      <x:c r="D6602" s="2" t="n">
        <x:v>2025</x:v>
      </x:c>
      <x:c r="E6602" s="2" t="str">
        <x:v>WB_urban</x:v>
      </x:c>
      <x:c r="F6602" s="2" t="str">
        <x:v>Urban population (% of total population)</x:v>
      </x:c>
    </x:row>
    <x:row r="6603" ht="44" customHeight="1">
      <x:c r="A6603" s="2" t="str">
        <x:v>ZWE</x:v>
      </x:c>
      <x:c r="B6603" s="2" t="str">
        <x:v>inflation</x:v>
      </x:c>
      <x:c r="C6603" s="2" t="n">
        <x:v>104.705170628667</x:v>
      </x:c>
      <x:c r="D6603" s="2" t="n">
        <x:v>2022</x:v>
      </x:c>
      <x:c r="E6603" s="2" t="str">
        <x:v>WB_inflation</x:v>
      </x:c>
      <x:c r="F6603" s="2" t="str">
        <x:v>Inflation, consumer prices (annual %)</x:v>
      </x:c>
    </x:row>
    <x:row r="6604" ht="44" customHeight="1">
      <x:c r="A6604" s="2" t="str">
        <x:v>ZWE</x:v>
      </x:c>
      <x:c r="B6604" s="2" t="str">
        <x:v>food_index</x:v>
      </x:c>
      <x:c r="C6604" s="2" t="n">
        <x:v>121.68</x:v>
      </x:c>
      <x:c r="D6604" s="2" t="n">
        <x:v>2022</x:v>
      </x:c>
      <x:c r="E6604" s="2" t="str">
        <x:v>WB_food_index</x:v>
      </x:c>
      <x:c r="F6604" s="2" t="str">
        <x:v>Food production index (2014-2016 = 100)</x:v>
      </x:c>
    </x:row>
    <x:row r="6605" ht="44" customHeight="1">
      <x:c r="A6605" s="2" t="str">
        <x:v>ZWE</x:v>
      </x:c>
      <x:c r="B6605" s="2" t="str">
        <x:v>food_import_share</x:v>
      </x:c>
      <x:c r="C6605" s="2" t="n">
        <x:v>18.9550135572266</x:v>
      </x:c>
      <x:c r="D6605" s="2" t="n">
        <x:v>2024</x:v>
      </x:c>
      <x:c r="E6605" s="2" t="str">
        <x:v>WB_food_import_share</x:v>
      </x:c>
      <x:c r="F6605" s="2" t="str">
        <x:v>Food imports (% of merchandise imports)</x:v>
      </x:c>
    </x:row>
    <x:row r="6606" ht="44" customHeight="1">
      <x:c r="A6606" s="2" t="str">
        <x:v>ZWE</x:v>
      </x:c>
      <x:c r="B6606" s="2" t="str">
        <x:v>food_export_share</x:v>
      </x:c>
      <x:c r="C6606" s="2" t="n">
        <x:v>21.5964506491141</x:v>
      </x:c>
      <x:c r="D6606" s="2" t="n">
        <x:v>2024</x:v>
      </x:c>
      <x:c r="E6606" s="2" t="str">
        <x:v>WB_food_export_share</x:v>
      </x:c>
      <x:c r="F6606" s="2" t="str">
        <x:v>Food exports (% of merchandise exports)</x:v>
      </x:c>
    </x:row>
    <x:row r="6607" ht="44" customHeight="1">
      <x:c r="A6607" s="2" t="str">
        <x:v>ZWE</x:v>
      </x:c>
      <x:c r="B6607" s="2" t="str">
        <x:v>imports_usd</x:v>
      </x:c>
      <x:c r="C6607" s="2" t="n">
        <x:v>10112000000</x:v>
      </x:c>
      <x:c r="D6607" s="2" t="n">
        <x:v>2025</x:v>
      </x:c>
      <x:c r="E6607" s="2" t="str">
        <x:v>WB_imports_usd</x:v>
      </x:c>
      <x:c r="F6607" s="2" t="str">
        <x:v>Merchandise imports (current US$)</x:v>
      </x:c>
    </x:row>
    <x:row r="6608" ht="44" customHeight="1">
      <x:c r="A6608" s="2" t="str">
        <x:v>ZWE</x:v>
      </x:c>
      <x:c r="B6608" s="2" t="str">
        <x:v>exports_usd</x:v>
      </x:c>
      <x:c r="C6608" s="2" t="n">
        <x:v>9707000000</x:v>
      </x:c>
      <x:c r="D6608" s="2" t="n">
        <x:v>2025</x:v>
      </x:c>
      <x:c r="E6608" s="2" t="str">
        <x:v>WB_exports_usd</x:v>
      </x:c>
      <x:c r="F6608" s="2" t="str">
        <x:v>Merchandise exports (current US$)</x:v>
      </x:c>
    </x:row>
    <x:row r="6609" ht="44" customHeight="1">
      <x:c r="A6609" s="2" t="str">
        <x:v>ZWE</x:v>
      </x:c>
      <x:c r="B6609" s="2" t="str">
        <x:v>cereal_yield</x:v>
      </x:c>
      <x:c r="C6609" s="2" t="n">
        <x:v>743.9</x:v>
      </x:c>
      <x:c r="D6609" s="2" t="n">
        <x:v>2023</x:v>
      </x:c>
      <x:c r="E6609" s="2" t="str">
        <x:v>WB_cereal_yield</x:v>
      </x:c>
      <x:c r="F6609" s="2" t="str">
        <x:v>Cereal yield (kg per hectare)</x:v>
      </x:c>
    </x:row>
    <x:row r="6610" ht="44" customHeight="1">
      <x:c r="A6610" s="2" t="str">
        <x:v>ZWE</x:v>
      </x:c>
      <x:c r="B6610" s="2" t="str">
        <x:v>water_stress</x:v>
      </x:c>
      <x:c r="C6610" s="2" t="n">
        <x:v>46.09162031</x:v>
      </x:c>
      <x:c r="D6610" s="2" t="n">
        <x:v>2022</x:v>
      </x:c>
      <x:c r="E6610" s="2" t="str">
        <x:v>WB_water_stress</x:v>
      </x:c>
      <x:c r="F6610" s="2" t="str">
        <x:v>Level of water stress: freshwater withdrawal as a proportion of available freshwater resources</x:v>
      </x:c>
    </x:row>
    <x:row r="6611" ht="44" customHeight="1">
      <x:c r="A6611" s="2" t="str">
        <x:v>ZWE</x:v>
      </x:c>
      <x:c r="B6611" s="2" t="str">
        <x:v>fertility</x:v>
      </x:c>
      <x:c r="C6611" s="2" t="n">
        <x:v>3.674</x:v>
      </x:c>
      <x:c r="D6611" s="2" t="n">
        <x:v>2024</x:v>
      </x:c>
      <x:c r="E6611" s="2" t="str">
        <x:v>WB_fertility</x:v>
      </x:c>
      <x:c r="F6611" s="2" t="str">
        <x:v>Fertility rate, total (births per woman)</x:v>
      </x:c>
    </x:row>
    <x:row r="6612" ht="44" customHeight="1">
      <x:c r="A6612" s="2" t="str">
        <x:v>ZWE</x:v>
      </x:c>
      <x:c r="B6612" s="2" t="str">
        <x:v>life_expectancy</x:v>
      </x:c>
      <x:c r="C6612" s="2" t="n">
        <x:v>63.064</x:v>
      </x:c>
      <x:c r="D6612" s="2" t="n">
        <x:v>2024</x:v>
      </x:c>
      <x:c r="E6612" s="2" t="str">
        <x:v>WB_life_expectancy</x:v>
      </x:c>
      <x:c r="F6612" s="2" t="str">
        <x:v>Life expectancy at birth, total (years)</x:v>
      </x:c>
    </x:row>
    <x:row r="6613" ht="44" customHeight="1">
      <x:c r="A6613" s="2" t="str">
        <x:v>ZWE</x:v>
      </x:c>
      <x:c r="B6613" s="2" t="str">
        <x:v>age_under15</x:v>
      </x:c>
      <x:c r="C6613" s="2" t="n">
        <x:v>40.2835855191453</x:v>
      </x:c>
      <x:c r="D6613" s="2" t="n">
        <x:v>2025</x:v>
      </x:c>
      <x:c r="E6613" s="2" t="str">
        <x:v>WB_age_under15</x:v>
      </x:c>
      <x:c r="F6613" s="2" t="str">
        <x:v>Population ages 0-14 (% of total population)</x:v>
      </x:c>
    </x:row>
    <x:row r="6614" ht="44" customHeight="1">
      <x:c r="A6614" s="2" t="str">
        <x:v>ZWE</x:v>
      </x:c>
      <x:c r="B6614" s="2" t="str">
        <x:v>age_over65</x:v>
      </x:c>
      <x:c r="C6614" s="2" t="n">
        <x:v>3.56147602516578</x:v>
      </x:c>
      <x:c r="D6614" s="2" t="n">
        <x:v>2025</x:v>
      </x:c>
      <x:c r="E6614" s="2" t="str">
        <x:v>WB_age_over65</x:v>
      </x:c>
      <x:c r="F6614" s="2" t="str">
        <x:v>Population ages 65 and above (% of total population)</x:v>
      </x:c>
    </x:row>
    <x:row r="6615" ht="44" customHeight="1">
      <x:c r="A6615" s="2" t="str">
        <x:v>ZWE</x:v>
      </x:c>
      <x:c r="B6615" s="2" t="str">
        <x:v>dependency_ratio</x:v>
      </x:c>
      <x:c r="C6615" s="2" t="n">
        <x:v>78.0787184480585</x:v>
      </x:c>
      <x:c r="D6615" s="2" t="n">
        <x:v>2025</x:v>
      </x:c>
      <x:c r="E6615" s="2" t="str">
        <x:v>WB_dependency_ratio</x:v>
      </x:c>
      <x:c r="F6615" s="2" t="str">
        <x:v>Age dependency ratio (% of working-age population)</x:v>
      </x:c>
    </x:row>
    <x:row r="6616" ht="44" customHeight="1">
      <x:c r="A6616" s="2" t="str">
        <x:v>ZWE</x:v>
      </x:c>
      <x:c r="B6616" s="2" t="str">
        <x:v>net_migration</x:v>
      </x:c>
      <x:c r="C6616" s="2" t="n">
        <x:v>-54555</x:v>
      </x:c>
      <x:c r="D6616" s="2" t="n">
        <x:v>2025</x:v>
      </x:c>
      <x:c r="E6616" s="2" t="str">
        <x:v>WB_net_migration</x:v>
      </x:c>
      <x:c r="F6616" s="2" t="str">
        <x:v>Net migration</x:v>
      </x:c>
    </x:row>
    <x:row r="6617" ht="44" customHeight="1">
      <x:c r="A6617" s="2" t="str">
        <x:v>ZWE</x:v>
      </x:c>
      <x:c r="B6617" s="2" t="str">
        <x:v>real_gdp</x:v>
      </x:c>
      <x:c r="C6617" s="2" t="n">
        <x:v>25478147584.7432</x:v>
      </x:c>
      <x:c r="D6617" s="2" t="n">
        <x:v>2025</x:v>
      </x:c>
      <x:c r="E6617" s="2" t="str">
        <x:v>WB_real_gdp</x:v>
      </x:c>
      <x:c r="F6617" s="2" t="str">
        <x:v>GDP (constant 2015 US$)</x:v>
      </x:c>
    </x:row>
    <x:row r="6618" ht="44" customHeight="1">
      <x:c r="A6618" s="2" t="str">
        <x:v>ZWE</x:v>
      </x:c>
      <x:c r="B6618" s="2" t="str">
        <x:v>gdp_growth</x:v>
      </x:c>
      <x:c r="C6618" s="2" t="n">
        <x:v>8.10671343048909</x:v>
      </x:c>
      <x:c r="D6618" s="2" t="n">
        <x:v>2025</x:v>
      </x:c>
      <x:c r="E6618" s="2" t="str">
        <x:v>WB_gdp_growth</x:v>
      </x:c>
      <x:c r="F6618" s="2" t="str">
        <x:v>GDP growth (annual %)</x:v>
      </x:c>
    </x:row>
    <x:row r="6619" ht="44" customHeight="1">
      <x:c r="A6619" s="2" t="str">
        <x:v>ZWE</x:v>
      </x:c>
      <x:c r="B6619" s="2" t="str">
        <x:v>real_income</x:v>
      </x:c>
      <x:c r="C6619" s="2" t="n">
        <x:v>1503.06505298089</x:v>
      </x:c>
      <x:c r="D6619" s="2" t="n">
        <x:v>2025</x:v>
      </x:c>
      <x:c r="E6619" s="2" t="str">
        <x:v>WB_real_income</x:v>
      </x:c>
      <x:c r="F6619" s="2" t="str">
        <x:v>GDP per capita (constant 2015 US$)</x:v>
      </x:c>
    </x:row>
    <x:row r="6620" ht="44" customHeight="1">
      <x:c r="A6620" s="2" t="str">
        <x:v>ZWE</x:v>
      </x:c>
      <x:c r="B6620" s="2" t="str">
        <x:v>agriculture_gdp</x:v>
      </x:c>
      <x:c r="C6620" s="2" t="n">
        <x:v>9.47197936700304</x:v>
      </x:c>
      <x:c r="D6620" s="2" t="n">
        <x:v>2025</x:v>
      </x:c>
      <x:c r="E6620" s="2" t="str">
        <x:v>WB_agriculture_gdp</x:v>
      </x:c>
      <x:c r="F6620" s="2" t="str">
        <x:v>Agriculture, forestry, and fishing, value added (% of GDP)</x:v>
      </x:c>
    </x:row>
    <x:row r="6621" ht="44" customHeight="1">
      <x:c r="A6621" s="2" t="str">
        <x:v>ZWE</x:v>
      </x:c>
      <x:c r="B6621" s="2" t="str">
        <x:v>poverty</x:v>
      </x:c>
      <x:c r="C6621" s="2" t="n">
        <x:v>49.2</x:v>
      </x:c>
      <x:c r="D6621" s="2" t="n">
        <x:v>2019</x:v>
      </x:c>
      <x:c r="E6621" s="2" t="str">
        <x:v>WB_poverty</x:v>
      </x:c>
      <x:c r="F6621" s="2" t="str">
        <x:v>Poverty headcount ratio at $3.00 a day (2021 PPP) (% of population)</x:v>
      </x:c>
    </x:row>
    <x:row r="6622" ht="44" customHeight="1">
      <x:c r="A6622" s="2" t="str">
        <x:v>ZWE</x:v>
      </x:c>
      <x:c r="B6622" s="2" t="str">
        <x:v>gini</x:v>
      </x:c>
      <x:c r="C6622" s="2" t="n">
        <x:v>50.3</x:v>
      </x:c>
      <x:c r="D6622" s="2" t="n">
        <x:v>2019</x:v>
      </x:c>
      <x:c r="E6622" s="2" t="str">
        <x:v>WB_gini</x:v>
      </x:c>
      <x:c r="F6622" s="2" t="str">
        <x:v>Gini index</x:v>
      </x:c>
    </x:row>
    <x:row r="6623" ht="44" customHeight="1">
      <x:c r="A6623" s="2" t="str">
        <x:v>ZWE</x:v>
      </x:c>
      <x:c r="B6623" s="2" t="str">
        <x:v>unemployment</x:v>
      </x:c>
      <x:c r="C6623" s="2" t="n">
        <x:v>9.293</x:v>
      </x:c>
      <x:c r="D6623" s="2" t="n">
        <x:v>2025</x:v>
      </x:c>
      <x:c r="E6623" s="2" t="str">
        <x:v>WB_unemployment</x:v>
      </x:c>
      <x:c r="F6623" s="2" t="str">
        <x:v>Unemployment, total (% of total labor force) (modeled ILO estimate)</x:v>
      </x:c>
    </x:row>
    <x:row r="6624" ht="44" customHeight="1">
      <x:c r="A6624" s="2" t="str">
        <x:v>ZWE</x:v>
      </x:c>
      <x:c r="B6624" s="2" t="str">
        <x:v>private_credit</x:v>
      </x:c>
      <x:c r="C6624" s="2" t="n">
        <x:v>6.47769726494533</x:v>
      </x:c>
      <x:c r="D6624" s="2" t="n">
        <x:v>2023</x:v>
      </x:c>
      <x:c r="E6624" s="2" t="str">
        <x:v>WB_private_credit</x:v>
      </x:c>
      <x:c r="F6624" s="2" t="str">
        <x:v>Domestic credit to private sector (% of GDP)</x:v>
      </x:c>
    </x:row>
    <x:row r="6625" ht="44" customHeight="1">
      <x:c r="A6625" s="2" t="str">
        <x:v>ZWE</x:v>
      </x:c>
      <x:c r="B6625" s="2" t="str">
        <x:v>lending_rate</x:v>
      </x:c>
      <x:c r="C6625" s="2" t="n">
        <x:v>46.363185964308</x:v>
      </x:c>
      <x:c r="D6625" s="2" t="n">
        <x:v>2025</x:v>
      </x:c>
      <x:c r="E6625" s="2" t="str">
        <x:v>WB_lending_rate</x:v>
      </x:c>
      <x:c r="F6625" s="2" t="str">
        <x:v>Lending interest rate (%)</x:v>
      </x:c>
    </x:row>
    <x:row r="6626" ht="44" customHeight="1">
      <x:c r="A6626" s="2" t="str">
        <x:v>ZWE</x:v>
      </x:c>
      <x:c r="B6626" s="2" t="str">
        <x:v>real_interest</x:v>
      </x:c>
      <x:c r="C6626" s="2" t="n">
        <x:v>-20.0744823896365</x:v>
      </x:c>
      <x:c r="D6626" s="2" t="n">
        <x:v>2025</x:v>
      </x:c>
      <x:c r="E6626" s="2" t="str">
        <x:v>WB_real_interest</x:v>
      </x:c>
      <x:c r="F6626" s="2" t="str">
        <x:v>Real interest rate (%)</x:v>
      </x:c>
    </x:row>
    <x:row r="6627" ht="44" customHeight="1">
      <x:c r="A6627" s="2" t="str">
        <x:v>ZWE</x:v>
      </x:c>
      <x:c r="B6627" s="2" t="str">
        <x:v>government_debt</x:v>
      </x:c>
      <x:c r="C6627" s="2"/>
      <x:c r="D6627" s="2"/>
      <x:c r="E6627" s="2" t="str">
        <x:v>Missing</x:v>
      </x:c>
      <x:c r="F6627" s="2" t="str">
        <x:v>Central government debt, total (% of GDP)</x:v>
      </x:c>
    </x:row>
    <x:row r="6628" ht="44" customHeight="1">
      <x:c r="A6628" s="2" t="str">
        <x:v>ZWE</x:v>
      </x:c>
      <x:c r="B6628" s="2" t="str">
        <x:v>electricity_access</x:v>
      </x:c>
      <x:c r="C6628" s="2" t="n">
        <x:v>62</x:v>
      </x:c>
      <x:c r="D6628" s="2" t="n">
        <x:v>2024</x:v>
      </x:c>
      <x:c r="E6628" s="2" t="str">
        <x:v>WB_electricity_access</x:v>
      </x:c>
      <x:c r="F6628" s="2" t="str">
        <x:v>Access to electricity (% of population)</x:v>
      </x:c>
    </x:row>
    <x:row r="6629" ht="44" customHeight="1">
      <x:c r="A6629" s="2" t="str">
        <x:v>ZWE</x:v>
      </x:c>
      <x:c r="B6629" s="2" t="str">
        <x:v>irrigated_land</x:v>
      </x:c>
      <x:c r="C6629" s="2"/>
      <x:c r="D6629" s="2"/>
      <x:c r="E6629" s="2" t="str">
        <x:v>Missing</x:v>
      </x:c>
      <x:c r="F6629" s="2" t="str">
        <x:v>Agricultural irrigated land (% of total agricultural land)</x:v>
      </x:c>
    </x:row>
    <x:row r="6630" ht="44" customHeight="1">
      <x:c r="A6630" s="2" t="str">
        <x:v>ZWE</x:v>
      </x:c>
      <x:c r="B6630" s="2" t="str">
        <x:v>cereal_area</x:v>
      </x:c>
      <x:c r="C6630" s="2" t="n">
        <x:v>1569913</x:v>
      </x:c>
      <x:c r="D6630" s="2" t="n">
        <x:v>2023</x:v>
      </x:c>
      <x:c r="E6630" s="2" t="str">
        <x:v>WB_cereal_area</x:v>
      </x:c>
      <x:c r="F6630" s="2" t="str">
        <x:v>Land under cereal production (hectares)</x:v>
      </x:c>
    </x:row>
    <x:row r="6631" ht="44" customHeight="1">
      <x:c r="A6631" s="2" t="str">
        <x:v>ZWE</x:v>
      </x:c>
      <x:c r="B6631" s="2" t="str">
        <x:v>undernourishment</x:v>
      </x:c>
      <x:c r="C6631" s="2" t="n">
        <x:v>19.7</x:v>
      </x:c>
      <x:c r="D6631" s="2" t="n">
        <x:v>2023</x:v>
      </x:c>
      <x:c r="E6631" s="2" t="str">
        <x:v>WB_undernourishment</x:v>
      </x:c>
      <x:c r="F6631" s="2" t="str">
        <x:v>Prevalence of undernourishment (% of population)</x:v>
      </x:c>
    </x:row>
    <x:row r="6632" ht="44" customHeight="1">
      <x:c r="A6632" s="2" t="str">
        <x:v>ZWE</x:v>
      </x:c>
      <x:c r="B6632" s="2" t="str">
        <x:v>agriculture_employment</x:v>
      </x:c>
      <x:c r="C6632" s="2" t="n">
        <x:v>54.3115427595032</x:v>
      </x:c>
      <x:c r="D6632" s="2" t="n">
        <x:v>2025</x:v>
      </x:c>
      <x:c r="E6632" s="2" t="str">
        <x:v>WB_agriculture_employment</x:v>
      </x:c>
      <x:c r="F6632" s="2" t="str">
        <x:v>Employment in agriculture (% of total employment) (modeled ILO estimate)</x:v>
      </x:c>
    </x:row>
    <x:row r="6633" ht="44" customHeight="1">
      <x:c r="A6633" s="2" t="str">
        <x:v>ZWE</x:v>
      </x:c>
      <x:c r="B6633" s="2" t="str">
        <x:v>water_withdrawal</x:v>
      </x:c>
      <x:c r="C6633" s="2" t="n">
        <x:v>40.0463245921697</x:v>
      </x:c>
      <x:c r="D6633" s="2" t="n">
        <x:v>2022</x:v>
      </x:c>
      <x:c r="E6633" s="2" t="str">
        <x:v>WB_water_withdrawal</x:v>
      </x:c>
      <x:c r="F6633" s="2" t="str">
        <x:v>Annual freshwater withdrawals, total (% of internal resources)</x:v>
      </x:c>
    </x:row>
  </x:sheetData>
  <x:mergeCells>
    <x:mergeCell ref="A1:F1"/>
    <x:mergeCell ref="A2:F2"/>
  </x:mergeCells>
  <x:pageMargins left="0.7" right="0.7" top="0.75" bottom="0.75" header="0.3" footer="0.3"/>
</x:worksheet>
</file>